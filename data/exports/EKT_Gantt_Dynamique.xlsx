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S" state="visible" r:id="rId4"/>
    <sheet sheetId="2" name="TASKS" state="visible" r:id="rId5"/>
    <sheet sheetId="3" name="DECISIONS" state="visible" r:id="rId6"/>
    <sheet sheetId="4" name="GANTT_VIEW" state="visible" r:id="rId7"/>
    <sheet sheetId="5" name="FILTER_VIEW" state="visible" r:id="rId8"/>
  </sheets>
  <calcPr calcId="171027" fullCalcOnLoad="1"/>
</workbook>
</file>

<file path=xl/sharedStrings.xml><?xml version="1.0" encoding="utf-8"?>
<sst xmlns="http://schemas.openxmlformats.org/spreadsheetml/2006/main" count="967" uniqueCount="97">
  <si>
    <t>Pilotage EKT - Paramètres de la vue Gantt</t>
  </si>
  <si>
    <t>Légende visuelle</t>
  </si>
  <si>
    <t>Les cellules de la colonne Valeur pilotent la timeline, les vues filtrées et la ligne Aujourd'hui.</t>
  </si>
  <si>
    <t>Paramètre</t>
  </si>
  <si>
    <t>Valeur</t>
  </si>
  <si>
    <t>Usage</t>
  </si>
  <si>
    <t>Statut</t>
  </si>
  <si>
    <t>Couleur</t>
  </si>
  <si>
    <t>Lecture</t>
  </si>
  <si>
    <t>date_debut_projet</t>
  </si>
  <si>
    <t>Point de départ de la timeline affichée.</t>
  </si>
  <si>
    <t>à instruire</t>
  </si>
  <si>
    <t/>
  </si>
  <si>
    <t>Instruction encore incomplète.</t>
  </si>
  <si>
    <t>date_du_jour</t>
  </si>
  <si>
    <t>Repère dynamique pour la colonne Aujourd'hui.</t>
  </si>
  <si>
    <t>prêt à décider</t>
  </si>
  <si>
    <t>Arbitrage prêt à être rendu.</t>
  </si>
  <si>
    <t>horizon_affichage</t>
  </si>
  <si>
    <t>Nombre de semaines ou mois visibles dans la vue Gantt.</t>
  </si>
  <si>
    <t>bloqué</t>
  </si>
  <si>
    <t>Traitement prioritaire.</t>
  </si>
  <si>
    <t>mode_affichage</t>
  </si>
  <si>
    <t>semaine</t>
  </si>
  <si>
    <t>Choisir 'semaine' ou 'mois'.</t>
  </si>
  <si>
    <t>en exécution</t>
  </si>
  <si>
    <t>Action engagée.</t>
  </si>
  <si>
    <t>filtre_statut</t>
  </si>
  <si>
    <t>tous</t>
  </si>
  <si>
    <t>Laisser 'tous' pour ne pas filtrer.</t>
  </si>
  <si>
    <t>clos</t>
  </si>
  <si>
    <t>Sujet terminé.</t>
  </si>
  <si>
    <t>filtre_agent</t>
  </si>
  <si>
    <t>Filtre exact sur Agent_source ou Responsable.</t>
  </si>
  <si>
    <t>non réouvrable / irréversibilité forte</t>
  </si>
  <si>
    <t>Retour arrière coûteux ou impossible.</t>
  </si>
  <si>
    <t>filtre_criticite</t>
  </si>
  <si>
    <t>toutes</t>
  </si>
  <si>
    <t>Laisser 'toutes' pour ne pas filtrer.</t>
  </si>
  <si>
    <t>Goulot = oui</t>
  </si>
  <si>
    <t>La ligne est surlignée.</t>
  </si>
  <si>
    <t>Jalon (début = fin)</t>
  </si>
  <si>
    <t>Affiché avec un diamant noir.</t>
  </si>
  <si>
    <t>Pilotage EKT - Registre principal des tâches</t>
  </si>
  <si>
    <t>La durée se calcule à partir des dates prévues. Pour l'alerte de dépendance, renseigner idéalement un ID unique dans Depend_de.</t>
  </si>
  <si>
    <t>ID</t>
  </si>
  <si>
    <t>Sujet</t>
  </si>
  <si>
    <t>Lot_Domaine</t>
  </si>
  <si>
    <t>Agent_source</t>
  </si>
  <si>
    <t>Responsable</t>
  </si>
  <si>
    <t>Date_debut_prevue</t>
  </si>
  <si>
    <t>Date_fin_prevue</t>
  </si>
  <si>
    <t>Duree_jours</t>
  </si>
  <si>
    <t>Date_debut_reelle</t>
  </si>
  <si>
    <t>Date_fin_reelle</t>
  </si>
  <si>
    <t>Blocage</t>
  </si>
  <si>
    <t>Depend_de</t>
  </si>
  <si>
    <t>Non_negociable</t>
  </si>
  <si>
    <t>Seuil_de_reprise</t>
  </si>
  <si>
    <t>Donnee_manquante</t>
  </si>
  <si>
    <t>Niveau_criticite</t>
  </si>
  <si>
    <t>Irreversibilite</t>
  </si>
  <si>
    <t>Decision_Emmanuel</t>
  </si>
  <si>
    <t>Commentaire_EKT</t>
  </si>
  <si>
    <t>Goulot</t>
  </si>
  <si>
    <t>Point_de_bascule</t>
  </si>
  <si>
    <t>Pilotage EKT - Journal des décisions</t>
  </si>
  <si>
    <t>Journal sobre pour tracer les arbitrages et leurs impacts sur le pilotage.</t>
  </si>
  <si>
    <t>Date</t>
  </si>
  <si>
    <t>Decision</t>
  </si>
  <si>
    <t>Type_decision</t>
  </si>
  <si>
    <t>Impact_planning</t>
  </si>
  <si>
    <t>Impact_budget</t>
  </si>
  <si>
    <t>Impact_securite</t>
  </si>
  <si>
    <t>Impact_conformite</t>
  </si>
  <si>
    <t>Notes</t>
  </si>
  <si>
    <t>Pilotage EKT - Vue Gantt orientée décision</t>
  </si>
  <si>
    <t>Executable = non si la tâche est bloquée ou si la dépendance renseignée n'est pas close dans TASKS.</t>
  </si>
  <si>
    <t>Criticité</t>
  </si>
  <si>
    <t>Executable</t>
  </si>
  <si>
    <t>Début_prévu</t>
  </si>
  <si>
    <t>Fin_prévu</t>
  </si>
  <si>
    <t>Irreversibilité</t>
  </si>
  <si>
    <t>Pilotage EKT - Vue filtrable et synthèse</t>
  </si>
  <si>
    <t>Conseil</t>
  </si>
  <si>
    <t>Tâches bloquées</t>
  </si>
  <si>
    <t>Tâches critiques</t>
  </si>
  <si>
    <t>Décisions Emmanuel ouvertes</t>
  </si>
  <si>
    <t>Donnée manquante</t>
  </si>
  <si>
    <t>Non réouvrables</t>
  </si>
  <si>
    <t>Filtrer d'abord Match_global = oui pour appliquer les filtres PARAMS, puis utiliser les colonnes Vue_*.</t>
  </si>
  <si>
    <t>Match_global</t>
  </si>
  <si>
    <t>Vue_bloquee</t>
  </si>
  <si>
    <t>Vue_critique</t>
  </si>
  <si>
    <t>Vue_decision_Emmanuel_ouverte</t>
  </si>
  <si>
    <t>Vue_donnee_manquante</t>
  </si>
  <si>
    <t>Vue_non_reouvrable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</si>
</sst>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8" x14ac:knownFonts="1">
    <font>
      <color theme="1"/>
      <family val="2"/>
      <scheme val="minor"/>
      <sz val="11"/>
      <name val="Calibri"/>
    </font>
    <font>
      <b/>
      <color rgb="FF1F2937"/>
      <sz val="14"/>
    </font>
    <font>
      <i/>
      <color rgb="FF6B7280"/>
    </font>
    <font>
      <b/>
      <color rgb="FFFFFFFF"/>
    </font>
    <font>
      <b/>
      <color rgb="FFB91C1C"/>
      <sz val="10"/>
    </font>
    <font>
      <b/>
      <color rgb="FFFFFFFF"/>
      <sz val="9"/>
    </font>
    <font>
      <b/>
      <color rgb="FF1F2937"/>
    </font>
    <font>
      <b/>
      <color rgb="FF1F2937"/>
      <sz val="13"/>
    </font>
  </fonts>
  <fills count="16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243447"/>
      </patternFill>
    </fill>
    <fill>
      <patternFill patternType="solid">
        <fgColor rgb="FFB8C0CC"/>
      </patternFill>
    </fill>
    <fill>
      <patternFill patternType="solid">
        <fgColor rgb="FFF59E0B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FFFEF3C7"/>
      </patternFill>
    </fill>
    <fill>
      <patternFill patternType="solid">
        <fgColor rgb="FFFFFFFF"/>
      </patternFill>
    </fill>
    <fill>
      <patternFill patternType="solid">
        <fgColor rgb="FFFEE2E2"/>
      </patternFill>
    </fill>
    <fill>
      <patternFill patternType="solid">
        <fgColor rgb="FFFFEDD5"/>
      </patternFill>
    </fill>
    <fill>
      <patternFill patternType="solid">
        <fgColor rgb="FFDBEAFE"/>
      </patternFill>
    </fill>
    <fill>
      <patternFill patternType="solid">
        <fgColor rgb="FFEDE9F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0" xfId="0" applyNumberFormat="1"/>
    <xf numFmtId="164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" fontId="0" fillId="0" borderId="0" xfId="0" applyNumberFormat="1"/>
    <xf numFmtId="1" fontId="1" fillId="2" borderId="1" xfId="0" applyNumberFormat="1" applyFont="1" applyFill="1" applyBorder="1" applyAlignment="1">
      <alignment horizontal="left" vertical="center"/>
    </xf>
    <xf numFmtId="164" fontId="2" fillId="0" borderId="0" xfId="0" applyNumberFormat="1" applyFont="1"/>
    <xf numFmtId="0" fontId="4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 textRotation="9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" fontId="2" fillId="0" borderId="0" xfId="0" applyNumberFormat="1" applyFont="1"/>
    <xf numFmtId="1" fontId="3" fillId="3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13">
    <dxf>
      <fill>
        <patternFill patternType="solid">
          <fgColor rgb="FFFEE2E2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FFEDD5"/>
        </patternFill>
      </fill>
    </dxf>
    <dxf>
      <border>
        <left style="medium">
          <color rgb="FFB91C1C"/>
        </left>
        <right style="medium">
          <color rgb="FFB91C1C"/>
        </right>
        <top/>
        <bottom/>
        <diagonal/>
      </border>
    </dxf>
    <dxf>
      <fill>
        <patternFill patternType="solid">
          <fgColor rgb="FF7C3AED"/>
        </patternFill>
      </fill>
    </dxf>
    <dxf>
      <fill>
        <patternFill patternType="solid">
          <fgColor rgb="FFDC2626"/>
        </patternFill>
      </fill>
    </dxf>
    <dxf>
      <fill>
        <patternFill patternType="solid">
          <fgColor rgb="FF16A34A"/>
        </patternFill>
      </fill>
    </dxf>
    <dxf>
      <fill>
        <patternFill patternType="solid">
          <fgColor rgb="FF2563EB"/>
        </patternFill>
      </fill>
    </dxf>
    <dxf>
      <fill>
        <patternFill patternType="solid">
          <fgColor rgb="FFF59E0B"/>
        </patternFill>
      </fill>
    </dxf>
    <dxf>
      <fill>
        <patternFill patternType="solid">
          <fgColor rgb="FFB8C0CC"/>
        </patternFill>
      </fill>
    </dxf>
    <dxf>
      <font>
        <b/>
      </font>
      <fill>
        <patternFill patternType="solid">
          <fgColor rgb="FFFEF3C7"/>
        </patternFill>
      </fill>
    </dxf>
    <dxf>
      <font>
        <b/>
        <color rgb="FFDC2626"/>
      </font>
      <fill>
        <patternFill patternType="solid">
          <fgColor rgb="FFFFEDD5"/>
        </patternFill>
      </fill>
    </dxf>
    <dxf>
      <font>
        <b/>
        <color rgb="FF16A34A"/>
      </font>
      <fill>
        <patternFill patternType="solid">
          <f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Tasks" displayName="tblTasks" ref="A3:V33" totalsRowShown="1" headerRowCount="1">
  <autoFilter ref="A3:V3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name="ID" totalsRowLabel="Total"/>
    <tableColumn id="2" name="Sujet" totalsRowFunction="none"/>
    <tableColumn id="3" name="Lot_Domaine" totalsRowFunction="none"/>
    <tableColumn id="4" name="Agent_source" totalsRowFunction="none"/>
    <tableColumn id="5" name="Responsable" totalsRowFunction="none"/>
    <tableColumn id="6" name="Statut" totalsRowFunction="none"/>
    <tableColumn id="7" name="Date_debut_prevue" totalsRowFunction="none"/>
    <tableColumn id="8" name="Date_fin_prevue" totalsRowFunction="none"/>
    <tableColumn id="9" name="Duree_jours" totalsRowFunction="none"/>
    <tableColumn id="10" name="Date_debut_reelle" totalsRowFunction="none"/>
    <tableColumn id="11" name="Date_fin_reelle" totalsRowFunction="none"/>
    <tableColumn id="12" name="Blocage" totalsRowFunction="none"/>
    <tableColumn id="13" name="Depend_de" totalsRowFunction="none"/>
    <tableColumn id="14" name="Non_negociable" totalsRowFunction="none"/>
    <tableColumn id="15" name="Seuil_de_reprise" totalsRowFunction="none"/>
    <tableColumn id="16" name="Donnee_manquante" totalsRowFunction="none"/>
    <tableColumn id="17" name="Niveau_criticite" totalsRowFunction="none"/>
    <tableColumn id="18" name="Irreversibilite" totalsRowFunction="none"/>
    <tableColumn id="19" name="Decision_Emmanuel" totalsRowFunction="none"/>
    <tableColumn id="20" name="Commentaire_EKT" totalsRowFunction="none"/>
    <tableColumn id="21" name="Goulot" totalsRowFunction="none"/>
    <tableColumn id="22" name="Point_de_bascule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blDecisions" displayName="tblDecisions" ref="A3:J23" totalsRowShown="1" headerRowCount="1">
  <autoFilter ref="A3:J2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Date" totalsRowLabel="Total"/>
    <tableColumn id="2" name="Sujet" totalsRowFunction="none"/>
    <tableColumn id="3" name="Decision" totalsRowFunction="none"/>
    <tableColumn id="4" name="Type_decision" totalsRowFunction="none"/>
    <tableColumn id="5" name="Responsable" totalsRowFunction="none"/>
    <tableColumn id="6" name="Impact_planning" totalsRowFunction="none"/>
    <tableColumn id="7" name="Impact_budget" totalsRowFunction="none"/>
    <tableColumn id="8" name="Impact_securite" totalsRowFunction="none"/>
    <tableColumn id="9" name="Impact_conformite" totalsRowFunction="none"/>
    <tableColumn id="10" name="Notes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0" style="1" customWidth="1"/>
    <col min="3" max="3" width="56" customWidth="1"/>
    <col min="4" max="4" width="4" customWidth="1"/>
    <col min="5" max="5" width="34" customWidth="1"/>
    <col min="6" max="6" width="12" customWidth="1"/>
    <col min="7" max="7" width="42" customWidth="1"/>
  </cols>
  <sheetData>
    <row r="1" ht="22" customHeight="1" spans="1:7" x14ac:dyDescent="0.25">
      <c r="A1" s="2" t="s">
        <v>0</v>
      </c>
      <c r="B1" s="2"/>
      <c r="C1" s="2"/>
      <c r="E1" s="3" t="s">
        <v>1</v>
      </c>
      <c r="F1" s="3"/>
      <c r="G1" s="3"/>
    </row>
    <row r="2" spans="1:2" x14ac:dyDescent="0.25">
      <c r="A2" s="4" t="s">
        <v>2</v>
      </c>
      <c r="B2" s="1"/>
    </row>
    <row r="3" spans="1:7" x14ac:dyDescent="0.25">
      <c r="A3" s="5" t="s">
        <v>3</v>
      </c>
      <c r="B3" s="6" t="s">
        <v>4</v>
      </c>
      <c r="C3" s="5" t="s">
        <v>5</v>
      </c>
      <c r="E3" s="5" t="s">
        <v>6</v>
      </c>
      <c r="F3" s="5" t="s">
        <v>7</v>
      </c>
      <c r="G3" s="5" t="s">
        <v>8</v>
      </c>
    </row>
    <row r="4" spans="1:7" x14ac:dyDescent="0.25">
      <c r="A4" s="7" t="s">
        <v>9</v>
      </c>
      <c r="B4" s="8">
        <v>46112.91666666667</v>
      </c>
      <c r="C4" s="7" t="s">
        <v>10</v>
      </c>
      <c r="E4" s="7" t="s">
        <v>11</v>
      </c>
      <c r="F4" s="9" t="s">
        <v>12</v>
      </c>
      <c r="G4" s="7" t="s">
        <v>13</v>
      </c>
    </row>
    <row r="5" spans="1:7" x14ac:dyDescent="0.25">
      <c r="A5" s="7" t="s">
        <v>14</v>
      </c>
      <c r="B5" s="8">
        <f>TODAY()</f>
      </c>
      <c r="C5" s="7" t="s">
        <v>15</v>
      </c>
      <c r="E5" s="7" t="s">
        <v>16</v>
      </c>
      <c r="F5" s="10" t="s">
        <v>12</v>
      </c>
      <c r="G5" s="7" t="s">
        <v>17</v>
      </c>
    </row>
    <row r="6" spans="1:7" x14ac:dyDescent="0.25">
      <c r="A6" s="7" t="s">
        <v>18</v>
      </c>
      <c r="B6" s="11">
        <v>26</v>
      </c>
      <c r="C6" s="7" t="s">
        <v>19</v>
      </c>
      <c r="E6" s="7" t="s">
        <v>20</v>
      </c>
      <c r="F6" s="12" t="s">
        <v>12</v>
      </c>
      <c r="G6" s="7" t="s">
        <v>21</v>
      </c>
    </row>
    <row r="7" spans="1:7" x14ac:dyDescent="0.25">
      <c r="A7" s="7" t="s">
        <v>22</v>
      </c>
      <c r="B7" s="8" t="s">
        <v>23</v>
      </c>
      <c r="C7" s="7" t="s">
        <v>24</v>
      </c>
      <c r="E7" s="7" t="s">
        <v>25</v>
      </c>
      <c r="F7" s="13" t="s">
        <v>12</v>
      </c>
      <c r="G7" s="7" t="s">
        <v>26</v>
      </c>
    </row>
    <row r="8" spans="1:7" x14ac:dyDescent="0.25">
      <c r="A8" s="7" t="s">
        <v>27</v>
      </c>
      <c r="B8" s="8" t="s">
        <v>28</v>
      </c>
      <c r="C8" s="7" t="s">
        <v>29</v>
      </c>
      <c r="E8" s="7" t="s">
        <v>30</v>
      </c>
      <c r="F8" s="14" t="s">
        <v>12</v>
      </c>
      <c r="G8" s="7" t="s">
        <v>31</v>
      </c>
    </row>
    <row r="9" spans="1:7" x14ac:dyDescent="0.25">
      <c r="A9" s="7" t="s">
        <v>32</v>
      </c>
      <c r="B9" s="8" t="s">
        <v>28</v>
      </c>
      <c r="C9" s="7" t="s">
        <v>33</v>
      </c>
      <c r="E9" s="7" t="s">
        <v>34</v>
      </c>
      <c r="F9" s="15" t="s">
        <v>12</v>
      </c>
      <c r="G9" s="7" t="s">
        <v>35</v>
      </c>
    </row>
    <row r="10" spans="1:7" x14ac:dyDescent="0.25">
      <c r="A10" s="7" t="s">
        <v>36</v>
      </c>
      <c r="B10" s="8" t="s">
        <v>37</v>
      </c>
      <c r="C10" s="7" t="s">
        <v>38</v>
      </c>
      <c r="E10" s="7" t="s">
        <v>39</v>
      </c>
      <c r="F10" s="16" t="s">
        <v>12</v>
      </c>
      <c r="G10" s="7" t="s">
        <v>40</v>
      </c>
    </row>
    <row r="11" spans="5:7" x14ac:dyDescent="0.25">
      <c r="E11" s="7" t="s">
        <v>41</v>
      </c>
      <c r="F11" s="17" t="s">
        <v>12</v>
      </c>
      <c r="G11" s="7" t="s">
        <v>42</v>
      </c>
    </row>
  </sheetData>
  <mergeCells count="2">
    <mergeCell ref="A1:C1"/>
    <mergeCell ref="E1:G1"/>
  </mergeCells>
  <dataValidations count="4">
    <dataValidation type="list" allowBlank="1" showErrorMessage="1" sqref="B10">
      <formula1>"toutes,faible,moyenne,haute,critique"</formula1>
    </dataValidation>
    <dataValidation type="whole" showErrorMessage="1" sqref="B6">
      <formula1>1</formula1>
      <formula2>52</formula2>
    </dataValidation>
    <dataValidation type="list" allowBlank="1" showErrorMessage="1" sqref="B7">
      <formula1>"semaine,mois"</formula1>
    </dataValidation>
    <dataValidation type="list" allowBlank="1" showErrorMessage="1" sqref="B8">
      <formula1>"tous,à instruire,prêt à décider,bloqué,en exécution,clos,non réouvrable"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6" width="18" customWidth="1"/>
    <col min="7" max="8" width="15" style="1" customWidth="1"/>
    <col min="9" max="9" width="12" style="18" customWidth="1"/>
    <col min="10" max="11" width="15" style="1" customWidth="1"/>
    <col min="12" max="12" width="12" customWidth="1"/>
    <col min="13" max="14" width="14" customWidth="1"/>
    <col min="15" max="15" width="18" customWidth="1"/>
    <col min="16" max="16" width="20" customWidth="1"/>
    <col min="17" max="18" width="16" customWidth="1"/>
    <col min="19" max="19" width="20" customWidth="1"/>
    <col min="20" max="20" width="28" customWidth="1"/>
    <col min="21" max="21" width="10" customWidth="1"/>
    <col min="22" max="22" width="14" customWidth="1"/>
  </cols>
  <sheetData>
    <row r="1" spans="1:22" x14ac:dyDescent="0.25">
      <c r="A1" s="19" t="s">
        <v>43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11" x14ac:dyDescent="0.25">
      <c r="A2" s="4" t="s">
        <v>44</v>
      </c>
      <c r="G2" s="1"/>
      <c r="H2" s="1"/>
      <c r="I2" s="18"/>
      <c r="J2" s="1"/>
      <c r="K2" s="1"/>
    </row>
    <row r="3" spans="1:22" x14ac:dyDescent="0.25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6</v>
      </c>
      <c r="G3" s="1" t="s">
        <v>50</v>
      </c>
      <c r="H3" s="1" t="s">
        <v>51</v>
      </c>
      <c r="I3" s="18" t="s">
        <v>52</v>
      </c>
      <c r="J3" s="1" t="s">
        <v>53</v>
      </c>
      <c r="K3" s="1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64</v>
      </c>
      <c r="V3" t="s">
        <v>65</v>
      </c>
    </row>
    <row r="4" spans="1:22" x14ac:dyDescent="0.25">
      <c r="A4" t="s">
        <v>12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  <c r="G4" s="1" t="s">
        <v>12</v>
      </c>
      <c r="H4" s="1" t="s">
        <v>12</v>
      </c>
      <c r="I4" s="18">
        <f>IF(OR(G4="",H4=""),"",MAX(1,H4-G4+1))</f>
      </c>
      <c r="J4" s="1" t="s">
        <v>12</v>
      </c>
      <c r="K4" s="1" t="s">
        <v>12</v>
      </c>
      <c r="L4" t="s">
        <v>12</v>
      </c>
      <c r="M4" t="s">
        <v>12</v>
      </c>
      <c r="N4" t="s">
        <v>12</v>
      </c>
      <c r="O4" t="s">
        <v>12</v>
      </c>
      <c r="P4" t="s">
        <v>12</v>
      </c>
      <c r="Q4" t="s">
        <v>12</v>
      </c>
      <c r="R4" t="s">
        <v>12</v>
      </c>
      <c r="S4" t="s">
        <v>12</v>
      </c>
      <c r="T4" t="s">
        <v>12</v>
      </c>
      <c r="U4" t="s">
        <v>12</v>
      </c>
      <c r="V4" t="s">
        <v>12</v>
      </c>
    </row>
    <row r="5" spans="1:22" x14ac:dyDescent="0.25">
      <c r="A5" t="s">
        <v>12</v>
      </c>
      <c r="B5" t="s">
        <v>12</v>
      </c>
      <c r="C5" t="s">
        <v>12</v>
      </c>
      <c r="D5" t="s">
        <v>12</v>
      </c>
      <c r="E5" t="s">
        <v>12</v>
      </c>
      <c r="F5" t="s">
        <v>12</v>
      </c>
      <c r="G5" s="1" t="s">
        <v>12</v>
      </c>
      <c r="H5" s="1" t="s">
        <v>12</v>
      </c>
      <c r="I5" s="18">
        <f>IF(OR(G5="",H5=""),"",MAX(1,H5-G5+1))</f>
      </c>
      <c r="J5" s="1" t="s">
        <v>12</v>
      </c>
      <c r="K5" s="1" t="s">
        <v>12</v>
      </c>
      <c r="L5" t="s">
        <v>12</v>
      </c>
      <c r="M5" t="s">
        <v>12</v>
      </c>
      <c r="N5" t="s">
        <v>12</v>
      </c>
      <c r="O5" t="s">
        <v>12</v>
      </c>
      <c r="P5" t="s">
        <v>12</v>
      </c>
      <c r="Q5" t="s">
        <v>12</v>
      </c>
      <c r="R5" t="s">
        <v>12</v>
      </c>
      <c r="S5" t="s">
        <v>12</v>
      </c>
      <c r="T5" t="s">
        <v>12</v>
      </c>
      <c r="U5" t="s">
        <v>12</v>
      </c>
      <c r="V5" t="s">
        <v>12</v>
      </c>
    </row>
    <row r="6" spans="1:22" x14ac:dyDescent="0.25">
      <c r="A6" t="s">
        <v>12</v>
      </c>
      <c r="B6" t="s">
        <v>12</v>
      </c>
      <c r="C6" t="s">
        <v>12</v>
      </c>
      <c r="D6" t="s">
        <v>12</v>
      </c>
      <c r="E6" t="s">
        <v>12</v>
      </c>
      <c r="F6" t="s">
        <v>12</v>
      </c>
      <c r="G6" s="1" t="s">
        <v>12</v>
      </c>
      <c r="H6" s="1" t="s">
        <v>12</v>
      </c>
      <c r="I6" s="18">
        <f>IF(OR(G6="",H6=""),"",MAX(1,H6-G6+1))</f>
      </c>
      <c r="J6" s="1" t="s">
        <v>12</v>
      </c>
      <c r="K6" s="1" t="s">
        <v>12</v>
      </c>
      <c r="L6" t="s">
        <v>12</v>
      </c>
      <c r="M6" t="s">
        <v>12</v>
      </c>
      <c r="N6" t="s">
        <v>12</v>
      </c>
      <c r="O6" t="s">
        <v>12</v>
      </c>
      <c r="P6" t="s">
        <v>12</v>
      </c>
      <c r="Q6" t="s">
        <v>12</v>
      </c>
      <c r="R6" t="s">
        <v>12</v>
      </c>
      <c r="S6" t="s">
        <v>12</v>
      </c>
      <c r="T6" t="s">
        <v>12</v>
      </c>
      <c r="U6" t="s">
        <v>12</v>
      </c>
      <c r="V6" t="s">
        <v>12</v>
      </c>
    </row>
    <row r="7" spans="1:22" x14ac:dyDescent="0.25">
      <c r="A7" t="s">
        <v>12</v>
      </c>
      <c r="B7" t="s">
        <v>12</v>
      </c>
      <c r="C7" t="s">
        <v>12</v>
      </c>
      <c r="D7" t="s">
        <v>12</v>
      </c>
      <c r="E7" t="s">
        <v>12</v>
      </c>
      <c r="F7" t="s">
        <v>12</v>
      </c>
      <c r="G7" s="1" t="s">
        <v>12</v>
      </c>
      <c r="H7" s="1" t="s">
        <v>12</v>
      </c>
      <c r="I7" s="18">
        <f>IF(OR(G7="",H7=""),"",MAX(1,H7-G7+1))</f>
      </c>
      <c r="J7" s="1" t="s">
        <v>12</v>
      </c>
      <c r="K7" s="1" t="s">
        <v>12</v>
      </c>
      <c r="L7" t="s">
        <v>12</v>
      </c>
      <c r="M7" t="s">
        <v>12</v>
      </c>
      <c r="N7" t="s">
        <v>12</v>
      </c>
      <c r="O7" t="s">
        <v>12</v>
      </c>
      <c r="P7" t="s">
        <v>12</v>
      </c>
      <c r="Q7" t="s">
        <v>12</v>
      </c>
      <c r="R7" t="s">
        <v>12</v>
      </c>
      <c r="S7" t="s">
        <v>12</v>
      </c>
      <c r="T7" t="s">
        <v>12</v>
      </c>
      <c r="U7" t="s">
        <v>12</v>
      </c>
      <c r="V7" t="s">
        <v>12</v>
      </c>
    </row>
    <row r="8" spans="1:22" x14ac:dyDescent="0.25">
      <c r="A8" t="s">
        <v>12</v>
      </c>
      <c r="B8" t="s">
        <v>12</v>
      </c>
      <c r="C8" t="s">
        <v>12</v>
      </c>
      <c r="D8" t="s">
        <v>12</v>
      </c>
      <c r="E8" t="s">
        <v>12</v>
      </c>
      <c r="F8" t="s">
        <v>12</v>
      </c>
      <c r="G8" s="1" t="s">
        <v>12</v>
      </c>
      <c r="H8" s="1" t="s">
        <v>12</v>
      </c>
      <c r="I8" s="18">
        <f>IF(OR(G8="",H8=""),"",MAX(1,H8-G8+1))</f>
      </c>
      <c r="J8" s="1" t="s">
        <v>12</v>
      </c>
      <c r="K8" s="1" t="s">
        <v>12</v>
      </c>
      <c r="L8" t="s">
        <v>12</v>
      </c>
      <c r="M8" t="s">
        <v>12</v>
      </c>
      <c r="N8" t="s">
        <v>12</v>
      </c>
      <c r="O8" t="s">
        <v>12</v>
      </c>
      <c r="P8" t="s">
        <v>12</v>
      </c>
      <c r="Q8" t="s">
        <v>12</v>
      </c>
      <c r="R8" t="s">
        <v>12</v>
      </c>
      <c r="S8" t="s">
        <v>12</v>
      </c>
      <c r="T8" t="s">
        <v>12</v>
      </c>
      <c r="U8" t="s">
        <v>12</v>
      </c>
      <c r="V8" t="s">
        <v>12</v>
      </c>
    </row>
    <row r="9" spans="1:22" x14ac:dyDescent="0.25">
      <c r="A9" t="s">
        <v>12</v>
      </c>
      <c r="B9" t="s">
        <v>12</v>
      </c>
      <c r="C9" t="s">
        <v>12</v>
      </c>
      <c r="D9" t="s">
        <v>12</v>
      </c>
      <c r="E9" t="s">
        <v>12</v>
      </c>
      <c r="F9" t="s">
        <v>12</v>
      </c>
      <c r="G9" s="1" t="s">
        <v>12</v>
      </c>
      <c r="H9" s="1" t="s">
        <v>12</v>
      </c>
      <c r="I9" s="18">
        <f>IF(OR(G9="",H9=""),"",MAX(1,H9-G9+1))</f>
      </c>
      <c r="J9" s="1" t="s">
        <v>12</v>
      </c>
      <c r="K9" s="1" t="s">
        <v>12</v>
      </c>
      <c r="L9" t="s">
        <v>12</v>
      </c>
      <c r="M9" t="s">
        <v>12</v>
      </c>
      <c r="N9" t="s">
        <v>12</v>
      </c>
      <c r="O9" t="s">
        <v>12</v>
      </c>
      <c r="P9" t="s">
        <v>12</v>
      </c>
      <c r="Q9" t="s">
        <v>12</v>
      </c>
      <c r="R9" t="s">
        <v>12</v>
      </c>
      <c r="S9" t="s">
        <v>12</v>
      </c>
      <c r="T9" t="s">
        <v>12</v>
      </c>
      <c r="U9" t="s">
        <v>12</v>
      </c>
      <c r="V9" t="s">
        <v>12</v>
      </c>
    </row>
    <row r="10" spans="1:22" x14ac:dyDescent="0.25">
      <c r="A10" t="s">
        <v>12</v>
      </c>
      <c r="B10" t="s">
        <v>12</v>
      </c>
      <c r="C10" t="s">
        <v>12</v>
      </c>
      <c r="D10" t="s">
        <v>12</v>
      </c>
      <c r="E10" t="s">
        <v>12</v>
      </c>
      <c r="F10" t="s">
        <v>12</v>
      </c>
      <c r="G10" s="1" t="s">
        <v>12</v>
      </c>
      <c r="H10" s="1" t="s">
        <v>12</v>
      </c>
      <c r="I10" s="18">
        <f>IF(OR(G10="",H10=""),"",MAX(1,H10-G10+1))</f>
      </c>
      <c r="J10" s="1" t="s">
        <v>12</v>
      </c>
      <c r="K10" s="1" t="s">
        <v>12</v>
      </c>
      <c r="L10" t="s">
        <v>12</v>
      </c>
      <c r="M10" t="s">
        <v>12</v>
      </c>
      <c r="N10" t="s">
        <v>12</v>
      </c>
      <c r="O10" t="s">
        <v>12</v>
      </c>
      <c r="P10" t="s">
        <v>12</v>
      </c>
      <c r="Q10" t="s">
        <v>12</v>
      </c>
      <c r="R10" t="s">
        <v>12</v>
      </c>
      <c r="S10" t="s">
        <v>12</v>
      </c>
      <c r="T10" t="s">
        <v>12</v>
      </c>
      <c r="U10" t="s">
        <v>12</v>
      </c>
      <c r="V10" t="s">
        <v>12</v>
      </c>
    </row>
    <row r="11" spans="1:22" x14ac:dyDescent="0.25">
      <c r="A11" t="s">
        <v>12</v>
      </c>
      <c r="B11" t="s">
        <v>12</v>
      </c>
      <c r="C11" t="s">
        <v>12</v>
      </c>
      <c r="D11" t="s">
        <v>12</v>
      </c>
      <c r="E11" t="s">
        <v>12</v>
      </c>
      <c r="F11" t="s">
        <v>12</v>
      </c>
      <c r="G11" s="1" t="s">
        <v>12</v>
      </c>
      <c r="H11" s="1" t="s">
        <v>12</v>
      </c>
      <c r="I11" s="18">
        <f>IF(OR(G11="",H11=""),"",MAX(1,H11-G11+1))</f>
      </c>
      <c r="J11" s="1" t="s">
        <v>12</v>
      </c>
      <c r="K11" s="1" t="s">
        <v>12</v>
      </c>
      <c r="L11" t="s">
        <v>12</v>
      </c>
      <c r="M11" t="s">
        <v>12</v>
      </c>
      <c r="N11" t="s">
        <v>12</v>
      </c>
      <c r="O11" t="s">
        <v>12</v>
      </c>
      <c r="P11" t="s">
        <v>12</v>
      </c>
      <c r="Q11" t="s">
        <v>12</v>
      </c>
      <c r="R11" t="s">
        <v>12</v>
      </c>
      <c r="S11" t="s">
        <v>12</v>
      </c>
      <c r="T11" t="s">
        <v>12</v>
      </c>
      <c r="U11" t="s">
        <v>12</v>
      </c>
      <c r="V11" t="s">
        <v>12</v>
      </c>
    </row>
    <row r="12" spans="1:22" x14ac:dyDescent="0.25">
      <c r="A12" t="s">
        <v>12</v>
      </c>
      <c r="B12" t="s">
        <v>12</v>
      </c>
      <c r="C12" t="s">
        <v>12</v>
      </c>
      <c r="D12" t="s">
        <v>12</v>
      </c>
      <c r="E12" t="s">
        <v>12</v>
      </c>
      <c r="F12" t="s">
        <v>12</v>
      </c>
      <c r="G12" s="1" t="s">
        <v>12</v>
      </c>
      <c r="H12" s="1" t="s">
        <v>12</v>
      </c>
      <c r="I12" s="18">
        <f>IF(OR(G12="",H12=""),"",MAX(1,H12-G12+1))</f>
      </c>
      <c r="J12" s="1" t="s">
        <v>12</v>
      </c>
      <c r="K12" s="1" t="s">
        <v>12</v>
      </c>
      <c r="L12" t="s">
        <v>12</v>
      </c>
      <c r="M12" t="s">
        <v>12</v>
      </c>
      <c r="N12" t="s">
        <v>12</v>
      </c>
      <c r="O12" t="s">
        <v>12</v>
      </c>
      <c r="P12" t="s">
        <v>12</v>
      </c>
      <c r="Q12" t="s">
        <v>12</v>
      </c>
      <c r="R12" t="s">
        <v>12</v>
      </c>
      <c r="S12" t="s">
        <v>12</v>
      </c>
      <c r="T12" t="s">
        <v>12</v>
      </c>
      <c r="U12" t="s">
        <v>12</v>
      </c>
      <c r="V12" t="s">
        <v>12</v>
      </c>
    </row>
    <row r="13" spans="1:22" x14ac:dyDescent="0.25">
      <c r="A13" t="s">
        <v>12</v>
      </c>
      <c r="B13" t="s">
        <v>12</v>
      </c>
      <c r="C13" t="s">
        <v>12</v>
      </c>
      <c r="D13" t="s">
        <v>12</v>
      </c>
      <c r="E13" t="s">
        <v>12</v>
      </c>
      <c r="F13" t="s">
        <v>12</v>
      </c>
      <c r="G13" s="1" t="s">
        <v>12</v>
      </c>
      <c r="H13" s="1" t="s">
        <v>12</v>
      </c>
      <c r="I13" s="18">
        <f>IF(OR(G13="",H13=""),"",MAX(1,H13-G13+1))</f>
      </c>
      <c r="J13" s="1" t="s">
        <v>12</v>
      </c>
      <c r="K13" s="1" t="s">
        <v>12</v>
      </c>
      <c r="L13" t="s">
        <v>12</v>
      </c>
      <c r="M13" t="s">
        <v>12</v>
      </c>
      <c r="N13" t="s">
        <v>12</v>
      </c>
      <c r="O13" t="s">
        <v>12</v>
      </c>
      <c r="P13" t="s">
        <v>12</v>
      </c>
      <c r="Q13" t="s">
        <v>12</v>
      </c>
      <c r="R13" t="s">
        <v>12</v>
      </c>
      <c r="S13" t="s">
        <v>12</v>
      </c>
      <c r="T13" t="s">
        <v>12</v>
      </c>
      <c r="U13" t="s">
        <v>12</v>
      </c>
      <c r="V13" t="s">
        <v>12</v>
      </c>
    </row>
    <row r="14" spans="1:22" x14ac:dyDescent="0.25">
      <c r="A14" t="s">
        <v>12</v>
      </c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s="1" t="s">
        <v>12</v>
      </c>
      <c r="H14" s="1" t="s">
        <v>12</v>
      </c>
      <c r="I14" s="18">
        <f>IF(OR(G14="",H14=""),"",MAX(1,H14-G14+1))</f>
      </c>
      <c r="J14" s="1" t="s">
        <v>12</v>
      </c>
      <c r="K14" s="1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</row>
    <row r="15" spans="1:22" x14ac:dyDescent="0.25">
      <c r="A15" t="s">
        <v>12</v>
      </c>
      <c r="B15" t="s">
        <v>12</v>
      </c>
      <c r="C15" t="s">
        <v>12</v>
      </c>
      <c r="D15" t="s">
        <v>12</v>
      </c>
      <c r="E15" t="s">
        <v>12</v>
      </c>
      <c r="F15" t="s">
        <v>12</v>
      </c>
      <c r="G15" s="1" t="s">
        <v>12</v>
      </c>
      <c r="H15" s="1" t="s">
        <v>12</v>
      </c>
      <c r="I15" s="18">
        <f>IF(OR(G15="",H15=""),"",MAX(1,H15-G15+1))</f>
      </c>
      <c r="J15" s="1" t="s">
        <v>12</v>
      </c>
      <c r="K15" s="1" t="s">
        <v>12</v>
      </c>
      <c r="L15" t="s">
        <v>12</v>
      </c>
      <c r="M15" t="s">
        <v>12</v>
      </c>
      <c r="N15" t="s">
        <v>12</v>
      </c>
      <c r="O15" t="s">
        <v>12</v>
      </c>
      <c r="P15" t="s">
        <v>12</v>
      </c>
      <c r="Q15" t="s">
        <v>12</v>
      </c>
      <c r="R15" t="s">
        <v>12</v>
      </c>
      <c r="S15" t="s">
        <v>12</v>
      </c>
      <c r="T15" t="s">
        <v>12</v>
      </c>
      <c r="U15" t="s">
        <v>12</v>
      </c>
      <c r="V15" t="s">
        <v>12</v>
      </c>
    </row>
    <row r="16" spans="1:22" x14ac:dyDescent="0.25">
      <c r="A16" t="s">
        <v>12</v>
      </c>
      <c r="B16" t="s">
        <v>12</v>
      </c>
      <c r="C16" t="s">
        <v>12</v>
      </c>
      <c r="D16" t="s">
        <v>12</v>
      </c>
      <c r="E16" t="s">
        <v>12</v>
      </c>
      <c r="F16" t="s">
        <v>12</v>
      </c>
      <c r="G16" s="1" t="s">
        <v>12</v>
      </c>
      <c r="H16" s="1" t="s">
        <v>12</v>
      </c>
      <c r="I16" s="18">
        <f>IF(OR(G16="",H16=""),"",MAX(1,H16-G16+1))</f>
      </c>
      <c r="J16" s="1" t="s">
        <v>12</v>
      </c>
      <c r="K16" s="1" t="s">
        <v>12</v>
      </c>
      <c r="L16" t="s">
        <v>12</v>
      </c>
      <c r="M16" t="s">
        <v>12</v>
      </c>
      <c r="N16" t="s">
        <v>12</v>
      </c>
      <c r="O16" t="s">
        <v>12</v>
      </c>
      <c r="P16" t="s">
        <v>12</v>
      </c>
      <c r="Q16" t="s">
        <v>12</v>
      </c>
      <c r="R16" t="s">
        <v>12</v>
      </c>
      <c r="S16" t="s">
        <v>12</v>
      </c>
      <c r="T16" t="s">
        <v>12</v>
      </c>
      <c r="U16" t="s">
        <v>12</v>
      </c>
      <c r="V16" t="s">
        <v>12</v>
      </c>
    </row>
    <row r="17" spans="1:22" x14ac:dyDescent="0.25">
      <c r="A17" t="s">
        <v>12</v>
      </c>
      <c r="B17" t="s">
        <v>12</v>
      </c>
      <c r="C17" t="s">
        <v>12</v>
      </c>
      <c r="D17" t="s">
        <v>12</v>
      </c>
      <c r="E17" t="s">
        <v>12</v>
      </c>
      <c r="F17" t="s">
        <v>12</v>
      </c>
      <c r="G17" s="1" t="s">
        <v>12</v>
      </c>
      <c r="H17" s="1" t="s">
        <v>12</v>
      </c>
      <c r="I17" s="18">
        <f>IF(OR(G17="",H17=""),"",MAX(1,H17-G17+1))</f>
      </c>
      <c r="J17" s="1" t="s">
        <v>12</v>
      </c>
      <c r="K17" s="1" t="s">
        <v>12</v>
      </c>
      <c r="L17" t="s">
        <v>12</v>
      </c>
      <c r="M17" t="s">
        <v>12</v>
      </c>
      <c r="N17" t="s">
        <v>12</v>
      </c>
      <c r="O17" t="s">
        <v>12</v>
      </c>
      <c r="P17" t="s">
        <v>12</v>
      </c>
      <c r="Q17" t="s">
        <v>12</v>
      </c>
      <c r="R17" t="s">
        <v>12</v>
      </c>
      <c r="S17" t="s">
        <v>12</v>
      </c>
      <c r="T17" t="s">
        <v>12</v>
      </c>
      <c r="U17" t="s">
        <v>12</v>
      </c>
      <c r="V17" t="s">
        <v>12</v>
      </c>
    </row>
    <row r="18" spans="1:22" x14ac:dyDescent="0.25">
      <c r="A18" t="s">
        <v>12</v>
      </c>
      <c r="B18" t="s">
        <v>12</v>
      </c>
      <c r="C18" t="s">
        <v>12</v>
      </c>
      <c r="D18" t="s">
        <v>12</v>
      </c>
      <c r="E18" t="s">
        <v>12</v>
      </c>
      <c r="F18" t="s">
        <v>12</v>
      </c>
      <c r="G18" s="1" t="s">
        <v>12</v>
      </c>
      <c r="H18" s="1" t="s">
        <v>12</v>
      </c>
      <c r="I18" s="18">
        <f>IF(OR(G18="",H18=""),"",MAX(1,H18-G18+1))</f>
      </c>
      <c r="J18" s="1" t="s">
        <v>12</v>
      </c>
      <c r="K18" s="1" t="s">
        <v>12</v>
      </c>
      <c r="L18" t="s">
        <v>12</v>
      </c>
      <c r="M18" t="s">
        <v>12</v>
      </c>
      <c r="N18" t="s">
        <v>12</v>
      </c>
      <c r="O18" t="s">
        <v>12</v>
      </c>
      <c r="P18" t="s">
        <v>12</v>
      </c>
      <c r="Q18" t="s">
        <v>12</v>
      </c>
      <c r="R18" t="s">
        <v>12</v>
      </c>
      <c r="S18" t="s">
        <v>12</v>
      </c>
      <c r="T18" t="s">
        <v>12</v>
      </c>
      <c r="U18" t="s">
        <v>12</v>
      </c>
      <c r="V18" t="s">
        <v>12</v>
      </c>
    </row>
    <row r="19" spans="1:22" x14ac:dyDescent="0.25">
      <c r="A19" t="s">
        <v>12</v>
      </c>
      <c r="B19" t="s">
        <v>12</v>
      </c>
      <c r="C19" t="s">
        <v>12</v>
      </c>
      <c r="D19" t="s">
        <v>12</v>
      </c>
      <c r="E19" t="s">
        <v>12</v>
      </c>
      <c r="F19" t="s">
        <v>12</v>
      </c>
      <c r="G19" s="1" t="s">
        <v>12</v>
      </c>
      <c r="H19" s="1" t="s">
        <v>12</v>
      </c>
      <c r="I19" s="18">
        <f>IF(OR(G19="",H19=""),"",MAX(1,H19-G19+1))</f>
      </c>
      <c r="J19" s="1" t="s">
        <v>12</v>
      </c>
      <c r="K19" s="1" t="s">
        <v>12</v>
      </c>
      <c r="L19" t="s">
        <v>12</v>
      </c>
      <c r="M19" t="s">
        <v>12</v>
      </c>
      <c r="N19" t="s">
        <v>12</v>
      </c>
      <c r="O19" t="s">
        <v>12</v>
      </c>
      <c r="P19" t="s">
        <v>12</v>
      </c>
      <c r="Q19" t="s">
        <v>12</v>
      </c>
      <c r="R19" t="s">
        <v>12</v>
      </c>
      <c r="S19" t="s">
        <v>12</v>
      </c>
      <c r="T19" t="s">
        <v>12</v>
      </c>
      <c r="U19" t="s">
        <v>12</v>
      </c>
      <c r="V19" t="s">
        <v>12</v>
      </c>
    </row>
    <row r="20" spans="1:22" x14ac:dyDescent="0.25">
      <c r="A20" t="s">
        <v>12</v>
      </c>
      <c r="B20" t="s">
        <v>12</v>
      </c>
      <c r="C20" t="s">
        <v>12</v>
      </c>
      <c r="D20" t="s">
        <v>12</v>
      </c>
      <c r="E20" t="s">
        <v>12</v>
      </c>
      <c r="F20" t="s">
        <v>12</v>
      </c>
      <c r="G20" s="1" t="s">
        <v>12</v>
      </c>
      <c r="H20" s="1" t="s">
        <v>12</v>
      </c>
      <c r="I20" s="18">
        <f>IF(OR(G20="",H20=""),"",MAX(1,H20-G20+1))</f>
      </c>
      <c r="J20" s="1" t="s">
        <v>12</v>
      </c>
      <c r="K20" s="1" t="s">
        <v>12</v>
      </c>
      <c r="L20" t="s">
        <v>12</v>
      </c>
      <c r="M20" t="s">
        <v>12</v>
      </c>
      <c r="N20" t="s">
        <v>12</v>
      </c>
      <c r="O20" t="s">
        <v>12</v>
      </c>
      <c r="P20" t="s">
        <v>12</v>
      </c>
      <c r="Q20" t="s">
        <v>12</v>
      </c>
      <c r="R20" t="s">
        <v>12</v>
      </c>
      <c r="S20" t="s">
        <v>12</v>
      </c>
      <c r="T20" t="s">
        <v>12</v>
      </c>
      <c r="U20" t="s">
        <v>12</v>
      </c>
      <c r="V20" t="s">
        <v>12</v>
      </c>
    </row>
    <row r="21" spans="1:22" x14ac:dyDescent="0.25">
      <c r="A21" t="s">
        <v>12</v>
      </c>
      <c r="B21" t="s">
        <v>12</v>
      </c>
      <c r="C21" t="s">
        <v>12</v>
      </c>
      <c r="D21" t="s">
        <v>12</v>
      </c>
      <c r="E21" t="s">
        <v>12</v>
      </c>
      <c r="F21" t="s">
        <v>12</v>
      </c>
      <c r="G21" s="1" t="s">
        <v>12</v>
      </c>
      <c r="H21" s="1" t="s">
        <v>12</v>
      </c>
      <c r="I21" s="18">
        <f>IF(OR(G21="",H21=""),"",MAX(1,H21-G21+1))</f>
      </c>
      <c r="J21" s="1" t="s">
        <v>12</v>
      </c>
      <c r="K21" s="1" t="s">
        <v>12</v>
      </c>
      <c r="L21" t="s">
        <v>12</v>
      </c>
      <c r="M21" t="s">
        <v>12</v>
      </c>
      <c r="N21" t="s">
        <v>12</v>
      </c>
      <c r="O21" t="s">
        <v>12</v>
      </c>
      <c r="P21" t="s">
        <v>12</v>
      </c>
      <c r="Q21" t="s">
        <v>12</v>
      </c>
      <c r="R21" t="s">
        <v>12</v>
      </c>
      <c r="S21" t="s">
        <v>12</v>
      </c>
      <c r="T21" t="s">
        <v>12</v>
      </c>
      <c r="U21" t="s">
        <v>12</v>
      </c>
      <c r="V21" t="s">
        <v>12</v>
      </c>
    </row>
    <row r="22" spans="1:22" x14ac:dyDescent="0.25">
      <c r="A22" t="s">
        <v>12</v>
      </c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s="1" t="s">
        <v>12</v>
      </c>
      <c r="H22" s="1" t="s">
        <v>12</v>
      </c>
      <c r="I22" s="18">
        <f>IF(OR(G22="",H22=""),"",MAX(1,H22-G22+1))</f>
      </c>
      <c r="J22" s="1" t="s">
        <v>12</v>
      </c>
      <c r="K22" s="1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</row>
    <row r="23" spans="1:22" x14ac:dyDescent="0.25">
      <c r="A23" t="s">
        <v>12</v>
      </c>
      <c r="B23" t="s">
        <v>12</v>
      </c>
      <c r="C23" t="s">
        <v>12</v>
      </c>
      <c r="D23" t="s">
        <v>12</v>
      </c>
      <c r="E23" t="s">
        <v>12</v>
      </c>
      <c r="F23" t="s">
        <v>12</v>
      </c>
      <c r="G23" s="1" t="s">
        <v>12</v>
      </c>
      <c r="H23" s="1" t="s">
        <v>12</v>
      </c>
      <c r="I23" s="18">
        <f>IF(OR(G23="",H23=""),"",MAX(1,H23-G23+1))</f>
      </c>
      <c r="J23" s="1" t="s">
        <v>12</v>
      </c>
      <c r="K23" s="1" t="s">
        <v>12</v>
      </c>
      <c r="L23" t="s">
        <v>12</v>
      </c>
      <c r="M23" t="s">
        <v>12</v>
      </c>
      <c r="N23" t="s">
        <v>12</v>
      </c>
      <c r="O23" t="s">
        <v>12</v>
      </c>
      <c r="P23" t="s">
        <v>12</v>
      </c>
      <c r="Q23" t="s">
        <v>12</v>
      </c>
      <c r="R23" t="s">
        <v>12</v>
      </c>
      <c r="S23" t="s">
        <v>12</v>
      </c>
      <c r="T23" t="s">
        <v>12</v>
      </c>
      <c r="U23" t="s">
        <v>12</v>
      </c>
      <c r="V23" t="s">
        <v>12</v>
      </c>
    </row>
    <row r="24" spans="1:22" x14ac:dyDescent="0.25">
      <c r="A24" t="s">
        <v>12</v>
      </c>
      <c r="B24" t="s">
        <v>12</v>
      </c>
      <c r="C24" t="s">
        <v>12</v>
      </c>
      <c r="D24" t="s">
        <v>12</v>
      </c>
      <c r="E24" t="s">
        <v>12</v>
      </c>
      <c r="F24" t="s">
        <v>12</v>
      </c>
      <c r="G24" s="1" t="s">
        <v>12</v>
      </c>
      <c r="H24" s="1" t="s">
        <v>12</v>
      </c>
      <c r="I24" s="18">
        <f>IF(OR(G24="",H24=""),"",MAX(1,H24-G24+1))</f>
      </c>
      <c r="J24" s="1" t="s">
        <v>12</v>
      </c>
      <c r="K24" s="1" t="s">
        <v>12</v>
      </c>
      <c r="L24" t="s">
        <v>12</v>
      </c>
      <c r="M24" t="s">
        <v>12</v>
      </c>
      <c r="N24" t="s">
        <v>12</v>
      </c>
      <c r="O24" t="s">
        <v>12</v>
      </c>
      <c r="P24" t="s">
        <v>12</v>
      </c>
      <c r="Q24" t="s">
        <v>12</v>
      </c>
      <c r="R24" t="s">
        <v>12</v>
      </c>
      <c r="S24" t="s">
        <v>12</v>
      </c>
      <c r="T24" t="s">
        <v>12</v>
      </c>
      <c r="U24" t="s">
        <v>12</v>
      </c>
      <c r="V24" t="s">
        <v>12</v>
      </c>
    </row>
    <row r="25" spans="1:22" x14ac:dyDescent="0.25">
      <c r="A25" t="s">
        <v>12</v>
      </c>
      <c r="B25" t="s">
        <v>12</v>
      </c>
      <c r="C25" t="s">
        <v>12</v>
      </c>
      <c r="D25" t="s">
        <v>12</v>
      </c>
      <c r="E25" t="s">
        <v>12</v>
      </c>
      <c r="F25" t="s">
        <v>12</v>
      </c>
      <c r="G25" s="1" t="s">
        <v>12</v>
      </c>
      <c r="H25" s="1" t="s">
        <v>12</v>
      </c>
      <c r="I25" s="18">
        <f>IF(OR(G25="",H25=""),"",MAX(1,H25-G25+1))</f>
      </c>
      <c r="J25" s="1" t="s">
        <v>12</v>
      </c>
      <c r="K25" s="1" t="s">
        <v>12</v>
      </c>
      <c r="L25" t="s">
        <v>12</v>
      </c>
      <c r="M25" t="s">
        <v>12</v>
      </c>
      <c r="N25" t="s">
        <v>12</v>
      </c>
      <c r="O25" t="s">
        <v>12</v>
      </c>
      <c r="P25" t="s">
        <v>12</v>
      </c>
      <c r="Q25" t="s">
        <v>12</v>
      </c>
      <c r="R25" t="s">
        <v>12</v>
      </c>
      <c r="S25" t="s">
        <v>12</v>
      </c>
      <c r="T25" t="s">
        <v>12</v>
      </c>
      <c r="U25" t="s">
        <v>12</v>
      </c>
      <c r="V25" t="s">
        <v>12</v>
      </c>
    </row>
    <row r="26" spans="1:22" x14ac:dyDescent="0.25">
      <c r="A26" t="s">
        <v>12</v>
      </c>
      <c r="B26" t="s">
        <v>12</v>
      </c>
      <c r="C26" t="s">
        <v>12</v>
      </c>
      <c r="D26" t="s">
        <v>12</v>
      </c>
      <c r="E26" t="s">
        <v>12</v>
      </c>
      <c r="F26" t="s">
        <v>12</v>
      </c>
      <c r="G26" s="1" t="s">
        <v>12</v>
      </c>
      <c r="H26" s="1" t="s">
        <v>12</v>
      </c>
      <c r="I26" s="18">
        <f>IF(OR(G26="",H26=""),"",MAX(1,H26-G26+1))</f>
      </c>
      <c r="J26" s="1" t="s">
        <v>12</v>
      </c>
      <c r="K26" s="1" t="s">
        <v>12</v>
      </c>
      <c r="L26" t="s">
        <v>12</v>
      </c>
      <c r="M26" t="s">
        <v>12</v>
      </c>
      <c r="N26" t="s">
        <v>12</v>
      </c>
      <c r="O26" t="s">
        <v>12</v>
      </c>
      <c r="P26" t="s">
        <v>12</v>
      </c>
      <c r="Q26" t="s">
        <v>12</v>
      </c>
      <c r="R26" t="s">
        <v>12</v>
      </c>
      <c r="S26" t="s">
        <v>12</v>
      </c>
      <c r="T26" t="s">
        <v>12</v>
      </c>
      <c r="U26" t="s">
        <v>12</v>
      </c>
      <c r="V26" t="s">
        <v>12</v>
      </c>
    </row>
    <row r="27" spans="1:22" x14ac:dyDescent="0.25">
      <c r="A27" t="s">
        <v>12</v>
      </c>
      <c r="B27" t="s">
        <v>12</v>
      </c>
      <c r="C27" t="s">
        <v>12</v>
      </c>
      <c r="D27" t="s">
        <v>12</v>
      </c>
      <c r="E27" t="s">
        <v>12</v>
      </c>
      <c r="F27" t="s">
        <v>12</v>
      </c>
      <c r="G27" s="1" t="s">
        <v>12</v>
      </c>
      <c r="H27" s="1" t="s">
        <v>12</v>
      </c>
      <c r="I27" s="18">
        <f>IF(OR(G27="",H27=""),"",MAX(1,H27-G27+1))</f>
      </c>
      <c r="J27" s="1" t="s">
        <v>12</v>
      </c>
      <c r="K27" s="1" t="s">
        <v>12</v>
      </c>
      <c r="L27" t="s">
        <v>12</v>
      </c>
      <c r="M27" t="s">
        <v>12</v>
      </c>
      <c r="N27" t="s">
        <v>12</v>
      </c>
      <c r="O27" t="s">
        <v>12</v>
      </c>
      <c r="P27" t="s">
        <v>12</v>
      </c>
      <c r="Q27" t="s">
        <v>12</v>
      </c>
      <c r="R27" t="s">
        <v>12</v>
      </c>
      <c r="S27" t="s">
        <v>12</v>
      </c>
      <c r="T27" t="s">
        <v>12</v>
      </c>
      <c r="U27" t="s">
        <v>12</v>
      </c>
      <c r="V27" t="s">
        <v>12</v>
      </c>
    </row>
    <row r="28" spans="1:22" x14ac:dyDescent="0.25">
      <c r="A28" t="s">
        <v>12</v>
      </c>
      <c r="B28" t="s">
        <v>12</v>
      </c>
      <c r="C28" t="s">
        <v>12</v>
      </c>
      <c r="D28" t="s">
        <v>12</v>
      </c>
      <c r="E28" t="s">
        <v>12</v>
      </c>
      <c r="F28" t="s">
        <v>12</v>
      </c>
      <c r="G28" s="1" t="s">
        <v>12</v>
      </c>
      <c r="H28" s="1" t="s">
        <v>12</v>
      </c>
      <c r="I28" s="18">
        <f>IF(OR(G28="",H28=""),"",MAX(1,H28-G28+1))</f>
      </c>
      <c r="J28" s="1" t="s">
        <v>12</v>
      </c>
      <c r="K28" s="1" t="s">
        <v>12</v>
      </c>
      <c r="L28" t="s">
        <v>12</v>
      </c>
      <c r="M28" t="s">
        <v>12</v>
      </c>
      <c r="N28" t="s">
        <v>12</v>
      </c>
      <c r="O28" t="s">
        <v>12</v>
      </c>
      <c r="P28" t="s">
        <v>12</v>
      </c>
      <c r="Q28" t="s">
        <v>12</v>
      </c>
      <c r="R28" t="s">
        <v>12</v>
      </c>
      <c r="S28" t="s">
        <v>12</v>
      </c>
      <c r="T28" t="s">
        <v>12</v>
      </c>
      <c r="U28" t="s">
        <v>12</v>
      </c>
      <c r="V28" t="s">
        <v>12</v>
      </c>
    </row>
    <row r="29" spans="1:22" x14ac:dyDescent="0.25">
      <c r="A29" t="s">
        <v>12</v>
      </c>
      <c r="B29" t="s">
        <v>12</v>
      </c>
      <c r="C29" t="s">
        <v>12</v>
      </c>
      <c r="D29" t="s">
        <v>12</v>
      </c>
      <c r="E29" t="s">
        <v>12</v>
      </c>
      <c r="F29" t="s">
        <v>12</v>
      </c>
      <c r="G29" s="1" t="s">
        <v>12</v>
      </c>
      <c r="H29" s="1" t="s">
        <v>12</v>
      </c>
      <c r="I29" s="18">
        <f>IF(OR(G29="",H29=""),"",MAX(1,H29-G29+1))</f>
      </c>
      <c r="J29" s="1" t="s">
        <v>12</v>
      </c>
      <c r="K29" s="1" t="s">
        <v>12</v>
      </c>
      <c r="L29" t="s">
        <v>12</v>
      </c>
      <c r="M29" t="s">
        <v>12</v>
      </c>
      <c r="N29" t="s">
        <v>12</v>
      </c>
      <c r="O29" t="s">
        <v>12</v>
      </c>
      <c r="P29" t="s">
        <v>12</v>
      </c>
      <c r="Q29" t="s">
        <v>12</v>
      </c>
      <c r="R29" t="s">
        <v>12</v>
      </c>
      <c r="S29" t="s">
        <v>12</v>
      </c>
      <c r="T29" t="s">
        <v>12</v>
      </c>
      <c r="U29" t="s">
        <v>12</v>
      </c>
      <c r="V29" t="s">
        <v>12</v>
      </c>
    </row>
    <row r="30" spans="1:22" x14ac:dyDescent="0.25">
      <c r="A30" t="s">
        <v>12</v>
      </c>
      <c r="B30" t="s">
        <v>12</v>
      </c>
      <c r="C30" t="s">
        <v>12</v>
      </c>
      <c r="D30" t="s">
        <v>12</v>
      </c>
      <c r="E30" t="s">
        <v>12</v>
      </c>
      <c r="F30" t="s">
        <v>12</v>
      </c>
      <c r="G30" s="1" t="s">
        <v>12</v>
      </c>
      <c r="H30" s="1" t="s">
        <v>12</v>
      </c>
      <c r="I30" s="18">
        <f>IF(OR(G30="",H30=""),"",MAX(1,H30-G30+1))</f>
      </c>
      <c r="J30" s="1" t="s">
        <v>12</v>
      </c>
      <c r="K30" s="1" t="s">
        <v>12</v>
      </c>
      <c r="L30" t="s">
        <v>12</v>
      </c>
      <c r="M30" t="s">
        <v>12</v>
      </c>
      <c r="N30" t="s">
        <v>12</v>
      </c>
      <c r="O30" t="s">
        <v>12</v>
      </c>
      <c r="P30" t="s">
        <v>12</v>
      </c>
      <c r="Q30" t="s">
        <v>12</v>
      </c>
      <c r="R30" t="s">
        <v>12</v>
      </c>
      <c r="S30" t="s">
        <v>12</v>
      </c>
      <c r="T30" t="s">
        <v>12</v>
      </c>
      <c r="U30" t="s">
        <v>12</v>
      </c>
      <c r="V30" t="s">
        <v>12</v>
      </c>
    </row>
    <row r="31" spans="1:22" x14ac:dyDescent="0.25">
      <c r="A31" t="s">
        <v>12</v>
      </c>
      <c r="B31" t="s">
        <v>12</v>
      </c>
      <c r="C31" t="s">
        <v>12</v>
      </c>
      <c r="D31" t="s">
        <v>12</v>
      </c>
      <c r="E31" t="s">
        <v>12</v>
      </c>
      <c r="F31" t="s">
        <v>12</v>
      </c>
      <c r="G31" s="1" t="s">
        <v>12</v>
      </c>
      <c r="H31" s="1" t="s">
        <v>12</v>
      </c>
      <c r="I31" s="18">
        <f>IF(OR(G31="",H31=""),"",MAX(1,H31-G31+1))</f>
      </c>
      <c r="J31" s="1" t="s">
        <v>12</v>
      </c>
      <c r="K31" s="1" t="s">
        <v>12</v>
      </c>
      <c r="L31" t="s">
        <v>12</v>
      </c>
      <c r="M31" t="s">
        <v>12</v>
      </c>
      <c r="N31" t="s">
        <v>12</v>
      </c>
      <c r="O31" t="s">
        <v>12</v>
      </c>
      <c r="P31" t="s">
        <v>12</v>
      </c>
      <c r="Q31" t="s">
        <v>12</v>
      </c>
      <c r="R31" t="s">
        <v>12</v>
      </c>
      <c r="S31" t="s">
        <v>12</v>
      </c>
      <c r="T31" t="s">
        <v>12</v>
      </c>
      <c r="U31" t="s">
        <v>12</v>
      </c>
      <c r="V31" t="s">
        <v>12</v>
      </c>
    </row>
    <row r="32" spans="1:22" x14ac:dyDescent="0.25">
      <c r="A32" t="s">
        <v>12</v>
      </c>
      <c r="B32" t="s">
        <v>12</v>
      </c>
      <c r="C32" t="s">
        <v>12</v>
      </c>
      <c r="D32" t="s">
        <v>12</v>
      </c>
      <c r="E32" t="s">
        <v>12</v>
      </c>
      <c r="F32" t="s">
        <v>12</v>
      </c>
      <c r="G32" s="1" t="s">
        <v>12</v>
      </c>
      <c r="H32" s="1" t="s">
        <v>12</v>
      </c>
      <c r="I32" s="18">
        <f>IF(OR(G32="",H32=""),"",MAX(1,H32-G32+1))</f>
      </c>
      <c r="J32" s="1" t="s">
        <v>12</v>
      </c>
      <c r="K32" s="1" t="s">
        <v>12</v>
      </c>
      <c r="L32" t="s">
        <v>12</v>
      </c>
      <c r="M32" t="s">
        <v>12</v>
      </c>
      <c r="N32" t="s">
        <v>12</v>
      </c>
      <c r="O32" t="s">
        <v>12</v>
      </c>
      <c r="P32" t="s">
        <v>12</v>
      </c>
      <c r="Q32" t="s">
        <v>12</v>
      </c>
      <c r="R32" t="s">
        <v>12</v>
      </c>
      <c r="S32" t="s">
        <v>12</v>
      </c>
      <c r="T32" t="s">
        <v>12</v>
      </c>
      <c r="U32" t="s">
        <v>12</v>
      </c>
      <c r="V32" t="s">
        <v>12</v>
      </c>
    </row>
    <row r="33" spans="1:22" x14ac:dyDescent="0.25">
      <c r="A33" t="s">
        <v>12</v>
      </c>
      <c r="B33" t="s">
        <v>12</v>
      </c>
      <c r="C33" t="s">
        <v>12</v>
      </c>
      <c r="D33" t="s">
        <v>12</v>
      </c>
      <c r="E33" t="s">
        <v>12</v>
      </c>
      <c r="F33" t="s">
        <v>12</v>
      </c>
      <c r="G33" s="1" t="s">
        <v>12</v>
      </c>
      <c r="H33" s="1" t="s">
        <v>12</v>
      </c>
      <c r="I33" s="18">
        <f>IF(OR(G33="",H33=""),"",MAX(1,H33-G33+1))</f>
      </c>
      <c r="J33" s="1" t="s">
        <v>12</v>
      </c>
      <c r="K33" s="1" t="s">
        <v>12</v>
      </c>
      <c r="L33" t="s">
        <v>12</v>
      </c>
      <c r="M33" t="s">
        <v>12</v>
      </c>
      <c r="N33" t="s">
        <v>12</v>
      </c>
      <c r="O33" t="s">
        <v>12</v>
      </c>
      <c r="P33" t="s">
        <v>12</v>
      </c>
      <c r="Q33" t="s">
        <v>12</v>
      </c>
      <c r="R33" t="s">
        <v>12</v>
      </c>
      <c r="S33" t="s">
        <v>12</v>
      </c>
      <c r="T33" t="s">
        <v>12</v>
      </c>
      <c r="U33" t="s">
        <v>12</v>
      </c>
      <c r="V33" t="s">
        <v>12</v>
      </c>
    </row>
  </sheetData>
  <mergeCells count="1">
    <mergeCell ref="A1:V1"/>
  </mergeCells>
  <conditionalFormatting sqref="A4:V1000">
    <cfRule type="expression" dxfId="0" priority="1">
      <formula>OR(LOWER($F4)="bloqué",LOWER($L4)="oui")</formula>
    </cfRule>
    <cfRule type="expression" dxfId="1" priority="2">
      <formula>LOWER($U4)="oui"</formula>
    </cfRule>
    <cfRule type="expression" dxfId="2" priority="3">
      <formula>AND($S4&lt;&gt;"",LOWER($S4)&lt;&gt;"tranchée",LOWER($S4)&lt;&gt;"sans objet")</formula>
    </cfRule>
  </conditionalFormatting>
  <dataValidations count="8">
    <dataValidation type="list" allowBlank="1" showErrorMessage="1" sqref="F4:F1000">
      <formula1>"à instruire,prêt à décider,bloqué,en exécution,clos,non réouvrable"</formula1>
    </dataValidation>
    <dataValidation type="list" allowBlank="1" showErrorMessage="1" sqref="L4:L1000">
      <formula1>"oui,non"</formula1>
    </dataValidation>
    <dataValidation type="list" allowBlank="1" showErrorMessage="1" sqref="N4:N1000">
      <formula1>"oui,non"</formula1>
    </dataValidation>
    <dataValidation type="list" allowBlank="1" showErrorMessage="1" sqref="Q4:Q1000">
      <formula1>"faible,moyenne,haute,critique"</formula1>
    </dataValidation>
    <dataValidation type="list" allowBlank="1" showErrorMessage="1" sqref="R4:R1000">
      <formula1>"faible,moyenne,forte"</formula1>
    </dataValidation>
    <dataValidation type="list" allowBlank="1" showErrorMessage="1" sqref="S4:S1000">
      <formula1>"ouverte,tranchée,sans objet"</formula1>
    </dataValidation>
    <dataValidation type="list" allowBlank="1" showErrorMessage="1" sqref="U4:U1000">
      <formula1>"oui,non"</formula1>
    </dataValidation>
    <dataValidation type="list" allowBlank="1" showErrorMessage="1" sqref="V4:V1000">
      <formula1>"oui,non"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30" customWidth="1"/>
    <col min="3" max="3" width="38" customWidth="1"/>
    <col min="4" max="5" width="18" customWidth="1"/>
    <col min="6" max="6" width="16" customWidth="1"/>
    <col min="7" max="7" width="14" customWidth="1"/>
    <col min="8" max="8" width="16" customWidth="1"/>
    <col min="9" max="9" width="18" customWidth="1"/>
    <col min="10" max="10" width="36" customWidth="1"/>
  </cols>
  <sheetData>
    <row r="1" spans="1:10" x14ac:dyDescent="0.25">
      <c r="A1" s="2" t="s">
        <v>66</v>
      </c>
      <c r="B1" s="2"/>
      <c r="C1" s="2"/>
      <c r="D1" s="2"/>
      <c r="E1" s="2"/>
      <c r="F1" s="2"/>
      <c r="G1" s="2"/>
      <c r="H1" s="2"/>
      <c r="I1" s="2"/>
      <c r="J1" s="2"/>
    </row>
    <row r="2" spans="1:1" x14ac:dyDescent="0.25">
      <c r="A2" s="20" t="s">
        <v>67</v>
      </c>
    </row>
    <row r="3" spans="1:10" x14ac:dyDescent="0.25">
      <c r="A3" s="1" t="s">
        <v>68</v>
      </c>
      <c r="B3" t="s">
        <v>46</v>
      </c>
      <c r="C3" t="s">
        <v>69</v>
      </c>
      <c r="D3" t="s">
        <v>70</v>
      </c>
      <c r="E3" t="s">
        <v>49</v>
      </c>
      <c r="F3" t="s">
        <v>71</v>
      </c>
      <c r="G3" t="s">
        <v>72</v>
      </c>
      <c r="H3" t="s">
        <v>73</v>
      </c>
      <c r="I3" t="s">
        <v>74</v>
      </c>
      <c r="J3" t="s">
        <v>75</v>
      </c>
    </row>
    <row r="4" spans="1:10" x14ac:dyDescent="0.25">
      <c r="A4" s="1" t="s">
        <v>12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</row>
    <row r="5" spans="1:10" x14ac:dyDescent="0.25">
      <c r="A5" s="1" t="s">
        <v>12</v>
      </c>
      <c r="B5" t="s">
        <v>12</v>
      </c>
      <c r="C5" t="s">
        <v>12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</row>
    <row r="6" spans="1:10" x14ac:dyDescent="0.25">
      <c r="A6" s="1" t="s">
        <v>12</v>
      </c>
      <c r="B6" t="s">
        <v>12</v>
      </c>
      <c r="C6" t="s">
        <v>12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</row>
    <row r="7" spans="1:10" x14ac:dyDescent="0.25">
      <c r="A7" s="1" t="s">
        <v>12</v>
      </c>
      <c r="B7" t="s">
        <v>12</v>
      </c>
      <c r="C7" t="s">
        <v>12</v>
      </c>
      <c r="D7" t="s">
        <v>12</v>
      </c>
      <c r="E7" t="s">
        <v>12</v>
      </c>
      <c r="F7" t="s">
        <v>12</v>
      </c>
      <c r="G7" t="s">
        <v>12</v>
      </c>
      <c r="H7" t="s">
        <v>12</v>
      </c>
      <c r="I7" t="s">
        <v>12</v>
      </c>
      <c r="J7" t="s">
        <v>12</v>
      </c>
    </row>
    <row r="8" spans="1:10" x14ac:dyDescent="0.25">
      <c r="A8" s="1" t="s">
        <v>12</v>
      </c>
      <c r="B8" t="s">
        <v>12</v>
      </c>
      <c r="C8" t="s">
        <v>12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 t="s">
        <v>12</v>
      </c>
    </row>
    <row r="9" spans="1:10" x14ac:dyDescent="0.25">
      <c r="A9" s="1" t="s">
        <v>12</v>
      </c>
      <c r="B9" t="s">
        <v>12</v>
      </c>
      <c r="C9" t="s">
        <v>12</v>
      </c>
      <c r="D9" t="s">
        <v>12</v>
      </c>
      <c r="E9" t="s">
        <v>12</v>
      </c>
      <c r="F9" t="s">
        <v>12</v>
      </c>
      <c r="G9" t="s">
        <v>12</v>
      </c>
      <c r="H9" t="s">
        <v>12</v>
      </c>
      <c r="I9" t="s">
        <v>12</v>
      </c>
      <c r="J9" t="s">
        <v>12</v>
      </c>
    </row>
    <row r="10" spans="1:10" x14ac:dyDescent="0.25">
      <c r="A10" s="1" t="s">
        <v>12</v>
      </c>
      <c r="B10" t="s">
        <v>12</v>
      </c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</row>
    <row r="11" spans="1:10" x14ac:dyDescent="0.25">
      <c r="A11" s="1" t="s">
        <v>12</v>
      </c>
      <c r="B11" t="s">
        <v>12</v>
      </c>
      <c r="C11" t="s">
        <v>12</v>
      </c>
      <c r="D11" t="s">
        <v>12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  <c r="J11" t="s">
        <v>12</v>
      </c>
    </row>
    <row r="12" spans="1:10" x14ac:dyDescent="0.25">
      <c r="A12" s="1" t="s">
        <v>12</v>
      </c>
      <c r="B12" t="s">
        <v>12</v>
      </c>
      <c r="C12" t="s">
        <v>12</v>
      </c>
      <c r="D12" t="s">
        <v>12</v>
      </c>
      <c r="E12" t="s">
        <v>12</v>
      </c>
      <c r="F12" t="s">
        <v>12</v>
      </c>
      <c r="G12" t="s">
        <v>12</v>
      </c>
      <c r="H12" t="s">
        <v>12</v>
      </c>
      <c r="I12" t="s">
        <v>12</v>
      </c>
      <c r="J12" t="s">
        <v>12</v>
      </c>
    </row>
    <row r="13" spans="1:10" x14ac:dyDescent="0.25">
      <c r="A13" s="1" t="s">
        <v>12</v>
      </c>
      <c r="B13" t="s">
        <v>12</v>
      </c>
      <c r="C13" t="s">
        <v>12</v>
      </c>
      <c r="D13" t="s">
        <v>12</v>
      </c>
      <c r="E13" t="s">
        <v>12</v>
      </c>
      <c r="F13" t="s">
        <v>12</v>
      </c>
      <c r="G13" t="s">
        <v>12</v>
      </c>
      <c r="H13" t="s">
        <v>12</v>
      </c>
      <c r="I13" t="s">
        <v>12</v>
      </c>
      <c r="J13" t="s">
        <v>12</v>
      </c>
    </row>
    <row r="14" spans="1:10" x14ac:dyDescent="0.25">
      <c r="A14" s="1" t="s">
        <v>12</v>
      </c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</row>
    <row r="15" spans="1:10" x14ac:dyDescent="0.25">
      <c r="A15" s="1" t="s">
        <v>12</v>
      </c>
      <c r="B15" t="s">
        <v>12</v>
      </c>
      <c r="C15" t="s">
        <v>12</v>
      </c>
      <c r="D15" t="s">
        <v>12</v>
      </c>
      <c r="E15" t="s">
        <v>12</v>
      </c>
      <c r="F15" t="s">
        <v>12</v>
      </c>
      <c r="G15" t="s">
        <v>12</v>
      </c>
      <c r="H15" t="s">
        <v>12</v>
      </c>
      <c r="I15" t="s">
        <v>12</v>
      </c>
      <c r="J15" t="s">
        <v>12</v>
      </c>
    </row>
    <row r="16" spans="1:10" x14ac:dyDescent="0.25">
      <c r="A16" s="1" t="s">
        <v>12</v>
      </c>
      <c r="B16" t="s">
        <v>12</v>
      </c>
      <c r="C16" t="s">
        <v>12</v>
      </c>
      <c r="D16" t="s">
        <v>12</v>
      </c>
      <c r="E16" t="s">
        <v>12</v>
      </c>
      <c r="F16" t="s">
        <v>12</v>
      </c>
      <c r="G16" t="s">
        <v>12</v>
      </c>
      <c r="H16" t="s">
        <v>12</v>
      </c>
      <c r="I16" t="s">
        <v>12</v>
      </c>
      <c r="J16" t="s">
        <v>12</v>
      </c>
    </row>
    <row r="17" spans="1:10" x14ac:dyDescent="0.25">
      <c r="A17" s="1" t="s">
        <v>12</v>
      </c>
      <c r="B17" t="s">
        <v>12</v>
      </c>
      <c r="C17" t="s">
        <v>12</v>
      </c>
      <c r="D17" t="s">
        <v>12</v>
      </c>
      <c r="E17" t="s">
        <v>12</v>
      </c>
      <c r="F17" t="s">
        <v>12</v>
      </c>
      <c r="G17" t="s">
        <v>12</v>
      </c>
      <c r="H17" t="s">
        <v>12</v>
      </c>
      <c r="I17" t="s">
        <v>12</v>
      </c>
      <c r="J17" t="s">
        <v>12</v>
      </c>
    </row>
    <row r="18" spans="1:10" x14ac:dyDescent="0.25">
      <c r="A18" s="1" t="s">
        <v>12</v>
      </c>
      <c r="B18" t="s">
        <v>12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</row>
    <row r="19" spans="1:10" x14ac:dyDescent="0.25">
      <c r="A19" s="1" t="s">
        <v>12</v>
      </c>
      <c r="B19" t="s">
        <v>12</v>
      </c>
      <c r="C19" t="s">
        <v>12</v>
      </c>
      <c r="D19" t="s">
        <v>12</v>
      </c>
      <c r="E19" t="s">
        <v>12</v>
      </c>
      <c r="F19" t="s">
        <v>12</v>
      </c>
      <c r="G19" t="s">
        <v>12</v>
      </c>
      <c r="H19" t="s">
        <v>12</v>
      </c>
      <c r="I19" t="s">
        <v>12</v>
      </c>
      <c r="J19" t="s">
        <v>12</v>
      </c>
    </row>
    <row r="20" spans="1:10" x14ac:dyDescent="0.25">
      <c r="A20" s="1" t="s">
        <v>12</v>
      </c>
      <c r="B20" t="s">
        <v>12</v>
      </c>
      <c r="C20" t="s">
        <v>12</v>
      </c>
      <c r="D20" t="s">
        <v>12</v>
      </c>
      <c r="E20" t="s">
        <v>12</v>
      </c>
      <c r="F20" t="s">
        <v>12</v>
      </c>
      <c r="G20" t="s">
        <v>12</v>
      </c>
      <c r="H20" t="s">
        <v>12</v>
      </c>
      <c r="I20" t="s">
        <v>12</v>
      </c>
      <c r="J20" t="s">
        <v>12</v>
      </c>
    </row>
    <row r="21" spans="1:10" x14ac:dyDescent="0.25">
      <c r="A21" s="1" t="s">
        <v>12</v>
      </c>
      <c r="B21" t="s">
        <v>12</v>
      </c>
      <c r="C21" t="s">
        <v>12</v>
      </c>
      <c r="D21" t="s">
        <v>12</v>
      </c>
      <c r="E21" t="s">
        <v>12</v>
      </c>
      <c r="F21" t="s">
        <v>12</v>
      </c>
      <c r="G21" t="s">
        <v>12</v>
      </c>
      <c r="H21" t="s">
        <v>12</v>
      </c>
      <c r="I21" t="s">
        <v>12</v>
      </c>
      <c r="J21" t="s">
        <v>12</v>
      </c>
    </row>
    <row r="22" spans="1:10" x14ac:dyDescent="0.25">
      <c r="A22" s="1" t="s">
        <v>12</v>
      </c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</row>
    <row r="23" spans="1:10" x14ac:dyDescent="0.25">
      <c r="A23" s="1" t="s">
        <v>12</v>
      </c>
      <c r="B23" t="s">
        <v>12</v>
      </c>
      <c r="C23" t="s">
        <v>12</v>
      </c>
      <c r="D23" t="s">
        <v>12</v>
      </c>
      <c r="E23" t="s">
        <v>12</v>
      </c>
      <c r="F23" t="s">
        <v>12</v>
      </c>
      <c r="G23" t="s">
        <v>12</v>
      </c>
      <c r="H23" t="s">
        <v>12</v>
      </c>
      <c r="I23" t="s">
        <v>12</v>
      </c>
      <c r="J23" t="s">
        <v>12</v>
      </c>
    </row>
  </sheetData>
  <mergeCells count="1">
    <mergeCell ref="A1:J1"/>
  </mergeCells>
  <dataValidations count="2">
    <dataValidation type="list" allowBlank="1" showErrorMessage="1" sqref="D4:D1000">
      <formula1>"arbitrage,go/no-go,repriorisation,budget,sécurité,conformité,risque"</formula1>
    </dataValidation>
    <dataValidation type="list" allowBlank="1" showErrorMessage="1" sqref="F4:I1000">
      <formula1>"nul,faible,moyen,fort"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04"/>
  <sheetViews>
    <sheetView workbookViewId="0" showGridLines="0">
      <pane xSplit="12" ySplit="4" topLeftCell="M5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36" customWidth="1"/>
    <col min="3" max="3" width="20" customWidth="1"/>
    <col min="4" max="4" width="18" customWidth="1"/>
    <col min="5" max="5" width="14" customWidth="1"/>
    <col min="6" max="6" width="10" customWidth="1"/>
    <col min="7" max="7" width="12" customWidth="1"/>
    <col min="8" max="8" width="10" customWidth="1"/>
    <col min="9" max="9" width="14" customWidth="1"/>
    <col min="10" max="11" width="14" style="1" hidden="1" customWidth="1"/>
    <col min="12" max="12" width="14" hidden="1" customWidth="1"/>
    <col min="13" max="64" width="5" customWidth="1"/>
  </cols>
  <sheetData>
    <row r="1" spans="1:12" x14ac:dyDescent="0.25">
      <c r="A1" s="2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4" customHeight="1" spans="1:64" x14ac:dyDescent="0.25">
      <c r="A2" s="20" t="s">
        <v>77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1">
        <f>IF(M3="","",IF(AND(param_date_du_jour&gt;=M3,param_date_du_jour&lt;=IF(param_mode_affichage="mois",EOMONTH(M3,0),M3+6)),"Aujourd'hui",""))</f>
      </c>
      <c r="N2" s="21">
        <f>IF(N3="","",IF(AND(param_date_du_jour&gt;=N3,param_date_du_jour&lt;=IF(param_mode_affichage="mois",EOMONTH(N3,0),N3+6)),"Aujourd'hui",""))</f>
      </c>
      <c r="O2" s="21">
        <f>IF(O3="","",IF(AND(param_date_du_jour&gt;=O3,param_date_du_jour&lt;=IF(param_mode_affichage="mois",EOMONTH(O3,0),O3+6)),"Aujourd'hui",""))</f>
      </c>
      <c r="P2" s="21">
        <f>IF(P3="","",IF(AND(param_date_du_jour&gt;=P3,param_date_du_jour&lt;=IF(param_mode_affichage="mois",EOMONTH(P3,0),P3+6)),"Aujourd'hui",""))</f>
      </c>
      <c r="Q2" s="21">
        <f>IF(Q3="","",IF(AND(param_date_du_jour&gt;=Q3,param_date_du_jour&lt;=IF(param_mode_affichage="mois",EOMONTH(Q3,0),Q3+6)),"Aujourd'hui",""))</f>
      </c>
      <c r="R2" s="21">
        <f>IF(R3="","",IF(AND(param_date_du_jour&gt;=R3,param_date_du_jour&lt;=IF(param_mode_affichage="mois",EOMONTH(R3,0),R3+6)),"Aujourd'hui",""))</f>
      </c>
      <c r="S2" s="21">
        <f>IF(S3="","",IF(AND(param_date_du_jour&gt;=S3,param_date_du_jour&lt;=IF(param_mode_affichage="mois",EOMONTH(S3,0),S3+6)),"Aujourd'hui",""))</f>
      </c>
      <c r="T2" s="21">
        <f>IF(T3="","",IF(AND(param_date_du_jour&gt;=T3,param_date_du_jour&lt;=IF(param_mode_affichage="mois",EOMONTH(T3,0),T3+6)),"Aujourd'hui",""))</f>
      </c>
      <c r="U2" s="21">
        <f>IF(U3="","",IF(AND(param_date_du_jour&gt;=U3,param_date_du_jour&lt;=IF(param_mode_affichage="mois",EOMONTH(U3,0),U3+6)),"Aujourd'hui",""))</f>
      </c>
      <c r="V2" s="21">
        <f>IF(V3="","",IF(AND(param_date_du_jour&gt;=V3,param_date_du_jour&lt;=IF(param_mode_affichage="mois",EOMONTH(V3,0),V3+6)),"Aujourd'hui",""))</f>
      </c>
      <c r="W2" s="21">
        <f>IF(W3="","",IF(AND(param_date_du_jour&gt;=W3,param_date_du_jour&lt;=IF(param_mode_affichage="mois",EOMONTH(W3,0),W3+6)),"Aujourd'hui",""))</f>
      </c>
      <c r="X2" s="21">
        <f>IF(X3="","",IF(AND(param_date_du_jour&gt;=X3,param_date_du_jour&lt;=IF(param_mode_affichage="mois",EOMONTH(X3,0),X3+6)),"Aujourd'hui",""))</f>
      </c>
      <c r="Y2" s="21">
        <f>IF(Y3="","",IF(AND(param_date_du_jour&gt;=Y3,param_date_du_jour&lt;=IF(param_mode_affichage="mois",EOMONTH(Y3,0),Y3+6)),"Aujourd'hui",""))</f>
      </c>
      <c r="Z2" s="21">
        <f>IF(Z3="","",IF(AND(param_date_du_jour&gt;=Z3,param_date_du_jour&lt;=IF(param_mode_affichage="mois",EOMONTH(Z3,0),Z3+6)),"Aujourd'hui",""))</f>
      </c>
      <c r="AA2" s="21">
        <f>IF(AA3="","",IF(AND(param_date_du_jour&gt;=AA3,param_date_du_jour&lt;=IF(param_mode_affichage="mois",EOMONTH(AA3,0),AA3+6)),"Aujourd'hui",""))</f>
      </c>
      <c r="AB2" s="21">
        <f>IF(AB3="","",IF(AND(param_date_du_jour&gt;=AB3,param_date_du_jour&lt;=IF(param_mode_affichage="mois",EOMONTH(AB3,0),AB3+6)),"Aujourd'hui",""))</f>
      </c>
      <c r="AC2" s="21">
        <f>IF(AC3="","",IF(AND(param_date_du_jour&gt;=AC3,param_date_du_jour&lt;=IF(param_mode_affichage="mois",EOMONTH(AC3,0),AC3+6)),"Aujourd'hui",""))</f>
      </c>
      <c r="AD2" s="21">
        <f>IF(AD3="","",IF(AND(param_date_du_jour&gt;=AD3,param_date_du_jour&lt;=IF(param_mode_affichage="mois",EOMONTH(AD3,0),AD3+6)),"Aujourd'hui",""))</f>
      </c>
      <c r="AE2" s="21">
        <f>IF(AE3="","",IF(AND(param_date_du_jour&gt;=AE3,param_date_du_jour&lt;=IF(param_mode_affichage="mois",EOMONTH(AE3,0),AE3+6)),"Aujourd'hui",""))</f>
      </c>
      <c r="AF2" s="21">
        <f>IF(AF3="","",IF(AND(param_date_du_jour&gt;=AF3,param_date_du_jour&lt;=IF(param_mode_affichage="mois",EOMONTH(AF3,0),AF3+6)),"Aujourd'hui",""))</f>
      </c>
      <c r="AG2" s="21">
        <f>IF(AG3="","",IF(AND(param_date_du_jour&gt;=AG3,param_date_du_jour&lt;=IF(param_mode_affichage="mois",EOMONTH(AG3,0),AG3+6)),"Aujourd'hui",""))</f>
      </c>
      <c r="AH2" s="21">
        <f>IF(AH3="","",IF(AND(param_date_du_jour&gt;=AH3,param_date_du_jour&lt;=IF(param_mode_affichage="mois",EOMONTH(AH3,0),AH3+6)),"Aujourd'hui",""))</f>
      </c>
      <c r="AI2" s="21">
        <f>IF(AI3="","",IF(AND(param_date_du_jour&gt;=AI3,param_date_du_jour&lt;=IF(param_mode_affichage="mois",EOMONTH(AI3,0),AI3+6)),"Aujourd'hui",""))</f>
      </c>
      <c r="AJ2" s="21">
        <f>IF(AJ3="","",IF(AND(param_date_du_jour&gt;=AJ3,param_date_du_jour&lt;=IF(param_mode_affichage="mois",EOMONTH(AJ3,0),AJ3+6)),"Aujourd'hui",""))</f>
      </c>
      <c r="AK2" s="21">
        <f>IF(AK3="","",IF(AND(param_date_du_jour&gt;=AK3,param_date_du_jour&lt;=IF(param_mode_affichage="mois",EOMONTH(AK3,0),AK3+6)),"Aujourd'hui",""))</f>
      </c>
      <c r="AL2" s="21">
        <f>IF(AL3="","",IF(AND(param_date_du_jour&gt;=AL3,param_date_du_jour&lt;=IF(param_mode_affichage="mois",EOMONTH(AL3,0),AL3+6)),"Aujourd'hui",""))</f>
      </c>
      <c r="AM2" s="21">
        <f>IF(AM3="","",IF(AND(param_date_du_jour&gt;=AM3,param_date_du_jour&lt;=IF(param_mode_affichage="mois",EOMONTH(AM3,0),AM3+6)),"Aujourd'hui",""))</f>
      </c>
      <c r="AN2" s="21">
        <f>IF(AN3="","",IF(AND(param_date_du_jour&gt;=AN3,param_date_du_jour&lt;=IF(param_mode_affichage="mois",EOMONTH(AN3,0),AN3+6)),"Aujourd'hui",""))</f>
      </c>
      <c r="AO2" s="21">
        <f>IF(AO3="","",IF(AND(param_date_du_jour&gt;=AO3,param_date_du_jour&lt;=IF(param_mode_affichage="mois",EOMONTH(AO3,0),AO3+6)),"Aujourd'hui",""))</f>
      </c>
      <c r="AP2" s="21">
        <f>IF(AP3="","",IF(AND(param_date_du_jour&gt;=AP3,param_date_du_jour&lt;=IF(param_mode_affichage="mois",EOMONTH(AP3,0),AP3+6)),"Aujourd'hui",""))</f>
      </c>
      <c r="AQ2" s="21">
        <f>IF(AQ3="","",IF(AND(param_date_du_jour&gt;=AQ3,param_date_du_jour&lt;=IF(param_mode_affichage="mois",EOMONTH(AQ3,0),AQ3+6)),"Aujourd'hui",""))</f>
      </c>
      <c r="AR2" s="21">
        <f>IF(AR3="","",IF(AND(param_date_du_jour&gt;=AR3,param_date_du_jour&lt;=IF(param_mode_affichage="mois",EOMONTH(AR3,0),AR3+6)),"Aujourd'hui",""))</f>
      </c>
      <c r="AS2" s="21">
        <f>IF(AS3="","",IF(AND(param_date_du_jour&gt;=AS3,param_date_du_jour&lt;=IF(param_mode_affichage="mois",EOMONTH(AS3,0),AS3+6)),"Aujourd'hui",""))</f>
      </c>
      <c r="AT2" s="21">
        <f>IF(AT3="","",IF(AND(param_date_du_jour&gt;=AT3,param_date_du_jour&lt;=IF(param_mode_affichage="mois",EOMONTH(AT3,0),AT3+6)),"Aujourd'hui",""))</f>
      </c>
      <c r="AU2" s="21">
        <f>IF(AU3="","",IF(AND(param_date_du_jour&gt;=AU3,param_date_du_jour&lt;=IF(param_mode_affichage="mois",EOMONTH(AU3,0),AU3+6)),"Aujourd'hui",""))</f>
      </c>
      <c r="AV2" s="21">
        <f>IF(AV3="","",IF(AND(param_date_du_jour&gt;=AV3,param_date_du_jour&lt;=IF(param_mode_affichage="mois",EOMONTH(AV3,0),AV3+6)),"Aujourd'hui",""))</f>
      </c>
      <c r="AW2" s="21">
        <f>IF(AW3="","",IF(AND(param_date_du_jour&gt;=AW3,param_date_du_jour&lt;=IF(param_mode_affichage="mois",EOMONTH(AW3,0),AW3+6)),"Aujourd'hui",""))</f>
      </c>
      <c r="AX2" s="21">
        <f>IF(AX3="","",IF(AND(param_date_du_jour&gt;=AX3,param_date_du_jour&lt;=IF(param_mode_affichage="mois",EOMONTH(AX3,0),AX3+6)),"Aujourd'hui",""))</f>
      </c>
      <c r="AY2" s="21">
        <f>IF(AY3="","",IF(AND(param_date_du_jour&gt;=AY3,param_date_du_jour&lt;=IF(param_mode_affichage="mois",EOMONTH(AY3,0),AY3+6)),"Aujourd'hui",""))</f>
      </c>
      <c r="AZ2" s="21">
        <f>IF(AZ3="","",IF(AND(param_date_du_jour&gt;=AZ3,param_date_du_jour&lt;=IF(param_mode_affichage="mois",EOMONTH(AZ3,0),AZ3+6)),"Aujourd'hui",""))</f>
      </c>
      <c r="BA2" s="21">
        <f>IF(BA3="","",IF(AND(param_date_du_jour&gt;=BA3,param_date_du_jour&lt;=IF(param_mode_affichage="mois",EOMONTH(BA3,0),BA3+6)),"Aujourd'hui",""))</f>
      </c>
      <c r="BB2" s="21">
        <f>IF(BB3="","",IF(AND(param_date_du_jour&gt;=BB3,param_date_du_jour&lt;=IF(param_mode_affichage="mois",EOMONTH(BB3,0),BB3+6)),"Aujourd'hui",""))</f>
      </c>
      <c r="BC2" s="21">
        <f>IF(BC3="","",IF(AND(param_date_du_jour&gt;=BC3,param_date_du_jour&lt;=IF(param_mode_affichage="mois",EOMONTH(BC3,0),BC3+6)),"Aujourd'hui",""))</f>
      </c>
      <c r="BD2" s="21">
        <f>IF(BD3="","",IF(AND(param_date_du_jour&gt;=BD3,param_date_du_jour&lt;=IF(param_mode_affichage="mois",EOMONTH(BD3,0),BD3+6)),"Aujourd'hui",""))</f>
      </c>
      <c r="BE2" s="21">
        <f>IF(BE3="","",IF(AND(param_date_du_jour&gt;=BE3,param_date_du_jour&lt;=IF(param_mode_affichage="mois",EOMONTH(BE3,0),BE3+6)),"Aujourd'hui",""))</f>
      </c>
      <c r="BF2" s="21">
        <f>IF(BF3="","",IF(AND(param_date_du_jour&gt;=BF3,param_date_du_jour&lt;=IF(param_mode_affichage="mois",EOMONTH(BF3,0),BF3+6)),"Aujourd'hui",""))</f>
      </c>
      <c r="BG2" s="21">
        <f>IF(BG3="","",IF(AND(param_date_du_jour&gt;=BG3,param_date_du_jour&lt;=IF(param_mode_affichage="mois",EOMONTH(BG3,0),BG3+6)),"Aujourd'hui",""))</f>
      </c>
      <c r="BH2" s="21">
        <f>IF(BH3="","",IF(AND(param_date_du_jour&gt;=BH3,param_date_du_jour&lt;=IF(param_mode_affichage="mois",EOMONTH(BH3,0),BH3+6)),"Aujourd'hui",""))</f>
      </c>
      <c r="BI2" s="21">
        <f>IF(BI3="","",IF(AND(param_date_du_jour&gt;=BI3,param_date_du_jour&lt;=IF(param_mode_affichage="mois",EOMONTH(BI3,0),BI3+6)),"Aujourd'hui",""))</f>
      </c>
      <c r="BJ2" s="21">
        <f>IF(BJ3="","",IF(AND(param_date_du_jour&gt;=BJ3,param_date_du_jour&lt;=IF(param_mode_affichage="mois",EOMONTH(BJ3,0),BJ3+6)),"Aujourd'hui",""))</f>
      </c>
      <c r="BK2" s="21">
        <f>IF(BK3="","",IF(AND(param_date_du_jour&gt;=BK3,param_date_du_jour&lt;=IF(param_mode_affichage="mois",EOMONTH(BK3,0),BK3+6)),"Aujourd'hui",""))</f>
      </c>
      <c r="BL2" s="21">
        <f>IF(BL3="","",IF(AND(param_date_du_jour&gt;=BL3,param_date_du_jour&lt;=IF(param_mode_affichage="mois",EOMONTH(BL3,0),BL3+6)),"Aujourd'hui",""))</f>
      </c>
    </row>
    <row r="3" hidden="1" spans="13:64" x14ac:dyDescent="0.25">
      <c r="M3" s="1">
        <f>IF(1&lt;=param_horizon_affichage,IF(param_mode_affichage="mois",EDATE(param_date_debut_projet,0),param_date_debut_projet+7*0),"")</f>
      </c>
      <c r="N3" s="1">
        <f>IF(2&lt;=param_horizon_affichage,IF(param_mode_affichage="mois",EDATE(param_date_debut_projet,1),param_date_debut_projet+7*1),"")</f>
      </c>
      <c r="O3" s="1">
        <f>IF(3&lt;=param_horizon_affichage,IF(param_mode_affichage="mois",EDATE(param_date_debut_projet,2),param_date_debut_projet+7*2),"")</f>
      </c>
      <c r="P3" s="1">
        <f>IF(4&lt;=param_horizon_affichage,IF(param_mode_affichage="mois",EDATE(param_date_debut_projet,3),param_date_debut_projet+7*3),"")</f>
      </c>
      <c r="Q3" s="1">
        <f>IF(5&lt;=param_horizon_affichage,IF(param_mode_affichage="mois",EDATE(param_date_debut_projet,4),param_date_debut_projet+7*4),"")</f>
      </c>
      <c r="R3" s="1">
        <f>IF(6&lt;=param_horizon_affichage,IF(param_mode_affichage="mois",EDATE(param_date_debut_projet,5),param_date_debut_projet+7*5),"")</f>
      </c>
      <c r="S3" s="1">
        <f>IF(7&lt;=param_horizon_affichage,IF(param_mode_affichage="mois",EDATE(param_date_debut_projet,6),param_date_debut_projet+7*6),"")</f>
      </c>
      <c r="T3" s="1">
        <f>IF(8&lt;=param_horizon_affichage,IF(param_mode_affichage="mois",EDATE(param_date_debut_projet,7),param_date_debut_projet+7*7),"")</f>
      </c>
      <c r="U3" s="1">
        <f>IF(9&lt;=param_horizon_affichage,IF(param_mode_affichage="mois",EDATE(param_date_debut_projet,8),param_date_debut_projet+7*8),"")</f>
      </c>
      <c r="V3" s="1">
        <f>IF(10&lt;=param_horizon_affichage,IF(param_mode_affichage="mois",EDATE(param_date_debut_projet,9),param_date_debut_projet+7*9),"")</f>
      </c>
      <c r="W3" s="1">
        <f>IF(11&lt;=param_horizon_affichage,IF(param_mode_affichage="mois",EDATE(param_date_debut_projet,10),param_date_debut_projet+7*10),"")</f>
      </c>
      <c r="X3" s="1">
        <f>IF(12&lt;=param_horizon_affichage,IF(param_mode_affichage="mois",EDATE(param_date_debut_projet,11),param_date_debut_projet+7*11),"")</f>
      </c>
      <c r="Y3" s="1">
        <f>IF(13&lt;=param_horizon_affichage,IF(param_mode_affichage="mois",EDATE(param_date_debut_projet,12),param_date_debut_projet+7*12),"")</f>
      </c>
      <c r="Z3" s="1">
        <f>IF(14&lt;=param_horizon_affichage,IF(param_mode_affichage="mois",EDATE(param_date_debut_projet,13),param_date_debut_projet+7*13),"")</f>
      </c>
      <c r="AA3" s="1">
        <f>IF(15&lt;=param_horizon_affichage,IF(param_mode_affichage="mois",EDATE(param_date_debut_projet,14),param_date_debut_projet+7*14),"")</f>
      </c>
      <c r="AB3" s="1">
        <f>IF(16&lt;=param_horizon_affichage,IF(param_mode_affichage="mois",EDATE(param_date_debut_projet,15),param_date_debut_projet+7*15),"")</f>
      </c>
      <c r="AC3" s="1">
        <f>IF(17&lt;=param_horizon_affichage,IF(param_mode_affichage="mois",EDATE(param_date_debut_projet,16),param_date_debut_projet+7*16),"")</f>
      </c>
      <c r="AD3" s="1">
        <f>IF(18&lt;=param_horizon_affichage,IF(param_mode_affichage="mois",EDATE(param_date_debut_projet,17),param_date_debut_projet+7*17),"")</f>
      </c>
      <c r="AE3" s="1">
        <f>IF(19&lt;=param_horizon_affichage,IF(param_mode_affichage="mois",EDATE(param_date_debut_projet,18),param_date_debut_projet+7*18),"")</f>
      </c>
      <c r="AF3" s="1">
        <f>IF(20&lt;=param_horizon_affichage,IF(param_mode_affichage="mois",EDATE(param_date_debut_projet,19),param_date_debut_projet+7*19),"")</f>
      </c>
      <c r="AG3" s="1">
        <f>IF(21&lt;=param_horizon_affichage,IF(param_mode_affichage="mois",EDATE(param_date_debut_projet,20),param_date_debut_projet+7*20),"")</f>
      </c>
      <c r="AH3" s="1">
        <f>IF(22&lt;=param_horizon_affichage,IF(param_mode_affichage="mois",EDATE(param_date_debut_projet,21),param_date_debut_projet+7*21),"")</f>
      </c>
      <c r="AI3" s="1">
        <f>IF(23&lt;=param_horizon_affichage,IF(param_mode_affichage="mois",EDATE(param_date_debut_projet,22),param_date_debut_projet+7*22),"")</f>
      </c>
      <c r="AJ3" s="1">
        <f>IF(24&lt;=param_horizon_affichage,IF(param_mode_affichage="mois",EDATE(param_date_debut_projet,23),param_date_debut_projet+7*23),"")</f>
      </c>
      <c r="AK3" s="1">
        <f>IF(25&lt;=param_horizon_affichage,IF(param_mode_affichage="mois",EDATE(param_date_debut_projet,24),param_date_debut_projet+7*24),"")</f>
      </c>
      <c r="AL3" s="1">
        <f>IF(26&lt;=param_horizon_affichage,IF(param_mode_affichage="mois",EDATE(param_date_debut_projet,25),param_date_debut_projet+7*25),"")</f>
      </c>
      <c r="AM3" s="1">
        <f>IF(27&lt;=param_horizon_affichage,IF(param_mode_affichage="mois",EDATE(param_date_debut_projet,26),param_date_debut_projet+7*26),"")</f>
      </c>
      <c r="AN3" s="1">
        <f>IF(28&lt;=param_horizon_affichage,IF(param_mode_affichage="mois",EDATE(param_date_debut_projet,27),param_date_debut_projet+7*27),"")</f>
      </c>
      <c r="AO3" s="1">
        <f>IF(29&lt;=param_horizon_affichage,IF(param_mode_affichage="mois",EDATE(param_date_debut_projet,28),param_date_debut_projet+7*28),"")</f>
      </c>
      <c r="AP3" s="1">
        <f>IF(30&lt;=param_horizon_affichage,IF(param_mode_affichage="mois",EDATE(param_date_debut_projet,29),param_date_debut_projet+7*29),"")</f>
      </c>
      <c r="AQ3" s="1">
        <f>IF(31&lt;=param_horizon_affichage,IF(param_mode_affichage="mois",EDATE(param_date_debut_projet,30),param_date_debut_projet+7*30),"")</f>
      </c>
      <c r="AR3" s="1">
        <f>IF(32&lt;=param_horizon_affichage,IF(param_mode_affichage="mois",EDATE(param_date_debut_projet,31),param_date_debut_projet+7*31),"")</f>
      </c>
      <c r="AS3" s="1">
        <f>IF(33&lt;=param_horizon_affichage,IF(param_mode_affichage="mois",EDATE(param_date_debut_projet,32),param_date_debut_projet+7*32),"")</f>
      </c>
      <c r="AT3" s="1">
        <f>IF(34&lt;=param_horizon_affichage,IF(param_mode_affichage="mois",EDATE(param_date_debut_projet,33),param_date_debut_projet+7*33),"")</f>
      </c>
      <c r="AU3" s="1">
        <f>IF(35&lt;=param_horizon_affichage,IF(param_mode_affichage="mois",EDATE(param_date_debut_projet,34),param_date_debut_projet+7*34),"")</f>
      </c>
      <c r="AV3" s="1">
        <f>IF(36&lt;=param_horizon_affichage,IF(param_mode_affichage="mois",EDATE(param_date_debut_projet,35),param_date_debut_projet+7*35),"")</f>
      </c>
      <c r="AW3" s="1">
        <f>IF(37&lt;=param_horizon_affichage,IF(param_mode_affichage="mois",EDATE(param_date_debut_projet,36),param_date_debut_projet+7*36),"")</f>
      </c>
      <c r="AX3" s="1">
        <f>IF(38&lt;=param_horizon_affichage,IF(param_mode_affichage="mois",EDATE(param_date_debut_projet,37),param_date_debut_projet+7*37),"")</f>
      </c>
      <c r="AY3" s="1">
        <f>IF(39&lt;=param_horizon_affichage,IF(param_mode_affichage="mois",EDATE(param_date_debut_projet,38),param_date_debut_projet+7*38),"")</f>
      </c>
      <c r="AZ3" s="1">
        <f>IF(40&lt;=param_horizon_affichage,IF(param_mode_affichage="mois",EDATE(param_date_debut_projet,39),param_date_debut_projet+7*39),"")</f>
      </c>
      <c r="BA3" s="1">
        <f>IF(41&lt;=param_horizon_affichage,IF(param_mode_affichage="mois",EDATE(param_date_debut_projet,40),param_date_debut_projet+7*40),"")</f>
      </c>
      <c r="BB3" s="1">
        <f>IF(42&lt;=param_horizon_affichage,IF(param_mode_affichage="mois",EDATE(param_date_debut_projet,41),param_date_debut_projet+7*41),"")</f>
      </c>
      <c r="BC3" s="1">
        <f>IF(43&lt;=param_horizon_affichage,IF(param_mode_affichage="mois",EDATE(param_date_debut_projet,42),param_date_debut_projet+7*42),"")</f>
      </c>
      <c r="BD3" s="1">
        <f>IF(44&lt;=param_horizon_affichage,IF(param_mode_affichage="mois",EDATE(param_date_debut_projet,43),param_date_debut_projet+7*43),"")</f>
      </c>
      <c r="BE3" s="1">
        <f>IF(45&lt;=param_horizon_affichage,IF(param_mode_affichage="mois",EDATE(param_date_debut_projet,44),param_date_debut_projet+7*44),"")</f>
      </c>
      <c r="BF3" s="1">
        <f>IF(46&lt;=param_horizon_affichage,IF(param_mode_affichage="mois",EDATE(param_date_debut_projet,45),param_date_debut_projet+7*45),"")</f>
      </c>
      <c r="BG3" s="1">
        <f>IF(47&lt;=param_horizon_affichage,IF(param_mode_affichage="mois",EDATE(param_date_debut_projet,46),param_date_debut_projet+7*46),"")</f>
      </c>
      <c r="BH3" s="1">
        <f>IF(48&lt;=param_horizon_affichage,IF(param_mode_affichage="mois",EDATE(param_date_debut_projet,47),param_date_debut_projet+7*47),"")</f>
      </c>
      <c r="BI3" s="1">
        <f>IF(49&lt;=param_horizon_affichage,IF(param_mode_affichage="mois",EDATE(param_date_debut_projet,48),param_date_debut_projet+7*48),"")</f>
      </c>
      <c r="BJ3" s="1">
        <f>IF(50&lt;=param_horizon_affichage,IF(param_mode_affichage="mois",EDATE(param_date_debut_projet,49),param_date_debut_projet+7*49),"")</f>
      </c>
      <c r="BK3" s="1">
        <f>IF(51&lt;=param_horizon_affichage,IF(param_mode_affichage="mois",EDATE(param_date_debut_projet,50),param_date_debut_projet+7*50),"")</f>
      </c>
      <c r="BL3" s="1">
        <f>IF(52&lt;=param_horizon_affichage,IF(param_mode_affichage="mois",EDATE(param_date_debut_projet,51),param_date_debut_projet+7*51),"")</f>
      </c>
    </row>
    <row r="4" ht="60" customHeight="1" spans="1:64" x14ac:dyDescent="0.25">
      <c r="A4" s="5" t="s">
        <v>45</v>
      </c>
      <c r="B4" s="5" t="s">
        <v>46</v>
      </c>
      <c r="C4" s="5" t="s">
        <v>49</v>
      </c>
      <c r="D4" s="5" t="s">
        <v>6</v>
      </c>
      <c r="E4" s="5" t="s">
        <v>56</v>
      </c>
      <c r="F4" s="5" t="s">
        <v>55</v>
      </c>
      <c r="G4" s="5" t="s">
        <v>78</v>
      </c>
      <c r="H4" s="5" t="s">
        <v>64</v>
      </c>
      <c r="I4" s="5" t="s">
        <v>79</v>
      </c>
      <c r="J4" s="6" t="s">
        <v>80</v>
      </c>
      <c r="K4" s="6" t="s">
        <v>81</v>
      </c>
      <c r="L4" s="5" t="s">
        <v>82</v>
      </c>
      <c r="M4" s="22">
        <f>IF(M3="","",IF(param_mode_affichage="mois",TEXT(M3,"mmm yy"),TEXT(M3,"dd mmm")))</f>
      </c>
      <c r="N4" s="22">
        <f>IF(N3="","",IF(param_mode_affichage="mois",TEXT(N3,"mmm yy"),TEXT(N3,"dd mmm")))</f>
      </c>
      <c r="O4" s="22">
        <f>IF(O3="","",IF(param_mode_affichage="mois",TEXT(O3,"mmm yy"),TEXT(O3,"dd mmm")))</f>
      </c>
      <c r="P4" s="22">
        <f>IF(P3="","",IF(param_mode_affichage="mois",TEXT(P3,"mmm yy"),TEXT(P3,"dd mmm")))</f>
      </c>
      <c r="Q4" s="22">
        <f>IF(Q3="","",IF(param_mode_affichage="mois",TEXT(Q3,"mmm yy"),TEXT(Q3,"dd mmm")))</f>
      </c>
      <c r="R4" s="22">
        <f>IF(R3="","",IF(param_mode_affichage="mois",TEXT(R3,"mmm yy"),TEXT(R3,"dd mmm")))</f>
      </c>
      <c r="S4" s="22">
        <f>IF(S3="","",IF(param_mode_affichage="mois",TEXT(S3,"mmm yy"),TEXT(S3,"dd mmm")))</f>
      </c>
      <c r="T4" s="22">
        <f>IF(T3="","",IF(param_mode_affichage="mois",TEXT(T3,"mmm yy"),TEXT(T3,"dd mmm")))</f>
      </c>
      <c r="U4" s="22">
        <f>IF(U3="","",IF(param_mode_affichage="mois",TEXT(U3,"mmm yy"),TEXT(U3,"dd mmm")))</f>
      </c>
      <c r="V4" s="22">
        <f>IF(V3="","",IF(param_mode_affichage="mois",TEXT(V3,"mmm yy"),TEXT(V3,"dd mmm")))</f>
      </c>
      <c r="W4" s="22">
        <f>IF(W3="","",IF(param_mode_affichage="mois",TEXT(W3,"mmm yy"),TEXT(W3,"dd mmm")))</f>
      </c>
      <c r="X4" s="22">
        <f>IF(X3="","",IF(param_mode_affichage="mois",TEXT(X3,"mmm yy"),TEXT(X3,"dd mmm")))</f>
      </c>
      <c r="Y4" s="22">
        <f>IF(Y3="","",IF(param_mode_affichage="mois",TEXT(Y3,"mmm yy"),TEXT(Y3,"dd mmm")))</f>
      </c>
      <c r="Z4" s="22">
        <f>IF(Z3="","",IF(param_mode_affichage="mois",TEXT(Z3,"mmm yy"),TEXT(Z3,"dd mmm")))</f>
      </c>
      <c r="AA4" s="22">
        <f>IF(AA3="","",IF(param_mode_affichage="mois",TEXT(AA3,"mmm yy"),TEXT(AA3,"dd mmm")))</f>
      </c>
      <c r="AB4" s="22">
        <f>IF(AB3="","",IF(param_mode_affichage="mois",TEXT(AB3,"mmm yy"),TEXT(AB3,"dd mmm")))</f>
      </c>
      <c r="AC4" s="22">
        <f>IF(AC3="","",IF(param_mode_affichage="mois",TEXT(AC3,"mmm yy"),TEXT(AC3,"dd mmm")))</f>
      </c>
      <c r="AD4" s="22">
        <f>IF(AD3="","",IF(param_mode_affichage="mois",TEXT(AD3,"mmm yy"),TEXT(AD3,"dd mmm")))</f>
      </c>
      <c r="AE4" s="22">
        <f>IF(AE3="","",IF(param_mode_affichage="mois",TEXT(AE3,"mmm yy"),TEXT(AE3,"dd mmm")))</f>
      </c>
      <c r="AF4" s="22">
        <f>IF(AF3="","",IF(param_mode_affichage="mois",TEXT(AF3,"mmm yy"),TEXT(AF3,"dd mmm")))</f>
      </c>
      <c r="AG4" s="22">
        <f>IF(AG3="","",IF(param_mode_affichage="mois",TEXT(AG3,"mmm yy"),TEXT(AG3,"dd mmm")))</f>
      </c>
      <c r="AH4" s="22">
        <f>IF(AH3="","",IF(param_mode_affichage="mois",TEXT(AH3,"mmm yy"),TEXT(AH3,"dd mmm")))</f>
      </c>
      <c r="AI4" s="22">
        <f>IF(AI3="","",IF(param_mode_affichage="mois",TEXT(AI3,"mmm yy"),TEXT(AI3,"dd mmm")))</f>
      </c>
      <c r="AJ4" s="22">
        <f>IF(AJ3="","",IF(param_mode_affichage="mois",TEXT(AJ3,"mmm yy"),TEXT(AJ3,"dd mmm")))</f>
      </c>
      <c r="AK4" s="22">
        <f>IF(AK3="","",IF(param_mode_affichage="mois",TEXT(AK3,"mmm yy"),TEXT(AK3,"dd mmm")))</f>
      </c>
      <c r="AL4" s="22">
        <f>IF(AL3="","",IF(param_mode_affichage="mois",TEXT(AL3,"mmm yy"),TEXT(AL3,"dd mmm")))</f>
      </c>
      <c r="AM4" s="22">
        <f>IF(AM3="","",IF(param_mode_affichage="mois",TEXT(AM3,"mmm yy"),TEXT(AM3,"dd mmm")))</f>
      </c>
      <c r="AN4" s="22">
        <f>IF(AN3="","",IF(param_mode_affichage="mois",TEXT(AN3,"mmm yy"),TEXT(AN3,"dd mmm")))</f>
      </c>
      <c r="AO4" s="22">
        <f>IF(AO3="","",IF(param_mode_affichage="mois",TEXT(AO3,"mmm yy"),TEXT(AO3,"dd mmm")))</f>
      </c>
      <c r="AP4" s="22">
        <f>IF(AP3="","",IF(param_mode_affichage="mois",TEXT(AP3,"mmm yy"),TEXT(AP3,"dd mmm")))</f>
      </c>
      <c r="AQ4" s="22">
        <f>IF(AQ3="","",IF(param_mode_affichage="mois",TEXT(AQ3,"mmm yy"),TEXT(AQ3,"dd mmm")))</f>
      </c>
      <c r="AR4" s="22">
        <f>IF(AR3="","",IF(param_mode_affichage="mois",TEXT(AR3,"mmm yy"),TEXT(AR3,"dd mmm")))</f>
      </c>
      <c r="AS4" s="22">
        <f>IF(AS3="","",IF(param_mode_affichage="mois",TEXT(AS3,"mmm yy"),TEXT(AS3,"dd mmm")))</f>
      </c>
      <c r="AT4" s="22">
        <f>IF(AT3="","",IF(param_mode_affichage="mois",TEXT(AT3,"mmm yy"),TEXT(AT3,"dd mmm")))</f>
      </c>
      <c r="AU4" s="22">
        <f>IF(AU3="","",IF(param_mode_affichage="mois",TEXT(AU3,"mmm yy"),TEXT(AU3,"dd mmm")))</f>
      </c>
      <c r="AV4" s="22">
        <f>IF(AV3="","",IF(param_mode_affichage="mois",TEXT(AV3,"mmm yy"),TEXT(AV3,"dd mmm")))</f>
      </c>
      <c r="AW4" s="22">
        <f>IF(AW3="","",IF(param_mode_affichage="mois",TEXT(AW3,"mmm yy"),TEXT(AW3,"dd mmm")))</f>
      </c>
      <c r="AX4" s="22">
        <f>IF(AX3="","",IF(param_mode_affichage="mois",TEXT(AX3,"mmm yy"),TEXT(AX3,"dd mmm")))</f>
      </c>
      <c r="AY4" s="22">
        <f>IF(AY3="","",IF(param_mode_affichage="mois",TEXT(AY3,"mmm yy"),TEXT(AY3,"dd mmm")))</f>
      </c>
      <c r="AZ4" s="22">
        <f>IF(AZ3="","",IF(param_mode_affichage="mois",TEXT(AZ3,"mmm yy"),TEXT(AZ3,"dd mmm")))</f>
      </c>
      <c r="BA4" s="22">
        <f>IF(BA3="","",IF(param_mode_affichage="mois",TEXT(BA3,"mmm yy"),TEXT(BA3,"dd mmm")))</f>
      </c>
      <c r="BB4" s="22">
        <f>IF(BB3="","",IF(param_mode_affichage="mois",TEXT(BB3,"mmm yy"),TEXT(BB3,"dd mmm")))</f>
      </c>
      <c r="BC4" s="22">
        <f>IF(BC3="","",IF(param_mode_affichage="mois",TEXT(BC3,"mmm yy"),TEXT(BC3,"dd mmm")))</f>
      </c>
      <c r="BD4" s="22">
        <f>IF(BD3="","",IF(param_mode_affichage="mois",TEXT(BD3,"mmm yy"),TEXT(BD3,"dd mmm")))</f>
      </c>
      <c r="BE4" s="22">
        <f>IF(BE3="","",IF(param_mode_affichage="mois",TEXT(BE3,"mmm yy"),TEXT(BE3,"dd mmm")))</f>
      </c>
      <c r="BF4" s="22">
        <f>IF(BF3="","",IF(param_mode_affichage="mois",TEXT(BF3,"mmm yy"),TEXT(BF3,"dd mmm")))</f>
      </c>
      <c r="BG4" s="22">
        <f>IF(BG3="","",IF(param_mode_affichage="mois",TEXT(BG3,"mmm yy"),TEXT(BG3,"dd mmm")))</f>
      </c>
      <c r="BH4" s="22">
        <f>IF(BH3="","",IF(param_mode_affichage="mois",TEXT(BH3,"mmm yy"),TEXT(BH3,"dd mmm")))</f>
      </c>
      <c r="BI4" s="22">
        <f>IF(BI3="","",IF(param_mode_affichage="mois",TEXT(BI3,"mmm yy"),TEXT(BI3,"dd mmm")))</f>
      </c>
      <c r="BJ4" s="22">
        <f>IF(BJ3="","",IF(param_mode_affichage="mois",TEXT(BJ3,"mmm yy"),TEXT(BJ3,"dd mmm")))</f>
      </c>
      <c r="BK4" s="22">
        <f>IF(BK3="","",IF(param_mode_affichage="mois",TEXT(BK3,"mmm yy"),TEXT(BK3,"dd mmm")))</f>
      </c>
      <c r="BL4" s="22">
        <f>IF(BL3="","",IF(param_mode_affichage="mois",TEXT(BL3,"mmm yy"),TEXT(BL3,"dd mmm")))</f>
      </c>
    </row>
    <row r="5" spans="1:64" x14ac:dyDescent="0.25">
      <c r="A5" s="23">
        <f>IFERROR(INDEX(tblTasks[ID],ROW()-4),"")</f>
      </c>
      <c r="B5" s="24">
        <f>IF($A5="","",INDEX(tblTasks[Sujet],ROW()-4))</f>
      </c>
      <c r="C5" s="23">
        <f>IF($A5="","",INDEX(tblTasks[Responsable],ROW()-4))</f>
      </c>
      <c r="D5" s="23">
        <f>IF($A5="","",INDEX(tblTasks[Statut],ROW()-4))</f>
      </c>
      <c r="E5" s="23">
        <f>IF($A5="","",INDEX(tblTasks[Depend_de],ROW()-4))</f>
      </c>
      <c r="F5" s="23">
        <f>IF($A5="","",INDEX(tblTasks[Blocage],ROW()-4))</f>
      </c>
      <c r="G5" s="23">
        <f>IF($A5="","",INDEX(tblTasks[Niveau_criticite],ROW()-4))</f>
      </c>
      <c r="H5" s="23">
        <f>IF($A5="","",INDEX(tblTasks[Goulot],ROW()-4))</f>
      </c>
      <c r="I5" s="23">
        <f>IF($A5="","",IF(LOWER($F5)="oui","non",IF($E5="","oui",IFERROR(IF(LOWER(INDEX(tblTasks[Statut],MATCH($E5,tblTasks[ID],0)))="clos","oui","non"),"non"))))</f>
      </c>
      <c r="J5" s="25">
        <f>IF($A5="","",INDEX(tblTasks[Date_debut_prevue],ROW()-4))</f>
      </c>
      <c r="K5" s="25">
        <f>IF($A5="","",INDEX(tblTasks[Date_fin_prevue],ROW()-4))</f>
      </c>
      <c r="L5" s="23">
        <f>IF($A5="","",INDEX(tblTasks[Irreversibilite],ROW()-4))</f>
      </c>
      <c r="M5" s="26">
        <f>IF(OR($A5="",M$3=""),"",IF(AND($J5&lt;&gt;"",$K5&lt;&gt;"",$J5=$K5,$J5&gt;=M$3,$J5&lt;=IF(param_mode_affichage="mois",EOMONTH(M$3,0),M$3+6)),"◆",""))</f>
      </c>
      <c r="N5" s="26">
        <f>IF(OR($A5="",N$3=""),"",IF(AND($J5&lt;&gt;"",$K5&lt;&gt;"",$J5=$K5,$J5&gt;=N$3,$J5&lt;=IF(param_mode_affichage="mois",EOMONTH(N$3,0),N$3+6)),"◆",""))</f>
      </c>
      <c r="O5" s="26">
        <f>IF(OR($A5="",O$3=""),"",IF(AND($J5&lt;&gt;"",$K5&lt;&gt;"",$J5=$K5,$J5&gt;=O$3,$J5&lt;=IF(param_mode_affichage="mois",EOMONTH(O$3,0),O$3+6)),"◆",""))</f>
      </c>
      <c r="P5" s="26">
        <f>IF(OR($A5="",P$3=""),"",IF(AND($J5&lt;&gt;"",$K5&lt;&gt;"",$J5=$K5,$J5&gt;=P$3,$J5&lt;=IF(param_mode_affichage="mois",EOMONTH(P$3,0),P$3+6)),"◆",""))</f>
      </c>
      <c r="Q5" s="26">
        <f>IF(OR($A5="",Q$3=""),"",IF(AND($J5&lt;&gt;"",$K5&lt;&gt;"",$J5=$K5,$J5&gt;=Q$3,$J5&lt;=IF(param_mode_affichage="mois",EOMONTH(Q$3,0),Q$3+6)),"◆",""))</f>
      </c>
      <c r="R5" s="26">
        <f>IF(OR($A5="",R$3=""),"",IF(AND($J5&lt;&gt;"",$K5&lt;&gt;"",$J5=$K5,$J5&gt;=R$3,$J5&lt;=IF(param_mode_affichage="mois",EOMONTH(R$3,0),R$3+6)),"◆",""))</f>
      </c>
      <c r="S5" s="26">
        <f>IF(OR($A5="",S$3=""),"",IF(AND($J5&lt;&gt;"",$K5&lt;&gt;"",$J5=$K5,$J5&gt;=S$3,$J5&lt;=IF(param_mode_affichage="mois",EOMONTH(S$3,0),S$3+6)),"◆",""))</f>
      </c>
      <c r="T5" s="26">
        <f>IF(OR($A5="",T$3=""),"",IF(AND($J5&lt;&gt;"",$K5&lt;&gt;"",$J5=$K5,$J5&gt;=T$3,$J5&lt;=IF(param_mode_affichage="mois",EOMONTH(T$3,0),T$3+6)),"◆",""))</f>
      </c>
      <c r="U5" s="26">
        <f>IF(OR($A5="",U$3=""),"",IF(AND($J5&lt;&gt;"",$K5&lt;&gt;"",$J5=$K5,$J5&gt;=U$3,$J5&lt;=IF(param_mode_affichage="mois",EOMONTH(U$3,0),U$3+6)),"◆",""))</f>
      </c>
      <c r="V5" s="26">
        <f>IF(OR($A5="",V$3=""),"",IF(AND($J5&lt;&gt;"",$K5&lt;&gt;"",$J5=$K5,$J5&gt;=V$3,$J5&lt;=IF(param_mode_affichage="mois",EOMONTH(V$3,0),V$3+6)),"◆",""))</f>
      </c>
      <c r="W5" s="26">
        <f>IF(OR($A5="",W$3=""),"",IF(AND($J5&lt;&gt;"",$K5&lt;&gt;"",$J5=$K5,$J5&gt;=W$3,$J5&lt;=IF(param_mode_affichage="mois",EOMONTH(W$3,0),W$3+6)),"◆",""))</f>
      </c>
      <c r="X5" s="26">
        <f>IF(OR($A5="",X$3=""),"",IF(AND($J5&lt;&gt;"",$K5&lt;&gt;"",$J5=$K5,$J5&gt;=X$3,$J5&lt;=IF(param_mode_affichage="mois",EOMONTH(X$3,0),X$3+6)),"◆",""))</f>
      </c>
      <c r="Y5" s="26">
        <f>IF(OR($A5="",Y$3=""),"",IF(AND($J5&lt;&gt;"",$K5&lt;&gt;"",$J5=$K5,$J5&gt;=Y$3,$J5&lt;=IF(param_mode_affichage="mois",EOMONTH(Y$3,0),Y$3+6)),"◆",""))</f>
      </c>
      <c r="Z5" s="26">
        <f>IF(OR($A5="",Z$3=""),"",IF(AND($J5&lt;&gt;"",$K5&lt;&gt;"",$J5=$K5,$J5&gt;=Z$3,$J5&lt;=IF(param_mode_affichage="mois",EOMONTH(Z$3,0),Z$3+6)),"◆",""))</f>
      </c>
      <c r="AA5" s="26">
        <f>IF(OR($A5="",AA$3=""),"",IF(AND($J5&lt;&gt;"",$K5&lt;&gt;"",$J5=$K5,$J5&gt;=AA$3,$J5&lt;=IF(param_mode_affichage="mois",EOMONTH(AA$3,0),AA$3+6)),"◆",""))</f>
      </c>
      <c r="AB5" s="26">
        <f>IF(OR($A5="",AB$3=""),"",IF(AND($J5&lt;&gt;"",$K5&lt;&gt;"",$J5=$K5,$J5&gt;=AB$3,$J5&lt;=IF(param_mode_affichage="mois",EOMONTH(AB$3,0),AB$3+6)),"◆",""))</f>
      </c>
      <c r="AC5" s="26">
        <f>IF(OR($A5="",AC$3=""),"",IF(AND($J5&lt;&gt;"",$K5&lt;&gt;"",$J5=$K5,$J5&gt;=AC$3,$J5&lt;=IF(param_mode_affichage="mois",EOMONTH(AC$3,0),AC$3+6)),"◆",""))</f>
      </c>
      <c r="AD5" s="26">
        <f>IF(OR($A5="",AD$3=""),"",IF(AND($J5&lt;&gt;"",$K5&lt;&gt;"",$J5=$K5,$J5&gt;=AD$3,$J5&lt;=IF(param_mode_affichage="mois",EOMONTH(AD$3,0),AD$3+6)),"◆",""))</f>
      </c>
      <c r="AE5" s="26">
        <f>IF(OR($A5="",AE$3=""),"",IF(AND($J5&lt;&gt;"",$K5&lt;&gt;"",$J5=$K5,$J5&gt;=AE$3,$J5&lt;=IF(param_mode_affichage="mois",EOMONTH(AE$3,0),AE$3+6)),"◆",""))</f>
      </c>
      <c r="AF5" s="26">
        <f>IF(OR($A5="",AF$3=""),"",IF(AND($J5&lt;&gt;"",$K5&lt;&gt;"",$J5=$K5,$J5&gt;=AF$3,$J5&lt;=IF(param_mode_affichage="mois",EOMONTH(AF$3,0),AF$3+6)),"◆",""))</f>
      </c>
      <c r="AG5" s="26">
        <f>IF(OR($A5="",AG$3=""),"",IF(AND($J5&lt;&gt;"",$K5&lt;&gt;"",$J5=$K5,$J5&gt;=AG$3,$J5&lt;=IF(param_mode_affichage="mois",EOMONTH(AG$3,0),AG$3+6)),"◆",""))</f>
      </c>
      <c r="AH5" s="26">
        <f>IF(OR($A5="",AH$3=""),"",IF(AND($J5&lt;&gt;"",$K5&lt;&gt;"",$J5=$K5,$J5&gt;=AH$3,$J5&lt;=IF(param_mode_affichage="mois",EOMONTH(AH$3,0),AH$3+6)),"◆",""))</f>
      </c>
      <c r="AI5" s="26">
        <f>IF(OR($A5="",AI$3=""),"",IF(AND($J5&lt;&gt;"",$K5&lt;&gt;"",$J5=$K5,$J5&gt;=AI$3,$J5&lt;=IF(param_mode_affichage="mois",EOMONTH(AI$3,0),AI$3+6)),"◆",""))</f>
      </c>
      <c r="AJ5" s="26">
        <f>IF(OR($A5="",AJ$3=""),"",IF(AND($J5&lt;&gt;"",$K5&lt;&gt;"",$J5=$K5,$J5&gt;=AJ$3,$J5&lt;=IF(param_mode_affichage="mois",EOMONTH(AJ$3,0),AJ$3+6)),"◆",""))</f>
      </c>
      <c r="AK5" s="26">
        <f>IF(OR($A5="",AK$3=""),"",IF(AND($J5&lt;&gt;"",$K5&lt;&gt;"",$J5=$K5,$J5&gt;=AK$3,$J5&lt;=IF(param_mode_affichage="mois",EOMONTH(AK$3,0),AK$3+6)),"◆",""))</f>
      </c>
      <c r="AL5" s="26">
        <f>IF(OR($A5="",AL$3=""),"",IF(AND($J5&lt;&gt;"",$K5&lt;&gt;"",$J5=$K5,$J5&gt;=AL$3,$J5&lt;=IF(param_mode_affichage="mois",EOMONTH(AL$3,0),AL$3+6)),"◆",""))</f>
      </c>
      <c r="AM5" s="26">
        <f>IF(OR($A5="",AM$3=""),"",IF(AND($J5&lt;&gt;"",$K5&lt;&gt;"",$J5=$K5,$J5&gt;=AM$3,$J5&lt;=IF(param_mode_affichage="mois",EOMONTH(AM$3,0),AM$3+6)),"◆",""))</f>
      </c>
      <c r="AN5" s="26">
        <f>IF(OR($A5="",AN$3=""),"",IF(AND($J5&lt;&gt;"",$K5&lt;&gt;"",$J5=$K5,$J5&gt;=AN$3,$J5&lt;=IF(param_mode_affichage="mois",EOMONTH(AN$3,0),AN$3+6)),"◆",""))</f>
      </c>
      <c r="AO5" s="26">
        <f>IF(OR($A5="",AO$3=""),"",IF(AND($J5&lt;&gt;"",$K5&lt;&gt;"",$J5=$K5,$J5&gt;=AO$3,$J5&lt;=IF(param_mode_affichage="mois",EOMONTH(AO$3,0),AO$3+6)),"◆",""))</f>
      </c>
      <c r="AP5" s="26">
        <f>IF(OR($A5="",AP$3=""),"",IF(AND($J5&lt;&gt;"",$K5&lt;&gt;"",$J5=$K5,$J5&gt;=AP$3,$J5&lt;=IF(param_mode_affichage="mois",EOMONTH(AP$3,0),AP$3+6)),"◆",""))</f>
      </c>
      <c r="AQ5" s="26">
        <f>IF(OR($A5="",AQ$3=""),"",IF(AND($J5&lt;&gt;"",$K5&lt;&gt;"",$J5=$K5,$J5&gt;=AQ$3,$J5&lt;=IF(param_mode_affichage="mois",EOMONTH(AQ$3,0),AQ$3+6)),"◆",""))</f>
      </c>
      <c r="AR5" s="26">
        <f>IF(OR($A5="",AR$3=""),"",IF(AND($J5&lt;&gt;"",$K5&lt;&gt;"",$J5=$K5,$J5&gt;=AR$3,$J5&lt;=IF(param_mode_affichage="mois",EOMONTH(AR$3,0),AR$3+6)),"◆",""))</f>
      </c>
      <c r="AS5" s="26">
        <f>IF(OR($A5="",AS$3=""),"",IF(AND($J5&lt;&gt;"",$K5&lt;&gt;"",$J5=$K5,$J5&gt;=AS$3,$J5&lt;=IF(param_mode_affichage="mois",EOMONTH(AS$3,0),AS$3+6)),"◆",""))</f>
      </c>
      <c r="AT5" s="26">
        <f>IF(OR($A5="",AT$3=""),"",IF(AND($J5&lt;&gt;"",$K5&lt;&gt;"",$J5=$K5,$J5&gt;=AT$3,$J5&lt;=IF(param_mode_affichage="mois",EOMONTH(AT$3,0),AT$3+6)),"◆",""))</f>
      </c>
      <c r="AU5" s="26">
        <f>IF(OR($A5="",AU$3=""),"",IF(AND($J5&lt;&gt;"",$K5&lt;&gt;"",$J5=$K5,$J5&gt;=AU$3,$J5&lt;=IF(param_mode_affichage="mois",EOMONTH(AU$3,0),AU$3+6)),"◆",""))</f>
      </c>
      <c r="AV5" s="26">
        <f>IF(OR($A5="",AV$3=""),"",IF(AND($J5&lt;&gt;"",$K5&lt;&gt;"",$J5=$K5,$J5&gt;=AV$3,$J5&lt;=IF(param_mode_affichage="mois",EOMONTH(AV$3,0),AV$3+6)),"◆",""))</f>
      </c>
      <c r="AW5" s="26">
        <f>IF(OR($A5="",AW$3=""),"",IF(AND($J5&lt;&gt;"",$K5&lt;&gt;"",$J5=$K5,$J5&gt;=AW$3,$J5&lt;=IF(param_mode_affichage="mois",EOMONTH(AW$3,0),AW$3+6)),"◆",""))</f>
      </c>
      <c r="AX5" s="26">
        <f>IF(OR($A5="",AX$3=""),"",IF(AND($J5&lt;&gt;"",$K5&lt;&gt;"",$J5=$K5,$J5&gt;=AX$3,$J5&lt;=IF(param_mode_affichage="mois",EOMONTH(AX$3,0),AX$3+6)),"◆",""))</f>
      </c>
      <c r="AY5" s="26">
        <f>IF(OR($A5="",AY$3=""),"",IF(AND($J5&lt;&gt;"",$K5&lt;&gt;"",$J5=$K5,$J5&gt;=AY$3,$J5&lt;=IF(param_mode_affichage="mois",EOMONTH(AY$3,0),AY$3+6)),"◆",""))</f>
      </c>
      <c r="AZ5" s="26">
        <f>IF(OR($A5="",AZ$3=""),"",IF(AND($J5&lt;&gt;"",$K5&lt;&gt;"",$J5=$K5,$J5&gt;=AZ$3,$J5&lt;=IF(param_mode_affichage="mois",EOMONTH(AZ$3,0),AZ$3+6)),"◆",""))</f>
      </c>
      <c r="BA5" s="26">
        <f>IF(OR($A5="",BA$3=""),"",IF(AND($J5&lt;&gt;"",$K5&lt;&gt;"",$J5=$K5,$J5&gt;=BA$3,$J5&lt;=IF(param_mode_affichage="mois",EOMONTH(BA$3,0),BA$3+6)),"◆",""))</f>
      </c>
      <c r="BB5" s="26">
        <f>IF(OR($A5="",BB$3=""),"",IF(AND($J5&lt;&gt;"",$K5&lt;&gt;"",$J5=$K5,$J5&gt;=BB$3,$J5&lt;=IF(param_mode_affichage="mois",EOMONTH(BB$3,0),BB$3+6)),"◆",""))</f>
      </c>
      <c r="BC5" s="26">
        <f>IF(OR($A5="",BC$3=""),"",IF(AND($J5&lt;&gt;"",$K5&lt;&gt;"",$J5=$K5,$J5&gt;=BC$3,$J5&lt;=IF(param_mode_affichage="mois",EOMONTH(BC$3,0),BC$3+6)),"◆",""))</f>
      </c>
      <c r="BD5" s="26">
        <f>IF(OR($A5="",BD$3=""),"",IF(AND($J5&lt;&gt;"",$K5&lt;&gt;"",$J5=$K5,$J5&gt;=BD$3,$J5&lt;=IF(param_mode_affichage="mois",EOMONTH(BD$3,0),BD$3+6)),"◆",""))</f>
      </c>
      <c r="BE5" s="26">
        <f>IF(OR($A5="",BE$3=""),"",IF(AND($J5&lt;&gt;"",$K5&lt;&gt;"",$J5=$K5,$J5&gt;=BE$3,$J5&lt;=IF(param_mode_affichage="mois",EOMONTH(BE$3,0),BE$3+6)),"◆",""))</f>
      </c>
      <c r="BF5" s="26">
        <f>IF(OR($A5="",BF$3=""),"",IF(AND($J5&lt;&gt;"",$K5&lt;&gt;"",$J5=$K5,$J5&gt;=BF$3,$J5&lt;=IF(param_mode_affichage="mois",EOMONTH(BF$3,0),BF$3+6)),"◆",""))</f>
      </c>
      <c r="BG5" s="26">
        <f>IF(OR($A5="",BG$3=""),"",IF(AND($J5&lt;&gt;"",$K5&lt;&gt;"",$J5=$K5,$J5&gt;=BG$3,$J5&lt;=IF(param_mode_affichage="mois",EOMONTH(BG$3,0),BG$3+6)),"◆",""))</f>
      </c>
      <c r="BH5" s="26">
        <f>IF(OR($A5="",BH$3=""),"",IF(AND($J5&lt;&gt;"",$K5&lt;&gt;"",$J5=$K5,$J5&gt;=BH$3,$J5&lt;=IF(param_mode_affichage="mois",EOMONTH(BH$3,0),BH$3+6)),"◆",""))</f>
      </c>
      <c r="BI5" s="26">
        <f>IF(OR($A5="",BI$3=""),"",IF(AND($J5&lt;&gt;"",$K5&lt;&gt;"",$J5=$K5,$J5&gt;=BI$3,$J5&lt;=IF(param_mode_affichage="mois",EOMONTH(BI$3,0),BI$3+6)),"◆",""))</f>
      </c>
      <c r="BJ5" s="26">
        <f>IF(OR($A5="",BJ$3=""),"",IF(AND($J5&lt;&gt;"",$K5&lt;&gt;"",$J5=$K5,$J5&gt;=BJ$3,$J5&lt;=IF(param_mode_affichage="mois",EOMONTH(BJ$3,0),BJ$3+6)),"◆",""))</f>
      </c>
      <c r="BK5" s="26">
        <f>IF(OR($A5="",BK$3=""),"",IF(AND($J5&lt;&gt;"",$K5&lt;&gt;"",$J5=$K5,$J5&gt;=BK$3,$J5&lt;=IF(param_mode_affichage="mois",EOMONTH(BK$3,0),BK$3+6)),"◆",""))</f>
      </c>
      <c r="BL5" s="26">
        <f>IF(OR($A5="",BL$3=""),"",IF(AND($J5&lt;&gt;"",$K5&lt;&gt;"",$J5=$K5,$J5&gt;=BL$3,$J5&lt;=IF(param_mode_affichage="mois",EOMONTH(BL$3,0),BL$3+6)),"◆",""))</f>
      </c>
    </row>
    <row r="6" spans="1:64" x14ac:dyDescent="0.25">
      <c r="A6" s="23">
        <f>IFERROR(INDEX(tblTasks[ID],ROW()-4),"")</f>
      </c>
      <c r="B6" s="24">
        <f>IF($A6="","",INDEX(tblTasks[Sujet],ROW()-4))</f>
      </c>
      <c r="C6" s="23">
        <f>IF($A6="","",INDEX(tblTasks[Responsable],ROW()-4))</f>
      </c>
      <c r="D6" s="23">
        <f>IF($A6="","",INDEX(tblTasks[Statut],ROW()-4))</f>
      </c>
      <c r="E6" s="23">
        <f>IF($A6="","",INDEX(tblTasks[Depend_de],ROW()-4))</f>
      </c>
      <c r="F6" s="23">
        <f>IF($A6="","",INDEX(tblTasks[Blocage],ROW()-4))</f>
      </c>
      <c r="G6" s="23">
        <f>IF($A6="","",INDEX(tblTasks[Niveau_criticite],ROW()-4))</f>
      </c>
      <c r="H6" s="23">
        <f>IF($A6="","",INDEX(tblTasks[Goulot],ROW()-4))</f>
      </c>
      <c r="I6" s="23">
        <f>IF($A6="","",IF(LOWER($F6)="oui","non",IF($E6="","oui",IFERROR(IF(LOWER(INDEX(tblTasks[Statut],MATCH($E6,tblTasks[ID],0)))="clos","oui","non"),"non"))))</f>
      </c>
      <c r="J6" s="25">
        <f>IF($A6="","",INDEX(tblTasks[Date_debut_prevue],ROW()-4))</f>
      </c>
      <c r="K6" s="25">
        <f>IF($A6="","",INDEX(tblTasks[Date_fin_prevue],ROW()-4))</f>
      </c>
      <c r="L6" s="23">
        <f>IF($A6="","",INDEX(tblTasks[Irreversibilite],ROW()-4))</f>
      </c>
      <c r="M6" s="26">
        <f>IF(OR($A6="",M$3=""),"",IF(AND($J6&lt;&gt;"",$K6&lt;&gt;"",$J6=$K6,$J6&gt;=M$3,$J6&lt;=IF(param_mode_affichage="mois",EOMONTH(M$3,0),M$3+6)),"◆",""))</f>
      </c>
      <c r="N6" s="26">
        <f>IF(OR($A6="",N$3=""),"",IF(AND($J6&lt;&gt;"",$K6&lt;&gt;"",$J6=$K6,$J6&gt;=N$3,$J6&lt;=IF(param_mode_affichage="mois",EOMONTH(N$3,0),N$3+6)),"◆",""))</f>
      </c>
      <c r="O6" s="26">
        <f>IF(OR($A6="",O$3=""),"",IF(AND($J6&lt;&gt;"",$K6&lt;&gt;"",$J6=$K6,$J6&gt;=O$3,$J6&lt;=IF(param_mode_affichage="mois",EOMONTH(O$3,0),O$3+6)),"◆",""))</f>
      </c>
      <c r="P6" s="26">
        <f>IF(OR($A6="",P$3=""),"",IF(AND($J6&lt;&gt;"",$K6&lt;&gt;"",$J6=$K6,$J6&gt;=P$3,$J6&lt;=IF(param_mode_affichage="mois",EOMONTH(P$3,0),P$3+6)),"◆",""))</f>
      </c>
      <c r="Q6" s="26">
        <f>IF(OR($A6="",Q$3=""),"",IF(AND($J6&lt;&gt;"",$K6&lt;&gt;"",$J6=$K6,$J6&gt;=Q$3,$J6&lt;=IF(param_mode_affichage="mois",EOMONTH(Q$3,0),Q$3+6)),"◆",""))</f>
      </c>
      <c r="R6" s="26">
        <f>IF(OR($A6="",R$3=""),"",IF(AND($J6&lt;&gt;"",$K6&lt;&gt;"",$J6=$K6,$J6&gt;=R$3,$J6&lt;=IF(param_mode_affichage="mois",EOMONTH(R$3,0),R$3+6)),"◆",""))</f>
      </c>
      <c r="S6" s="26">
        <f>IF(OR($A6="",S$3=""),"",IF(AND($J6&lt;&gt;"",$K6&lt;&gt;"",$J6=$K6,$J6&gt;=S$3,$J6&lt;=IF(param_mode_affichage="mois",EOMONTH(S$3,0),S$3+6)),"◆",""))</f>
      </c>
      <c r="T6" s="26">
        <f>IF(OR($A6="",T$3=""),"",IF(AND($J6&lt;&gt;"",$K6&lt;&gt;"",$J6=$K6,$J6&gt;=T$3,$J6&lt;=IF(param_mode_affichage="mois",EOMONTH(T$3,0),T$3+6)),"◆",""))</f>
      </c>
      <c r="U6" s="26">
        <f>IF(OR($A6="",U$3=""),"",IF(AND($J6&lt;&gt;"",$K6&lt;&gt;"",$J6=$K6,$J6&gt;=U$3,$J6&lt;=IF(param_mode_affichage="mois",EOMONTH(U$3,0),U$3+6)),"◆",""))</f>
      </c>
      <c r="V6" s="26">
        <f>IF(OR($A6="",V$3=""),"",IF(AND($J6&lt;&gt;"",$K6&lt;&gt;"",$J6=$K6,$J6&gt;=V$3,$J6&lt;=IF(param_mode_affichage="mois",EOMONTH(V$3,0),V$3+6)),"◆",""))</f>
      </c>
      <c r="W6" s="26">
        <f>IF(OR($A6="",W$3=""),"",IF(AND($J6&lt;&gt;"",$K6&lt;&gt;"",$J6=$K6,$J6&gt;=W$3,$J6&lt;=IF(param_mode_affichage="mois",EOMONTH(W$3,0),W$3+6)),"◆",""))</f>
      </c>
      <c r="X6" s="26">
        <f>IF(OR($A6="",X$3=""),"",IF(AND($J6&lt;&gt;"",$K6&lt;&gt;"",$J6=$K6,$J6&gt;=X$3,$J6&lt;=IF(param_mode_affichage="mois",EOMONTH(X$3,0),X$3+6)),"◆",""))</f>
      </c>
      <c r="Y6" s="26">
        <f>IF(OR($A6="",Y$3=""),"",IF(AND($J6&lt;&gt;"",$K6&lt;&gt;"",$J6=$K6,$J6&gt;=Y$3,$J6&lt;=IF(param_mode_affichage="mois",EOMONTH(Y$3,0),Y$3+6)),"◆",""))</f>
      </c>
      <c r="Z6" s="26">
        <f>IF(OR($A6="",Z$3=""),"",IF(AND($J6&lt;&gt;"",$K6&lt;&gt;"",$J6=$K6,$J6&gt;=Z$3,$J6&lt;=IF(param_mode_affichage="mois",EOMONTH(Z$3,0),Z$3+6)),"◆",""))</f>
      </c>
      <c r="AA6" s="26">
        <f>IF(OR($A6="",AA$3=""),"",IF(AND($J6&lt;&gt;"",$K6&lt;&gt;"",$J6=$K6,$J6&gt;=AA$3,$J6&lt;=IF(param_mode_affichage="mois",EOMONTH(AA$3,0),AA$3+6)),"◆",""))</f>
      </c>
      <c r="AB6" s="26">
        <f>IF(OR($A6="",AB$3=""),"",IF(AND($J6&lt;&gt;"",$K6&lt;&gt;"",$J6=$K6,$J6&gt;=AB$3,$J6&lt;=IF(param_mode_affichage="mois",EOMONTH(AB$3,0),AB$3+6)),"◆",""))</f>
      </c>
      <c r="AC6" s="26">
        <f>IF(OR($A6="",AC$3=""),"",IF(AND($J6&lt;&gt;"",$K6&lt;&gt;"",$J6=$K6,$J6&gt;=AC$3,$J6&lt;=IF(param_mode_affichage="mois",EOMONTH(AC$3,0),AC$3+6)),"◆",""))</f>
      </c>
      <c r="AD6" s="26">
        <f>IF(OR($A6="",AD$3=""),"",IF(AND($J6&lt;&gt;"",$K6&lt;&gt;"",$J6=$K6,$J6&gt;=AD$3,$J6&lt;=IF(param_mode_affichage="mois",EOMONTH(AD$3,0),AD$3+6)),"◆",""))</f>
      </c>
      <c r="AE6" s="26">
        <f>IF(OR($A6="",AE$3=""),"",IF(AND($J6&lt;&gt;"",$K6&lt;&gt;"",$J6=$K6,$J6&gt;=AE$3,$J6&lt;=IF(param_mode_affichage="mois",EOMONTH(AE$3,0),AE$3+6)),"◆",""))</f>
      </c>
      <c r="AF6" s="26">
        <f>IF(OR($A6="",AF$3=""),"",IF(AND($J6&lt;&gt;"",$K6&lt;&gt;"",$J6=$K6,$J6&gt;=AF$3,$J6&lt;=IF(param_mode_affichage="mois",EOMONTH(AF$3,0),AF$3+6)),"◆",""))</f>
      </c>
      <c r="AG6" s="26">
        <f>IF(OR($A6="",AG$3=""),"",IF(AND($J6&lt;&gt;"",$K6&lt;&gt;"",$J6=$K6,$J6&gt;=AG$3,$J6&lt;=IF(param_mode_affichage="mois",EOMONTH(AG$3,0),AG$3+6)),"◆",""))</f>
      </c>
      <c r="AH6" s="26">
        <f>IF(OR($A6="",AH$3=""),"",IF(AND($J6&lt;&gt;"",$K6&lt;&gt;"",$J6=$K6,$J6&gt;=AH$3,$J6&lt;=IF(param_mode_affichage="mois",EOMONTH(AH$3,0),AH$3+6)),"◆",""))</f>
      </c>
      <c r="AI6" s="26">
        <f>IF(OR($A6="",AI$3=""),"",IF(AND($J6&lt;&gt;"",$K6&lt;&gt;"",$J6=$K6,$J6&gt;=AI$3,$J6&lt;=IF(param_mode_affichage="mois",EOMONTH(AI$3,0),AI$3+6)),"◆",""))</f>
      </c>
      <c r="AJ6" s="26">
        <f>IF(OR($A6="",AJ$3=""),"",IF(AND($J6&lt;&gt;"",$K6&lt;&gt;"",$J6=$K6,$J6&gt;=AJ$3,$J6&lt;=IF(param_mode_affichage="mois",EOMONTH(AJ$3,0),AJ$3+6)),"◆",""))</f>
      </c>
      <c r="AK6" s="26">
        <f>IF(OR($A6="",AK$3=""),"",IF(AND($J6&lt;&gt;"",$K6&lt;&gt;"",$J6=$K6,$J6&gt;=AK$3,$J6&lt;=IF(param_mode_affichage="mois",EOMONTH(AK$3,0),AK$3+6)),"◆",""))</f>
      </c>
      <c r="AL6" s="26">
        <f>IF(OR($A6="",AL$3=""),"",IF(AND($J6&lt;&gt;"",$K6&lt;&gt;"",$J6=$K6,$J6&gt;=AL$3,$J6&lt;=IF(param_mode_affichage="mois",EOMONTH(AL$3,0),AL$3+6)),"◆",""))</f>
      </c>
      <c r="AM6" s="26">
        <f>IF(OR($A6="",AM$3=""),"",IF(AND($J6&lt;&gt;"",$K6&lt;&gt;"",$J6=$K6,$J6&gt;=AM$3,$J6&lt;=IF(param_mode_affichage="mois",EOMONTH(AM$3,0),AM$3+6)),"◆",""))</f>
      </c>
      <c r="AN6" s="26">
        <f>IF(OR($A6="",AN$3=""),"",IF(AND($J6&lt;&gt;"",$K6&lt;&gt;"",$J6=$K6,$J6&gt;=AN$3,$J6&lt;=IF(param_mode_affichage="mois",EOMONTH(AN$3,0),AN$3+6)),"◆",""))</f>
      </c>
      <c r="AO6" s="26">
        <f>IF(OR($A6="",AO$3=""),"",IF(AND($J6&lt;&gt;"",$K6&lt;&gt;"",$J6=$K6,$J6&gt;=AO$3,$J6&lt;=IF(param_mode_affichage="mois",EOMONTH(AO$3,0),AO$3+6)),"◆",""))</f>
      </c>
      <c r="AP6" s="26">
        <f>IF(OR($A6="",AP$3=""),"",IF(AND($J6&lt;&gt;"",$K6&lt;&gt;"",$J6=$K6,$J6&gt;=AP$3,$J6&lt;=IF(param_mode_affichage="mois",EOMONTH(AP$3,0),AP$3+6)),"◆",""))</f>
      </c>
      <c r="AQ6" s="26">
        <f>IF(OR($A6="",AQ$3=""),"",IF(AND($J6&lt;&gt;"",$K6&lt;&gt;"",$J6=$K6,$J6&gt;=AQ$3,$J6&lt;=IF(param_mode_affichage="mois",EOMONTH(AQ$3,0),AQ$3+6)),"◆",""))</f>
      </c>
      <c r="AR6" s="26">
        <f>IF(OR($A6="",AR$3=""),"",IF(AND($J6&lt;&gt;"",$K6&lt;&gt;"",$J6=$K6,$J6&gt;=AR$3,$J6&lt;=IF(param_mode_affichage="mois",EOMONTH(AR$3,0),AR$3+6)),"◆",""))</f>
      </c>
      <c r="AS6" s="26">
        <f>IF(OR($A6="",AS$3=""),"",IF(AND($J6&lt;&gt;"",$K6&lt;&gt;"",$J6=$K6,$J6&gt;=AS$3,$J6&lt;=IF(param_mode_affichage="mois",EOMONTH(AS$3,0),AS$3+6)),"◆",""))</f>
      </c>
      <c r="AT6" s="26">
        <f>IF(OR($A6="",AT$3=""),"",IF(AND($J6&lt;&gt;"",$K6&lt;&gt;"",$J6=$K6,$J6&gt;=AT$3,$J6&lt;=IF(param_mode_affichage="mois",EOMONTH(AT$3,0),AT$3+6)),"◆",""))</f>
      </c>
      <c r="AU6" s="26">
        <f>IF(OR($A6="",AU$3=""),"",IF(AND($J6&lt;&gt;"",$K6&lt;&gt;"",$J6=$K6,$J6&gt;=AU$3,$J6&lt;=IF(param_mode_affichage="mois",EOMONTH(AU$3,0),AU$3+6)),"◆",""))</f>
      </c>
      <c r="AV6" s="26">
        <f>IF(OR($A6="",AV$3=""),"",IF(AND($J6&lt;&gt;"",$K6&lt;&gt;"",$J6=$K6,$J6&gt;=AV$3,$J6&lt;=IF(param_mode_affichage="mois",EOMONTH(AV$3,0),AV$3+6)),"◆",""))</f>
      </c>
      <c r="AW6" s="26">
        <f>IF(OR($A6="",AW$3=""),"",IF(AND($J6&lt;&gt;"",$K6&lt;&gt;"",$J6=$K6,$J6&gt;=AW$3,$J6&lt;=IF(param_mode_affichage="mois",EOMONTH(AW$3,0),AW$3+6)),"◆",""))</f>
      </c>
      <c r="AX6" s="26">
        <f>IF(OR($A6="",AX$3=""),"",IF(AND($J6&lt;&gt;"",$K6&lt;&gt;"",$J6=$K6,$J6&gt;=AX$3,$J6&lt;=IF(param_mode_affichage="mois",EOMONTH(AX$3,0),AX$3+6)),"◆",""))</f>
      </c>
      <c r="AY6" s="26">
        <f>IF(OR($A6="",AY$3=""),"",IF(AND($J6&lt;&gt;"",$K6&lt;&gt;"",$J6=$K6,$J6&gt;=AY$3,$J6&lt;=IF(param_mode_affichage="mois",EOMONTH(AY$3,0),AY$3+6)),"◆",""))</f>
      </c>
      <c r="AZ6" s="26">
        <f>IF(OR($A6="",AZ$3=""),"",IF(AND($J6&lt;&gt;"",$K6&lt;&gt;"",$J6=$K6,$J6&gt;=AZ$3,$J6&lt;=IF(param_mode_affichage="mois",EOMONTH(AZ$3,0),AZ$3+6)),"◆",""))</f>
      </c>
      <c r="BA6" s="26">
        <f>IF(OR($A6="",BA$3=""),"",IF(AND($J6&lt;&gt;"",$K6&lt;&gt;"",$J6=$K6,$J6&gt;=BA$3,$J6&lt;=IF(param_mode_affichage="mois",EOMONTH(BA$3,0),BA$3+6)),"◆",""))</f>
      </c>
      <c r="BB6" s="26">
        <f>IF(OR($A6="",BB$3=""),"",IF(AND($J6&lt;&gt;"",$K6&lt;&gt;"",$J6=$K6,$J6&gt;=BB$3,$J6&lt;=IF(param_mode_affichage="mois",EOMONTH(BB$3,0),BB$3+6)),"◆",""))</f>
      </c>
      <c r="BC6" s="26">
        <f>IF(OR($A6="",BC$3=""),"",IF(AND($J6&lt;&gt;"",$K6&lt;&gt;"",$J6=$K6,$J6&gt;=BC$3,$J6&lt;=IF(param_mode_affichage="mois",EOMONTH(BC$3,0),BC$3+6)),"◆",""))</f>
      </c>
      <c r="BD6" s="26">
        <f>IF(OR($A6="",BD$3=""),"",IF(AND($J6&lt;&gt;"",$K6&lt;&gt;"",$J6=$K6,$J6&gt;=BD$3,$J6&lt;=IF(param_mode_affichage="mois",EOMONTH(BD$3,0),BD$3+6)),"◆",""))</f>
      </c>
      <c r="BE6" s="26">
        <f>IF(OR($A6="",BE$3=""),"",IF(AND($J6&lt;&gt;"",$K6&lt;&gt;"",$J6=$K6,$J6&gt;=BE$3,$J6&lt;=IF(param_mode_affichage="mois",EOMONTH(BE$3,0),BE$3+6)),"◆",""))</f>
      </c>
      <c r="BF6" s="26">
        <f>IF(OR($A6="",BF$3=""),"",IF(AND($J6&lt;&gt;"",$K6&lt;&gt;"",$J6=$K6,$J6&gt;=BF$3,$J6&lt;=IF(param_mode_affichage="mois",EOMONTH(BF$3,0),BF$3+6)),"◆",""))</f>
      </c>
      <c r="BG6" s="26">
        <f>IF(OR($A6="",BG$3=""),"",IF(AND($J6&lt;&gt;"",$K6&lt;&gt;"",$J6=$K6,$J6&gt;=BG$3,$J6&lt;=IF(param_mode_affichage="mois",EOMONTH(BG$3,0),BG$3+6)),"◆",""))</f>
      </c>
      <c r="BH6" s="26">
        <f>IF(OR($A6="",BH$3=""),"",IF(AND($J6&lt;&gt;"",$K6&lt;&gt;"",$J6=$K6,$J6&gt;=BH$3,$J6&lt;=IF(param_mode_affichage="mois",EOMONTH(BH$3,0),BH$3+6)),"◆",""))</f>
      </c>
      <c r="BI6" s="26">
        <f>IF(OR($A6="",BI$3=""),"",IF(AND($J6&lt;&gt;"",$K6&lt;&gt;"",$J6=$K6,$J6&gt;=BI$3,$J6&lt;=IF(param_mode_affichage="mois",EOMONTH(BI$3,0),BI$3+6)),"◆",""))</f>
      </c>
      <c r="BJ6" s="26">
        <f>IF(OR($A6="",BJ$3=""),"",IF(AND($J6&lt;&gt;"",$K6&lt;&gt;"",$J6=$K6,$J6&gt;=BJ$3,$J6&lt;=IF(param_mode_affichage="mois",EOMONTH(BJ$3,0),BJ$3+6)),"◆",""))</f>
      </c>
      <c r="BK6" s="26">
        <f>IF(OR($A6="",BK$3=""),"",IF(AND($J6&lt;&gt;"",$K6&lt;&gt;"",$J6=$K6,$J6&gt;=BK$3,$J6&lt;=IF(param_mode_affichage="mois",EOMONTH(BK$3,0),BK$3+6)),"◆",""))</f>
      </c>
      <c r="BL6" s="26">
        <f>IF(OR($A6="",BL$3=""),"",IF(AND($J6&lt;&gt;"",$K6&lt;&gt;"",$J6=$K6,$J6&gt;=BL$3,$J6&lt;=IF(param_mode_affichage="mois",EOMONTH(BL$3,0),BL$3+6)),"◆",""))</f>
      </c>
    </row>
    <row r="7" spans="1:64" x14ac:dyDescent="0.25">
      <c r="A7" s="23">
        <f>IFERROR(INDEX(tblTasks[ID],ROW()-4),"")</f>
      </c>
      <c r="B7" s="24">
        <f>IF($A7="","",INDEX(tblTasks[Sujet],ROW()-4))</f>
      </c>
      <c r="C7" s="23">
        <f>IF($A7="","",INDEX(tblTasks[Responsable],ROW()-4))</f>
      </c>
      <c r="D7" s="23">
        <f>IF($A7="","",INDEX(tblTasks[Statut],ROW()-4))</f>
      </c>
      <c r="E7" s="23">
        <f>IF($A7="","",INDEX(tblTasks[Depend_de],ROW()-4))</f>
      </c>
      <c r="F7" s="23">
        <f>IF($A7="","",INDEX(tblTasks[Blocage],ROW()-4))</f>
      </c>
      <c r="G7" s="23">
        <f>IF($A7="","",INDEX(tblTasks[Niveau_criticite],ROW()-4))</f>
      </c>
      <c r="H7" s="23">
        <f>IF($A7="","",INDEX(tblTasks[Goulot],ROW()-4))</f>
      </c>
      <c r="I7" s="23">
        <f>IF($A7="","",IF(LOWER($F7)="oui","non",IF($E7="","oui",IFERROR(IF(LOWER(INDEX(tblTasks[Statut],MATCH($E7,tblTasks[ID],0)))="clos","oui","non"),"non"))))</f>
      </c>
      <c r="J7" s="25">
        <f>IF($A7="","",INDEX(tblTasks[Date_debut_prevue],ROW()-4))</f>
      </c>
      <c r="K7" s="25">
        <f>IF($A7="","",INDEX(tblTasks[Date_fin_prevue],ROW()-4))</f>
      </c>
      <c r="L7" s="23">
        <f>IF($A7="","",INDEX(tblTasks[Irreversibilite],ROW()-4))</f>
      </c>
      <c r="M7" s="26">
        <f>IF(OR($A7="",M$3=""),"",IF(AND($J7&lt;&gt;"",$K7&lt;&gt;"",$J7=$K7,$J7&gt;=M$3,$J7&lt;=IF(param_mode_affichage="mois",EOMONTH(M$3,0),M$3+6)),"◆",""))</f>
      </c>
      <c r="N7" s="26">
        <f>IF(OR($A7="",N$3=""),"",IF(AND($J7&lt;&gt;"",$K7&lt;&gt;"",$J7=$K7,$J7&gt;=N$3,$J7&lt;=IF(param_mode_affichage="mois",EOMONTH(N$3,0),N$3+6)),"◆",""))</f>
      </c>
      <c r="O7" s="26">
        <f>IF(OR($A7="",O$3=""),"",IF(AND($J7&lt;&gt;"",$K7&lt;&gt;"",$J7=$K7,$J7&gt;=O$3,$J7&lt;=IF(param_mode_affichage="mois",EOMONTH(O$3,0),O$3+6)),"◆",""))</f>
      </c>
      <c r="P7" s="26">
        <f>IF(OR($A7="",P$3=""),"",IF(AND($J7&lt;&gt;"",$K7&lt;&gt;"",$J7=$K7,$J7&gt;=P$3,$J7&lt;=IF(param_mode_affichage="mois",EOMONTH(P$3,0),P$3+6)),"◆",""))</f>
      </c>
      <c r="Q7" s="26">
        <f>IF(OR($A7="",Q$3=""),"",IF(AND($J7&lt;&gt;"",$K7&lt;&gt;"",$J7=$K7,$J7&gt;=Q$3,$J7&lt;=IF(param_mode_affichage="mois",EOMONTH(Q$3,0),Q$3+6)),"◆",""))</f>
      </c>
      <c r="R7" s="26">
        <f>IF(OR($A7="",R$3=""),"",IF(AND($J7&lt;&gt;"",$K7&lt;&gt;"",$J7=$K7,$J7&gt;=R$3,$J7&lt;=IF(param_mode_affichage="mois",EOMONTH(R$3,0),R$3+6)),"◆",""))</f>
      </c>
      <c r="S7" s="26">
        <f>IF(OR($A7="",S$3=""),"",IF(AND($J7&lt;&gt;"",$K7&lt;&gt;"",$J7=$K7,$J7&gt;=S$3,$J7&lt;=IF(param_mode_affichage="mois",EOMONTH(S$3,0),S$3+6)),"◆",""))</f>
      </c>
      <c r="T7" s="26">
        <f>IF(OR($A7="",T$3=""),"",IF(AND($J7&lt;&gt;"",$K7&lt;&gt;"",$J7=$K7,$J7&gt;=T$3,$J7&lt;=IF(param_mode_affichage="mois",EOMONTH(T$3,0),T$3+6)),"◆",""))</f>
      </c>
      <c r="U7" s="26">
        <f>IF(OR($A7="",U$3=""),"",IF(AND($J7&lt;&gt;"",$K7&lt;&gt;"",$J7=$K7,$J7&gt;=U$3,$J7&lt;=IF(param_mode_affichage="mois",EOMONTH(U$3,0),U$3+6)),"◆",""))</f>
      </c>
      <c r="V7" s="26">
        <f>IF(OR($A7="",V$3=""),"",IF(AND($J7&lt;&gt;"",$K7&lt;&gt;"",$J7=$K7,$J7&gt;=V$3,$J7&lt;=IF(param_mode_affichage="mois",EOMONTH(V$3,0),V$3+6)),"◆",""))</f>
      </c>
      <c r="W7" s="26">
        <f>IF(OR($A7="",W$3=""),"",IF(AND($J7&lt;&gt;"",$K7&lt;&gt;"",$J7=$K7,$J7&gt;=W$3,$J7&lt;=IF(param_mode_affichage="mois",EOMONTH(W$3,0),W$3+6)),"◆",""))</f>
      </c>
      <c r="X7" s="26">
        <f>IF(OR($A7="",X$3=""),"",IF(AND($J7&lt;&gt;"",$K7&lt;&gt;"",$J7=$K7,$J7&gt;=X$3,$J7&lt;=IF(param_mode_affichage="mois",EOMONTH(X$3,0),X$3+6)),"◆",""))</f>
      </c>
      <c r="Y7" s="26">
        <f>IF(OR($A7="",Y$3=""),"",IF(AND($J7&lt;&gt;"",$K7&lt;&gt;"",$J7=$K7,$J7&gt;=Y$3,$J7&lt;=IF(param_mode_affichage="mois",EOMONTH(Y$3,0),Y$3+6)),"◆",""))</f>
      </c>
      <c r="Z7" s="26">
        <f>IF(OR($A7="",Z$3=""),"",IF(AND($J7&lt;&gt;"",$K7&lt;&gt;"",$J7=$K7,$J7&gt;=Z$3,$J7&lt;=IF(param_mode_affichage="mois",EOMONTH(Z$3,0),Z$3+6)),"◆",""))</f>
      </c>
      <c r="AA7" s="26">
        <f>IF(OR($A7="",AA$3=""),"",IF(AND($J7&lt;&gt;"",$K7&lt;&gt;"",$J7=$K7,$J7&gt;=AA$3,$J7&lt;=IF(param_mode_affichage="mois",EOMONTH(AA$3,0),AA$3+6)),"◆",""))</f>
      </c>
      <c r="AB7" s="26">
        <f>IF(OR($A7="",AB$3=""),"",IF(AND($J7&lt;&gt;"",$K7&lt;&gt;"",$J7=$K7,$J7&gt;=AB$3,$J7&lt;=IF(param_mode_affichage="mois",EOMONTH(AB$3,0),AB$3+6)),"◆",""))</f>
      </c>
      <c r="AC7" s="26">
        <f>IF(OR($A7="",AC$3=""),"",IF(AND($J7&lt;&gt;"",$K7&lt;&gt;"",$J7=$K7,$J7&gt;=AC$3,$J7&lt;=IF(param_mode_affichage="mois",EOMONTH(AC$3,0),AC$3+6)),"◆",""))</f>
      </c>
      <c r="AD7" s="26">
        <f>IF(OR($A7="",AD$3=""),"",IF(AND($J7&lt;&gt;"",$K7&lt;&gt;"",$J7=$K7,$J7&gt;=AD$3,$J7&lt;=IF(param_mode_affichage="mois",EOMONTH(AD$3,0),AD$3+6)),"◆",""))</f>
      </c>
      <c r="AE7" s="26">
        <f>IF(OR($A7="",AE$3=""),"",IF(AND($J7&lt;&gt;"",$K7&lt;&gt;"",$J7=$K7,$J7&gt;=AE$3,$J7&lt;=IF(param_mode_affichage="mois",EOMONTH(AE$3,0),AE$3+6)),"◆",""))</f>
      </c>
      <c r="AF7" s="26">
        <f>IF(OR($A7="",AF$3=""),"",IF(AND($J7&lt;&gt;"",$K7&lt;&gt;"",$J7=$K7,$J7&gt;=AF$3,$J7&lt;=IF(param_mode_affichage="mois",EOMONTH(AF$3,0),AF$3+6)),"◆",""))</f>
      </c>
      <c r="AG7" s="26">
        <f>IF(OR($A7="",AG$3=""),"",IF(AND($J7&lt;&gt;"",$K7&lt;&gt;"",$J7=$K7,$J7&gt;=AG$3,$J7&lt;=IF(param_mode_affichage="mois",EOMONTH(AG$3,0),AG$3+6)),"◆",""))</f>
      </c>
      <c r="AH7" s="26">
        <f>IF(OR($A7="",AH$3=""),"",IF(AND($J7&lt;&gt;"",$K7&lt;&gt;"",$J7=$K7,$J7&gt;=AH$3,$J7&lt;=IF(param_mode_affichage="mois",EOMONTH(AH$3,0),AH$3+6)),"◆",""))</f>
      </c>
      <c r="AI7" s="26">
        <f>IF(OR($A7="",AI$3=""),"",IF(AND($J7&lt;&gt;"",$K7&lt;&gt;"",$J7=$K7,$J7&gt;=AI$3,$J7&lt;=IF(param_mode_affichage="mois",EOMONTH(AI$3,0),AI$3+6)),"◆",""))</f>
      </c>
      <c r="AJ7" s="26">
        <f>IF(OR($A7="",AJ$3=""),"",IF(AND($J7&lt;&gt;"",$K7&lt;&gt;"",$J7=$K7,$J7&gt;=AJ$3,$J7&lt;=IF(param_mode_affichage="mois",EOMONTH(AJ$3,0),AJ$3+6)),"◆",""))</f>
      </c>
      <c r="AK7" s="26">
        <f>IF(OR($A7="",AK$3=""),"",IF(AND($J7&lt;&gt;"",$K7&lt;&gt;"",$J7=$K7,$J7&gt;=AK$3,$J7&lt;=IF(param_mode_affichage="mois",EOMONTH(AK$3,0),AK$3+6)),"◆",""))</f>
      </c>
      <c r="AL7" s="26">
        <f>IF(OR($A7="",AL$3=""),"",IF(AND($J7&lt;&gt;"",$K7&lt;&gt;"",$J7=$K7,$J7&gt;=AL$3,$J7&lt;=IF(param_mode_affichage="mois",EOMONTH(AL$3,0),AL$3+6)),"◆",""))</f>
      </c>
      <c r="AM7" s="26">
        <f>IF(OR($A7="",AM$3=""),"",IF(AND($J7&lt;&gt;"",$K7&lt;&gt;"",$J7=$K7,$J7&gt;=AM$3,$J7&lt;=IF(param_mode_affichage="mois",EOMONTH(AM$3,0),AM$3+6)),"◆",""))</f>
      </c>
      <c r="AN7" s="26">
        <f>IF(OR($A7="",AN$3=""),"",IF(AND($J7&lt;&gt;"",$K7&lt;&gt;"",$J7=$K7,$J7&gt;=AN$3,$J7&lt;=IF(param_mode_affichage="mois",EOMONTH(AN$3,0),AN$3+6)),"◆",""))</f>
      </c>
      <c r="AO7" s="26">
        <f>IF(OR($A7="",AO$3=""),"",IF(AND($J7&lt;&gt;"",$K7&lt;&gt;"",$J7=$K7,$J7&gt;=AO$3,$J7&lt;=IF(param_mode_affichage="mois",EOMONTH(AO$3,0),AO$3+6)),"◆",""))</f>
      </c>
      <c r="AP7" s="26">
        <f>IF(OR($A7="",AP$3=""),"",IF(AND($J7&lt;&gt;"",$K7&lt;&gt;"",$J7=$K7,$J7&gt;=AP$3,$J7&lt;=IF(param_mode_affichage="mois",EOMONTH(AP$3,0),AP$3+6)),"◆",""))</f>
      </c>
      <c r="AQ7" s="26">
        <f>IF(OR($A7="",AQ$3=""),"",IF(AND($J7&lt;&gt;"",$K7&lt;&gt;"",$J7=$K7,$J7&gt;=AQ$3,$J7&lt;=IF(param_mode_affichage="mois",EOMONTH(AQ$3,0),AQ$3+6)),"◆",""))</f>
      </c>
      <c r="AR7" s="26">
        <f>IF(OR($A7="",AR$3=""),"",IF(AND($J7&lt;&gt;"",$K7&lt;&gt;"",$J7=$K7,$J7&gt;=AR$3,$J7&lt;=IF(param_mode_affichage="mois",EOMONTH(AR$3,0),AR$3+6)),"◆",""))</f>
      </c>
      <c r="AS7" s="26">
        <f>IF(OR($A7="",AS$3=""),"",IF(AND($J7&lt;&gt;"",$K7&lt;&gt;"",$J7=$K7,$J7&gt;=AS$3,$J7&lt;=IF(param_mode_affichage="mois",EOMONTH(AS$3,0),AS$3+6)),"◆",""))</f>
      </c>
      <c r="AT7" s="26">
        <f>IF(OR($A7="",AT$3=""),"",IF(AND($J7&lt;&gt;"",$K7&lt;&gt;"",$J7=$K7,$J7&gt;=AT$3,$J7&lt;=IF(param_mode_affichage="mois",EOMONTH(AT$3,0),AT$3+6)),"◆",""))</f>
      </c>
      <c r="AU7" s="26">
        <f>IF(OR($A7="",AU$3=""),"",IF(AND($J7&lt;&gt;"",$K7&lt;&gt;"",$J7=$K7,$J7&gt;=AU$3,$J7&lt;=IF(param_mode_affichage="mois",EOMONTH(AU$3,0),AU$3+6)),"◆",""))</f>
      </c>
      <c r="AV7" s="26">
        <f>IF(OR($A7="",AV$3=""),"",IF(AND($J7&lt;&gt;"",$K7&lt;&gt;"",$J7=$K7,$J7&gt;=AV$3,$J7&lt;=IF(param_mode_affichage="mois",EOMONTH(AV$3,0),AV$3+6)),"◆",""))</f>
      </c>
      <c r="AW7" s="26">
        <f>IF(OR($A7="",AW$3=""),"",IF(AND($J7&lt;&gt;"",$K7&lt;&gt;"",$J7=$K7,$J7&gt;=AW$3,$J7&lt;=IF(param_mode_affichage="mois",EOMONTH(AW$3,0),AW$3+6)),"◆",""))</f>
      </c>
      <c r="AX7" s="26">
        <f>IF(OR($A7="",AX$3=""),"",IF(AND($J7&lt;&gt;"",$K7&lt;&gt;"",$J7=$K7,$J7&gt;=AX$3,$J7&lt;=IF(param_mode_affichage="mois",EOMONTH(AX$3,0),AX$3+6)),"◆",""))</f>
      </c>
      <c r="AY7" s="26">
        <f>IF(OR($A7="",AY$3=""),"",IF(AND($J7&lt;&gt;"",$K7&lt;&gt;"",$J7=$K7,$J7&gt;=AY$3,$J7&lt;=IF(param_mode_affichage="mois",EOMONTH(AY$3,0),AY$3+6)),"◆",""))</f>
      </c>
      <c r="AZ7" s="26">
        <f>IF(OR($A7="",AZ$3=""),"",IF(AND($J7&lt;&gt;"",$K7&lt;&gt;"",$J7=$K7,$J7&gt;=AZ$3,$J7&lt;=IF(param_mode_affichage="mois",EOMONTH(AZ$3,0),AZ$3+6)),"◆",""))</f>
      </c>
      <c r="BA7" s="26">
        <f>IF(OR($A7="",BA$3=""),"",IF(AND($J7&lt;&gt;"",$K7&lt;&gt;"",$J7=$K7,$J7&gt;=BA$3,$J7&lt;=IF(param_mode_affichage="mois",EOMONTH(BA$3,0),BA$3+6)),"◆",""))</f>
      </c>
      <c r="BB7" s="26">
        <f>IF(OR($A7="",BB$3=""),"",IF(AND($J7&lt;&gt;"",$K7&lt;&gt;"",$J7=$K7,$J7&gt;=BB$3,$J7&lt;=IF(param_mode_affichage="mois",EOMONTH(BB$3,0),BB$3+6)),"◆",""))</f>
      </c>
      <c r="BC7" s="26">
        <f>IF(OR($A7="",BC$3=""),"",IF(AND($J7&lt;&gt;"",$K7&lt;&gt;"",$J7=$K7,$J7&gt;=BC$3,$J7&lt;=IF(param_mode_affichage="mois",EOMONTH(BC$3,0),BC$3+6)),"◆",""))</f>
      </c>
      <c r="BD7" s="26">
        <f>IF(OR($A7="",BD$3=""),"",IF(AND($J7&lt;&gt;"",$K7&lt;&gt;"",$J7=$K7,$J7&gt;=BD$3,$J7&lt;=IF(param_mode_affichage="mois",EOMONTH(BD$3,0),BD$3+6)),"◆",""))</f>
      </c>
      <c r="BE7" s="26">
        <f>IF(OR($A7="",BE$3=""),"",IF(AND($J7&lt;&gt;"",$K7&lt;&gt;"",$J7=$K7,$J7&gt;=BE$3,$J7&lt;=IF(param_mode_affichage="mois",EOMONTH(BE$3,0),BE$3+6)),"◆",""))</f>
      </c>
      <c r="BF7" s="26">
        <f>IF(OR($A7="",BF$3=""),"",IF(AND($J7&lt;&gt;"",$K7&lt;&gt;"",$J7=$K7,$J7&gt;=BF$3,$J7&lt;=IF(param_mode_affichage="mois",EOMONTH(BF$3,0),BF$3+6)),"◆",""))</f>
      </c>
      <c r="BG7" s="26">
        <f>IF(OR($A7="",BG$3=""),"",IF(AND($J7&lt;&gt;"",$K7&lt;&gt;"",$J7=$K7,$J7&gt;=BG$3,$J7&lt;=IF(param_mode_affichage="mois",EOMONTH(BG$3,0),BG$3+6)),"◆",""))</f>
      </c>
      <c r="BH7" s="26">
        <f>IF(OR($A7="",BH$3=""),"",IF(AND($J7&lt;&gt;"",$K7&lt;&gt;"",$J7=$K7,$J7&gt;=BH$3,$J7&lt;=IF(param_mode_affichage="mois",EOMONTH(BH$3,0),BH$3+6)),"◆",""))</f>
      </c>
      <c r="BI7" s="26">
        <f>IF(OR($A7="",BI$3=""),"",IF(AND($J7&lt;&gt;"",$K7&lt;&gt;"",$J7=$K7,$J7&gt;=BI$3,$J7&lt;=IF(param_mode_affichage="mois",EOMONTH(BI$3,0),BI$3+6)),"◆",""))</f>
      </c>
      <c r="BJ7" s="26">
        <f>IF(OR($A7="",BJ$3=""),"",IF(AND($J7&lt;&gt;"",$K7&lt;&gt;"",$J7=$K7,$J7&gt;=BJ$3,$J7&lt;=IF(param_mode_affichage="mois",EOMONTH(BJ$3,0),BJ$3+6)),"◆",""))</f>
      </c>
      <c r="BK7" s="26">
        <f>IF(OR($A7="",BK$3=""),"",IF(AND($J7&lt;&gt;"",$K7&lt;&gt;"",$J7=$K7,$J7&gt;=BK$3,$J7&lt;=IF(param_mode_affichage="mois",EOMONTH(BK$3,0),BK$3+6)),"◆",""))</f>
      </c>
      <c r="BL7" s="26">
        <f>IF(OR($A7="",BL$3=""),"",IF(AND($J7&lt;&gt;"",$K7&lt;&gt;"",$J7=$K7,$J7&gt;=BL$3,$J7&lt;=IF(param_mode_affichage="mois",EOMONTH(BL$3,0),BL$3+6)),"◆",""))</f>
      </c>
    </row>
    <row r="8" spans="1:64" x14ac:dyDescent="0.25">
      <c r="A8" s="23">
        <f>IFERROR(INDEX(tblTasks[ID],ROW()-4),"")</f>
      </c>
      <c r="B8" s="24">
        <f>IF($A8="","",INDEX(tblTasks[Sujet],ROW()-4))</f>
      </c>
      <c r="C8" s="23">
        <f>IF($A8="","",INDEX(tblTasks[Responsable],ROW()-4))</f>
      </c>
      <c r="D8" s="23">
        <f>IF($A8="","",INDEX(tblTasks[Statut],ROW()-4))</f>
      </c>
      <c r="E8" s="23">
        <f>IF($A8="","",INDEX(tblTasks[Depend_de],ROW()-4))</f>
      </c>
      <c r="F8" s="23">
        <f>IF($A8="","",INDEX(tblTasks[Blocage],ROW()-4))</f>
      </c>
      <c r="G8" s="23">
        <f>IF($A8="","",INDEX(tblTasks[Niveau_criticite],ROW()-4))</f>
      </c>
      <c r="H8" s="23">
        <f>IF($A8="","",INDEX(tblTasks[Goulot],ROW()-4))</f>
      </c>
      <c r="I8" s="23">
        <f>IF($A8="","",IF(LOWER($F8)="oui","non",IF($E8="","oui",IFERROR(IF(LOWER(INDEX(tblTasks[Statut],MATCH($E8,tblTasks[ID],0)))="clos","oui","non"),"non"))))</f>
      </c>
      <c r="J8" s="25">
        <f>IF($A8="","",INDEX(tblTasks[Date_debut_prevue],ROW()-4))</f>
      </c>
      <c r="K8" s="25">
        <f>IF($A8="","",INDEX(tblTasks[Date_fin_prevue],ROW()-4))</f>
      </c>
      <c r="L8" s="23">
        <f>IF($A8="","",INDEX(tblTasks[Irreversibilite],ROW()-4))</f>
      </c>
      <c r="M8" s="26">
        <f>IF(OR($A8="",M$3=""),"",IF(AND($J8&lt;&gt;"",$K8&lt;&gt;"",$J8=$K8,$J8&gt;=M$3,$J8&lt;=IF(param_mode_affichage="mois",EOMONTH(M$3,0),M$3+6)),"◆",""))</f>
      </c>
      <c r="N8" s="26">
        <f>IF(OR($A8="",N$3=""),"",IF(AND($J8&lt;&gt;"",$K8&lt;&gt;"",$J8=$K8,$J8&gt;=N$3,$J8&lt;=IF(param_mode_affichage="mois",EOMONTH(N$3,0),N$3+6)),"◆",""))</f>
      </c>
      <c r="O8" s="26">
        <f>IF(OR($A8="",O$3=""),"",IF(AND($J8&lt;&gt;"",$K8&lt;&gt;"",$J8=$K8,$J8&gt;=O$3,$J8&lt;=IF(param_mode_affichage="mois",EOMONTH(O$3,0),O$3+6)),"◆",""))</f>
      </c>
      <c r="P8" s="26">
        <f>IF(OR($A8="",P$3=""),"",IF(AND($J8&lt;&gt;"",$K8&lt;&gt;"",$J8=$K8,$J8&gt;=P$3,$J8&lt;=IF(param_mode_affichage="mois",EOMONTH(P$3,0),P$3+6)),"◆",""))</f>
      </c>
      <c r="Q8" s="26">
        <f>IF(OR($A8="",Q$3=""),"",IF(AND($J8&lt;&gt;"",$K8&lt;&gt;"",$J8=$K8,$J8&gt;=Q$3,$J8&lt;=IF(param_mode_affichage="mois",EOMONTH(Q$3,0),Q$3+6)),"◆",""))</f>
      </c>
      <c r="R8" s="26">
        <f>IF(OR($A8="",R$3=""),"",IF(AND($J8&lt;&gt;"",$K8&lt;&gt;"",$J8=$K8,$J8&gt;=R$3,$J8&lt;=IF(param_mode_affichage="mois",EOMONTH(R$3,0),R$3+6)),"◆",""))</f>
      </c>
      <c r="S8" s="26">
        <f>IF(OR($A8="",S$3=""),"",IF(AND($J8&lt;&gt;"",$K8&lt;&gt;"",$J8=$K8,$J8&gt;=S$3,$J8&lt;=IF(param_mode_affichage="mois",EOMONTH(S$3,0),S$3+6)),"◆",""))</f>
      </c>
      <c r="T8" s="26">
        <f>IF(OR($A8="",T$3=""),"",IF(AND($J8&lt;&gt;"",$K8&lt;&gt;"",$J8=$K8,$J8&gt;=T$3,$J8&lt;=IF(param_mode_affichage="mois",EOMONTH(T$3,0),T$3+6)),"◆",""))</f>
      </c>
      <c r="U8" s="26">
        <f>IF(OR($A8="",U$3=""),"",IF(AND($J8&lt;&gt;"",$K8&lt;&gt;"",$J8=$K8,$J8&gt;=U$3,$J8&lt;=IF(param_mode_affichage="mois",EOMONTH(U$3,0),U$3+6)),"◆",""))</f>
      </c>
      <c r="V8" s="26">
        <f>IF(OR($A8="",V$3=""),"",IF(AND($J8&lt;&gt;"",$K8&lt;&gt;"",$J8=$K8,$J8&gt;=V$3,$J8&lt;=IF(param_mode_affichage="mois",EOMONTH(V$3,0),V$3+6)),"◆",""))</f>
      </c>
      <c r="W8" s="26">
        <f>IF(OR($A8="",W$3=""),"",IF(AND($J8&lt;&gt;"",$K8&lt;&gt;"",$J8=$K8,$J8&gt;=W$3,$J8&lt;=IF(param_mode_affichage="mois",EOMONTH(W$3,0),W$3+6)),"◆",""))</f>
      </c>
      <c r="X8" s="26">
        <f>IF(OR($A8="",X$3=""),"",IF(AND($J8&lt;&gt;"",$K8&lt;&gt;"",$J8=$K8,$J8&gt;=X$3,$J8&lt;=IF(param_mode_affichage="mois",EOMONTH(X$3,0),X$3+6)),"◆",""))</f>
      </c>
      <c r="Y8" s="26">
        <f>IF(OR($A8="",Y$3=""),"",IF(AND($J8&lt;&gt;"",$K8&lt;&gt;"",$J8=$K8,$J8&gt;=Y$3,$J8&lt;=IF(param_mode_affichage="mois",EOMONTH(Y$3,0),Y$3+6)),"◆",""))</f>
      </c>
      <c r="Z8" s="26">
        <f>IF(OR($A8="",Z$3=""),"",IF(AND($J8&lt;&gt;"",$K8&lt;&gt;"",$J8=$K8,$J8&gt;=Z$3,$J8&lt;=IF(param_mode_affichage="mois",EOMONTH(Z$3,0),Z$3+6)),"◆",""))</f>
      </c>
      <c r="AA8" s="26">
        <f>IF(OR($A8="",AA$3=""),"",IF(AND($J8&lt;&gt;"",$K8&lt;&gt;"",$J8=$K8,$J8&gt;=AA$3,$J8&lt;=IF(param_mode_affichage="mois",EOMONTH(AA$3,0),AA$3+6)),"◆",""))</f>
      </c>
      <c r="AB8" s="26">
        <f>IF(OR($A8="",AB$3=""),"",IF(AND($J8&lt;&gt;"",$K8&lt;&gt;"",$J8=$K8,$J8&gt;=AB$3,$J8&lt;=IF(param_mode_affichage="mois",EOMONTH(AB$3,0),AB$3+6)),"◆",""))</f>
      </c>
      <c r="AC8" s="26">
        <f>IF(OR($A8="",AC$3=""),"",IF(AND($J8&lt;&gt;"",$K8&lt;&gt;"",$J8=$K8,$J8&gt;=AC$3,$J8&lt;=IF(param_mode_affichage="mois",EOMONTH(AC$3,0),AC$3+6)),"◆",""))</f>
      </c>
      <c r="AD8" s="26">
        <f>IF(OR($A8="",AD$3=""),"",IF(AND($J8&lt;&gt;"",$K8&lt;&gt;"",$J8=$K8,$J8&gt;=AD$3,$J8&lt;=IF(param_mode_affichage="mois",EOMONTH(AD$3,0),AD$3+6)),"◆",""))</f>
      </c>
      <c r="AE8" s="26">
        <f>IF(OR($A8="",AE$3=""),"",IF(AND($J8&lt;&gt;"",$K8&lt;&gt;"",$J8=$K8,$J8&gt;=AE$3,$J8&lt;=IF(param_mode_affichage="mois",EOMONTH(AE$3,0),AE$3+6)),"◆",""))</f>
      </c>
      <c r="AF8" s="26">
        <f>IF(OR($A8="",AF$3=""),"",IF(AND($J8&lt;&gt;"",$K8&lt;&gt;"",$J8=$K8,$J8&gt;=AF$3,$J8&lt;=IF(param_mode_affichage="mois",EOMONTH(AF$3,0),AF$3+6)),"◆",""))</f>
      </c>
      <c r="AG8" s="26">
        <f>IF(OR($A8="",AG$3=""),"",IF(AND($J8&lt;&gt;"",$K8&lt;&gt;"",$J8=$K8,$J8&gt;=AG$3,$J8&lt;=IF(param_mode_affichage="mois",EOMONTH(AG$3,0),AG$3+6)),"◆",""))</f>
      </c>
      <c r="AH8" s="26">
        <f>IF(OR($A8="",AH$3=""),"",IF(AND($J8&lt;&gt;"",$K8&lt;&gt;"",$J8=$K8,$J8&gt;=AH$3,$J8&lt;=IF(param_mode_affichage="mois",EOMONTH(AH$3,0),AH$3+6)),"◆",""))</f>
      </c>
      <c r="AI8" s="26">
        <f>IF(OR($A8="",AI$3=""),"",IF(AND($J8&lt;&gt;"",$K8&lt;&gt;"",$J8=$K8,$J8&gt;=AI$3,$J8&lt;=IF(param_mode_affichage="mois",EOMONTH(AI$3,0),AI$3+6)),"◆",""))</f>
      </c>
      <c r="AJ8" s="26">
        <f>IF(OR($A8="",AJ$3=""),"",IF(AND($J8&lt;&gt;"",$K8&lt;&gt;"",$J8=$K8,$J8&gt;=AJ$3,$J8&lt;=IF(param_mode_affichage="mois",EOMONTH(AJ$3,0),AJ$3+6)),"◆",""))</f>
      </c>
      <c r="AK8" s="26">
        <f>IF(OR($A8="",AK$3=""),"",IF(AND($J8&lt;&gt;"",$K8&lt;&gt;"",$J8=$K8,$J8&gt;=AK$3,$J8&lt;=IF(param_mode_affichage="mois",EOMONTH(AK$3,0),AK$3+6)),"◆",""))</f>
      </c>
      <c r="AL8" s="26">
        <f>IF(OR($A8="",AL$3=""),"",IF(AND($J8&lt;&gt;"",$K8&lt;&gt;"",$J8=$K8,$J8&gt;=AL$3,$J8&lt;=IF(param_mode_affichage="mois",EOMONTH(AL$3,0),AL$3+6)),"◆",""))</f>
      </c>
      <c r="AM8" s="26">
        <f>IF(OR($A8="",AM$3=""),"",IF(AND($J8&lt;&gt;"",$K8&lt;&gt;"",$J8=$K8,$J8&gt;=AM$3,$J8&lt;=IF(param_mode_affichage="mois",EOMONTH(AM$3,0),AM$3+6)),"◆",""))</f>
      </c>
      <c r="AN8" s="26">
        <f>IF(OR($A8="",AN$3=""),"",IF(AND($J8&lt;&gt;"",$K8&lt;&gt;"",$J8=$K8,$J8&gt;=AN$3,$J8&lt;=IF(param_mode_affichage="mois",EOMONTH(AN$3,0),AN$3+6)),"◆",""))</f>
      </c>
      <c r="AO8" s="26">
        <f>IF(OR($A8="",AO$3=""),"",IF(AND($J8&lt;&gt;"",$K8&lt;&gt;"",$J8=$K8,$J8&gt;=AO$3,$J8&lt;=IF(param_mode_affichage="mois",EOMONTH(AO$3,0),AO$3+6)),"◆",""))</f>
      </c>
      <c r="AP8" s="26">
        <f>IF(OR($A8="",AP$3=""),"",IF(AND($J8&lt;&gt;"",$K8&lt;&gt;"",$J8=$K8,$J8&gt;=AP$3,$J8&lt;=IF(param_mode_affichage="mois",EOMONTH(AP$3,0),AP$3+6)),"◆",""))</f>
      </c>
      <c r="AQ8" s="26">
        <f>IF(OR($A8="",AQ$3=""),"",IF(AND($J8&lt;&gt;"",$K8&lt;&gt;"",$J8=$K8,$J8&gt;=AQ$3,$J8&lt;=IF(param_mode_affichage="mois",EOMONTH(AQ$3,0),AQ$3+6)),"◆",""))</f>
      </c>
      <c r="AR8" s="26">
        <f>IF(OR($A8="",AR$3=""),"",IF(AND($J8&lt;&gt;"",$K8&lt;&gt;"",$J8=$K8,$J8&gt;=AR$3,$J8&lt;=IF(param_mode_affichage="mois",EOMONTH(AR$3,0),AR$3+6)),"◆",""))</f>
      </c>
      <c r="AS8" s="26">
        <f>IF(OR($A8="",AS$3=""),"",IF(AND($J8&lt;&gt;"",$K8&lt;&gt;"",$J8=$K8,$J8&gt;=AS$3,$J8&lt;=IF(param_mode_affichage="mois",EOMONTH(AS$3,0),AS$3+6)),"◆",""))</f>
      </c>
      <c r="AT8" s="26">
        <f>IF(OR($A8="",AT$3=""),"",IF(AND($J8&lt;&gt;"",$K8&lt;&gt;"",$J8=$K8,$J8&gt;=AT$3,$J8&lt;=IF(param_mode_affichage="mois",EOMONTH(AT$3,0),AT$3+6)),"◆",""))</f>
      </c>
      <c r="AU8" s="26">
        <f>IF(OR($A8="",AU$3=""),"",IF(AND($J8&lt;&gt;"",$K8&lt;&gt;"",$J8=$K8,$J8&gt;=AU$3,$J8&lt;=IF(param_mode_affichage="mois",EOMONTH(AU$3,0),AU$3+6)),"◆",""))</f>
      </c>
      <c r="AV8" s="26">
        <f>IF(OR($A8="",AV$3=""),"",IF(AND($J8&lt;&gt;"",$K8&lt;&gt;"",$J8=$K8,$J8&gt;=AV$3,$J8&lt;=IF(param_mode_affichage="mois",EOMONTH(AV$3,0),AV$3+6)),"◆",""))</f>
      </c>
      <c r="AW8" s="26">
        <f>IF(OR($A8="",AW$3=""),"",IF(AND($J8&lt;&gt;"",$K8&lt;&gt;"",$J8=$K8,$J8&gt;=AW$3,$J8&lt;=IF(param_mode_affichage="mois",EOMONTH(AW$3,0),AW$3+6)),"◆",""))</f>
      </c>
      <c r="AX8" s="26">
        <f>IF(OR($A8="",AX$3=""),"",IF(AND($J8&lt;&gt;"",$K8&lt;&gt;"",$J8=$K8,$J8&gt;=AX$3,$J8&lt;=IF(param_mode_affichage="mois",EOMONTH(AX$3,0),AX$3+6)),"◆",""))</f>
      </c>
      <c r="AY8" s="26">
        <f>IF(OR($A8="",AY$3=""),"",IF(AND($J8&lt;&gt;"",$K8&lt;&gt;"",$J8=$K8,$J8&gt;=AY$3,$J8&lt;=IF(param_mode_affichage="mois",EOMONTH(AY$3,0),AY$3+6)),"◆",""))</f>
      </c>
      <c r="AZ8" s="26">
        <f>IF(OR($A8="",AZ$3=""),"",IF(AND($J8&lt;&gt;"",$K8&lt;&gt;"",$J8=$K8,$J8&gt;=AZ$3,$J8&lt;=IF(param_mode_affichage="mois",EOMONTH(AZ$3,0),AZ$3+6)),"◆",""))</f>
      </c>
      <c r="BA8" s="26">
        <f>IF(OR($A8="",BA$3=""),"",IF(AND($J8&lt;&gt;"",$K8&lt;&gt;"",$J8=$K8,$J8&gt;=BA$3,$J8&lt;=IF(param_mode_affichage="mois",EOMONTH(BA$3,0),BA$3+6)),"◆",""))</f>
      </c>
      <c r="BB8" s="26">
        <f>IF(OR($A8="",BB$3=""),"",IF(AND($J8&lt;&gt;"",$K8&lt;&gt;"",$J8=$K8,$J8&gt;=BB$3,$J8&lt;=IF(param_mode_affichage="mois",EOMONTH(BB$3,0),BB$3+6)),"◆",""))</f>
      </c>
      <c r="BC8" s="26">
        <f>IF(OR($A8="",BC$3=""),"",IF(AND($J8&lt;&gt;"",$K8&lt;&gt;"",$J8=$K8,$J8&gt;=BC$3,$J8&lt;=IF(param_mode_affichage="mois",EOMONTH(BC$3,0),BC$3+6)),"◆",""))</f>
      </c>
      <c r="BD8" s="26">
        <f>IF(OR($A8="",BD$3=""),"",IF(AND($J8&lt;&gt;"",$K8&lt;&gt;"",$J8=$K8,$J8&gt;=BD$3,$J8&lt;=IF(param_mode_affichage="mois",EOMONTH(BD$3,0),BD$3+6)),"◆",""))</f>
      </c>
      <c r="BE8" s="26">
        <f>IF(OR($A8="",BE$3=""),"",IF(AND($J8&lt;&gt;"",$K8&lt;&gt;"",$J8=$K8,$J8&gt;=BE$3,$J8&lt;=IF(param_mode_affichage="mois",EOMONTH(BE$3,0),BE$3+6)),"◆",""))</f>
      </c>
      <c r="BF8" s="26">
        <f>IF(OR($A8="",BF$3=""),"",IF(AND($J8&lt;&gt;"",$K8&lt;&gt;"",$J8=$K8,$J8&gt;=BF$3,$J8&lt;=IF(param_mode_affichage="mois",EOMONTH(BF$3,0),BF$3+6)),"◆",""))</f>
      </c>
      <c r="BG8" s="26">
        <f>IF(OR($A8="",BG$3=""),"",IF(AND($J8&lt;&gt;"",$K8&lt;&gt;"",$J8=$K8,$J8&gt;=BG$3,$J8&lt;=IF(param_mode_affichage="mois",EOMONTH(BG$3,0),BG$3+6)),"◆",""))</f>
      </c>
      <c r="BH8" s="26">
        <f>IF(OR($A8="",BH$3=""),"",IF(AND($J8&lt;&gt;"",$K8&lt;&gt;"",$J8=$K8,$J8&gt;=BH$3,$J8&lt;=IF(param_mode_affichage="mois",EOMONTH(BH$3,0),BH$3+6)),"◆",""))</f>
      </c>
      <c r="BI8" s="26">
        <f>IF(OR($A8="",BI$3=""),"",IF(AND($J8&lt;&gt;"",$K8&lt;&gt;"",$J8=$K8,$J8&gt;=BI$3,$J8&lt;=IF(param_mode_affichage="mois",EOMONTH(BI$3,0),BI$3+6)),"◆",""))</f>
      </c>
      <c r="BJ8" s="26">
        <f>IF(OR($A8="",BJ$3=""),"",IF(AND($J8&lt;&gt;"",$K8&lt;&gt;"",$J8=$K8,$J8&gt;=BJ$3,$J8&lt;=IF(param_mode_affichage="mois",EOMONTH(BJ$3,0),BJ$3+6)),"◆",""))</f>
      </c>
      <c r="BK8" s="26">
        <f>IF(OR($A8="",BK$3=""),"",IF(AND($J8&lt;&gt;"",$K8&lt;&gt;"",$J8=$K8,$J8&gt;=BK$3,$J8&lt;=IF(param_mode_affichage="mois",EOMONTH(BK$3,0),BK$3+6)),"◆",""))</f>
      </c>
      <c r="BL8" s="26">
        <f>IF(OR($A8="",BL$3=""),"",IF(AND($J8&lt;&gt;"",$K8&lt;&gt;"",$J8=$K8,$J8&gt;=BL$3,$J8&lt;=IF(param_mode_affichage="mois",EOMONTH(BL$3,0),BL$3+6)),"◆",""))</f>
      </c>
    </row>
    <row r="9" spans="1:64" x14ac:dyDescent="0.25">
      <c r="A9" s="23">
        <f>IFERROR(INDEX(tblTasks[ID],ROW()-4),"")</f>
      </c>
      <c r="B9" s="24">
        <f>IF($A9="","",INDEX(tblTasks[Sujet],ROW()-4))</f>
      </c>
      <c r="C9" s="23">
        <f>IF($A9="","",INDEX(tblTasks[Responsable],ROW()-4))</f>
      </c>
      <c r="D9" s="23">
        <f>IF($A9="","",INDEX(tblTasks[Statut],ROW()-4))</f>
      </c>
      <c r="E9" s="23">
        <f>IF($A9="","",INDEX(tblTasks[Depend_de],ROW()-4))</f>
      </c>
      <c r="F9" s="23">
        <f>IF($A9="","",INDEX(tblTasks[Blocage],ROW()-4))</f>
      </c>
      <c r="G9" s="23">
        <f>IF($A9="","",INDEX(tblTasks[Niveau_criticite],ROW()-4))</f>
      </c>
      <c r="H9" s="23">
        <f>IF($A9="","",INDEX(tblTasks[Goulot],ROW()-4))</f>
      </c>
      <c r="I9" s="23">
        <f>IF($A9="","",IF(LOWER($F9)="oui","non",IF($E9="","oui",IFERROR(IF(LOWER(INDEX(tblTasks[Statut],MATCH($E9,tblTasks[ID],0)))="clos","oui","non"),"non"))))</f>
      </c>
      <c r="J9" s="25">
        <f>IF($A9="","",INDEX(tblTasks[Date_debut_prevue],ROW()-4))</f>
      </c>
      <c r="K9" s="25">
        <f>IF($A9="","",INDEX(tblTasks[Date_fin_prevue],ROW()-4))</f>
      </c>
      <c r="L9" s="23">
        <f>IF($A9="","",INDEX(tblTasks[Irreversibilite],ROW()-4))</f>
      </c>
      <c r="M9" s="26">
        <f>IF(OR($A9="",M$3=""),"",IF(AND($J9&lt;&gt;"",$K9&lt;&gt;"",$J9=$K9,$J9&gt;=M$3,$J9&lt;=IF(param_mode_affichage="mois",EOMONTH(M$3,0),M$3+6)),"◆",""))</f>
      </c>
      <c r="N9" s="26">
        <f>IF(OR($A9="",N$3=""),"",IF(AND($J9&lt;&gt;"",$K9&lt;&gt;"",$J9=$K9,$J9&gt;=N$3,$J9&lt;=IF(param_mode_affichage="mois",EOMONTH(N$3,0),N$3+6)),"◆",""))</f>
      </c>
      <c r="O9" s="26">
        <f>IF(OR($A9="",O$3=""),"",IF(AND($J9&lt;&gt;"",$K9&lt;&gt;"",$J9=$K9,$J9&gt;=O$3,$J9&lt;=IF(param_mode_affichage="mois",EOMONTH(O$3,0),O$3+6)),"◆",""))</f>
      </c>
      <c r="P9" s="26">
        <f>IF(OR($A9="",P$3=""),"",IF(AND($J9&lt;&gt;"",$K9&lt;&gt;"",$J9=$K9,$J9&gt;=P$3,$J9&lt;=IF(param_mode_affichage="mois",EOMONTH(P$3,0),P$3+6)),"◆",""))</f>
      </c>
      <c r="Q9" s="26">
        <f>IF(OR($A9="",Q$3=""),"",IF(AND($J9&lt;&gt;"",$K9&lt;&gt;"",$J9=$K9,$J9&gt;=Q$3,$J9&lt;=IF(param_mode_affichage="mois",EOMONTH(Q$3,0),Q$3+6)),"◆",""))</f>
      </c>
      <c r="R9" s="26">
        <f>IF(OR($A9="",R$3=""),"",IF(AND($J9&lt;&gt;"",$K9&lt;&gt;"",$J9=$K9,$J9&gt;=R$3,$J9&lt;=IF(param_mode_affichage="mois",EOMONTH(R$3,0),R$3+6)),"◆",""))</f>
      </c>
      <c r="S9" s="26">
        <f>IF(OR($A9="",S$3=""),"",IF(AND($J9&lt;&gt;"",$K9&lt;&gt;"",$J9=$K9,$J9&gt;=S$3,$J9&lt;=IF(param_mode_affichage="mois",EOMONTH(S$3,0),S$3+6)),"◆",""))</f>
      </c>
      <c r="T9" s="26">
        <f>IF(OR($A9="",T$3=""),"",IF(AND($J9&lt;&gt;"",$K9&lt;&gt;"",$J9=$K9,$J9&gt;=T$3,$J9&lt;=IF(param_mode_affichage="mois",EOMONTH(T$3,0),T$3+6)),"◆",""))</f>
      </c>
      <c r="U9" s="26">
        <f>IF(OR($A9="",U$3=""),"",IF(AND($J9&lt;&gt;"",$K9&lt;&gt;"",$J9=$K9,$J9&gt;=U$3,$J9&lt;=IF(param_mode_affichage="mois",EOMONTH(U$3,0),U$3+6)),"◆",""))</f>
      </c>
      <c r="V9" s="26">
        <f>IF(OR($A9="",V$3=""),"",IF(AND($J9&lt;&gt;"",$K9&lt;&gt;"",$J9=$K9,$J9&gt;=V$3,$J9&lt;=IF(param_mode_affichage="mois",EOMONTH(V$3,0),V$3+6)),"◆",""))</f>
      </c>
      <c r="W9" s="26">
        <f>IF(OR($A9="",W$3=""),"",IF(AND($J9&lt;&gt;"",$K9&lt;&gt;"",$J9=$K9,$J9&gt;=W$3,$J9&lt;=IF(param_mode_affichage="mois",EOMONTH(W$3,0),W$3+6)),"◆",""))</f>
      </c>
      <c r="X9" s="26">
        <f>IF(OR($A9="",X$3=""),"",IF(AND($J9&lt;&gt;"",$K9&lt;&gt;"",$J9=$K9,$J9&gt;=X$3,$J9&lt;=IF(param_mode_affichage="mois",EOMONTH(X$3,0),X$3+6)),"◆",""))</f>
      </c>
      <c r="Y9" s="26">
        <f>IF(OR($A9="",Y$3=""),"",IF(AND($J9&lt;&gt;"",$K9&lt;&gt;"",$J9=$K9,$J9&gt;=Y$3,$J9&lt;=IF(param_mode_affichage="mois",EOMONTH(Y$3,0),Y$3+6)),"◆",""))</f>
      </c>
      <c r="Z9" s="26">
        <f>IF(OR($A9="",Z$3=""),"",IF(AND($J9&lt;&gt;"",$K9&lt;&gt;"",$J9=$K9,$J9&gt;=Z$3,$J9&lt;=IF(param_mode_affichage="mois",EOMONTH(Z$3,0),Z$3+6)),"◆",""))</f>
      </c>
      <c r="AA9" s="26">
        <f>IF(OR($A9="",AA$3=""),"",IF(AND($J9&lt;&gt;"",$K9&lt;&gt;"",$J9=$K9,$J9&gt;=AA$3,$J9&lt;=IF(param_mode_affichage="mois",EOMONTH(AA$3,0),AA$3+6)),"◆",""))</f>
      </c>
      <c r="AB9" s="26">
        <f>IF(OR($A9="",AB$3=""),"",IF(AND($J9&lt;&gt;"",$K9&lt;&gt;"",$J9=$K9,$J9&gt;=AB$3,$J9&lt;=IF(param_mode_affichage="mois",EOMONTH(AB$3,0),AB$3+6)),"◆",""))</f>
      </c>
      <c r="AC9" s="26">
        <f>IF(OR($A9="",AC$3=""),"",IF(AND($J9&lt;&gt;"",$K9&lt;&gt;"",$J9=$K9,$J9&gt;=AC$3,$J9&lt;=IF(param_mode_affichage="mois",EOMONTH(AC$3,0),AC$3+6)),"◆",""))</f>
      </c>
      <c r="AD9" s="26">
        <f>IF(OR($A9="",AD$3=""),"",IF(AND($J9&lt;&gt;"",$K9&lt;&gt;"",$J9=$K9,$J9&gt;=AD$3,$J9&lt;=IF(param_mode_affichage="mois",EOMONTH(AD$3,0),AD$3+6)),"◆",""))</f>
      </c>
      <c r="AE9" s="26">
        <f>IF(OR($A9="",AE$3=""),"",IF(AND($J9&lt;&gt;"",$K9&lt;&gt;"",$J9=$K9,$J9&gt;=AE$3,$J9&lt;=IF(param_mode_affichage="mois",EOMONTH(AE$3,0),AE$3+6)),"◆",""))</f>
      </c>
      <c r="AF9" s="26">
        <f>IF(OR($A9="",AF$3=""),"",IF(AND($J9&lt;&gt;"",$K9&lt;&gt;"",$J9=$K9,$J9&gt;=AF$3,$J9&lt;=IF(param_mode_affichage="mois",EOMONTH(AF$3,0),AF$3+6)),"◆",""))</f>
      </c>
      <c r="AG9" s="26">
        <f>IF(OR($A9="",AG$3=""),"",IF(AND($J9&lt;&gt;"",$K9&lt;&gt;"",$J9=$K9,$J9&gt;=AG$3,$J9&lt;=IF(param_mode_affichage="mois",EOMONTH(AG$3,0),AG$3+6)),"◆",""))</f>
      </c>
      <c r="AH9" s="26">
        <f>IF(OR($A9="",AH$3=""),"",IF(AND($J9&lt;&gt;"",$K9&lt;&gt;"",$J9=$K9,$J9&gt;=AH$3,$J9&lt;=IF(param_mode_affichage="mois",EOMONTH(AH$3,0),AH$3+6)),"◆",""))</f>
      </c>
      <c r="AI9" s="26">
        <f>IF(OR($A9="",AI$3=""),"",IF(AND($J9&lt;&gt;"",$K9&lt;&gt;"",$J9=$K9,$J9&gt;=AI$3,$J9&lt;=IF(param_mode_affichage="mois",EOMONTH(AI$3,0),AI$3+6)),"◆",""))</f>
      </c>
      <c r="AJ9" s="26">
        <f>IF(OR($A9="",AJ$3=""),"",IF(AND($J9&lt;&gt;"",$K9&lt;&gt;"",$J9=$K9,$J9&gt;=AJ$3,$J9&lt;=IF(param_mode_affichage="mois",EOMONTH(AJ$3,0),AJ$3+6)),"◆",""))</f>
      </c>
      <c r="AK9" s="26">
        <f>IF(OR($A9="",AK$3=""),"",IF(AND($J9&lt;&gt;"",$K9&lt;&gt;"",$J9=$K9,$J9&gt;=AK$3,$J9&lt;=IF(param_mode_affichage="mois",EOMONTH(AK$3,0),AK$3+6)),"◆",""))</f>
      </c>
      <c r="AL9" s="26">
        <f>IF(OR($A9="",AL$3=""),"",IF(AND($J9&lt;&gt;"",$K9&lt;&gt;"",$J9=$K9,$J9&gt;=AL$3,$J9&lt;=IF(param_mode_affichage="mois",EOMONTH(AL$3,0),AL$3+6)),"◆",""))</f>
      </c>
      <c r="AM9" s="26">
        <f>IF(OR($A9="",AM$3=""),"",IF(AND($J9&lt;&gt;"",$K9&lt;&gt;"",$J9=$K9,$J9&gt;=AM$3,$J9&lt;=IF(param_mode_affichage="mois",EOMONTH(AM$3,0),AM$3+6)),"◆",""))</f>
      </c>
      <c r="AN9" s="26">
        <f>IF(OR($A9="",AN$3=""),"",IF(AND($J9&lt;&gt;"",$K9&lt;&gt;"",$J9=$K9,$J9&gt;=AN$3,$J9&lt;=IF(param_mode_affichage="mois",EOMONTH(AN$3,0),AN$3+6)),"◆",""))</f>
      </c>
      <c r="AO9" s="26">
        <f>IF(OR($A9="",AO$3=""),"",IF(AND($J9&lt;&gt;"",$K9&lt;&gt;"",$J9=$K9,$J9&gt;=AO$3,$J9&lt;=IF(param_mode_affichage="mois",EOMONTH(AO$3,0),AO$3+6)),"◆",""))</f>
      </c>
      <c r="AP9" s="26">
        <f>IF(OR($A9="",AP$3=""),"",IF(AND($J9&lt;&gt;"",$K9&lt;&gt;"",$J9=$K9,$J9&gt;=AP$3,$J9&lt;=IF(param_mode_affichage="mois",EOMONTH(AP$3,0),AP$3+6)),"◆",""))</f>
      </c>
      <c r="AQ9" s="26">
        <f>IF(OR($A9="",AQ$3=""),"",IF(AND($J9&lt;&gt;"",$K9&lt;&gt;"",$J9=$K9,$J9&gt;=AQ$3,$J9&lt;=IF(param_mode_affichage="mois",EOMONTH(AQ$3,0),AQ$3+6)),"◆",""))</f>
      </c>
      <c r="AR9" s="26">
        <f>IF(OR($A9="",AR$3=""),"",IF(AND($J9&lt;&gt;"",$K9&lt;&gt;"",$J9=$K9,$J9&gt;=AR$3,$J9&lt;=IF(param_mode_affichage="mois",EOMONTH(AR$3,0),AR$3+6)),"◆",""))</f>
      </c>
      <c r="AS9" s="26">
        <f>IF(OR($A9="",AS$3=""),"",IF(AND($J9&lt;&gt;"",$K9&lt;&gt;"",$J9=$K9,$J9&gt;=AS$3,$J9&lt;=IF(param_mode_affichage="mois",EOMONTH(AS$3,0),AS$3+6)),"◆",""))</f>
      </c>
      <c r="AT9" s="26">
        <f>IF(OR($A9="",AT$3=""),"",IF(AND($J9&lt;&gt;"",$K9&lt;&gt;"",$J9=$K9,$J9&gt;=AT$3,$J9&lt;=IF(param_mode_affichage="mois",EOMONTH(AT$3,0),AT$3+6)),"◆",""))</f>
      </c>
      <c r="AU9" s="26">
        <f>IF(OR($A9="",AU$3=""),"",IF(AND($J9&lt;&gt;"",$K9&lt;&gt;"",$J9=$K9,$J9&gt;=AU$3,$J9&lt;=IF(param_mode_affichage="mois",EOMONTH(AU$3,0),AU$3+6)),"◆",""))</f>
      </c>
      <c r="AV9" s="26">
        <f>IF(OR($A9="",AV$3=""),"",IF(AND($J9&lt;&gt;"",$K9&lt;&gt;"",$J9=$K9,$J9&gt;=AV$3,$J9&lt;=IF(param_mode_affichage="mois",EOMONTH(AV$3,0),AV$3+6)),"◆",""))</f>
      </c>
      <c r="AW9" s="26">
        <f>IF(OR($A9="",AW$3=""),"",IF(AND($J9&lt;&gt;"",$K9&lt;&gt;"",$J9=$K9,$J9&gt;=AW$3,$J9&lt;=IF(param_mode_affichage="mois",EOMONTH(AW$3,0),AW$3+6)),"◆",""))</f>
      </c>
      <c r="AX9" s="26">
        <f>IF(OR($A9="",AX$3=""),"",IF(AND($J9&lt;&gt;"",$K9&lt;&gt;"",$J9=$K9,$J9&gt;=AX$3,$J9&lt;=IF(param_mode_affichage="mois",EOMONTH(AX$3,0),AX$3+6)),"◆",""))</f>
      </c>
      <c r="AY9" s="26">
        <f>IF(OR($A9="",AY$3=""),"",IF(AND($J9&lt;&gt;"",$K9&lt;&gt;"",$J9=$K9,$J9&gt;=AY$3,$J9&lt;=IF(param_mode_affichage="mois",EOMONTH(AY$3,0),AY$3+6)),"◆",""))</f>
      </c>
      <c r="AZ9" s="26">
        <f>IF(OR($A9="",AZ$3=""),"",IF(AND($J9&lt;&gt;"",$K9&lt;&gt;"",$J9=$K9,$J9&gt;=AZ$3,$J9&lt;=IF(param_mode_affichage="mois",EOMONTH(AZ$3,0),AZ$3+6)),"◆",""))</f>
      </c>
      <c r="BA9" s="26">
        <f>IF(OR($A9="",BA$3=""),"",IF(AND($J9&lt;&gt;"",$K9&lt;&gt;"",$J9=$K9,$J9&gt;=BA$3,$J9&lt;=IF(param_mode_affichage="mois",EOMONTH(BA$3,0),BA$3+6)),"◆",""))</f>
      </c>
      <c r="BB9" s="26">
        <f>IF(OR($A9="",BB$3=""),"",IF(AND($J9&lt;&gt;"",$K9&lt;&gt;"",$J9=$K9,$J9&gt;=BB$3,$J9&lt;=IF(param_mode_affichage="mois",EOMONTH(BB$3,0),BB$3+6)),"◆",""))</f>
      </c>
      <c r="BC9" s="26">
        <f>IF(OR($A9="",BC$3=""),"",IF(AND($J9&lt;&gt;"",$K9&lt;&gt;"",$J9=$K9,$J9&gt;=BC$3,$J9&lt;=IF(param_mode_affichage="mois",EOMONTH(BC$3,0),BC$3+6)),"◆",""))</f>
      </c>
      <c r="BD9" s="26">
        <f>IF(OR($A9="",BD$3=""),"",IF(AND($J9&lt;&gt;"",$K9&lt;&gt;"",$J9=$K9,$J9&gt;=BD$3,$J9&lt;=IF(param_mode_affichage="mois",EOMONTH(BD$3,0),BD$3+6)),"◆",""))</f>
      </c>
      <c r="BE9" s="26">
        <f>IF(OR($A9="",BE$3=""),"",IF(AND($J9&lt;&gt;"",$K9&lt;&gt;"",$J9=$K9,$J9&gt;=BE$3,$J9&lt;=IF(param_mode_affichage="mois",EOMONTH(BE$3,0),BE$3+6)),"◆",""))</f>
      </c>
      <c r="BF9" s="26">
        <f>IF(OR($A9="",BF$3=""),"",IF(AND($J9&lt;&gt;"",$K9&lt;&gt;"",$J9=$K9,$J9&gt;=BF$3,$J9&lt;=IF(param_mode_affichage="mois",EOMONTH(BF$3,0),BF$3+6)),"◆",""))</f>
      </c>
      <c r="BG9" s="26">
        <f>IF(OR($A9="",BG$3=""),"",IF(AND($J9&lt;&gt;"",$K9&lt;&gt;"",$J9=$K9,$J9&gt;=BG$3,$J9&lt;=IF(param_mode_affichage="mois",EOMONTH(BG$3,0),BG$3+6)),"◆",""))</f>
      </c>
      <c r="BH9" s="26">
        <f>IF(OR($A9="",BH$3=""),"",IF(AND($J9&lt;&gt;"",$K9&lt;&gt;"",$J9=$K9,$J9&gt;=BH$3,$J9&lt;=IF(param_mode_affichage="mois",EOMONTH(BH$3,0),BH$3+6)),"◆",""))</f>
      </c>
      <c r="BI9" s="26">
        <f>IF(OR($A9="",BI$3=""),"",IF(AND($J9&lt;&gt;"",$K9&lt;&gt;"",$J9=$K9,$J9&gt;=BI$3,$J9&lt;=IF(param_mode_affichage="mois",EOMONTH(BI$3,0),BI$3+6)),"◆",""))</f>
      </c>
      <c r="BJ9" s="26">
        <f>IF(OR($A9="",BJ$3=""),"",IF(AND($J9&lt;&gt;"",$K9&lt;&gt;"",$J9=$K9,$J9&gt;=BJ$3,$J9&lt;=IF(param_mode_affichage="mois",EOMONTH(BJ$3,0),BJ$3+6)),"◆",""))</f>
      </c>
      <c r="BK9" s="26">
        <f>IF(OR($A9="",BK$3=""),"",IF(AND($J9&lt;&gt;"",$K9&lt;&gt;"",$J9=$K9,$J9&gt;=BK$3,$J9&lt;=IF(param_mode_affichage="mois",EOMONTH(BK$3,0),BK$3+6)),"◆",""))</f>
      </c>
      <c r="BL9" s="26">
        <f>IF(OR($A9="",BL$3=""),"",IF(AND($J9&lt;&gt;"",$K9&lt;&gt;"",$J9=$K9,$J9&gt;=BL$3,$J9&lt;=IF(param_mode_affichage="mois",EOMONTH(BL$3,0),BL$3+6)),"◆",""))</f>
      </c>
    </row>
    <row r="10" spans="1:64" x14ac:dyDescent="0.25">
      <c r="A10" s="23">
        <f>IFERROR(INDEX(tblTasks[ID],ROW()-4),"")</f>
      </c>
      <c r="B10" s="24">
        <f>IF($A10="","",INDEX(tblTasks[Sujet],ROW()-4))</f>
      </c>
      <c r="C10" s="23">
        <f>IF($A10="","",INDEX(tblTasks[Responsable],ROW()-4))</f>
      </c>
      <c r="D10" s="23">
        <f>IF($A10="","",INDEX(tblTasks[Statut],ROW()-4))</f>
      </c>
      <c r="E10" s="23">
        <f>IF($A10="","",INDEX(tblTasks[Depend_de],ROW()-4))</f>
      </c>
      <c r="F10" s="23">
        <f>IF($A10="","",INDEX(tblTasks[Blocage],ROW()-4))</f>
      </c>
      <c r="G10" s="23">
        <f>IF($A10="","",INDEX(tblTasks[Niveau_criticite],ROW()-4))</f>
      </c>
      <c r="H10" s="23">
        <f>IF($A10="","",INDEX(tblTasks[Goulot],ROW()-4))</f>
      </c>
      <c r="I10" s="23">
        <f>IF($A10="","",IF(LOWER($F10)="oui","non",IF($E10="","oui",IFERROR(IF(LOWER(INDEX(tblTasks[Statut],MATCH($E10,tblTasks[ID],0)))="clos","oui","non"),"non"))))</f>
      </c>
      <c r="J10" s="25">
        <f>IF($A10="","",INDEX(tblTasks[Date_debut_prevue],ROW()-4))</f>
      </c>
      <c r="K10" s="25">
        <f>IF($A10="","",INDEX(tblTasks[Date_fin_prevue],ROW()-4))</f>
      </c>
      <c r="L10" s="23">
        <f>IF($A10="","",INDEX(tblTasks[Irreversibilite],ROW()-4))</f>
      </c>
      <c r="M10" s="26">
        <f>IF(OR($A10="",M$3=""),"",IF(AND($J10&lt;&gt;"",$K10&lt;&gt;"",$J10=$K10,$J10&gt;=M$3,$J10&lt;=IF(param_mode_affichage="mois",EOMONTH(M$3,0),M$3+6)),"◆",""))</f>
      </c>
      <c r="N10" s="26">
        <f>IF(OR($A10="",N$3=""),"",IF(AND($J10&lt;&gt;"",$K10&lt;&gt;"",$J10=$K10,$J10&gt;=N$3,$J10&lt;=IF(param_mode_affichage="mois",EOMONTH(N$3,0),N$3+6)),"◆",""))</f>
      </c>
      <c r="O10" s="26">
        <f>IF(OR($A10="",O$3=""),"",IF(AND($J10&lt;&gt;"",$K10&lt;&gt;"",$J10=$K10,$J10&gt;=O$3,$J10&lt;=IF(param_mode_affichage="mois",EOMONTH(O$3,0),O$3+6)),"◆",""))</f>
      </c>
      <c r="P10" s="26">
        <f>IF(OR($A10="",P$3=""),"",IF(AND($J10&lt;&gt;"",$K10&lt;&gt;"",$J10=$K10,$J10&gt;=P$3,$J10&lt;=IF(param_mode_affichage="mois",EOMONTH(P$3,0),P$3+6)),"◆",""))</f>
      </c>
      <c r="Q10" s="26">
        <f>IF(OR($A10="",Q$3=""),"",IF(AND($J10&lt;&gt;"",$K10&lt;&gt;"",$J10=$K10,$J10&gt;=Q$3,$J10&lt;=IF(param_mode_affichage="mois",EOMONTH(Q$3,0),Q$3+6)),"◆",""))</f>
      </c>
      <c r="R10" s="26">
        <f>IF(OR($A10="",R$3=""),"",IF(AND($J10&lt;&gt;"",$K10&lt;&gt;"",$J10=$K10,$J10&gt;=R$3,$J10&lt;=IF(param_mode_affichage="mois",EOMONTH(R$3,0),R$3+6)),"◆",""))</f>
      </c>
      <c r="S10" s="26">
        <f>IF(OR($A10="",S$3=""),"",IF(AND($J10&lt;&gt;"",$K10&lt;&gt;"",$J10=$K10,$J10&gt;=S$3,$J10&lt;=IF(param_mode_affichage="mois",EOMONTH(S$3,0),S$3+6)),"◆",""))</f>
      </c>
      <c r="T10" s="26">
        <f>IF(OR($A10="",T$3=""),"",IF(AND($J10&lt;&gt;"",$K10&lt;&gt;"",$J10=$K10,$J10&gt;=T$3,$J10&lt;=IF(param_mode_affichage="mois",EOMONTH(T$3,0),T$3+6)),"◆",""))</f>
      </c>
      <c r="U10" s="26">
        <f>IF(OR($A10="",U$3=""),"",IF(AND($J10&lt;&gt;"",$K10&lt;&gt;"",$J10=$K10,$J10&gt;=U$3,$J10&lt;=IF(param_mode_affichage="mois",EOMONTH(U$3,0),U$3+6)),"◆",""))</f>
      </c>
      <c r="V10" s="26">
        <f>IF(OR($A10="",V$3=""),"",IF(AND($J10&lt;&gt;"",$K10&lt;&gt;"",$J10=$K10,$J10&gt;=V$3,$J10&lt;=IF(param_mode_affichage="mois",EOMONTH(V$3,0),V$3+6)),"◆",""))</f>
      </c>
      <c r="W10" s="26">
        <f>IF(OR($A10="",W$3=""),"",IF(AND($J10&lt;&gt;"",$K10&lt;&gt;"",$J10=$K10,$J10&gt;=W$3,$J10&lt;=IF(param_mode_affichage="mois",EOMONTH(W$3,0),W$3+6)),"◆",""))</f>
      </c>
      <c r="X10" s="26">
        <f>IF(OR($A10="",X$3=""),"",IF(AND($J10&lt;&gt;"",$K10&lt;&gt;"",$J10=$K10,$J10&gt;=X$3,$J10&lt;=IF(param_mode_affichage="mois",EOMONTH(X$3,0),X$3+6)),"◆",""))</f>
      </c>
      <c r="Y10" s="26">
        <f>IF(OR($A10="",Y$3=""),"",IF(AND($J10&lt;&gt;"",$K10&lt;&gt;"",$J10=$K10,$J10&gt;=Y$3,$J10&lt;=IF(param_mode_affichage="mois",EOMONTH(Y$3,0),Y$3+6)),"◆",""))</f>
      </c>
      <c r="Z10" s="26">
        <f>IF(OR($A10="",Z$3=""),"",IF(AND($J10&lt;&gt;"",$K10&lt;&gt;"",$J10=$K10,$J10&gt;=Z$3,$J10&lt;=IF(param_mode_affichage="mois",EOMONTH(Z$3,0),Z$3+6)),"◆",""))</f>
      </c>
      <c r="AA10" s="26">
        <f>IF(OR($A10="",AA$3=""),"",IF(AND($J10&lt;&gt;"",$K10&lt;&gt;"",$J10=$K10,$J10&gt;=AA$3,$J10&lt;=IF(param_mode_affichage="mois",EOMONTH(AA$3,0),AA$3+6)),"◆",""))</f>
      </c>
      <c r="AB10" s="26">
        <f>IF(OR($A10="",AB$3=""),"",IF(AND($J10&lt;&gt;"",$K10&lt;&gt;"",$J10=$K10,$J10&gt;=AB$3,$J10&lt;=IF(param_mode_affichage="mois",EOMONTH(AB$3,0),AB$3+6)),"◆",""))</f>
      </c>
      <c r="AC10" s="26">
        <f>IF(OR($A10="",AC$3=""),"",IF(AND($J10&lt;&gt;"",$K10&lt;&gt;"",$J10=$K10,$J10&gt;=AC$3,$J10&lt;=IF(param_mode_affichage="mois",EOMONTH(AC$3,0),AC$3+6)),"◆",""))</f>
      </c>
      <c r="AD10" s="26">
        <f>IF(OR($A10="",AD$3=""),"",IF(AND($J10&lt;&gt;"",$K10&lt;&gt;"",$J10=$K10,$J10&gt;=AD$3,$J10&lt;=IF(param_mode_affichage="mois",EOMONTH(AD$3,0),AD$3+6)),"◆",""))</f>
      </c>
      <c r="AE10" s="26">
        <f>IF(OR($A10="",AE$3=""),"",IF(AND($J10&lt;&gt;"",$K10&lt;&gt;"",$J10=$K10,$J10&gt;=AE$3,$J10&lt;=IF(param_mode_affichage="mois",EOMONTH(AE$3,0),AE$3+6)),"◆",""))</f>
      </c>
      <c r="AF10" s="26">
        <f>IF(OR($A10="",AF$3=""),"",IF(AND($J10&lt;&gt;"",$K10&lt;&gt;"",$J10=$K10,$J10&gt;=AF$3,$J10&lt;=IF(param_mode_affichage="mois",EOMONTH(AF$3,0),AF$3+6)),"◆",""))</f>
      </c>
      <c r="AG10" s="26">
        <f>IF(OR($A10="",AG$3=""),"",IF(AND($J10&lt;&gt;"",$K10&lt;&gt;"",$J10=$K10,$J10&gt;=AG$3,$J10&lt;=IF(param_mode_affichage="mois",EOMONTH(AG$3,0),AG$3+6)),"◆",""))</f>
      </c>
      <c r="AH10" s="26">
        <f>IF(OR($A10="",AH$3=""),"",IF(AND($J10&lt;&gt;"",$K10&lt;&gt;"",$J10=$K10,$J10&gt;=AH$3,$J10&lt;=IF(param_mode_affichage="mois",EOMONTH(AH$3,0),AH$3+6)),"◆",""))</f>
      </c>
      <c r="AI10" s="26">
        <f>IF(OR($A10="",AI$3=""),"",IF(AND($J10&lt;&gt;"",$K10&lt;&gt;"",$J10=$K10,$J10&gt;=AI$3,$J10&lt;=IF(param_mode_affichage="mois",EOMONTH(AI$3,0),AI$3+6)),"◆",""))</f>
      </c>
      <c r="AJ10" s="26">
        <f>IF(OR($A10="",AJ$3=""),"",IF(AND($J10&lt;&gt;"",$K10&lt;&gt;"",$J10=$K10,$J10&gt;=AJ$3,$J10&lt;=IF(param_mode_affichage="mois",EOMONTH(AJ$3,0),AJ$3+6)),"◆",""))</f>
      </c>
      <c r="AK10" s="26">
        <f>IF(OR($A10="",AK$3=""),"",IF(AND($J10&lt;&gt;"",$K10&lt;&gt;"",$J10=$K10,$J10&gt;=AK$3,$J10&lt;=IF(param_mode_affichage="mois",EOMONTH(AK$3,0),AK$3+6)),"◆",""))</f>
      </c>
      <c r="AL10" s="26">
        <f>IF(OR($A10="",AL$3=""),"",IF(AND($J10&lt;&gt;"",$K10&lt;&gt;"",$J10=$K10,$J10&gt;=AL$3,$J10&lt;=IF(param_mode_affichage="mois",EOMONTH(AL$3,0),AL$3+6)),"◆",""))</f>
      </c>
      <c r="AM10" s="26">
        <f>IF(OR($A10="",AM$3=""),"",IF(AND($J10&lt;&gt;"",$K10&lt;&gt;"",$J10=$K10,$J10&gt;=AM$3,$J10&lt;=IF(param_mode_affichage="mois",EOMONTH(AM$3,0),AM$3+6)),"◆",""))</f>
      </c>
      <c r="AN10" s="26">
        <f>IF(OR($A10="",AN$3=""),"",IF(AND($J10&lt;&gt;"",$K10&lt;&gt;"",$J10=$K10,$J10&gt;=AN$3,$J10&lt;=IF(param_mode_affichage="mois",EOMONTH(AN$3,0),AN$3+6)),"◆",""))</f>
      </c>
      <c r="AO10" s="26">
        <f>IF(OR($A10="",AO$3=""),"",IF(AND($J10&lt;&gt;"",$K10&lt;&gt;"",$J10=$K10,$J10&gt;=AO$3,$J10&lt;=IF(param_mode_affichage="mois",EOMONTH(AO$3,0),AO$3+6)),"◆",""))</f>
      </c>
      <c r="AP10" s="26">
        <f>IF(OR($A10="",AP$3=""),"",IF(AND($J10&lt;&gt;"",$K10&lt;&gt;"",$J10=$K10,$J10&gt;=AP$3,$J10&lt;=IF(param_mode_affichage="mois",EOMONTH(AP$3,0),AP$3+6)),"◆",""))</f>
      </c>
      <c r="AQ10" s="26">
        <f>IF(OR($A10="",AQ$3=""),"",IF(AND($J10&lt;&gt;"",$K10&lt;&gt;"",$J10=$K10,$J10&gt;=AQ$3,$J10&lt;=IF(param_mode_affichage="mois",EOMONTH(AQ$3,0),AQ$3+6)),"◆",""))</f>
      </c>
      <c r="AR10" s="26">
        <f>IF(OR($A10="",AR$3=""),"",IF(AND($J10&lt;&gt;"",$K10&lt;&gt;"",$J10=$K10,$J10&gt;=AR$3,$J10&lt;=IF(param_mode_affichage="mois",EOMONTH(AR$3,0),AR$3+6)),"◆",""))</f>
      </c>
      <c r="AS10" s="26">
        <f>IF(OR($A10="",AS$3=""),"",IF(AND($J10&lt;&gt;"",$K10&lt;&gt;"",$J10=$K10,$J10&gt;=AS$3,$J10&lt;=IF(param_mode_affichage="mois",EOMONTH(AS$3,0),AS$3+6)),"◆",""))</f>
      </c>
      <c r="AT10" s="26">
        <f>IF(OR($A10="",AT$3=""),"",IF(AND($J10&lt;&gt;"",$K10&lt;&gt;"",$J10=$K10,$J10&gt;=AT$3,$J10&lt;=IF(param_mode_affichage="mois",EOMONTH(AT$3,0),AT$3+6)),"◆",""))</f>
      </c>
      <c r="AU10" s="26">
        <f>IF(OR($A10="",AU$3=""),"",IF(AND($J10&lt;&gt;"",$K10&lt;&gt;"",$J10=$K10,$J10&gt;=AU$3,$J10&lt;=IF(param_mode_affichage="mois",EOMONTH(AU$3,0),AU$3+6)),"◆",""))</f>
      </c>
      <c r="AV10" s="26">
        <f>IF(OR($A10="",AV$3=""),"",IF(AND($J10&lt;&gt;"",$K10&lt;&gt;"",$J10=$K10,$J10&gt;=AV$3,$J10&lt;=IF(param_mode_affichage="mois",EOMONTH(AV$3,0),AV$3+6)),"◆",""))</f>
      </c>
      <c r="AW10" s="26">
        <f>IF(OR($A10="",AW$3=""),"",IF(AND($J10&lt;&gt;"",$K10&lt;&gt;"",$J10=$K10,$J10&gt;=AW$3,$J10&lt;=IF(param_mode_affichage="mois",EOMONTH(AW$3,0),AW$3+6)),"◆",""))</f>
      </c>
      <c r="AX10" s="26">
        <f>IF(OR($A10="",AX$3=""),"",IF(AND($J10&lt;&gt;"",$K10&lt;&gt;"",$J10=$K10,$J10&gt;=AX$3,$J10&lt;=IF(param_mode_affichage="mois",EOMONTH(AX$3,0),AX$3+6)),"◆",""))</f>
      </c>
      <c r="AY10" s="26">
        <f>IF(OR($A10="",AY$3=""),"",IF(AND($J10&lt;&gt;"",$K10&lt;&gt;"",$J10=$K10,$J10&gt;=AY$3,$J10&lt;=IF(param_mode_affichage="mois",EOMONTH(AY$3,0),AY$3+6)),"◆",""))</f>
      </c>
      <c r="AZ10" s="26">
        <f>IF(OR($A10="",AZ$3=""),"",IF(AND($J10&lt;&gt;"",$K10&lt;&gt;"",$J10=$K10,$J10&gt;=AZ$3,$J10&lt;=IF(param_mode_affichage="mois",EOMONTH(AZ$3,0),AZ$3+6)),"◆",""))</f>
      </c>
      <c r="BA10" s="26">
        <f>IF(OR($A10="",BA$3=""),"",IF(AND($J10&lt;&gt;"",$K10&lt;&gt;"",$J10=$K10,$J10&gt;=BA$3,$J10&lt;=IF(param_mode_affichage="mois",EOMONTH(BA$3,0),BA$3+6)),"◆",""))</f>
      </c>
      <c r="BB10" s="26">
        <f>IF(OR($A10="",BB$3=""),"",IF(AND($J10&lt;&gt;"",$K10&lt;&gt;"",$J10=$K10,$J10&gt;=BB$3,$J10&lt;=IF(param_mode_affichage="mois",EOMONTH(BB$3,0),BB$3+6)),"◆",""))</f>
      </c>
      <c r="BC10" s="26">
        <f>IF(OR($A10="",BC$3=""),"",IF(AND($J10&lt;&gt;"",$K10&lt;&gt;"",$J10=$K10,$J10&gt;=BC$3,$J10&lt;=IF(param_mode_affichage="mois",EOMONTH(BC$3,0),BC$3+6)),"◆",""))</f>
      </c>
      <c r="BD10" s="26">
        <f>IF(OR($A10="",BD$3=""),"",IF(AND($J10&lt;&gt;"",$K10&lt;&gt;"",$J10=$K10,$J10&gt;=BD$3,$J10&lt;=IF(param_mode_affichage="mois",EOMONTH(BD$3,0),BD$3+6)),"◆",""))</f>
      </c>
      <c r="BE10" s="26">
        <f>IF(OR($A10="",BE$3=""),"",IF(AND($J10&lt;&gt;"",$K10&lt;&gt;"",$J10=$K10,$J10&gt;=BE$3,$J10&lt;=IF(param_mode_affichage="mois",EOMONTH(BE$3,0),BE$3+6)),"◆",""))</f>
      </c>
      <c r="BF10" s="26">
        <f>IF(OR($A10="",BF$3=""),"",IF(AND($J10&lt;&gt;"",$K10&lt;&gt;"",$J10=$K10,$J10&gt;=BF$3,$J10&lt;=IF(param_mode_affichage="mois",EOMONTH(BF$3,0),BF$3+6)),"◆",""))</f>
      </c>
      <c r="BG10" s="26">
        <f>IF(OR($A10="",BG$3=""),"",IF(AND($J10&lt;&gt;"",$K10&lt;&gt;"",$J10=$K10,$J10&gt;=BG$3,$J10&lt;=IF(param_mode_affichage="mois",EOMONTH(BG$3,0),BG$3+6)),"◆",""))</f>
      </c>
      <c r="BH10" s="26">
        <f>IF(OR($A10="",BH$3=""),"",IF(AND($J10&lt;&gt;"",$K10&lt;&gt;"",$J10=$K10,$J10&gt;=BH$3,$J10&lt;=IF(param_mode_affichage="mois",EOMONTH(BH$3,0),BH$3+6)),"◆",""))</f>
      </c>
      <c r="BI10" s="26">
        <f>IF(OR($A10="",BI$3=""),"",IF(AND($J10&lt;&gt;"",$K10&lt;&gt;"",$J10=$K10,$J10&gt;=BI$3,$J10&lt;=IF(param_mode_affichage="mois",EOMONTH(BI$3,0),BI$3+6)),"◆",""))</f>
      </c>
      <c r="BJ10" s="26">
        <f>IF(OR($A10="",BJ$3=""),"",IF(AND($J10&lt;&gt;"",$K10&lt;&gt;"",$J10=$K10,$J10&gt;=BJ$3,$J10&lt;=IF(param_mode_affichage="mois",EOMONTH(BJ$3,0),BJ$3+6)),"◆",""))</f>
      </c>
      <c r="BK10" s="26">
        <f>IF(OR($A10="",BK$3=""),"",IF(AND($J10&lt;&gt;"",$K10&lt;&gt;"",$J10=$K10,$J10&gt;=BK$3,$J10&lt;=IF(param_mode_affichage="mois",EOMONTH(BK$3,0),BK$3+6)),"◆",""))</f>
      </c>
      <c r="BL10" s="26">
        <f>IF(OR($A10="",BL$3=""),"",IF(AND($J10&lt;&gt;"",$K10&lt;&gt;"",$J10=$K10,$J10&gt;=BL$3,$J10&lt;=IF(param_mode_affichage="mois",EOMONTH(BL$3,0),BL$3+6)),"◆",""))</f>
      </c>
    </row>
    <row r="11" spans="1:64" x14ac:dyDescent="0.25">
      <c r="A11" s="23">
        <f>IFERROR(INDEX(tblTasks[ID],ROW()-4),"")</f>
      </c>
      <c r="B11" s="24">
        <f>IF($A11="","",INDEX(tblTasks[Sujet],ROW()-4))</f>
      </c>
      <c r="C11" s="23">
        <f>IF($A11="","",INDEX(tblTasks[Responsable],ROW()-4))</f>
      </c>
      <c r="D11" s="23">
        <f>IF($A11="","",INDEX(tblTasks[Statut],ROW()-4))</f>
      </c>
      <c r="E11" s="23">
        <f>IF($A11="","",INDEX(tblTasks[Depend_de],ROW()-4))</f>
      </c>
      <c r="F11" s="23">
        <f>IF($A11="","",INDEX(tblTasks[Blocage],ROW()-4))</f>
      </c>
      <c r="G11" s="23">
        <f>IF($A11="","",INDEX(tblTasks[Niveau_criticite],ROW()-4))</f>
      </c>
      <c r="H11" s="23">
        <f>IF($A11="","",INDEX(tblTasks[Goulot],ROW()-4))</f>
      </c>
      <c r="I11" s="23">
        <f>IF($A11="","",IF(LOWER($F11)="oui","non",IF($E11="","oui",IFERROR(IF(LOWER(INDEX(tblTasks[Statut],MATCH($E11,tblTasks[ID],0)))="clos","oui","non"),"non"))))</f>
      </c>
      <c r="J11" s="25">
        <f>IF($A11="","",INDEX(tblTasks[Date_debut_prevue],ROW()-4))</f>
      </c>
      <c r="K11" s="25">
        <f>IF($A11="","",INDEX(tblTasks[Date_fin_prevue],ROW()-4))</f>
      </c>
      <c r="L11" s="23">
        <f>IF($A11="","",INDEX(tblTasks[Irreversibilite],ROW()-4))</f>
      </c>
      <c r="M11" s="26">
        <f>IF(OR($A11="",M$3=""),"",IF(AND($J11&lt;&gt;"",$K11&lt;&gt;"",$J11=$K11,$J11&gt;=M$3,$J11&lt;=IF(param_mode_affichage="mois",EOMONTH(M$3,0),M$3+6)),"◆",""))</f>
      </c>
      <c r="N11" s="26">
        <f>IF(OR($A11="",N$3=""),"",IF(AND($J11&lt;&gt;"",$K11&lt;&gt;"",$J11=$K11,$J11&gt;=N$3,$J11&lt;=IF(param_mode_affichage="mois",EOMONTH(N$3,0),N$3+6)),"◆",""))</f>
      </c>
      <c r="O11" s="26">
        <f>IF(OR($A11="",O$3=""),"",IF(AND($J11&lt;&gt;"",$K11&lt;&gt;"",$J11=$K11,$J11&gt;=O$3,$J11&lt;=IF(param_mode_affichage="mois",EOMONTH(O$3,0),O$3+6)),"◆",""))</f>
      </c>
      <c r="P11" s="26">
        <f>IF(OR($A11="",P$3=""),"",IF(AND($J11&lt;&gt;"",$K11&lt;&gt;"",$J11=$K11,$J11&gt;=P$3,$J11&lt;=IF(param_mode_affichage="mois",EOMONTH(P$3,0),P$3+6)),"◆",""))</f>
      </c>
      <c r="Q11" s="26">
        <f>IF(OR($A11="",Q$3=""),"",IF(AND($J11&lt;&gt;"",$K11&lt;&gt;"",$J11=$K11,$J11&gt;=Q$3,$J11&lt;=IF(param_mode_affichage="mois",EOMONTH(Q$3,0),Q$3+6)),"◆",""))</f>
      </c>
      <c r="R11" s="26">
        <f>IF(OR($A11="",R$3=""),"",IF(AND($J11&lt;&gt;"",$K11&lt;&gt;"",$J11=$K11,$J11&gt;=R$3,$J11&lt;=IF(param_mode_affichage="mois",EOMONTH(R$3,0),R$3+6)),"◆",""))</f>
      </c>
      <c r="S11" s="26">
        <f>IF(OR($A11="",S$3=""),"",IF(AND($J11&lt;&gt;"",$K11&lt;&gt;"",$J11=$K11,$J11&gt;=S$3,$J11&lt;=IF(param_mode_affichage="mois",EOMONTH(S$3,0),S$3+6)),"◆",""))</f>
      </c>
      <c r="T11" s="26">
        <f>IF(OR($A11="",T$3=""),"",IF(AND($J11&lt;&gt;"",$K11&lt;&gt;"",$J11=$K11,$J11&gt;=T$3,$J11&lt;=IF(param_mode_affichage="mois",EOMONTH(T$3,0),T$3+6)),"◆",""))</f>
      </c>
      <c r="U11" s="26">
        <f>IF(OR($A11="",U$3=""),"",IF(AND($J11&lt;&gt;"",$K11&lt;&gt;"",$J11=$K11,$J11&gt;=U$3,$J11&lt;=IF(param_mode_affichage="mois",EOMONTH(U$3,0),U$3+6)),"◆",""))</f>
      </c>
      <c r="V11" s="26">
        <f>IF(OR($A11="",V$3=""),"",IF(AND($J11&lt;&gt;"",$K11&lt;&gt;"",$J11=$K11,$J11&gt;=V$3,$J11&lt;=IF(param_mode_affichage="mois",EOMONTH(V$3,0),V$3+6)),"◆",""))</f>
      </c>
      <c r="W11" s="26">
        <f>IF(OR($A11="",W$3=""),"",IF(AND($J11&lt;&gt;"",$K11&lt;&gt;"",$J11=$K11,$J11&gt;=W$3,$J11&lt;=IF(param_mode_affichage="mois",EOMONTH(W$3,0),W$3+6)),"◆",""))</f>
      </c>
      <c r="X11" s="26">
        <f>IF(OR($A11="",X$3=""),"",IF(AND($J11&lt;&gt;"",$K11&lt;&gt;"",$J11=$K11,$J11&gt;=X$3,$J11&lt;=IF(param_mode_affichage="mois",EOMONTH(X$3,0),X$3+6)),"◆",""))</f>
      </c>
      <c r="Y11" s="26">
        <f>IF(OR($A11="",Y$3=""),"",IF(AND($J11&lt;&gt;"",$K11&lt;&gt;"",$J11=$K11,$J11&gt;=Y$3,$J11&lt;=IF(param_mode_affichage="mois",EOMONTH(Y$3,0),Y$3+6)),"◆",""))</f>
      </c>
      <c r="Z11" s="26">
        <f>IF(OR($A11="",Z$3=""),"",IF(AND($J11&lt;&gt;"",$K11&lt;&gt;"",$J11=$K11,$J11&gt;=Z$3,$J11&lt;=IF(param_mode_affichage="mois",EOMONTH(Z$3,0),Z$3+6)),"◆",""))</f>
      </c>
      <c r="AA11" s="26">
        <f>IF(OR($A11="",AA$3=""),"",IF(AND($J11&lt;&gt;"",$K11&lt;&gt;"",$J11=$K11,$J11&gt;=AA$3,$J11&lt;=IF(param_mode_affichage="mois",EOMONTH(AA$3,0),AA$3+6)),"◆",""))</f>
      </c>
      <c r="AB11" s="26">
        <f>IF(OR($A11="",AB$3=""),"",IF(AND($J11&lt;&gt;"",$K11&lt;&gt;"",$J11=$K11,$J11&gt;=AB$3,$J11&lt;=IF(param_mode_affichage="mois",EOMONTH(AB$3,0),AB$3+6)),"◆",""))</f>
      </c>
      <c r="AC11" s="26">
        <f>IF(OR($A11="",AC$3=""),"",IF(AND($J11&lt;&gt;"",$K11&lt;&gt;"",$J11=$K11,$J11&gt;=AC$3,$J11&lt;=IF(param_mode_affichage="mois",EOMONTH(AC$3,0),AC$3+6)),"◆",""))</f>
      </c>
      <c r="AD11" s="26">
        <f>IF(OR($A11="",AD$3=""),"",IF(AND($J11&lt;&gt;"",$K11&lt;&gt;"",$J11=$K11,$J11&gt;=AD$3,$J11&lt;=IF(param_mode_affichage="mois",EOMONTH(AD$3,0),AD$3+6)),"◆",""))</f>
      </c>
      <c r="AE11" s="26">
        <f>IF(OR($A11="",AE$3=""),"",IF(AND($J11&lt;&gt;"",$K11&lt;&gt;"",$J11=$K11,$J11&gt;=AE$3,$J11&lt;=IF(param_mode_affichage="mois",EOMONTH(AE$3,0),AE$3+6)),"◆",""))</f>
      </c>
      <c r="AF11" s="26">
        <f>IF(OR($A11="",AF$3=""),"",IF(AND($J11&lt;&gt;"",$K11&lt;&gt;"",$J11=$K11,$J11&gt;=AF$3,$J11&lt;=IF(param_mode_affichage="mois",EOMONTH(AF$3,0),AF$3+6)),"◆",""))</f>
      </c>
      <c r="AG11" s="26">
        <f>IF(OR($A11="",AG$3=""),"",IF(AND($J11&lt;&gt;"",$K11&lt;&gt;"",$J11=$K11,$J11&gt;=AG$3,$J11&lt;=IF(param_mode_affichage="mois",EOMONTH(AG$3,0),AG$3+6)),"◆",""))</f>
      </c>
      <c r="AH11" s="26">
        <f>IF(OR($A11="",AH$3=""),"",IF(AND($J11&lt;&gt;"",$K11&lt;&gt;"",$J11=$K11,$J11&gt;=AH$3,$J11&lt;=IF(param_mode_affichage="mois",EOMONTH(AH$3,0),AH$3+6)),"◆",""))</f>
      </c>
      <c r="AI11" s="26">
        <f>IF(OR($A11="",AI$3=""),"",IF(AND($J11&lt;&gt;"",$K11&lt;&gt;"",$J11=$K11,$J11&gt;=AI$3,$J11&lt;=IF(param_mode_affichage="mois",EOMONTH(AI$3,0),AI$3+6)),"◆",""))</f>
      </c>
      <c r="AJ11" s="26">
        <f>IF(OR($A11="",AJ$3=""),"",IF(AND($J11&lt;&gt;"",$K11&lt;&gt;"",$J11=$K11,$J11&gt;=AJ$3,$J11&lt;=IF(param_mode_affichage="mois",EOMONTH(AJ$3,0),AJ$3+6)),"◆",""))</f>
      </c>
      <c r="AK11" s="26">
        <f>IF(OR($A11="",AK$3=""),"",IF(AND($J11&lt;&gt;"",$K11&lt;&gt;"",$J11=$K11,$J11&gt;=AK$3,$J11&lt;=IF(param_mode_affichage="mois",EOMONTH(AK$3,0),AK$3+6)),"◆",""))</f>
      </c>
      <c r="AL11" s="26">
        <f>IF(OR($A11="",AL$3=""),"",IF(AND($J11&lt;&gt;"",$K11&lt;&gt;"",$J11=$K11,$J11&gt;=AL$3,$J11&lt;=IF(param_mode_affichage="mois",EOMONTH(AL$3,0),AL$3+6)),"◆",""))</f>
      </c>
      <c r="AM11" s="26">
        <f>IF(OR($A11="",AM$3=""),"",IF(AND($J11&lt;&gt;"",$K11&lt;&gt;"",$J11=$K11,$J11&gt;=AM$3,$J11&lt;=IF(param_mode_affichage="mois",EOMONTH(AM$3,0),AM$3+6)),"◆",""))</f>
      </c>
      <c r="AN11" s="26">
        <f>IF(OR($A11="",AN$3=""),"",IF(AND($J11&lt;&gt;"",$K11&lt;&gt;"",$J11=$K11,$J11&gt;=AN$3,$J11&lt;=IF(param_mode_affichage="mois",EOMONTH(AN$3,0),AN$3+6)),"◆",""))</f>
      </c>
      <c r="AO11" s="26">
        <f>IF(OR($A11="",AO$3=""),"",IF(AND($J11&lt;&gt;"",$K11&lt;&gt;"",$J11=$K11,$J11&gt;=AO$3,$J11&lt;=IF(param_mode_affichage="mois",EOMONTH(AO$3,0),AO$3+6)),"◆",""))</f>
      </c>
      <c r="AP11" s="26">
        <f>IF(OR($A11="",AP$3=""),"",IF(AND($J11&lt;&gt;"",$K11&lt;&gt;"",$J11=$K11,$J11&gt;=AP$3,$J11&lt;=IF(param_mode_affichage="mois",EOMONTH(AP$3,0),AP$3+6)),"◆",""))</f>
      </c>
      <c r="AQ11" s="26">
        <f>IF(OR($A11="",AQ$3=""),"",IF(AND($J11&lt;&gt;"",$K11&lt;&gt;"",$J11=$K11,$J11&gt;=AQ$3,$J11&lt;=IF(param_mode_affichage="mois",EOMONTH(AQ$3,0),AQ$3+6)),"◆",""))</f>
      </c>
      <c r="AR11" s="26">
        <f>IF(OR($A11="",AR$3=""),"",IF(AND($J11&lt;&gt;"",$K11&lt;&gt;"",$J11=$K11,$J11&gt;=AR$3,$J11&lt;=IF(param_mode_affichage="mois",EOMONTH(AR$3,0),AR$3+6)),"◆",""))</f>
      </c>
      <c r="AS11" s="26">
        <f>IF(OR($A11="",AS$3=""),"",IF(AND($J11&lt;&gt;"",$K11&lt;&gt;"",$J11=$K11,$J11&gt;=AS$3,$J11&lt;=IF(param_mode_affichage="mois",EOMONTH(AS$3,0),AS$3+6)),"◆",""))</f>
      </c>
      <c r="AT11" s="26">
        <f>IF(OR($A11="",AT$3=""),"",IF(AND($J11&lt;&gt;"",$K11&lt;&gt;"",$J11=$K11,$J11&gt;=AT$3,$J11&lt;=IF(param_mode_affichage="mois",EOMONTH(AT$3,0),AT$3+6)),"◆",""))</f>
      </c>
      <c r="AU11" s="26">
        <f>IF(OR($A11="",AU$3=""),"",IF(AND($J11&lt;&gt;"",$K11&lt;&gt;"",$J11=$K11,$J11&gt;=AU$3,$J11&lt;=IF(param_mode_affichage="mois",EOMONTH(AU$3,0),AU$3+6)),"◆",""))</f>
      </c>
      <c r="AV11" s="26">
        <f>IF(OR($A11="",AV$3=""),"",IF(AND($J11&lt;&gt;"",$K11&lt;&gt;"",$J11=$K11,$J11&gt;=AV$3,$J11&lt;=IF(param_mode_affichage="mois",EOMONTH(AV$3,0),AV$3+6)),"◆",""))</f>
      </c>
      <c r="AW11" s="26">
        <f>IF(OR($A11="",AW$3=""),"",IF(AND($J11&lt;&gt;"",$K11&lt;&gt;"",$J11=$K11,$J11&gt;=AW$3,$J11&lt;=IF(param_mode_affichage="mois",EOMONTH(AW$3,0),AW$3+6)),"◆",""))</f>
      </c>
      <c r="AX11" s="26">
        <f>IF(OR($A11="",AX$3=""),"",IF(AND($J11&lt;&gt;"",$K11&lt;&gt;"",$J11=$K11,$J11&gt;=AX$3,$J11&lt;=IF(param_mode_affichage="mois",EOMONTH(AX$3,0),AX$3+6)),"◆",""))</f>
      </c>
      <c r="AY11" s="26">
        <f>IF(OR($A11="",AY$3=""),"",IF(AND($J11&lt;&gt;"",$K11&lt;&gt;"",$J11=$K11,$J11&gt;=AY$3,$J11&lt;=IF(param_mode_affichage="mois",EOMONTH(AY$3,0),AY$3+6)),"◆",""))</f>
      </c>
      <c r="AZ11" s="26">
        <f>IF(OR($A11="",AZ$3=""),"",IF(AND($J11&lt;&gt;"",$K11&lt;&gt;"",$J11=$K11,$J11&gt;=AZ$3,$J11&lt;=IF(param_mode_affichage="mois",EOMONTH(AZ$3,0),AZ$3+6)),"◆",""))</f>
      </c>
      <c r="BA11" s="26">
        <f>IF(OR($A11="",BA$3=""),"",IF(AND($J11&lt;&gt;"",$K11&lt;&gt;"",$J11=$K11,$J11&gt;=BA$3,$J11&lt;=IF(param_mode_affichage="mois",EOMONTH(BA$3,0),BA$3+6)),"◆",""))</f>
      </c>
      <c r="BB11" s="26">
        <f>IF(OR($A11="",BB$3=""),"",IF(AND($J11&lt;&gt;"",$K11&lt;&gt;"",$J11=$K11,$J11&gt;=BB$3,$J11&lt;=IF(param_mode_affichage="mois",EOMONTH(BB$3,0),BB$3+6)),"◆",""))</f>
      </c>
      <c r="BC11" s="26">
        <f>IF(OR($A11="",BC$3=""),"",IF(AND($J11&lt;&gt;"",$K11&lt;&gt;"",$J11=$K11,$J11&gt;=BC$3,$J11&lt;=IF(param_mode_affichage="mois",EOMONTH(BC$3,0),BC$3+6)),"◆",""))</f>
      </c>
      <c r="BD11" s="26">
        <f>IF(OR($A11="",BD$3=""),"",IF(AND($J11&lt;&gt;"",$K11&lt;&gt;"",$J11=$K11,$J11&gt;=BD$3,$J11&lt;=IF(param_mode_affichage="mois",EOMONTH(BD$3,0),BD$3+6)),"◆",""))</f>
      </c>
      <c r="BE11" s="26">
        <f>IF(OR($A11="",BE$3=""),"",IF(AND($J11&lt;&gt;"",$K11&lt;&gt;"",$J11=$K11,$J11&gt;=BE$3,$J11&lt;=IF(param_mode_affichage="mois",EOMONTH(BE$3,0),BE$3+6)),"◆",""))</f>
      </c>
      <c r="BF11" s="26">
        <f>IF(OR($A11="",BF$3=""),"",IF(AND($J11&lt;&gt;"",$K11&lt;&gt;"",$J11=$K11,$J11&gt;=BF$3,$J11&lt;=IF(param_mode_affichage="mois",EOMONTH(BF$3,0),BF$3+6)),"◆",""))</f>
      </c>
      <c r="BG11" s="26">
        <f>IF(OR($A11="",BG$3=""),"",IF(AND($J11&lt;&gt;"",$K11&lt;&gt;"",$J11=$K11,$J11&gt;=BG$3,$J11&lt;=IF(param_mode_affichage="mois",EOMONTH(BG$3,0),BG$3+6)),"◆",""))</f>
      </c>
      <c r="BH11" s="26">
        <f>IF(OR($A11="",BH$3=""),"",IF(AND($J11&lt;&gt;"",$K11&lt;&gt;"",$J11=$K11,$J11&gt;=BH$3,$J11&lt;=IF(param_mode_affichage="mois",EOMONTH(BH$3,0),BH$3+6)),"◆",""))</f>
      </c>
      <c r="BI11" s="26">
        <f>IF(OR($A11="",BI$3=""),"",IF(AND($J11&lt;&gt;"",$K11&lt;&gt;"",$J11=$K11,$J11&gt;=BI$3,$J11&lt;=IF(param_mode_affichage="mois",EOMONTH(BI$3,0),BI$3+6)),"◆",""))</f>
      </c>
      <c r="BJ11" s="26">
        <f>IF(OR($A11="",BJ$3=""),"",IF(AND($J11&lt;&gt;"",$K11&lt;&gt;"",$J11=$K11,$J11&gt;=BJ$3,$J11&lt;=IF(param_mode_affichage="mois",EOMONTH(BJ$3,0),BJ$3+6)),"◆",""))</f>
      </c>
      <c r="BK11" s="26">
        <f>IF(OR($A11="",BK$3=""),"",IF(AND($J11&lt;&gt;"",$K11&lt;&gt;"",$J11=$K11,$J11&gt;=BK$3,$J11&lt;=IF(param_mode_affichage="mois",EOMONTH(BK$3,0),BK$3+6)),"◆",""))</f>
      </c>
      <c r="BL11" s="26">
        <f>IF(OR($A11="",BL$3=""),"",IF(AND($J11&lt;&gt;"",$K11&lt;&gt;"",$J11=$K11,$J11&gt;=BL$3,$J11&lt;=IF(param_mode_affichage="mois",EOMONTH(BL$3,0),BL$3+6)),"◆",""))</f>
      </c>
    </row>
    <row r="12" spans="1:64" x14ac:dyDescent="0.25">
      <c r="A12" s="23">
        <f>IFERROR(INDEX(tblTasks[ID],ROW()-4),"")</f>
      </c>
      <c r="B12" s="24">
        <f>IF($A12="","",INDEX(tblTasks[Sujet],ROW()-4))</f>
      </c>
      <c r="C12" s="23">
        <f>IF($A12="","",INDEX(tblTasks[Responsable],ROW()-4))</f>
      </c>
      <c r="D12" s="23">
        <f>IF($A12="","",INDEX(tblTasks[Statut],ROW()-4))</f>
      </c>
      <c r="E12" s="23">
        <f>IF($A12="","",INDEX(tblTasks[Depend_de],ROW()-4))</f>
      </c>
      <c r="F12" s="23">
        <f>IF($A12="","",INDEX(tblTasks[Blocage],ROW()-4))</f>
      </c>
      <c r="G12" s="23">
        <f>IF($A12="","",INDEX(tblTasks[Niveau_criticite],ROW()-4))</f>
      </c>
      <c r="H12" s="23">
        <f>IF($A12="","",INDEX(tblTasks[Goulot],ROW()-4))</f>
      </c>
      <c r="I12" s="23">
        <f>IF($A12="","",IF(LOWER($F12)="oui","non",IF($E12="","oui",IFERROR(IF(LOWER(INDEX(tblTasks[Statut],MATCH($E12,tblTasks[ID],0)))="clos","oui","non"),"non"))))</f>
      </c>
      <c r="J12" s="25">
        <f>IF($A12="","",INDEX(tblTasks[Date_debut_prevue],ROW()-4))</f>
      </c>
      <c r="K12" s="25">
        <f>IF($A12="","",INDEX(tblTasks[Date_fin_prevue],ROW()-4))</f>
      </c>
      <c r="L12" s="23">
        <f>IF($A12="","",INDEX(tblTasks[Irreversibilite],ROW()-4))</f>
      </c>
      <c r="M12" s="26">
        <f>IF(OR($A12="",M$3=""),"",IF(AND($J12&lt;&gt;"",$K12&lt;&gt;"",$J12=$K12,$J12&gt;=M$3,$J12&lt;=IF(param_mode_affichage="mois",EOMONTH(M$3,0),M$3+6)),"◆",""))</f>
      </c>
      <c r="N12" s="26">
        <f>IF(OR($A12="",N$3=""),"",IF(AND($J12&lt;&gt;"",$K12&lt;&gt;"",$J12=$K12,$J12&gt;=N$3,$J12&lt;=IF(param_mode_affichage="mois",EOMONTH(N$3,0),N$3+6)),"◆",""))</f>
      </c>
      <c r="O12" s="26">
        <f>IF(OR($A12="",O$3=""),"",IF(AND($J12&lt;&gt;"",$K12&lt;&gt;"",$J12=$K12,$J12&gt;=O$3,$J12&lt;=IF(param_mode_affichage="mois",EOMONTH(O$3,0),O$3+6)),"◆",""))</f>
      </c>
      <c r="P12" s="26">
        <f>IF(OR($A12="",P$3=""),"",IF(AND($J12&lt;&gt;"",$K12&lt;&gt;"",$J12=$K12,$J12&gt;=P$3,$J12&lt;=IF(param_mode_affichage="mois",EOMONTH(P$3,0),P$3+6)),"◆",""))</f>
      </c>
      <c r="Q12" s="26">
        <f>IF(OR($A12="",Q$3=""),"",IF(AND($J12&lt;&gt;"",$K12&lt;&gt;"",$J12=$K12,$J12&gt;=Q$3,$J12&lt;=IF(param_mode_affichage="mois",EOMONTH(Q$3,0),Q$3+6)),"◆",""))</f>
      </c>
      <c r="R12" s="26">
        <f>IF(OR($A12="",R$3=""),"",IF(AND($J12&lt;&gt;"",$K12&lt;&gt;"",$J12=$K12,$J12&gt;=R$3,$J12&lt;=IF(param_mode_affichage="mois",EOMONTH(R$3,0),R$3+6)),"◆",""))</f>
      </c>
      <c r="S12" s="26">
        <f>IF(OR($A12="",S$3=""),"",IF(AND($J12&lt;&gt;"",$K12&lt;&gt;"",$J12=$K12,$J12&gt;=S$3,$J12&lt;=IF(param_mode_affichage="mois",EOMONTH(S$3,0),S$3+6)),"◆",""))</f>
      </c>
      <c r="T12" s="26">
        <f>IF(OR($A12="",T$3=""),"",IF(AND($J12&lt;&gt;"",$K12&lt;&gt;"",$J12=$K12,$J12&gt;=T$3,$J12&lt;=IF(param_mode_affichage="mois",EOMONTH(T$3,0),T$3+6)),"◆",""))</f>
      </c>
      <c r="U12" s="26">
        <f>IF(OR($A12="",U$3=""),"",IF(AND($J12&lt;&gt;"",$K12&lt;&gt;"",$J12=$K12,$J12&gt;=U$3,$J12&lt;=IF(param_mode_affichage="mois",EOMONTH(U$3,0),U$3+6)),"◆",""))</f>
      </c>
      <c r="V12" s="26">
        <f>IF(OR($A12="",V$3=""),"",IF(AND($J12&lt;&gt;"",$K12&lt;&gt;"",$J12=$K12,$J12&gt;=V$3,$J12&lt;=IF(param_mode_affichage="mois",EOMONTH(V$3,0),V$3+6)),"◆",""))</f>
      </c>
      <c r="W12" s="26">
        <f>IF(OR($A12="",W$3=""),"",IF(AND($J12&lt;&gt;"",$K12&lt;&gt;"",$J12=$K12,$J12&gt;=W$3,$J12&lt;=IF(param_mode_affichage="mois",EOMONTH(W$3,0),W$3+6)),"◆",""))</f>
      </c>
      <c r="X12" s="26">
        <f>IF(OR($A12="",X$3=""),"",IF(AND($J12&lt;&gt;"",$K12&lt;&gt;"",$J12=$K12,$J12&gt;=X$3,$J12&lt;=IF(param_mode_affichage="mois",EOMONTH(X$3,0),X$3+6)),"◆",""))</f>
      </c>
      <c r="Y12" s="26">
        <f>IF(OR($A12="",Y$3=""),"",IF(AND($J12&lt;&gt;"",$K12&lt;&gt;"",$J12=$K12,$J12&gt;=Y$3,$J12&lt;=IF(param_mode_affichage="mois",EOMONTH(Y$3,0),Y$3+6)),"◆",""))</f>
      </c>
      <c r="Z12" s="26">
        <f>IF(OR($A12="",Z$3=""),"",IF(AND($J12&lt;&gt;"",$K12&lt;&gt;"",$J12=$K12,$J12&gt;=Z$3,$J12&lt;=IF(param_mode_affichage="mois",EOMONTH(Z$3,0),Z$3+6)),"◆",""))</f>
      </c>
      <c r="AA12" s="26">
        <f>IF(OR($A12="",AA$3=""),"",IF(AND($J12&lt;&gt;"",$K12&lt;&gt;"",$J12=$K12,$J12&gt;=AA$3,$J12&lt;=IF(param_mode_affichage="mois",EOMONTH(AA$3,0),AA$3+6)),"◆",""))</f>
      </c>
      <c r="AB12" s="26">
        <f>IF(OR($A12="",AB$3=""),"",IF(AND($J12&lt;&gt;"",$K12&lt;&gt;"",$J12=$K12,$J12&gt;=AB$3,$J12&lt;=IF(param_mode_affichage="mois",EOMONTH(AB$3,0),AB$3+6)),"◆",""))</f>
      </c>
      <c r="AC12" s="26">
        <f>IF(OR($A12="",AC$3=""),"",IF(AND($J12&lt;&gt;"",$K12&lt;&gt;"",$J12=$K12,$J12&gt;=AC$3,$J12&lt;=IF(param_mode_affichage="mois",EOMONTH(AC$3,0),AC$3+6)),"◆",""))</f>
      </c>
      <c r="AD12" s="26">
        <f>IF(OR($A12="",AD$3=""),"",IF(AND($J12&lt;&gt;"",$K12&lt;&gt;"",$J12=$K12,$J12&gt;=AD$3,$J12&lt;=IF(param_mode_affichage="mois",EOMONTH(AD$3,0),AD$3+6)),"◆",""))</f>
      </c>
      <c r="AE12" s="26">
        <f>IF(OR($A12="",AE$3=""),"",IF(AND($J12&lt;&gt;"",$K12&lt;&gt;"",$J12=$K12,$J12&gt;=AE$3,$J12&lt;=IF(param_mode_affichage="mois",EOMONTH(AE$3,0),AE$3+6)),"◆",""))</f>
      </c>
      <c r="AF12" s="26">
        <f>IF(OR($A12="",AF$3=""),"",IF(AND($J12&lt;&gt;"",$K12&lt;&gt;"",$J12=$K12,$J12&gt;=AF$3,$J12&lt;=IF(param_mode_affichage="mois",EOMONTH(AF$3,0),AF$3+6)),"◆",""))</f>
      </c>
      <c r="AG12" s="26">
        <f>IF(OR($A12="",AG$3=""),"",IF(AND($J12&lt;&gt;"",$K12&lt;&gt;"",$J12=$K12,$J12&gt;=AG$3,$J12&lt;=IF(param_mode_affichage="mois",EOMONTH(AG$3,0),AG$3+6)),"◆",""))</f>
      </c>
      <c r="AH12" s="26">
        <f>IF(OR($A12="",AH$3=""),"",IF(AND($J12&lt;&gt;"",$K12&lt;&gt;"",$J12=$K12,$J12&gt;=AH$3,$J12&lt;=IF(param_mode_affichage="mois",EOMONTH(AH$3,0),AH$3+6)),"◆",""))</f>
      </c>
      <c r="AI12" s="26">
        <f>IF(OR($A12="",AI$3=""),"",IF(AND($J12&lt;&gt;"",$K12&lt;&gt;"",$J12=$K12,$J12&gt;=AI$3,$J12&lt;=IF(param_mode_affichage="mois",EOMONTH(AI$3,0),AI$3+6)),"◆",""))</f>
      </c>
      <c r="AJ12" s="26">
        <f>IF(OR($A12="",AJ$3=""),"",IF(AND($J12&lt;&gt;"",$K12&lt;&gt;"",$J12=$K12,$J12&gt;=AJ$3,$J12&lt;=IF(param_mode_affichage="mois",EOMONTH(AJ$3,0),AJ$3+6)),"◆",""))</f>
      </c>
      <c r="AK12" s="26">
        <f>IF(OR($A12="",AK$3=""),"",IF(AND($J12&lt;&gt;"",$K12&lt;&gt;"",$J12=$K12,$J12&gt;=AK$3,$J12&lt;=IF(param_mode_affichage="mois",EOMONTH(AK$3,0),AK$3+6)),"◆",""))</f>
      </c>
      <c r="AL12" s="26">
        <f>IF(OR($A12="",AL$3=""),"",IF(AND($J12&lt;&gt;"",$K12&lt;&gt;"",$J12=$K12,$J12&gt;=AL$3,$J12&lt;=IF(param_mode_affichage="mois",EOMONTH(AL$3,0),AL$3+6)),"◆",""))</f>
      </c>
      <c r="AM12" s="26">
        <f>IF(OR($A12="",AM$3=""),"",IF(AND($J12&lt;&gt;"",$K12&lt;&gt;"",$J12=$K12,$J12&gt;=AM$3,$J12&lt;=IF(param_mode_affichage="mois",EOMONTH(AM$3,0),AM$3+6)),"◆",""))</f>
      </c>
      <c r="AN12" s="26">
        <f>IF(OR($A12="",AN$3=""),"",IF(AND($J12&lt;&gt;"",$K12&lt;&gt;"",$J12=$K12,$J12&gt;=AN$3,$J12&lt;=IF(param_mode_affichage="mois",EOMONTH(AN$3,0),AN$3+6)),"◆",""))</f>
      </c>
      <c r="AO12" s="26">
        <f>IF(OR($A12="",AO$3=""),"",IF(AND($J12&lt;&gt;"",$K12&lt;&gt;"",$J12=$K12,$J12&gt;=AO$3,$J12&lt;=IF(param_mode_affichage="mois",EOMONTH(AO$3,0),AO$3+6)),"◆",""))</f>
      </c>
      <c r="AP12" s="26">
        <f>IF(OR($A12="",AP$3=""),"",IF(AND($J12&lt;&gt;"",$K12&lt;&gt;"",$J12=$K12,$J12&gt;=AP$3,$J12&lt;=IF(param_mode_affichage="mois",EOMONTH(AP$3,0),AP$3+6)),"◆",""))</f>
      </c>
      <c r="AQ12" s="26">
        <f>IF(OR($A12="",AQ$3=""),"",IF(AND($J12&lt;&gt;"",$K12&lt;&gt;"",$J12=$K12,$J12&gt;=AQ$3,$J12&lt;=IF(param_mode_affichage="mois",EOMONTH(AQ$3,0),AQ$3+6)),"◆",""))</f>
      </c>
      <c r="AR12" s="26">
        <f>IF(OR($A12="",AR$3=""),"",IF(AND($J12&lt;&gt;"",$K12&lt;&gt;"",$J12=$K12,$J12&gt;=AR$3,$J12&lt;=IF(param_mode_affichage="mois",EOMONTH(AR$3,0),AR$3+6)),"◆",""))</f>
      </c>
      <c r="AS12" s="26">
        <f>IF(OR($A12="",AS$3=""),"",IF(AND($J12&lt;&gt;"",$K12&lt;&gt;"",$J12=$K12,$J12&gt;=AS$3,$J12&lt;=IF(param_mode_affichage="mois",EOMONTH(AS$3,0),AS$3+6)),"◆",""))</f>
      </c>
      <c r="AT12" s="26">
        <f>IF(OR($A12="",AT$3=""),"",IF(AND($J12&lt;&gt;"",$K12&lt;&gt;"",$J12=$K12,$J12&gt;=AT$3,$J12&lt;=IF(param_mode_affichage="mois",EOMONTH(AT$3,0),AT$3+6)),"◆",""))</f>
      </c>
      <c r="AU12" s="26">
        <f>IF(OR($A12="",AU$3=""),"",IF(AND($J12&lt;&gt;"",$K12&lt;&gt;"",$J12=$K12,$J12&gt;=AU$3,$J12&lt;=IF(param_mode_affichage="mois",EOMONTH(AU$3,0),AU$3+6)),"◆",""))</f>
      </c>
      <c r="AV12" s="26">
        <f>IF(OR($A12="",AV$3=""),"",IF(AND($J12&lt;&gt;"",$K12&lt;&gt;"",$J12=$K12,$J12&gt;=AV$3,$J12&lt;=IF(param_mode_affichage="mois",EOMONTH(AV$3,0),AV$3+6)),"◆",""))</f>
      </c>
      <c r="AW12" s="26">
        <f>IF(OR($A12="",AW$3=""),"",IF(AND($J12&lt;&gt;"",$K12&lt;&gt;"",$J12=$K12,$J12&gt;=AW$3,$J12&lt;=IF(param_mode_affichage="mois",EOMONTH(AW$3,0),AW$3+6)),"◆",""))</f>
      </c>
      <c r="AX12" s="26">
        <f>IF(OR($A12="",AX$3=""),"",IF(AND($J12&lt;&gt;"",$K12&lt;&gt;"",$J12=$K12,$J12&gt;=AX$3,$J12&lt;=IF(param_mode_affichage="mois",EOMONTH(AX$3,0),AX$3+6)),"◆",""))</f>
      </c>
      <c r="AY12" s="26">
        <f>IF(OR($A12="",AY$3=""),"",IF(AND($J12&lt;&gt;"",$K12&lt;&gt;"",$J12=$K12,$J12&gt;=AY$3,$J12&lt;=IF(param_mode_affichage="mois",EOMONTH(AY$3,0),AY$3+6)),"◆",""))</f>
      </c>
      <c r="AZ12" s="26">
        <f>IF(OR($A12="",AZ$3=""),"",IF(AND($J12&lt;&gt;"",$K12&lt;&gt;"",$J12=$K12,$J12&gt;=AZ$3,$J12&lt;=IF(param_mode_affichage="mois",EOMONTH(AZ$3,0),AZ$3+6)),"◆",""))</f>
      </c>
      <c r="BA12" s="26">
        <f>IF(OR($A12="",BA$3=""),"",IF(AND($J12&lt;&gt;"",$K12&lt;&gt;"",$J12=$K12,$J12&gt;=BA$3,$J12&lt;=IF(param_mode_affichage="mois",EOMONTH(BA$3,0),BA$3+6)),"◆",""))</f>
      </c>
      <c r="BB12" s="26">
        <f>IF(OR($A12="",BB$3=""),"",IF(AND($J12&lt;&gt;"",$K12&lt;&gt;"",$J12=$K12,$J12&gt;=BB$3,$J12&lt;=IF(param_mode_affichage="mois",EOMONTH(BB$3,0),BB$3+6)),"◆",""))</f>
      </c>
      <c r="BC12" s="26">
        <f>IF(OR($A12="",BC$3=""),"",IF(AND($J12&lt;&gt;"",$K12&lt;&gt;"",$J12=$K12,$J12&gt;=BC$3,$J12&lt;=IF(param_mode_affichage="mois",EOMONTH(BC$3,0),BC$3+6)),"◆",""))</f>
      </c>
      <c r="BD12" s="26">
        <f>IF(OR($A12="",BD$3=""),"",IF(AND($J12&lt;&gt;"",$K12&lt;&gt;"",$J12=$K12,$J12&gt;=BD$3,$J12&lt;=IF(param_mode_affichage="mois",EOMONTH(BD$3,0),BD$3+6)),"◆",""))</f>
      </c>
      <c r="BE12" s="26">
        <f>IF(OR($A12="",BE$3=""),"",IF(AND($J12&lt;&gt;"",$K12&lt;&gt;"",$J12=$K12,$J12&gt;=BE$3,$J12&lt;=IF(param_mode_affichage="mois",EOMONTH(BE$3,0),BE$3+6)),"◆",""))</f>
      </c>
      <c r="BF12" s="26">
        <f>IF(OR($A12="",BF$3=""),"",IF(AND($J12&lt;&gt;"",$K12&lt;&gt;"",$J12=$K12,$J12&gt;=BF$3,$J12&lt;=IF(param_mode_affichage="mois",EOMONTH(BF$3,0),BF$3+6)),"◆",""))</f>
      </c>
      <c r="BG12" s="26">
        <f>IF(OR($A12="",BG$3=""),"",IF(AND($J12&lt;&gt;"",$K12&lt;&gt;"",$J12=$K12,$J12&gt;=BG$3,$J12&lt;=IF(param_mode_affichage="mois",EOMONTH(BG$3,0),BG$3+6)),"◆",""))</f>
      </c>
      <c r="BH12" s="26">
        <f>IF(OR($A12="",BH$3=""),"",IF(AND($J12&lt;&gt;"",$K12&lt;&gt;"",$J12=$K12,$J12&gt;=BH$3,$J12&lt;=IF(param_mode_affichage="mois",EOMONTH(BH$3,0),BH$3+6)),"◆",""))</f>
      </c>
      <c r="BI12" s="26">
        <f>IF(OR($A12="",BI$3=""),"",IF(AND($J12&lt;&gt;"",$K12&lt;&gt;"",$J12=$K12,$J12&gt;=BI$3,$J12&lt;=IF(param_mode_affichage="mois",EOMONTH(BI$3,0),BI$3+6)),"◆",""))</f>
      </c>
      <c r="BJ12" s="26">
        <f>IF(OR($A12="",BJ$3=""),"",IF(AND($J12&lt;&gt;"",$K12&lt;&gt;"",$J12=$K12,$J12&gt;=BJ$3,$J12&lt;=IF(param_mode_affichage="mois",EOMONTH(BJ$3,0),BJ$3+6)),"◆",""))</f>
      </c>
      <c r="BK12" s="26">
        <f>IF(OR($A12="",BK$3=""),"",IF(AND($J12&lt;&gt;"",$K12&lt;&gt;"",$J12=$K12,$J12&gt;=BK$3,$J12&lt;=IF(param_mode_affichage="mois",EOMONTH(BK$3,0),BK$3+6)),"◆",""))</f>
      </c>
      <c r="BL12" s="26">
        <f>IF(OR($A12="",BL$3=""),"",IF(AND($J12&lt;&gt;"",$K12&lt;&gt;"",$J12=$K12,$J12&gt;=BL$3,$J12&lt;=IF(param_mode_affichage="mois",EOMONTH(BL$3,0),BL$3+6)),"◆",""))</f>
      </c>
    </row>
    <row r="13" spans="1:64" x14ac:dyDescent="0.25">
      <c r="A13" s="23">
        <f>IFERROR(INDEX(tblTasks[ID],ROW()-4),"")</f>
      </c>
      <c r="B13" s="24">
        <f>IF($A13="","",INDEX(tblTasks[Sujet],ROW()-4))</f>
      </c>
      <c r="C13" s="23">
        <f>IF($A13="","",INDEX(tblTasks[Responsable],ROW()-4))</f>
      </c>
      <c r="D13" s="23">
        <f>IF($A13="","",INDEX(tblTasks[Statut],ROW()-4))</f>
      </c>
      <c r="E13" s="23">
        <f>IF($A13="","",INDEX(tblTasks[Depend_de],ROW()-4))</f>
      </c>
      <c r="F13" s="23">
        <f>IF($A13="","",INDEX(tblTasks[Blocage],ROW()-4))</f>
      </c>
      <c r="G13" s="23">
        <f>IF($A13="","",INDEX(tblTasks[Niveau_criticite],ROW()-4))</f>
      </c>
      <c r="H13" s="23">
        <f>IF($A13="","",INDEX(tblTasks[Goulot],ROW()-4))</f>
      </c>
      <c r="I13" s="23">
        <f>IF($A13="","",IF(LOWER($F13)="oui","non",IF($E13="","oui",IFERROR(IF(LOWER(INDEX(tblTasks[Statut],MATCH($E13,tblTasks[ID],0)))="clos","oui","non"),"non"))))</f>
      </c>
      <c r="J13" s="25">
        <f>IF($A13="","",INDEX(tblTasks[Date_debut_prevue],ROW()-4))</f>
      </c>
      <c r="K13" s="25">
        <f>IF($A13="","",INDEX(tblTasks[Date_fin_prevue],ROW()-4))</f>
      </c>
      <c r="L13" s="23">
        <f>IF($A13="","",INDEX(tblTasks[Irreversibilite],ROW()-4))</f>
      </c>
      <c r="M13" s="26">
        <f>IF(OR($A13="",M$3=""),"",IF(AND($J13&lt;&gt;"",$K13&lt;&gt;"",$J13=$K13,$J13&gt;=M$3,$J13&lt;=IF(param_mode_affichage="mois",EOMONTH(M$3,0),M$3+6)),"◆",""))</f>
      </c>
      <c r="N13" s="26">
        <f>IF(OR($A13="",N$3=""),"",IF(AND($J13&lt;&gt;"",$K13&lt;&gt;"",$J13=$K13,$J13&gt;=N$3,$J13&lt;=IF(param_mode_affichage="mois",EOMONTH(N$3,0),N$3+6)),"◆",""))</f>
      </c>
      <c r="O13" s="26">
        <f>IF(OR($A13="",O$3=""),"",IF(AND($J13&lt;&gt;"",$K13&lt;&gt;"",$J13=$K13,$J13&gt;=O$3,$J13&lt;=IF(param_mode_affichage="mois",EOMONTH(O$3,0),O$3+6)),"◆",""))</f>
      </c>
      <c r="P13" s="26">
        <f>IF(OR($A13="",P$3=""),"",IF(AND($J13&lt;&gt;"",$K13&lt;&gt;"",$J13=$K13,$J13&gt;=P$3,$J13&lt;=IF(param_mode_affichage="mois",EOMONTH(P$3,0),P$3+6)),"◆",""))</f>
      </c>
      <c r="Q13" s="26">
        <f>IF(OR($A13="",Q$3=""),"",IF(AND($J13&lt;&gt;"",$K13&lt;&gt;"",$J13=$K13,$J13&gt;=Q$3,$J13&lt;=IF(param_mode_affichage="mois",EOMONTH(Q$3,0),Q$3+6)),"◆",""))</f>
      </c>
      <c r="R13" s="26">
        <f>IF(OR($A13="",R$3=""),"",IF(AND($J13&lt;&gt;"",$K13&lt;&gt;"",$J13=$K13,$J13&gt;=R$3,$J13&lt;=IF(param_mode_affichage="mois",EOMONTH(R$3,0),R$3+6)),"◆",""))</f>
      </c>
      <c r="S13" s="26">
        <f>IF(OR($A13="",S$3=""),"",IF(AND($J13&lt;&gt;"",$K13&lt;&gt;"",$J13=$K13,$J13&gt;=S$3,$J13&lt;=IF(param_mode_affichage="mois",EOMONTH(S$3,0),S$3+6)),"◆",""))</f>
      </c>
      <c r="T13" s="26">
        <f>IF(OR($A13="",T$3=""),"",IF(AND($J13&lt;&gt;"",$K13&lt;&gt;"",$J13=$K13,$J13&gt;=T$3,$J13&lt;=IF(param_mode_affichage="mois",EOMONTH(T$3,0),T$3+6)),"◆",""))</f>
      </c>
      <c r="U13" s="26">
        <f>IF(OR($A13="",U$3=""),"",IF(AND($J13&lt;&gt;"",$K13&lt;&gt;"",$J13=$K13,$J13&gt;=U$3,$J13&lt;=IF(param_mode_affichage="mois",EOMONTH(U$3,0),U$3+6)),"◆",""))</f>
      </c>
      <c r="V13" s="26">
        <f>IF(OR($A13="",V$3=""),"",IF(AND($J13&lt;&gt;"",$K13&lt;&gt;"",$J13=$K13,$J13&gt;=V$3,$J13&lt;=IF(param_mode_affichage="mois",EOMONTH(V$3,0),V$3+6)),"◆",""))</f>
      </c>
      <c r="W13" s="26">
        <f>IF(OR($A13="",W$3=""),"",IF(AND($J13&lt;&gt;"",$K13&lt;&gt;"",$J13=$K13,$J13&gt;=W$3,$J13&lt;=IF(param_mode_affichage="mois",EOMONTH(W$3,0),W$3+6)),"◆",""))</f>
      </c>
      <c r="X13" s="26">
        <f>IF(OR($A13="",X$3=""),"",IF(AND($J13&lt;&gt;"",$K13&lt;&gt;"",$J13=$K13,$J13&gt;=X$3,$J13&lt;=IF(param_mode_affichage="mois",EOMONTH(X$3,0),X$3+6)),"◆",""))</f>
      </c>
      <c r="Y13" s="26">
        <f>IF(OR($A13="",Y$3=""),"",IF(AND($J13&lt;&gt;"",$K13&lt;&gt;"",$J13=$K13,$J13&gt;=Y$3,$J13&lt;=IF(param_mode_affichage="mois",EOMONTH(Y$3,0),Y$3+6)),"◆",""))</f>
      </c>
      <c r="Z13" s="26">
        <f>IF(OR($A13="",Z$3=""),"",IF(AND($J13&lt;&gt;"",$K13&lt;&gt;"",$J13=$K13,$J13&gt;=Z$3,$J13&lt;=IF(param_mode_affichage="mois",EOMONTH(Z$3,0),Z$3+6)),"◆",""))</f>
      </c>
      <c r="AA13" s="26">
        <f>IF(OR($A13="",AA$3=""),"",IF(AND($J13&lt;&gt;"",$K13&lt;&gt;"",$J13=$K13,$J13&gt;=AA$3,$J13&lt;=IF(param_mode_affichage="mois",EOMONTH(AA$3,0),AA$3+6)),"◆",""))</f>
      </c>
      <c r="AB13" s="26">
        <f>IF(OR($A13="",AB$3=""),"",IF(AND($J13&lt;&gt;"",$K13&lt;&gt;"",$J13=$K13,$J13&gt;=AB$3,$J13&lt;=IF(param_mode_affichage="mois",EOMONTH(AB$3,0),AB$3+6)),"◆",""))</f>
      </c>
      <c r="AC13" s="26">
        <f>IF(OR($A13="",AC$3=""),"",IF(AND($J13&lt;&gt;"",$K13&lt;&gt;"",$J13=$K13,$J13&gt;=AC$3,$J13&lt;=IF(param_mode_affichage="mois",EOMONTH(AC$3,0),AC$3+6)),"◆",""))</f>
      </c>
      <c r="AD13" s="26">
        <f>IF(OR($A13="",AD$3=""),"",IF(AND($J13&lt;&gt;"",$K13&lt;&gt;"",$J13=$K13,$J13&gt;=AD$3,$J13&lt;=IF(param_mode_affichage="mois",EOMONTH(AD$3,0),AD$3+6)),"◆",""))</f>
      </c>
      <c r="AE13" s="26">
        <f>IF(OR($A13="",AE$3=""),"",IF(AND($J13&lt;&gt;"",$K13&lt;&gt;"",$J13=$K13,$J13&gt;=AE$3,$J13&lt;=IF(param_mode_affichage="mois",EOMONTH(AE$3,0),AE$3+6)),"◆",""))</f>
      </c>
      <c r="AF13" s="26">
        <f>IF(OR($A13="",AF$3=""),"",IF(AND($J13&lt;&gt;"",$K13&lt;&gt;"",$J13=$K13,$J13&gt;=AF$3,$J13&lt;=IF(param_mode_affichage="mois",EOMONTH(AF$3,0),AF$3+6)),"◆",""))</f>
      </c>
      <c r="AG13" s="26">
        <f>IF(OR($A13="",AG$3=""),"",IF(AND($J13&lt;&gt;"",$K13&lt;&gt;"",$J13=$K13,$J13&gt;=AG$3,$J13&lt;=IF(param_mode_affichage="mois",EOMONTH(AG$3,0),AG$3+6)),"◆",""))</f>
      </c>
      <c r="AH13" s="26">
        <f>IF(OR($A13="",AH$3=""),"",IF(AND($J13&lt;&gt;"",$K13&lt;&gt;"",$J13=$K13,$J13&gt;=AH$3,$J13&lt;=IF(param_mode_affichage="mois",EOMONTH(AH$3,0),AH$3+6)),"◆",""))</f>
      </c>
      <c r="AI13" s="26">
        <f>IF(OR($A13="",AI$3=""),"",IF(AND($J13&lt;&gt;"",$K13&lt;&gt;"",$J13=$K13,$J13&gt;=AI$3,$J13&lt;=IF(param_mode_affichage="mois",EOMONTH(AI$3,0),AI$3+6)),"◆",""))</f>
      </c>
      <c r="AJ13" s="26">
        <f>IF(OR($A13="",AJ$3=""),"",IF(AND($J13&lt;&gt;"",$K13&lt;&gt;"",$J13=$K13,$J13&gt;=AJ$3,$J13&lt;=IF(param_mode_affichage="mois",EOMONTH(AJ$3,0),AJ$3+6)),"◆",""))</f>
      </c>
      <c r="AK13" s="26">
        <f>IF(OR($A13="",AK$3=""),"",IF(AND($J13&lt;&gt;"",$K13&lt;&gt;"",$J13=$K13,$J13&gt;=AK$3,$J13&lt;=IF(param_mode_affichage="mois",EOMONTH(AK$3,0),AK$3+6)),"◆",""))</f>
      </c>
      <c r="AL13" s="26">
        <f>IF(OR($A13="",AL$3=""),"",IF(AND($J13&lt;&gt;"",$K13&lt;&gt;"",$J13=$K13,$J13&gt;=AL$3,$J13&lt;=IF(param_mode_affichage="mois",EOMONTH(AL$3,0),AL$3+6)),"◆",""))</f>
      </c>
      <c r="AM13" s="26">
        <f>IF(OR($A13="",AM$3=""),"",IF(AND($J13&lt;&gt;"",$K13&lt;&gt;"",$J13=$K13,$J13&gt;=AM$3,$J13&lt;=IF(param_mode_affichage="mois",EOMONTH(AM$3,0),AM$3+6)),"◆",""))</f>
      </c>
      <c r="AN13" s="26">
        <f>IF(OR($A13="",AN$3=""),"",IF(AND($J13&lt;&gt;"",$K13&lt;&gt;"",$J13=$K13,$J13&gt;=AN$3,$J13&lt;=IF(param_mode_affichage="mois",EOMONTH(AN$3,0),AN$3+6)),"◆",""))</f>
      </c>
      <c r="AO13" s="26">
        <f>IF(OR($A13="",AO$3=""),"",IF(AND($J13&lt;&gt;"",$K13&lt;&gt;"",$J13=$K13,$J13&gt;=AO$3,$J13&lt;=IF(param_mode_affichage="mois",EOMONTH(AO$3,0),AO$3+6)),"◆",""))</f>
      </c>
      <c r="AP13" s="26">
        <f>IF(OR($A13="",AP$3=""),"",IF(AND($J13&lt;&gt;"",$K13&lt;&gt;"",$J13=$K13,$J13&gt;=AP$3,$J13&lt;=IF(param_mode_affichage="mois",EOMONTH(AP$3,0),AP$3+6)),"◆",""))</f>
      </c>
      <c r="AQ13" s="26">
        <f>IF(OR($A13="",AQ$3=""),"",IF(AND($J13&lt;&gt;"",$K13&lt;&gt;"",$J13=$K13,$J13&gt;=AQ$3,$J13&lt;=IF(param_mode_affichage="mois",EOMONTH(AQ$3,0),AQ$3+6)),"◆",""))</f>
      </c>
      <c r="AR13" s="26">
        <f>IF(OR($A13="",AR$3=""),"",IF(AND($J13&lt;&gt;"",$K13&lt;&gt;"",$J13=$K13,$J13&gt;=AR$3,$J13&lt;=IF(param_mode_affichage="mois",EOMONTH(AR$3,0),AR$3+6)),"◆",""))</f>
      </c>
      <c r="AS13" s="26">
        <f>IF(OR($A13="",AS$3=""),"",IF(AND($J13&lt;&gt;"",$K13&lt;&gt;"",$J13=$K13,$J13&gt;=AS$3,$J13&lt;=IF(param_mode_affichage="mois",EOMONTH(AS$3,0),AS$3+6)),"◆",""))</f>
      </c>
      <c r="AT13" s="26">
        <f>IF(OR($A13="",AT$3=""),"",IF(AND($J13&lt;&gt;"",$K13&lt;&gt;"",$J13=$K13,$J13&gt;=AT$3,$J13&lt;=IF(param_mode_affichage="mois",EOMONTH(AT$3,0),AT$3+6)),"◆",""))</f>
      </c>
      <c r="AU13" s="26">
        <f>IF(OR($A13="",AU$3=""),"",IF(AND($J13&lt;&gt;"",$K13&lt;&gt;"",$J13=$K13,$J13&gt;=AU$3,$J13&lt;=IF(param_mode_affichage="mois",EOMONTH(AU$3,0),AU$3+6)),"◆",""))</f>
      </c>
      <c r="AV13" s="26">
        <f>IF(OR($A13="",AV$3=""),"",IF(AND($J13&lt;&gt;"",$K13&lt;&gt;"",$J13=$K13,$J13&gt;=AV$3,$J13&lt;=IF(param_mode_affichage="mois",EOMONTH(AV$3,0),AV$3+6)),"◆",""))</f>
      </c>
      <c r="AW13" s="26">
        <f>IF(OR($A13="",AW$3=""),"",IF(AND($J13&lt;&gt;"",$K13&lt;&gt;"",$J13=$K13,$J13&gt;=AW$3,$J13&lt;=IF(param_mode_affichage="mois",EOMONTH(AW$3,0),AW$3+6)),"◆",""))</f>
      </c>
      <c r="AX13" s="26">
        <f>IF(OR($A13="",AX$3=""),"",IF(AND($J13&lt;&gt;"",$K13&lt;&gt;"",$J13=$K13,$J13&gt;=AX$3,$J13&lt;=IF(param_mode_affichage="mois",EOMONTH(AX$3,0),AX$3+6)),"◆",""))</f>
      </c>
      <c r="AY13" s="26">
        <f>IF(OR($A13="",AY$3=""),"",IF(AND($J13&lt;&gt;"",$K13&lt;&gt;"",$J13=$K13,$J13&gt;=AY$3,$J13&lt;=IF(param_mode_affichage="mois",EOMONTH(AY$3,0),AY$3+6)),"◆",""))</f>
      </c>
      <c r="AZ13" s="26">
        <f>IF(OR($A13="",AZ$3=""),"",IF(AND($J13&lt;&gt;"",$K13&lt;&gt;"",$J13=$K13,$J13&gt;=AZ$3,$J13&lt;=IF(param_mode_affichage="mois",EOMONTH(AZ$3,0),AZ$3+6)),"◆",""))</f>
      </c>
      <c r="BA13" s="26">
        <f>IF(OR($A13="",BA$3=""),"",IF(AND($J13&lt;&gt;"",$K13&lt;&gt;"",$J13=$K13,$J13&gt;=BA$3,$J13&lt;=IF(param_mode_affichage="mois",EOMONTH(BA$3,0),BA$3+6)),"◆",""))</f>
      </c>
      <c r="BB13" s="26">
        <f>IF(OR($A13="",BB$3=""),"",IF(AND($J13&lt;&gt;"",$K13&lt;&gt;"",$J13=$K13,$J13&gt;=BB$3,$J13&lt;=IF(param_mode_affichage="mois",EOMONTH(BB$3,0),BB$3+6)),"◆",""))</f>
      </c>
      <c r="BC13" s="26">
        <f>IF(OR($A13="",BC$3=""),"",IF(AND($J13&lt;&gt;"",$K13&lt;&gt;"",$J13=$K13,$J13&gt;=BC$3,$J13&lt;=IF(param_mode_affichage="mois",EOMONTH(BC$3,0),BC$3+6)),"◆",""))</f>
      </c>
      <c r="BD13" s="26">
        <f>IF(OR($A13="",BD$3=""),"",IF(AND($J13&lt;&gt;"",$K13&lt;&gt;"",$J13=$K13,$J13&gt;=BD$3,$J13&lt;=IF(param_mode_affichage="mois",EOMONTH(BD$3,0),BD$3+6)),"◆",""))</f>
      </c>
      <c r="BE13" s="26">
        <f>IF(OR($A13="",BE$3=""),"",IF(AND($J13&lt;&gt;"",$K13&lt;&gt;"",$J13=$K13,$J13&gt;=BE$3,$J13&lt;=IF(param_mode_affichage="mois",EOMONTH(BE$3,0),BE$3+6)),"◆",""))</f>
      </c>
      <c r="BF13" s="26">
        <f>IF(OR($A13="",BF$3=""),"",IF(AND($J13&lt;&gt;"",$K13&lt;&gt;"",$J13=$K13,$J13&gt;=BF$3,$J13&lt;=IF(param_mode_affichage="mois",EOMONTH(BF$3,0),BF$3+6)),"◆",""))</f>
      </c>
      <c r="BG13" s="26">
        <f>IF(OR($A13="",BG$3=""),"",IF(AND($J13&lt;&gt;"",$K13&lt;&gt;"",$J13=$K13,$J13&gt;=BG$3,$J13&lt;=IF(param_mode_affichage="mois",EOMONTH(BG$3,0),BG$3+6)),"◆",""))</f>
      </c>
      <c r="BH13" s="26">
        <f>IF(OR($A13="",BH$3=""),"",IF(AND($J13&lt;&gt;"",$K13&lt;&gt;"",$J13=$K13,$J13&gt;=BH$3,$J13&lt;=IF(param_mode_affichage="mois",EOMONTH(BH$3,0),BH$3+6)),"◆",""))</f>
      </c>
      <c r="BI13" s="26">
        <f>IF(OR($A13="",BI$3=""),"",IF(AND($J13&lt;&gt;"",$K13&lt;&gt;"",$J13=$K13,$J13&gt;=BI$3,$J13&lt;=IF(param_mode_affichage="mois",EOMONTH(BI$3,0),BI$3+6)),"◆",""))</f>
      </c>
      <c r="BJ13" s="26">
        <f>IF(OR($A13="",BJ$3=""),"",IF(AND($J13&lt;&gt;"",$K13&lt;&gt;"",$J13=$K13,$J13&gt;=BJ$3,$J13&lt;=IF(param_mode_affichage="mois",EOMONTH(BJ$3,0),BJ$3+6)),"◆",""))</f>
      </c>
      <c r="BK13" s="26">
        <f>IF(OR($A13="",BK$3=""),"",IF(AND($J13&lt;&gt;"",$K13&lt;&gt;"",$J13=$K13,$J13&gt;=BK$3,$J13&lt;=IF(param_mode_affichage="mois",EOMONTH(BK$3,0),BK$3+6)),"◆",""))</f>
      </c>
      <c r="BL13" s="26">
        <f>IF(OR($A13="",BL$3=""),"",IF(AND($J13&lt;&gt;"",$K13&lt;&gt;"",$J13=$K13,$J13&gt;=BL$3,$J13&lt;=IF(param_mode_affichage="mois",EOMONTH(BL$3,0),BL$3+6)),"◆",""))</f>
      </c>
    </row>
    <row r="14" spans="1:64" x14ac:dyDescent="0.25">
      <c r="A14" s="23">
        <f>IFERROR(INDEX(tblTasks[ID],ROW()-4),"")</f>
      </c>
      <c r="B14" s="24">
        <f>IF($A14="","",INDEX(tblTasks[Sujet],ROW()-4))</f>
      </c>
      <c r="C14" s="23">
        <f>IF($A14="","",INDEX(tblTasks[Responsable],ROW()-4))</f>
      </c>
      <c r="D14" s="23">
        <f>IF($A14="","",INDEX(tblTasks[Statut],ROW()-4))</f>
      </c>
      <c r="E14" s="23">
        <f>IF($A14="","",INDEX(tblTasks[Depend_de],ROW()-4))</f>
      </c>
      <c r="F14" s="23">
        <f>IF($A14="","",INDEX(tblTasks[Blocage],ROW()-4))</f>
      </c>
      <c r="G14" s="23">
        <f>IF($A14="","",INDEX(tblTasks[Niveau_criticite],ROW()-4))</f>
      </c>
      <c r="H14" s="23">
        <f>IF($A14="","",INDEX(tblTasks[Goulot],ROW()-4))</f>
      </c>
      <c r="I14" s="23">
        <f>IF($A14="","",IF(LOWER($F14)="oui","non",IF($E14="","oui",IFERROR(IF(LOWER(INDEX(tblTasks[Statut],MATCH($E14,tblTasks[ID],0)))="clos","oui","non"),"non"))))</f>
      </c>
      <c r="J14" s="25">
        <f>IF($A14="","",INDEX(tblTasks[Date_debut_prevue],ROW()-4))</f>
      </c>
      <c r="K14" s="25">
        <f>IF($A14="","",INDEX(tblTasks[Date_fin_prevue],ROW()-4))</f>
      </c>
      <c r="L14" s="23">
        <f>IF($A14="","",INDEX(tblTasks[Irreversibilite],ROW()-4))</f>
      </c>
      <c r="M14" s="26">
        <f>IF(OR($A14="",M$3=""),"",IF(AND($J14&lt;&gt;"",$K14&lt;&gt;"",$J14=$K14,$J14&gt;=M$3,$J14&lt;=IF(param_mode_affichage="mois",EOMONTH(M$3,0),M$3+6)),"◆",""))</f>
      </c>
      <c r="N14" s="26">
        <f>IF(OR($A14="",N$3=""),"",IF(AND($J14&lt;&gt;"",$K14&lt;&gt;"",$J14=$K14,$J14&gt;=N$3,$J14&lt;=IF(param_mode_affichage="mois",EOMONTH(N$3,0),N$3+6)),"◆",""))</f>
      </c>
      <c r="O14" s="26">
        <f>IF(OR($A14="",O$3=""),"",IF(AND($J14&lt;&gt;"",$K14&lt;&gt;"",$J14=$K14,$J14&gt;=O$3,$J14&lt;=IF(param_mode_affichage="mois",EOMONTH(O$3,0),O$3+6)),"◆",""))</f>
      </c>
      <c r="P14" s="26">
        <f>IF(OR($A14="",P$3=""),"",IF(AND($J14&lt;&gt;"",$K14&lt;&gt;"",$J14=$K14,$J14&gt;=P$3,$J14&lt;=IF(param_mode_affichage="mois",EOMONTH(P$3,0),P$3+6)),"◆",""))</f>
      </c>
      <c r="Q14" s="26">
        <f>IF(OR($A14="",Q$3=""),"",IF(AND($J14&lt;&gt;"",$K14&lt;&gt;"",$J14=$K14,$J14&gt;=Q$3,$J14&lt;=IF(param_mode_affichage="mois",EOMONTH(Q$3,0),Q$3+6)),"◆",""))</f>
      </c>
      <c r="R14" s="26">
        <f>IF(OR($A14="",R$3=""),"",IF(AND($J14&lt;&gt;"",$K14&lt;&gt;"",$J14=$K14,$J14&gt;=R$3,$J14&lt;=IF(param_mode_affichage="mois",EOMONTH(R$3,0),R$3+6)),"◆",""))</f>
      </c>
      <c r="S14" s="26">
        <f>IF(OR($A14="",S$3=""),"",IF(AND($J14&lt;&gt;"",$K14&lt;&gt;"",$J14=$K14,$J14&gt;=S$3,$J14&lt;=IF(param_mode_affichage="mois",EOMONTH(S$3,0),S$3+6)),"◆",""))</f>
      </c>
      <c r="T14" s="26">
        <f>IF(OR($A14="",T$3=""),"",IF(AND($J14&lt;&gt;"",$K14&lt;&gt;"",$J14=$K14,$J14&gt;=T$3,$J14&lt;=IF(param_mode_affichage="mois",EOMONTH(T$3,0),T$3+6)),"◆",""))</f>
      </c>
      <c r="U14" s="26">
        <f>IF(OR($A14="",U$3=""),"",IF(AND($J14&lt;&gt;"",$K14&lt;&gt;"",$J14=$K14,$J14&gt;=U$3,$J14&lt;=IF(param_mode_affichage="mois",EOMONTH(U$3,0),U$3+6)),"◆",""))</f>
      </c>
      <c r="V14" s="26">
        <f>IF(OR($A14="",V$3=""),"",IF(AND($J14&lt;&gt;"",$K14&lt;&gt;"",$J14=$K14,$J14&gt;=V$3,$J14&lt;=IF(param_mode_affichage="mois",EOMONTH(V$3,0),V$3+6)),"◆",""))</f>
      </c>
      <c r="W14" s="26">
        <f>IF(OR($A14="",W$3=""),"",IF(AND($J14&lt;&gt;"",$K14&lt;&gt;"",$J14=$K14,$J14&gt;=W$3,$J14&lt;=IF(param_mode_affichage="mois",EOMONTH(W$3,0),W$3+6)),"◆",""))</f>
      </c>
      <c r="X14" s="26">
        <f>IF(OR($A14="",X$3=""),"",IF(AND($J14&lt;&gt;"",$K14&lt;&gt;"",$J14=$K14,$J14&gt;=X$3,$J14&lt;=IF(param_mode_affichage="mois",EOMONTH(X$3,0),X$3+6)),"◆",""))</f>
      </c>
      <c r="Y14" s="26">
        <f>IF(OR($A14="",Y$3=""),"",IF(AND($J14&lt;&gt;"",$K14&lt;&gt;"",$J14=$K14,$J14&gt;=Y$3,$J14&lt;=IF(param_mode_affichage="mois",EOMONTH(Y$3,0),Y$3+6)),"◆",""))</f>
      </c>
      <c r="Z14" s="26">
        <f>IF(OR($A14="",Z$3=""),"",IF(AND($J14&lt;&gt;"",$K14&lt;&gt;"",$J14=$K14,$J14&gt;=Z$3,$J14&lt;=IF(param_mode_affichage="mois",EOMONTH(Z$3,0),Z$3+6)),"◆",""))</f>
      </c>
      <c r="AA14" s="26">
        <f>IF(OR($A14="",AA$3=""),"",IF(AND($J14&lt;&gt;"",$K14&lt;&gt;"",$J14=$K14,$J14&gt;=AA$3,$J14&lt;=IF(param_mode_affichage="mois",EOMONTH(AA$3,0),AA$3+6)),"◆",""))</f>
      </c>
      <c r="AB14" s="26">
        <f>IF(OR($A14="",AB$3=""),"",IF(AND($J14&lt;&gt;"",$K14&lt;&gt;"",$J14=$K14,$J14&gt;=AB$3,$J14&lt;=IF(param_mode_affichage="mois",EOMONTH(AB$3,0),AB$3+6)),"◆",""))</f>
      </c>
      <c r="AC14" s="26">
        <f>IF(OR($A14="",AC$3=""),"",IF(AND($J14&lt;&gt;"",$K14&lt;&gt;"",$J14=$K14,$J14&gt;=AC$3,$J14&lt;=IF(param_mode_affichage="mois",EOMONTH(AC$3,0),AC$3+6)),"◆",""))</f>
      </c>
      <c r="AD14" s="26">
        <f>IF(OR($A14="",AD$3=""),"",IF(AND($J14&lt;&gt;"",$K14&lt;&gt;"",$J14=$K14,$J14&gt;=AD$3,$J14&lt;=IF(param_mode_affichage="mois",EOMONTH(AD$3,0),AD$3+6)),"◆",""))</f>
      </c>
      <c r="AE14" s="26">
        <f>IF(OR($A14="",AE$3=""),"",IF(AND($J14&lt;&gt;"",$K14&lt;&gt;"",$J14=$K14,$J14&gt;=AE$3,$J14&lt;=IF(param_mode_affichage="mois",EOMONTH(AE$3,0),AE$3+6)),"◆",""))</f>
      </c>
      <c r="AF14" s="26">
        <f>IF(OR($A14="",AF$3=""),"",IF(AND($J14&lt;&gt;"",$K14&lt;&gt;"",$J14=$K14,$J14&gt;=AF$3,$J14&lt;=IF(param_mode_affichage="mois",EOMONTH(AF$3,0),AF$3+6)),"◆",""))</f>
      </c>
      <c r="AG14" s="26">
        <f>IF(OR($A14="",AG$3=""),"",IF(AND($J14&lt;&gt;"",$K14&lt;&gt;"",$J14=$K14,$J14&gt;=AG$3,$J14&lt;=IF(param_mode_affichage="mois",EOMONTH(AG$3,0),AG$3+6)),"◆",""))</f>
      </c>
      <c r="AH14" s="26">
        <f>IF(OR($A14="",AH$3=""),"",IF(AND($J14&lt;&gt;"",$K14&lt;&gt;"",$J14=$K14,$J14&gt;=AH$3,$J14&lt;=IF(param_mode_affichage="mois",EOMONTH(AH$3,0),AH$3+6)),"◆",""))</f>
      </c>
      <c r="AI14" s="26">
        <f>IF(OR($A14="",AI$3=""),"",IF(AND($J14&lt;&gt;"",$K14&lt;&gt;"",$J14=$K14,$J14&gt;=AI$3,$J14&lt;=IF(param_mode_affichage="mois",EOMONTH(AI$3,0),AI$3+6)),"◆",""))</f>
      </c>
      <c r="AJ14" s="26">
        <f>IF(OR($A14="",AJ$3=""),"",IF(AND($J14&lt;&gt;"",$K14&lt;&gt;"",$J14=$K14,$J14&gt;=AJ$3,$J14&lt;=IF(param_mode_affichage="mois",EOMONTH(AJ$3,0),AJ$3+6)),"◆",""))</f>
      </c>
      <c r="AK14" s="26">
        <f>IF(OR($A14="",AK$3=""),"",IF(AND($J14&lt;&gt;"",$K14&lt;&gt;"",$J14=$K14,$J14&gt;=AK$3,$J14&lt;=IF(param_mode_affichage="mois",EOMONTH(AK$3,0),AK$3+6)),"◆",""))</f>
      </c>
      <c r="AL14" s="26">
        <f>IF(OR($A14="",AL$3=""),"",IF(AND($J14&lt;&gt;"",$K14&lt;&gt;"",$J14=$K14,$J14&gt;=AL$3,$J14&lt;=IF(param_mode_affichage="mois",EOMONTH(AL$3,0),AL$3+6)),"◆",""))</f>
      </c>
      <c r="AM14" s="26">
        <f>IF(OR($A14="",AM$3=""),"",IF(AND($J14&lt;&gt;"",$K14&lt;&gt;"",$J14=$K14,$J14&gt;=AM$3,$J14&lt;=IF(param_mode_affichage="mois",EOMONTH(AM$3,0),AM$3+6)),"◆",""))</f>
      </c>
      <c r="AN14" s="26">
        <f>IF(OR($A14="",AN$3=""),"",IF(AND($J14&lt;&gt;"",$K14&lt;&gt;"",$J14=$K14,$J14&gt;=AN$3,$J14&lt;=IF(param_mode_affichage="mois",EOMONTH(AN$3,0),AN$3+6)),"◆",""))</f>
      </c>
      <c r="AO14" s="26">
        <f>IF(OR($A14="",AO$3=""),"",IF(AND($J14&lt;&gt;"",$K14&lt;&gt;"",$J14=$K14,$J14&gt;=AO$3,$J14&lt;=IF(param_mode_affichage="mois",EOMONTH(AO$3,0),AO$3+6)),"◆",""))</f>
      </c>
      <c r="AP14" s="26">
        <f>IF(OR($A14="",AP$3=""),"",IF(AND($J14&lt;&gt;"",$K14&lt;&gt;"",$J14=$K14,$J14&gt;=AP$3,$J14&lt;=IF(param_mode_affichage="mois",EOMONTH(AP$3,0),AP$3+6)),"◆",""))</f>
      </c>
      <c r="AQ14" s="26">
        <f>IF(OR($A14="",AQ$3=""),"",IF(AND($J14&lt;&gt;"",$K14&lt;&gt;"",$J14=$K14,$J14&gt;=AQ$3,$J14&lt;=IF(param_mode_affichage="mois",EOMONTH(AQ$3,0),AQ$3+6)),"◆",""))</f>
      </c>
      <c r="AR14" s="26">
        <f>IF(OR($A14="",AR$3=""),"",IF(AND($J14&lt;&gt;"",$K14&lt;&gt;"",$J14=$K14,$J14&gt;=AR$3,$J14&lt;=IF(param_mode_affichage="mois",EOMONTH(AR$3,0),AR$3+6)),"◆",""))</f>
      </c>
      <c r="AS14" s="26">
        <f>IF(OR($A14="",AS$3=""),"",IF(AND($J14&lt;&gt;"",$K14&lt;&gt;"",$J14=$K14,$J14&gt;=AS$3,$J14&lt;=IF(param_mode_affichage="mois",EOMONTH(AS$3,0),AS$3+6)),"◆",""))</f>
      </c>
      <c r="AT14" s="26">
        <f>IF(OR($A14="",AT$3=""),"",IF(AND($J14&lt;&gt;"",$K14&lt;&gt;"",$J14=$K14,$J14&gt;=AT$3,$J14&lt;=IF(param_mode_affichage="mois",EOMONTH(AT$3,0),AT$3+6)),"◆",""))</f>
      </c>
      <c r="AU14" s="26">
        <f>IF(OR($A14="",AU$3=""),"",IF(AND($J14&lt;&gt;"",$K14&lt;&gt;"",$J14=$K14,$J14&gt;=AU$3,$J14&lt;=IF(param_mode_affichage="mois",EOMONTH(AU$3,0),AU$3+6)),"◆",""))</f>
      </c>
      <c r="AV14" s="26">
        <f>IF(OR($A14="",AV$3=""),"",IF(AND($J14&lt;&gt;"",$K14&lt;&gt;"",$J14=$K14,$J14&gt;=AV$3,$J14&lt;=IF(param_mode_affichage="mois",EOMONTH(AV$3,0),AV$3+6)),"◆",""))</f>
      </c>
      <c r="AW14" s="26">
        <f>IF(OR($A14="",AW$3=""),"",IF(AND($J14&lt;&gt;"",$K14&lt;&gt;"",$J14=$K14,$J14&gt;=AW$3,$J14&lt;=IF(param_mode_affichage="mois",EOMONTH(AW$3,0),AW$3+6)),"◆",""))</f>
      </c>
      <c r="AX14" s="26">
        <f>IF(OR($A14="",AX$3=""),"",IF(AND($J14&lt;&gt;"",$K14&lt;&gt;"",$J14=$K14,$J14&gt;=AX$3,$J14&lt;=IF(param_mode_affichage="mois",EOMONTH(AX$3,0),AX$3+6)),"◆",""))</f>
      </c>
      <c r="AY14" s="26">
        <f>IF(OR($A14="",AY$3=""),"",IF(AND($J14&lt;&gt;"",$K14&lt;&gt;"",$J14=$K14,$J14&gt;=AY$3,$J14&lt;=IF(param_mode_affichage="mois",EOMONTH(AY$3,0),AY$3+6)),"◆",""))</f>
      </c>
      <c r="AZ14" s="26">
        <f>IF(OR($A14="",AZ$3=""),"",IF(AND($J14&lt;&gt;"",$K14&lt;&gt;"",$J14=$K14,$J14&gt;=AZ$3,$J14&lt;=IF(param_mode_affichage="mois",EOMONTH(AZ$3,0),AZ$3+6)),"◆",""))</f>
      </c>
      <c r="BA14" s="26">
        <f>IF(OR($A14="",BA$3=""),"",IF(AND($J14&lt;&gt;"",$K14&lt;&gt;"",$J14=$K14,$J14&gt;=BA$3,$J14&lt;=IF(param_mode_affichage="mois",EOMONTH(BA$3,0),BA$3+6)),"◆",""))</f>
      </c>
      <c r="BB14" s="26">
        <f>IF(OR($A14="",BB$3=""),"",IF(AND($J14&lt;&gt;"",$K14&lt;&gt;"",$J14=$K14,$J14&gt;=BB$3,$J14&lt;=IF(param_mode_affichage="mois",EOMONTH(BB$3,0),BB$3+6)),"◆",""))</f>
      </c>
      <c r="BC14" s="26">
        <f>IF(OR($A14="",BC$3=""),"",IF(AND($J14&lt;&gt;"",$K14&lt;&gt;"",$J14=$K14,$J14&gt;=BC$3,$J14&lt;=IF(param_mode_affichage="mois",EOMONTH(BC$3,0),BC$3+6)),"◆",""))</f>
      </c>
      <c r="BD14" s="26">
        <f>IF(OR($A14="",BD$3=""),"",IF(AND($J14&lt;&gt;"",$K14&lt;&gt;"",$J14=$K14,$J14&gt;=BD$3,$J14&lt;=IF(param_mode_affichage="mois",EOMONTH(BD$3,0),BD$3+6)),"◆",""))</f>
      </c>
      <c r="BE14" s="26">
        <f>IF(OR($A14="",BE$3=""),"",IF(AND($J14&lt;&gt;"",$K14&lt;&gt;"",$J14=$K14,$J14&gt;=BE$3,$J14&lt;=IF(param_mode_affichage="mois",EOMONTH(BE$3,0),BE$3+6)),"◆",""))</f>
      </c>
      <c r="BF14" s="26">
        <f>IF(OR($A14="",BF$3=""),"",IF(AND($J14&lt;&gt;"",$K14&lt;&gt;"",$J14=$K14,$J14&gt;=BF$3,$J14&lt;=IF(param_mode_affichage="mois",EOMONTH(BF$3,0),BF$3+6)),"◆",""))</f>
      </c>
      <c r="BG14" s="26">
        <f>IF(OR($A14="",BG$3=""),"",IF(AND($J14&lt;&gt;"",$K14&lt;&gt;"",$J14=$K14,$J14&gt;=BG$3,$J14&lt;=IF(param_mode_affichage="mois",EOMONTH(BG$3,0),BG$3+6)),"◆",""))</f>
      </c>
      <c r="BH14" s="26">
        <f>IF(OR($A14="",BH$3=""),"",IF(AND($J14&lt;&gt;"",$K14&lt;&gt;"",$J14=$K14,$J14&gt;=BH$3,$J14&lt;=IF(param_mode_affichage="mois",EOMONTH(BH$3,0),BH$3+6)),"◆",""))</f>
      </c>
      <c r="BI14" s="26">
        <f>IF(OR($A14="",BI$3=""),"",IF(AND($J14&lt;&gt;"",$K14&lt;&gt;"",$J14=$K14,$J14&gt;=BI$3,$J14&lt;=IF(param_mode_affichage="mois",EOMONTH(BI$3,0),BI$3+6)),"◆",""))</f>
      </c>
      <c r="BJ14" s="26">
        <f>IF(OR($A14="",BJ$3=""),"",IF(AND($J14&lt;&gt;"",$K14&lt;&gt;"",$J14=$K14,$J14&gt;=BJ$3,$J14&lt;=IF(param_mode_affichage="mois",EOMONTH(BJ$3,0),BJ$3+6)),"◆",""))</f>
      </c>
      <c r="BK14" s="26">
        <f>IF(OR($A14="",BK$3=""),"",IF(AND($J14&lt;&gt;"",$K14&lt;&gt;"",$J14=$K14,$J14&gt;=BK$3,$J14&lt;=IF(param_mode_affichage="mois",EOMONTH(BK$3,0),BK$3+6)),"◆",""))</f>
      </c>
      <c r="BL14" s="26">
        <f>IF(OR($A14="",BL$3=""),"",IF(AND($J14&lt;&gt;"",$K14&lt;&gt;"",$J14=$K14,$J14&gt;=BL$3,$J14&lt;=IF(param_mode_affichage="mois",EOMONTH(BL$3,0),BL$3+6)),"◆",""))</f>
      </c>
    </row>
    <row r="15" spans="1:64" x14ac:dyDescent="0.25">
      <c r="A15" s="23">
        <f>IFERROR(INDEX(tblTasks[ID],ROW()-4),"")</f>
      </c>
      <c r="B15" s="24">
        <f>IF($A15="","",INDEX(tblTasks[Sujet],ROW()-4))</f>
      </c>
      <c r="C15" s="23">
        <f>IF($A15="","",INDEX(tblTasks[Responsable],ROW()-4))</f>
      </c>
      <c r="D15" s="23">
        <f>IF($A15="","",INDEX(tblTasks[Statut],ROW()-4))</f>
      </c>
      <c r="E15" s="23">
        <f>IF($A15="","",INDEX(tblTasks[Depend_de],ROW()-4))</f>
      </c>
      <c r="F15" s="23">
        <f>IF($A15="","",INDEX(tblTasks[Blocage],ROW()-4))</f>
      </c>
      <c r="G15" s="23">
        <f>IF($A15="","",INDEX(tblTasks[Niveau_criticite],ROW()-4))</f>
      </c>
      <c r="H15" s="23">
        <f>IF($A15="","",INDEX(tblTasks[Goulot],ROW()-4))</f>
      </c>
      <c r="I15" s="23">
        <f>IF($A15="","",IF(LOWER($F15)="oui","non",IF($E15="","oui",IFERROR(IF(LOWER(INDEX(tblTasks[Statut],MATCH($E15,tblTasks[ID],0)))="clos","oui","non"),"non"))))</f>
      </c>
      <c r="J15" s="25">
        <f>IF($A15="","",INDEX(tblTasks[Date_debut_prevue],ROW()-4))</f>
      </c>
      <c r="K15" s="25">
        <f>IF($A15="","",INDEX(tblTasks[Date_fin_prevue],ROW()-4))</f>
      </c>
      <c r="L15" s="23">
        <f>IF($A15="","",INDEX(tblTasks[Irreversibilite],ROW()-4))</f>
      </c>
      <c r="M15" s="26">
        <f>IF(OR($A15="",M$3=""),"",IF(AND($J15&lt;&gt;"",$K15&lt;&gt;"",$J15=$K15,$J15&gt;=M$3,$J15&lt;=IF(param_mode_affichage="mois",EOMONTH(M$3,0),M$3+6)),"◆",""))</f>
      </c>
      <c r="N15" s="26">
        <f>IF(OR($A15="",N$3=""),"",IF(AND($J15&lt;&gt;"",$K15&lt;&gt;"",$J15=$K15,$J15&gt;=N$3,$J15&lt;=IF(param_mode_affichage="mois",EOMONTH(N$3,0),N$3+6)),"◆",""))</f>
      </c>
      <c r="O15" s="26">
        <f>IF(OR($A15="",O$3=""),"",IF(AND($J15&lt;&gt;"",$K15&lt;&gt;"",$J15=$K15,$J15&gt;=O$3,$J15&lt;=IF(param_mode_affichage="mois",EOMONTH(O$3,0),O$3+6)),"◆",""))</f>
      </c>
      <c r="P15" s="26">
        <f>IF(OR($A15="",P$3=""),"",IF(AND($J15&lt;&gt;"",$K15&lt;&gt;"",$J15=$K15,$J15&gt;=P$3,$J15&lt;=IF(param_mode_affichage="mois",EOMONTH(P$3,0),P$3+6)),"◆",""))</f>
      </c>
      <c r="Q15" s="26">
        <f>IF(OR($A15="",Q$3=""),"",IF(AND($J15&lt;&gt;"",$K15&lt;&gt;"",$J15=$K15,$J15&gt;=Q$3,$J15&lt;=IF(param_mode_affichage="mois",EOMONTH(Q$3,0),Q$3+6)),"◆",""))</f>
      </c>
      <c r="R15" s="26">
        <f>IF(OR($A15="",R$3=""),"",IF(AND($J15&lt;&gt;"",$K15&lt;&gt;"",$J15=$K15,$J15&gt;=R$3,$J15&lt;=IF(param_mode_affichage="mois",EOMONTH(R$3,0),R$3+6)),"◆",""))</f>
      </c>
      <c r="S15" s="26">
        <f>IF(OR($A15="",S$3=""),"",IF(AND($J15&lt;&gt;"",$K15&lt;&gt;"",$J15=$K15,$J15&gt;=S$3,$J15&lt;=IF(param_mode_affichage="mois",EOMONTH(S$3,0),S$3+6)),"◆",""))</f>
      </c>
      <c r="T15" s="26">
        <f>IF(OR($A15="",T$3=""),"",IF(AND($J15&lt;&gt;"",$K15&lt;&gt;"",$J15=$K15,$J15&gt;=T$3,$J15&lt;=IF(param_mode_affichage="mois",EOMONTH(T$3,0),T$3+6)),"◆",""))</f>
      </c>
      <c r="U15" s="26">
        <f>IF(OR($A15="",U$3=""),"",IF(AND($J15&lt;&gt;"",$K15&lt;&gt;"",$J15=$K15,$J15&gt;=U$3,$J15&lt;=IF(param_mode_affichage="mois",EOMONTH(U$3,0),U$3+6)),"◆",""))</f>
      </c>
      <c r="V15" s="26">
        <f>IF(OR($A15="",V$3=""),"",IF(AND($J15&lt;&gt;"",$K15&lt;&gt;"",$J15=$K15,$J15&gt;=V$3,$J15&lt;=IF(param_mode_affichage="mois",EOMONTH(V$3,0),V$3+6)),"◆",""))</f>
      </c>
      <c r="W15" s="26">
        <f>IF(OR($A15="",W$3=""),"",IF(AND($J15&lt;&gt;"",$K15&lt;&gt;"",$J15=$K15,$J15&gt;=W$3,$J15&lt;=IF(param_mode_affichage="mois",EOMONTH(W$3,0),W$3+6)),"◆",""))</f>
      </c>
      <c r="X15" s="26">
        <f>IF(OR($A15="",X$3=""),"",IF(AND($J15&lt;&gt;"",$K15&lt;&gt;"",$J15=$K15,$J15&gt;=X$3,$J15&lt;=IF(param_mode_affichage="mois",EOMONTH(X$3,0),X$3+6)),"◆",""))</f>
      </c>
      <c r="Y15" s="26">
        <f>IF(OR($A15="",Y$3=""),"",IF(AND($J15&lt;&gt;"",$K15&lt;&gt;"",$J15=$K15,$J15&gt;=Y$3,$J15&lt;=IF(param_mode_affichage="mois",EOMONTH(Y$3,0),Y$3+6)),"◆",""))</f>
      </c>
      <c r="Z15" s="26">
        <f>IF(OR($A15="",Z$3=""),"",IF(AND($J15&lt;&gt;"",$K15&lt;&gt;"",$J15=$K15,$J15&gt;=Z$3,$J15&lt;=IF(param_mode_affichage="mois",EOMONTH(Z$3,0),Z$3+6)),"◆",""))</f>
      </c>
      <c r="AA15" s="26">
        <f>IF(OR($A15="",AA$3=""),"",IF(AND($J15&lt;&gt;"",$K15&lt;&gt;"",$J15=$K15,$J15&gt;=AA$3,$J15&lt;=IF(param_mode_affichage="mois",EOMONTH(AA$3,0),AA$3+6)),"◆",""))</f>
      </c>
      <c r="AB15" s="26">
        <f>IF(OR($A15="",AB$3=""),"",IF(AND($J15&lt;&gt;"",$K15&lt;&gt;"",$J15=$K15,$J15&gt;=AB$3,$J15&lt;=IF(param_mode_affichage="mois",EOMONTH(AB$3,0),AB$3+6)),"◆",""))</f>
      </c>
      <c r="AC15" s="26">
        <f>IF(OR($A15="",AC$3=""),"",IF(AND($J15&lt;&gt;"",$K15&lt;&gt;"",$J15=$K15,$J15&gt;=AC$3,$J15&lt;=IF(param_mode_affichage="mois",EOMONTH(AC$3,0),AC$3+6)),"◆",""))</f>
      </c>
      <c r="AD15" s="26">
        <f>IF(OR($A15="",AD$3=""),"",IF(AND($J15&lt;&gt;"",$K15&lt;&gt;"",$J15=$K15,$J15&gt;=AD$3,$J15&lt;=IF(param_mode_affichage="mois",EOMONTH(AD$3,0),AD$3+6)),"◆",""))</f>
      </c>
      <c r="AE15" s="26">
        <f>IF(OR($A15="",AE$3=""),"",IF(AND($J15&lt;&gt;"",$K15&lt;&gt;"",$J15=$K15,$J15&gt;=AE$3,$J15&lt;=IF(param_mode_affichage="mois",EOMONTH(AE$3,0),AE$3+6)),"◆",""))</f>
      </c>
      <c r="AF15" s="26">
        <f>IF(OR($A15="",AF$3=""),"",IF(AND($J15&lt;&gt;"",$K15&lt;&gt;"",$J15=$K15,$J15&gt;=AF$3,$J15&lt;=IF(param_mode_affichage="mois",EOMONTH(AF$3,0),AF$3+6)),"◆",""))</f>
      </c>
      <c r="AG15" s="26">
        <f>IF(OR($A15="",AG$3=""),"",IF(AND($J15&lt;&gt;"",$K15&lt;&gt;"",$J15=$K15,$J15&gt;=AG$3,$J15&lt;=IF(param_mode_affichage="mois",EOMONTH(AG$3,0),AG$3+6)),"◆",""))</f>
      </c>
      <c r="AH15" s="26">
        <f>IF(OR($A15="",AH$3=""),"",IF(AND($J15&lt;&gt;"",$K15&lt;&gt;"",$J15=$K15,$J15&gt;=AH$3,$J15&lt;=IF(param_mode_affichage="mois",EOMONTH(AH$3,0),AH$3+6)),"◆",""))</f>
      </c>
      <c r="AI15" s="26">
        <f>IF(OR($A15="",AI$3=""),"",IF(AND($J15&lt;&gt;"",$K15&lt;&gt;"",$J15=$K15,$J15&gt;=AI$3,$J15&lt;=IF(param_mode_affichage="mois",EOMONTH(AI$3,0),AI$3+6)),"◆",""))</f>
      </c>
      <c r="AJ15" s="26">
        <f>IF(OR($A15="",AJ$3=""),"",IF(AND($J15&lt;&gt;"",$K15&lt;&gt;"",$J15=$K15,$J15&gt;=AJ$3,$J15&lt;=IF(param_mode_affichage="mois",EOMONTH(AJ$3,0),AJ$3+6)),"◆",""))</f>
      </c>
      <c r="AK15" s="26">
        <f>IF(OR($A15="",AK$3=""),"",IF(AND($J15&lt;&gt;"",$K15&lt;&gt;"",$J15=$K15,$J15&gt;=AK$3,$J15&lt;=IF(param_mode_affichage="mois",EOMONTH(AK$3,0),AK$3+6)),"◆",""))</f>
      </c>
      <c r="AL15" s="26">
        <f>IF(OR($A15="",AL$3=""),"",IF(AND($J15&lt;&gt;"",$K15&lt;&gt;"",$J15=$K15,$J15&gt;=AL$3,$J15&lt;=IF(param_mode_affichage="mois",EOMONTH(AL$3,0),AL$3+6)),"◆",""))</f>
      </c>
      <c r="AM15" s="26">
        <f>IF(OR($A15="",AM$3=""),"",IF(AND($J15&lt;&gt;"",$K15&lt;&gt;"",$J15=$K15,$J15&gt;=AM$3,$J15&lt;=IF(param_mode_affichage="mois",EOMONTH(AM$3,0),AM$3+6)),"◆",""))</f>
      </c>
      <c r="AN15" s="26">
        <f>IF(OR($A15="",AN$3=""),"",IF(AND($J15&lt;&gt;"",$K15&lt;&gt;"",$J15=$K15,$J15&gt;=AN$3,$J15&lt;=IF(param_mode_affichage="mois",EOMONTH(AN$3,0),AN$3+6)),"◆",""))</f>
      </c>
      <c r="AO15" s="26">
        <f>IF(OR($A15="",AO$3=""),"",IF(AND($J15&lt;&gt;"",$K15&lt;&gt;"",$J15=$K15,$J15&gt;=AO$3,$J15&lt;=IF(param_mode_affichage="mois",EOMONTH(AO$3,0),AO$3+6)),"◆",""))</f>
      </c>
      <c r="AP15" s="26">
        <f>IF(OR($A15="",AP$3=""),"",IF(AND($J15&lt;&gt;"",$K15&lt;&gt;"",$J15=$K15,$J15&gt;=AP$3,$J15&lt;=IF(param_mode_affichage="mois",EOMONTH(AP$3,0),AP$3+6)),"◆",""))</f>
      </c>
      <c r="AQ15" s="26">
        <f>IF(OR($A15="",AQ$3=""),"",IF(AND($J15&lt;&gt;"",$K15&lt;&gt;"",$J15=$K15,$J15&gt;=AQ$3,$J15&lt;=IF(param_mode_affichage="mois",EOMONTH(AQ$3,0),AQ$3+6)),"◆",""))</f>
      </c>
      <c r="AR15" s="26">
        <f>IF(OR($A15="",AR$3=""),"",IF(AND($J15&lt;&gt;"",$K15&lt;&gt;"",$J15=$K15,$J15&gt;=AR$3,$J15&lt;=IF(param_mode_affichage="mois",EOMONTH(AR$3,0),AR$3+6)),"◆",""))</f>
      </c>
      <c r="AS15" s="26">
        <f>IF(OR($A15="",AS$3=""),"",IF(AND($J15&lt;&gt;"",$K15&lt;&gt;"",$J15=$K15,$J15&gt;=AS$3,$J15&lt;=IF(param_mode_affichage="mois",EOMONTH(AS$3,0),AS$3+6)),"◆",""))</f>
      </c>
      <c r="AT15" s="26">
        <f>IF(OR($A15="",AT$3=""),"",IF(AND($J15&lt;&gt;"",$K15&lt;&gt;"",$J15=$K15,$J15&gt;=AT$3,$J15&lt;=IF(param_mode_affichage="mois",EOMONTH(AT$3,0),AT$3+6)),"◆",""))</f>
      </c>
      <c r="AU15" s="26">
        <f>IF(OR($A15="",AU$3=""),"",IF(AND($J15&lt;&gt;"",$K15&lt;&gt;"",$J15=$K15,$J15&gt;=AU$3,$J15&lt;=IF(param_mode_affichage="mois",EOMONTH(AU$3,0),AU$3+6)),"◆",""))</f>
      </c>
      <c r="AV15" s="26">
        <f>IF(OR($A15="",AV$3=""),"",IF(AND($J15&lt;&gt;"",$K15&lt;&gt;"",$J15=$K15,$J15&gt;=AV$3,$J15&lt;=IF(param_mode_affichage="mois",EOMONTH(AV$3,0),AV$3+6)),"◆",""))</f>
      </c>
      <c r="AW15" s="26">
        <f>IF(OR($A15="",AW$3=""),"",IF(AND($J15&lt;&gt;"",$K15&lt;&gt;"",$J15=$K15,$J15&gt;=AW$3,$J15&lt;=IF(param_mode_affichage="mois",EOMONTH(AW$3,0),AW$3+6)),"◆",""))</f>
      </c>
      <c r="AX15" s="26">
        <f>IF(OR($A15="",AX$3=""),"",IF(AND($J15&lt;&gt;"",$K15&lt;&gt;"",$J15=$K15,$J15&gt;=AX$3,$J15&lt;=IF(param_mode_affichage="mois",EOMONTH(AX$3,0),AX$3+6)),"◆",""))</f>
      </c>
      <c r="AY15" s="26">
        <f>IF(OR($A15="",AY$3=""),"",IF(AND($J15&lt;&gt;"",$K15&lt;&gt;"",$J15=$K15,$J15&gt;=AY$3,$J15&lt;=IF(param_mode_affichage="mois",EOMONTH(AY$3,0),AY$3+6)),"◆",""))</f>
      </c>
      <c r="AZ15" s="26">
        <f>IF(OR($A15="",AZ$3=""),"",IF(AND($J15&lt;&gt;"",$K15&lt;&gt;"",$J15=$K15,$J15&gt;=AZ$3,$J15&lt;=IF(param_mode_affichage="mois",EOMONTH(AZ$3,0),AZ$3+6)),"◆",""))</f>
      </c>
      <c r="BA15" s="26">
        <f>IF(OR($A15="",BA$3=""),"",IF(AND($J15&lt;&gt;"",$K15&lt;&gt;"",$J15=$K15,$J15&gt;=BA$3,$J15&lt;=IF(param_mode_affichage="mois",EOMONTH(BA$3,0),BA$3+6)),"◆",""))</f>
      </c>
      <c r="BB15" s="26">
        <f>IF(OR($A15="",BB$3=""),"",IF(AND($J15&lt;&gt;"",$K15&lt;&gt;"",$J15=$K15,$J15&gt;=BB$3,$J15&lt;=IF(param_mode_affichage="mois",EOMONTH(BB$3,0),BB$3+6)),"◆",""))</f>
      </c>
      <c r="BC15" s="26">
        <f>IF(OR($A15="",BC$3=""),"",IF(AND($J15&lt;&gt;"",$K15&lt;&gt;"",$J15=$K15,$J15&gt;=BC$3,$J15&lt;=IF(param_mode_affichage="mois",EOMONTH(BC$3,0),BC$3+6)),"◆",""))</f>
      </c>
      <c r="BD15" s="26">
        <f>IF(OR($A15="",BD$3=""),"",IF(AND($J15&lt;&gt;"",$K15&lt;&gt;"",$J15=$K15,$J15&gt;=BD$3,$J15&lt;=IF(param_mode_affichage="mois",EOMONTH(BD$3,0),BD$3+6)),"◆",""))</f>
      </c>
      <c r="BE15" s="26">
        <f>IF(OR($A15="",BE$3=""),"",IF(AND($J15&lt;&gt;"",$K15&lt;&gt;"",$J15=$K15,$J15&gt;=BE$3,$J15&lt;=IF(param_mode_affichage="mois",EOMONTH(BE$3,0),BE$3+6)),"◆",""))</f>
      </c>
      <c r="BF15" s="26">
        <f>IF(OR($A15="",BF$3=""),"",IF(AND($J15&lt;&gt;"",$K15&lt;&gt;"",$J15=$K15,$J15&gt;=BF$3,$J15&lt;=IF(param_mode_affichage="mois",EOMONTH(BF$3,0),BF$3+6)),"◆",""))</f>
      </c>
      <c r="BG15" s="26">
        <f>IF(OR($A15="",BG$3=""),"",IF(AND($J15&lt;&gt;"",$K15&lt;&gt;"",$J15=$K15,$J15&gt;=BG$3,$J15&lt;=IF(param_mode_affichage="mois",EOMONTH(BG$3,0),BG$3+6)),"◆",""))</f>
      </c>
      <c r="BH15" s="26">
        <f>IF(OR($A15="",BH$3=""),"",IF(AND($J15&lt;&gt;"",$K15&lt;&gt;"",$J15=$K15,$J15&gt;=BH$3,$J15&lt;=IF(param_mode_affichage="mois",EOMONTH(BH$3,0),BH$3+6)),"◆",""))</f>
      </c>
      <c r="BI15" s="26">
        <f>IF(OR($A15="",BI$3=""),"",IF(AND($J15&lt;&gt;"",$K15&lt;&gt;"",$J15=$K15,$J15&gt;=BI$3,$J15&lt;=IF(param_mode_affichage="mois",EOMONTH(BI$3,0),BI$3+6)),"◆",""))</f>
      </c>
      <c r="BJ15" s="26">
        <f>IF(OR($A15="",BJ$3=""),"",IF(AND($J15&lt;&gt;"",$K15&lt;&gt;"",$J15=$K15,$J15&gt;=BJ$3,$J15&lt;=IF(param_mode_affichage="mois",EOMONTH(BJ$3,0),BJ$3+6)),"◆",""))</f>
      </c>
      <c r="BK15" s="26">
        <f>IF(OR($A15="",BK$3=""),"",IF(AND($J15&lt;&gt;"",$K15&lt;&gt;"",$J15=$K15,$J15&gt;=BK$3,$J15&lt;=IF(param_mode_affichage="mois",EOMONTH(BK$3,0),BK$3+6)),"◆",""))</f>
      </c>
      <c r="BL15" s="26">
        <f>IF(OR($A15="",BL$3=""),"",IF(AND($J15&lt;&gt;"",$K15&lt;&gt;"",$J15=$K15,$J15&gt;=BL$3,$J15&lt;=IF(param_mode_affichage="mois",EOMONTH(BL$3,0),BL$3+6)),"◆",""))</f>
      </c>
    </row>
    <row r="16" spans="1:64" x14ac:dyDescent="0.25">
      <c r="A16" s="23">
        <f>IFERROR(INDEX(tblTasks[ID],ROW()-4),"")</f>
      </c>
      <c r="B16" s="24">
        <f>IF($A16="","",INDEX(tblTasks[Sujet],ROW()-4))</f>
      </c>
      <c r="C16" s="23">
        <f>IF($A16="","",INDEX(tblTasks[Responsable],ROW()-4))</f>
      </c>
      <c r="D16" s="23">
        <f>IF($A16="","",INDEX(tblTasks[Statut],ROW()-4))</f>
      </c>
      <c r="E16" s="23">
        <f>IF($A16="","",INDEX(tblTasks[Depend_de],ROW()-4))</f>
      </c>
      <c r="F16" s="23">
        <f>IF($A16="","",INDEX(tblTasks[Blocage],ROW()-4))</f>
      </c>
      <c r="G16" s="23">
        <f>IF($A16="","",INDEX(tblTasks[Niveau_criticite],ROW()-4))</f>
      </c>
      <c r="H16" s="23">
        <f>IF($A16="","",INDEX(tblTasks[Goulot],ROW()-4))</f>
      </c>
      <c r="I16" s="23">
        <f>IF($A16="","",IF(LOWER($F16)="oui","non",IF($E16="","oui",IFERROR(IF(LOWER(INDEX(tblTasks[Statut],MATCH($E16,tblTasks[ID],0)))="clos","oui","non"),"non"))))</f>
      </c>
      <c r="J16" s="25">
        <f>IF($A16="","",INDEX(tblTasks[Date_debut_prevue],ROW()-4))</f>
      </c>
      <c r="K16" s="25">
        <f>IF($A16="","",INDEX(tblTasks[Date_fin_prevue],ROW()-4))</f>
      </c>
      <c r="L16" s="23">
        <f>IF($A16="","",INDEX(tblTasks[Irreversibilite],ROW()-4))</f>
      </c>
      <c r="M16" s="26">
        <f>IF(OR($A16="",M$3=""),"",IF(AND($J16&lt;&gt;"",$K16&lt;&gt;"",$J16=$K16,$J16&gt;=M$3,$J16&lt;=IF(param_mode_affichage="mois",EOMONTH(M$3,0),M$3+6)),"◆",""))</f>
      </c>
      <c r="N16" s="26">
        <f>IF(OR($A16="",N$3=""),"",IF(AND($J16&lt;&gt;"",$K16&lt;&gt;"",$J16=$K16,$J16&gt;=N$3,$J16&lt;=IF(param_mode_affichage="mois",EOMONTH(N$3,0),N$3+6)),"◆",""))</f>
      </c>
      <c r="O16" s="26">
        <f>IF(OR($A16="",O$3=""),"",IF(AND($J16&lt;&gt;"",$K16&lt;&gt;"",$J16=$K16,$J16&gt;=O$3,$J16&lt;=IF(param_mode_affichage="mois",EOMONTH(O$3,0),O$3+6)),"◆",""))</f>
      </c>
      <c r="P16" s="26">
        <f>IF(OR($A16="",P$3=""),"",IF(AND($J16&lt;&gt;"",$K16&lt;&gt;"",$J16=$K16,$J16&gt;=P$3,$J16&lt;=IF(param_mode_affichage="mois",EOMONTH(P$3,0),P$3+6)),"◆",""))</f>
      </c>
      <c r="Q16" s="26">
        <f>IF(OR($A16="",Q$3=""),"",IF(AND($J16&lt;&gt;"",$K16&lt;&gt;"",$J16=$K16,$J16&gt;=Q$3,$J16&lt;=IF(param_mode_affichage="mois",EOMONTH(Q$3,0),Q$3+6)),"◆",""))</f>
      </c>
      <c r="R16" s="26">
        <f>IF(OR($A16="",R$3=""),"",IF(AND($J16&lt;&gt;"",$K16&lt;&gt;"",$J16=$K16,$J16&gt;=R$3,$J16&lt;=IF(param_mode_affichage="mois",EOMONTH(R$3,0),R$3+6)),"◆",""))</f>
      </c>
      <c r="S16" s="26">
        <f>IF(OR($A16="",S$3=""),"",IF(AND($J16&lt;&gt;"",$K16&lt;&gt;"",$J16=$K16,$J16&gt;=S$3,$J16&lt;=IF(param_mode_affichage="mois",EOMONTH(S$3,0),S$3+6)),"◆",""))</f>
      </c>
      <c r="T16" s="26">
        <f>IF(OR($A16="",T$3=""),"",IF(AND($J16&lt;&gt;"",$K16&lt;&gt;"",$J16=$K16,$J16&gt;=T$3,$J16&lt;=IF(param_mode_affichage="mois",EOMONTH(T$3,0),T$3+6)),"◆",""))</f>
      </c>
      <c r="U16" s="26">
        <f>IF(OR($A16="",U$3=""),"",IF(AND($J16&lt;&gt;"",$K16&lt;&gt;"",$J16=$K16,$J16&gt;=U$3,$J16&lt;=IF(param_mode_affichage="mois",EOMONTH(U$3,0),U$3+6)),"◆",""))</f>
      </c>
      <c r="V16" s="26">
        <f>IF(OR($A16="",V$3=""),"",IF(AND($J16&lt;&gt;"",$K16&lt;&gt;"",$J16=$K16,$J16&gt;=V$3,$J16&lt;=IF(param_mode_affichage="mois",EOMONTH(V$3,0),V$3+6)),"◆",""))</f>
      </c>
      <c r="W16" s="26">
        <f>IF(OR($A16="",W$3=""),"",IF(AND($J16&lt;&gt;"",$K16&lt;&gt;"",$J16=$K16,$J16&gt;=W$3,$J16&lt;=IF(param_mode_affichage="mois",EOMONTH(W$3,0),W$3+6)),"◆",""))</f>
      </c>
      <c r="X16" s="26">
        <f>IF(OR($A16="",X$3=""),"",IF(AND($J16&lt;&gt;"",$K16&lt;&gt;"",$J16=$K16,$J16&gt;=X$3,$J16&lt;=IF(param_mode_affichage="mois",EOMONTH(X$3,0),X$3+6)),"◆",""))</f>
      </c>
      <c r="Y16" s="26">
        <f>IF(OR($A16="",Y$3=""),"",IF(AND($J16&lt;&gt;"",$K16&lt;&gt;"",$J16=$K16,$J16&gt;=Y$3,$J16&lt;=IF(param_mode_affichage="mois",EOMONTH(Y$3,0),Y$3+6)),"◆",""))</f>
      </c>
      <c r="Z16" s="26">
        <f>IF(OR($A16="",Z$3=""),"",IF(AND($J16&lt;&gt;"",$K16&lt;&gt;"",$J16=$K16,$J16&gt;=Z$3,$J16&lt;=IF(param_mode_affichage="mois",EOMONTH(Z$3,0),Z$3+6)),"◆",""))</f>
      </c>
      <c r="AA16" s="26">
        <f>IF(OR($A16="",AA$3=""),"",IF(AND($J16&lt;&gt;"",$K16&lt;&gt;"",$J16=$K16,$J16&gt;=AA$3,$J16&lt;=IF(param_mode_affichage="mois",EOMONTH(AA$3,0),AA$3+6)),"◆",""))</f>
      </c>
      <c r="AB16" s="26">
        <f>IF(OR($A16="",AB$3=""),"",IF(AND($J16&lt;&gt;"",$K16&lt;&gt;"",$J16=$K16,$J16&gt;=AB$3,$J16&lt;=IF(param_mode_affichage="mois",EOMONTH(AB$3,0),AB$3+6)),"◆",""))</f>
      </c>
      <c r="AC16" s="26">
        <f>IF(OR($A16="",AC$3=""),"",IF(AND($J16&lt;&gt;"",$K16&lt;&gt;"",$J16=$K16,$J16&gt;=AC$3,$J16&lt;=IF(param_mode_affichage="mois",EOMONTH(AC$3,0),AC$3+6)),"◆",""))</f>
      </c>
      <c r="AD16" s="26">
        <f>IF(OR($A16="",AD$3=""),"",IF(AND($J16&lt;&gt;"",$K16&lt;&gt;"",$J16=$K16,$J16&gt;=AD$3,$J16&lt;=IF(param_mode_affichage="mois",EOMONTH(AD$3,0),AD$3+6)),"◆",""))</f>
      </c>
      <c r="AE16" s="26">
        <f>IF(OR($A16="",AE$3=""),"",IF(AND($J16&lt;&gt;"",$K16&lt;&gt;"",$J16=$K16,$J16&gt;=AE$3,$J16&lt;=IF(param_mode_affichage="mois",EOMONTH(AE$3,0),AE$3+6)),"◆",""))</f>
      </c>
      <c r="AF16" s="26">
        <f>IF(OR($A16="",AF$3=""),"",IF(AND($J16&lt;&gt;"",$K16&lt;&gt;"",$J16=$K16,$J16&gt;=AF$3,$J16&lt;=IF(param_mode_affichage="mois",EOMONTH(AF$3,0),AF$3+6)),"◆",""))</f>
      </c>
      <c r="AG16" s="26">
        <f>IF(OR($A16="",AG$3=""),"",IF(AND($J16&lt;&gt;"",$K16&lt;&gt;"",$J16=$K16,$J16&gt;=AG$3,$J16&lt;=IF(param_mode_affichage="mois",EOMONTH(AG$3,0),AG$3+6)),"◆",""))</f>
      </c>
      <c r="AH16" s="26">
        <f>IF(OR($A16="",AH$3=""),"",IF(AND($J16&lt;&gt;"",$K16&lt;&gt;"",$J16=$K16,$J16&gt;=AH$3,$J16&lt;=IF(param_mode_affichage="mois",EOMONTH(AH$3,0),AH$3+6)),"◆",""))</f>
      </c>
      <c r="AI16" s="26">
        <f>IF(OR($A16="",AI$3=""),"",IF(AND($J16&lt;&gt;"",$K16&lt;&gt;"",$J16=$K16,$J16&gt;=AI$3,$J16&lt;=IF(param_mode_affichage="mois",EOMONTH(AI$3,0),AI$3+6)),"◆",""))</f>
      </c>
      <c r="AJ16" s="26">
        <f>IF(OR($A16="",AJ$3=""),"",IF(AND($J16&lt;&gt;"",$K16&lt;&gt;"",$J16=$K16,$J16&gt;=AJ$3,$J16&lt;=IF(param_mode_affichage="mois",EOMONTH(AJ$3,0),AJ$3+6)),"◆",""))</f>
      </c>
      <c r="AK16" s="26">
        <f>IF(OR($A16="",AK$3=""),"",IF(AND($J16&lt;&gt;"",$K16&lt;&gt;"",$J16=$K16,$J16&gt;=AK$3,$J16&lt;=IF(param_mode_affichage="mois",EOMONTH(AK$3,0),AK$3+6)),"◆",""))</f>
      </c>
      <c r="AL16" s="26">
        <f>IF(OR($A16="",AL$3=""),"",IF(AND($J16&lt;&gt;"",$K16&lt;&gt;"",$J16=$K16,$J16&gt;=AL$3,$J16&lt;=IF(param_mode_affichage="mois",EOMONTH(AL$3,0),AL$3+6)),"◆",""))</f>
      </c>
      <c r="AM16" s="26">
        <f>IF(OR($A16="",AM$3=""),"",IF(AND($J16&lt;&gt;"",$K16&lt;&gt;"",$J16=$K16,$J16&gt;=AM$3,$J16&lt;=IF(param_mode_affichage="mois",EOMONTH(AM$3,0),AM$3+6)),"◆",""))</f>
      </c>
      <c r="AN16" s="26">
        <f>IF(OR($A16="",AN$3=""),"",IF(AND($J16&lt;&gt;"",$K16&lt;&gt;"",$J16=$K16,$J16&gt;=AN$3,$J16&lt;=IF(param_mode_affichage="mois",EOMONTH(AN$3,0),AN$3+6)),"◆",""))</f>
      </c>
      <c r="AO16" s="26">
        <f>IF(OR($A16="",AO$3=""),"",IF(AND($J16&lt;&gt;"",$K16&lt;&gt;"",$J16=$K16,$J16&gt;=AO$3,$J16&lt;=IF(param_mode_affichage="mois",EOMONTH(AO$3,0),AO$3+6)),"◆",""))</f>
      </c>
      <c r="AP16" s="26">
        <f>IF(OR($A16="",AP$3=""),"",IF(AND($J16&lt;&gt;"",$K16&lt;&gt;"",$J16=$K16,$J16&gt;=AP$3,$J16&lt;=IF(param_mode_affichage="mois",EOMONTH(AP$3,0),AP$3+6)),"◆",""))</f>
      </c>
      <c r="AQ16" s="26">
        <f>IF(OR($A16="",AQ$3=""),"",IF(AND($J16&lt;&gt;"",$K16&lt;&gt;"",$J16=$K16,$J16&gt;=AQ$3,$J16&lt;=IF(param_mode_affichage="mois",EOMONTH(AQ$3,0),AQ$3+6)),"◆",""))</f>
      </c>
      <c r="AR16" s="26">
        <f>IF(OR($A16="",AR$3=""),"",IF(AND($J16&lt;&gt;"",$K16&lt;&gt;"",$J16=$K16,$J16&gt;=AR$3,$J16&lt;=IF(param_mode_affichage="mois",EOMONTH(AR$3,0),AR$3+6)),"◆",""))</f>
      </c>
      <c r="AS16" s="26">
        <f>IF(OR($A16="",AS$3=""),"",IF(AND($J16&lt;&gt;"",$K16&lt;&gt;"",$J16=$K16,$J16&gt;=AS$3,$J16&lt;=IF(param_mode_affichage="mois",EOMONTH(AS$3,0),AS$3+6)),"◆",""))</f>
      </c>
      <c r="AT16" s="26">
        <f>IF(OR($A16="",AT$3=""),"",IF(AND($J16&lt;&gt;"",$K16&lt;&gt;"",$J16=$K16,$J16&gt;=AT$3,$J16&lt;=IF(param_mode_affichage="mois",EOMONTH(AT$3,0),AT$3+6)),"◆",""))</f>
      </c>
      <c r="AU16" s="26">
        <f>IF(OR($A16="",AU$3=""),"",IF(AND($J16&lt;&gt;"",$K16&lt;&gt;"",$J16=$K16,$J16&gt;=AU$3,$J16&lt;=IF(param_mode_affichage="mois",EOMONTH(AU$3,0),AU$3+6)),"◆",""))</f>
      </c>
      <c r="AV16" s="26">
        <f>IF(OR($A16="",AV$3=""),"",IF(AND($J16&lt;&gt;"",$K16&lt;&gt;"",$J16=$K16,$J16&gt;=AV$3,$J16&lt;=IF(param_mode_affichage="mois",EOMONTH(AV$3,0),AV$3+6)),"◆",""))</f>
      </c>
      <c r="AW16" s="26">
        <f>IF(OR($A16="",AW$3=""),"",IF(AND($J16&lt;&gt;"",$K16&lt;&gt;"",$J16=$K16,$J16&gt;=AW$3,$J16&lt;=IF(param_mode_affichage="mois",EOMONTH(AW$3,0),AW$3+6)),"◆",""))</f>
      </c>
      <c r="AX16" s="26">
        <f>IF(OR($A16="",AX$3=""),"",IF(AND($J16&lt;&gt;"",$K16&lt;&gt;"",$J16=$K16,$J16&gt;=AX$3,$J16&lt;=IF(param_mode_affichage="mois",EOMONTH(AX$3,0),AX$3+6)),"◆",""))</f>
      </c>
      <c r="AY16" s="26">
        <f>IF(OR($A16="",AY$3=""),"",IF(AND($J16&lt;&gt;"",$K16&lt;&gt;"",$J16=$K16,$J16&gt;=AY$3,$J16&lt;=IF(param_mode_affichage="mois",EOMONTH(AY$3,0),AY$3+6)),"◆",""))</f>
      </c>
      <c r="AZ16" s="26">
        <f>IF(OR($A16="",AZ$3=""),"",IF(AND($J16&lt;&gt;"",$K16&lt;&gt;"",$J16=$K16,$J16&gt;=AZ$3,$J16&lt;=IF(param_mode_affichage="mois",EOMONTH(AZ$3,0),AZ$3+6)),"◆",""))</f>
      </c>
      <c r="BA16" s="26">
        <f>IF(OR($A16="",BA$3=""),"",IF(AND($J16&lt;&gt;"",$K16&lt;&gt;"",$J16=$K16,$J16&gt;=BA$3,$J16&lt;=IF(param_mode_affichage="mois",EOMONTH(BA$3,0),BA$3+6)),"◆",""))</f>
      </c>
      <c r="BB16" s="26">
        <f>IF(OR($A16="",BB$3=""),"",IF(AND($J16&lt;&gt;"",$K16&lt;&gt;"",$J16=$K16,$J16&gt;=BB$3,$J16&lt;=IF(param_mode_affichage="mois",EOMONTH(BB$3,0),BB$3+6)),"◆",""))</f>
      </c>
      <c r="BC16" s="26">
        <f>IF(OR($A16="",BC$3=""),"",IF(AND($J16&lt;&gt;"",$K16&lt;&gt;"",$J16=$K16,$J16&gt;=BC$3,$J16&lt;=IF(param_mode_affichage="mois",EOMONTH(BC$3,0),BC$3+6)),"◆",""))</f>
      </c>
      <c r="BD16" s="26">
        <f>IF(OR($A16="",BD$3=""),"",IF(AND($J16&lt;&gt;"",$K16&lt;&gt;"",$J16=$K16,$J16&gt;=BD$3,$J16&lt;=IF(param_mode_affichage="mois",EOMONTH(BD$3,0),BD$3+6)),"◆",""))</f>
      </c>
      <c r="BE16" s="26">
        <f>IF(OR($A16="",BE$3=""),"",IF(AND($J16&lt;&gt;"",$K16&lt;&gt;"",$J16=$K16,$J16&gt;=BE$3,$J16&lt;=IF(param_mode_affichage="mois",EOMONTH(BE$3,0),BE$3+6)),"◆",""))</f>
      </c>
      <c r="BF16" s="26">
        <f>IF(OR($A16="",BF$3=""),"",IF(AND($J16&lt;&gt;"",$K16&lt;&gt;"",$J16=$K16,$J16&gt;=BF$3,$J16&lt;=IF(param_mode_affichage="mois",EOMONTH(BF$3,0),BF$3+6)),"◆",""))</f>
      </c>
      <c r="BG16" s="26">
        <f>IF(OR($A16="",BG$3=""),"",IF(AND($J16&lt;&gt;"",$K16&lt;&gt;"",$J16=$K16,$J16&gt;=BG$3,$J16&lt;=IF(param_mode_affichage="mois",EOMONTH(BG$3,0),BG$3+6)),"◆",""))</f>
      </c>
      <c r="BH16" s="26">
        <f>IF(OR($A16="",BH$3=""),"",IF(AND($J16&lt;&gt;"",$K16&lt;&gt;"",$J16=$K16,$J16&gt;=BH$3,$J16&lt;=IF(param_mode_affichage="mois",EOMONTH(BH$3,0),BH$3+6)),"◆",""))</f>
      </c>
      <c r="BI16" s="26">
        <f>IF(OR($A16="",BI$3=""),"",IF(AND($J16&lt;&gt;"",$K16&lt;&gt;"",$J16=$K16,$J16&gt;=BI$3,$J16&lt;=IF(param_mode_affichage="mois",EOMONTH(BI$3,0),BI$3+6)),"◆",""))</f>
      </c>
      <c r="BJ16" s="26">
        <f>IF(OR($A16="",BJ$3=""),"",IF(AND($J16&lt;&gt;"",$K16&lt;&gt;"",$J16=$K16,$J16&gt;=BJ$3,$J16&lt;=IF(param_mode_affichage="mois",EOMONTH(BJ$3,0),BJ$3+6)),"◆",""))</f>
      </c>
      <c r="BK16" s="26">
        <f>IF(OR($A16="",BK$3=""),"",IF(AND($J16&lt;&gt;"",$K16&lt;&gt;"",$J16=$K16,$J16&gt;=BK$3,$J16&lt;=IF(param_mode_affichage="mois",EOMONTH(BK$3,0),BK$3+6)),"◆",""))</f>
      </c>
      <c r="BL16" s="26">
        <f>IF(OR($A16="",BL$3=""),"",IF(AND($J16&lt;&gt;"",$K16&lt;&gt;"",$J16=$K16,$J16&gt;=BL$3,$J16&lt;=IF(param_mode_affichage="mois",EOMONTH(BL$3,0),BL$3+6)),"◆",""))</f>
      </c>
    </row>
    <row r="17" spans="1:64" x14ac:dyDescent="0.25">
      <c r="A17" s="23">
        <f>IFERROR(INDEX(tblTasks[ID],ROW()-4),"")</f>
      </c>
      <c r="B17" s="24">
        <f>IF($A17="","",INDEX(tblTasks[Sujet],ROW()-4))</f>
      </c>
      <c r="C17" s="23">
        <f>IF($A17="","",INDEX(tblTasks[Responsable],ROW()-4))</f>
      </c>
      <c r="D17" s="23">
        <f>IF($A17="","",INDEX(tblTasks[Statut],ROW()-4))</f>
      </c>
      <c r="E17" s="23">
        <f>IF($A17="","",INDEX(tblTasks[Depend_de],ROW()-4))</f>
      </c>
      <c r="F17" s="23">
        <f>IF($A17="","",INDEX(tblTasks[Blocage],ROW()-4))</f>
      </c>
      <c r="G17" s="23">
        <f>IF($A17="","",INDEX(tblTasks[Niveau_criticite],ROW()-4))</f>
      </c>
      <c r="H17" s="23">
        <f>IF($A17="","",INDEX(tblTasks[Goulot],ROW()-4))</f>
      </c>
      <c r="I17" s="23">
        <f>IF($A17="","",IF(LOWER($F17)="oui","non",IF($E17="","oui",IFERROR(IF(LOWER(INDEX(tblTasks[Statut],MATCH($E17,tblTasks[ID],0)))="clos","oui","non"),"non"))))</f>
      </c>
      <c r="J17" s="25">
        <f>IF($A17="","",INDEX(tblTasks[Date_debut_prevue],ROW()-4))</f>
      </c>
      <c r="K17" s="25">
        <f>IF($A17="","",INDEX(tblTasks[Date_fin_prevue],ROW()-4))</f>
      </c>
      <c r="L17" s="23">
        <f>IF($A17="","",INDEX(tblTasks[Irreversibilite],ROW()-4))</f>
      </c>
      <c r="M17" s="26">
        <f>IF(OR($A17="",M$3=""),"",IF(AND($J17&lt;&gt;"",$K17&lt;&gt;"",$J17=$K17,$J17&gt;=M$3,$J17&lt;=IF(param_mode_affichage="mois",EOMONTH(M$3,0),M$3+6)),"◆",""))</f>
      </c>
      <c r="N17" s="26">
        <f>IF(OR($A17="",N$3=""),"",IF(AND($J17&lt;&gt;"",$K17&lt;&gt;"",$J17=$K17,$J17&gt;=N$3,$J17&lt;=IF(param_mode_affichage="mois",EOMONTH(N$3,0),N$3+6)),"◆",""))</f>
      </c>
      <c r="O17" s="26">
        <f>IF(OR($A17="",O$3=""),"",IF(AND($J17&lt;&gt;"",$K17&lt;&gt;"",$J17=$K17,$J17&gt;=O$3,$J17&lt;=IF(param_mode_affichage="mois",EOMONTH(O$3,0),O$3+6)),"◆",""))</f>
      </c>
      <c r="P17" s="26">
        <f>IF(OR($A17="",P$3=""),"",IF(AND($J17&lt;&gt;"",$K17&lt;&gt;"",$J17=$K17,$J17&gt;=P$3,$J17&lt;=IF(param_mode_affichage="mois",EOMONTH(P$3,0),P$3+6)),"◆",""))</f>
      </c>
      <c r="Q17" s="26">
        <f>IF(OR($A17="",Q$3=""),"",IF(AND($J17&lt;&gt;"",$K17&lt;&gt;"",$J17=$K17,$J17&gt;=Q$3,$J17&lt;=IF(param_mode_affichage="mois",EOMONTH(Q$3,0),Q$3+6)),"◆",""))</f>
      </c>
      <c r="R17" s="26">
        <f>IF(OR($A17="",R$3=""),"",IF(AND($J17&lt;&gt;"",$K17&lt;&gt;"",$J17=$K17,$J17&gt;=R$3,$J17&lt;=IF(param_mode_affichage="mois",EOMONTH(R$3,0),R$3+6)),"◆",""))</f>
      </c>
      <c r="S17" s="26">
        <f>IF(OR($A17="",S$3=""),"",IF(AND($J17&lt;&gt;"",$K17&lt;&gt;"",$J17=$K17,$J17&gt;=S$3,$J17&lt;=IF(param_mode_affichage="mois",EOMONTH(S$3,0),S$3+6)),"◆",""))</f>
      </c>
      <c r="T17" s="26">
        <f>IF(OR($A17="",T$3=""),"",IF(AND($J17&lt;&gt;"",$K17&lt;&gt;"",$J17=$K17,$J17&gt;=T$3,$J17&lt;=IF(param_mode_affichage="mois",EOMONTH(T$3,0),T$3+6)),"◆",""))</f>
      </c>
      <c r="U17" s="26">
        <f>IF(OR($A17="",U$3=""),"",IF(AND($J17&lt;&gt;"",$K17&lt;&gt;"",$J17=$K17,$J17&gt;=U$3,$J17&lt;=IF(param_mode_affichage="mois",EOMONTH(U$3,0),U$3+6)),"◆",""))</f>
      </c>
      <c r="V17" s="26">
        <f>IF(OR($A17="",V$3=""),"",IF(AND($J17&lt;&gt;"",$K17&lt;&gt;"",$J17=$K17,$J17&gt;=V$3,$J17&lt;=IF(param_mode_affichage="mois",EOMONTH(V$3,0),V$3+6)),"◆",""))</f>
      </c>
      <c r="W17" s="26">
        <f>IF(OR($A17="",W$3=""),"",IF(AND($J17&lt;&gt;"",$K17&lt;&gt;"",$J17=$K17,$J17&gt;=W$3,$J17&lt;=IF(param_mode_affichage="mois",EOMONTH(W$3,0),W$3+6)),"◆",""))</f>
      </c>
      <c r="X17" s="26">
        <f>IF(OR($A17="",X$3=""),"",IF(AND($J17&lt;&gt;"",$K17&lt;&gt;"",$J17=$K17,$J17&gt;=X$3,$J17&lt;=IF(param_mode_affichage="mois",EOMONTH(X$3,0),X$3+6)),"◆",""))</f>
      </c>
      <c r="Y17" s="26">
        <f>IF(OR($A17="",Y$3=""),"",IF(AND($J17&lt;&gt;"",$K17&lt;&gt;"",$J17=$K17,$J17&gt;=Y$3,$J17&lt;=IF(param_mode_affichage="mois",EOMONTH(Y$3,0),Y$3+6)),"◆",""))</f>
      </c>
      <c r="Z17" s="26">
        <f>IF(OR($A17="",Z$3=""),"",IF(AND($J17&lt;&gt;"",$K17&lt;&gt;"",$J17=$K17,$J17&gt;=Z$3,$J17&lt;=IF(param_mode_affichage="mois",EOMONTH(Z$3,0),Z$3+6)),"◆",""))</f>
      </c>
      <c r="AA17" s="26">
        <f>IF(OR($A17="",AA$3=""),"",IF(AND($J17&lt;&gt;"",$K17&lt;&gt;"",$J17=$K17,$J17&gt;=AA$3,$J17&lt;=IF(param_mode_affichage="mois",EOMONTH(AA$3,0),AA$3+6)),"◆",""))</f>
      </c>
      <c r="AB17" s="26">
        <f>IF(OR($A17="",AB$3=""),"",IF(AND($J17&lt;&gt;"",$K17&lt;&gt;"",$J17=$K17,$J17&gt;=AB$3,$J17&lt;=IF(param_mode_affichage="mois",EOMONTH(AB$3,0),AB$3+6)),"◆",""))</f>
      </c>
      <c r="AC17" s="26">
        <f>IF(OR($A17="",AC$3=""),"",IF(AND($J17&lt;&gt;"",$K17&lt;&gt;"",$J17=$K17,$J17&gt;=AC$3,$J17&lt;=IF(param_mode_affichage="mois",EOMONTH(AC$3,0),AC$3+6)),"◆",""))</f>
      </c>
      <c r="AD17" s="26">
        <f>IF(OR($A17="",AD$3=""),"",IF(AND($J17&lt;&gt;"",$K17&lt;&gt;"",$J17=$K17,$J17&gt;=AD$3,$J17&lt;=IF(param_mode_affichage="mois",EOMONTH(AD$3,0),AD$3+6)),"◆",""))</f>
      </c>
      <c r="AE17" s="26">
        <f>IF(OR($A17="",AE$3=""),"",IF(AND($J17&lt;&gt;"",$K17&lt;&gt;"",$J17=$K17,$J17&gt;=AE$3,$J17&lt;=IF(param_mode_affichage="mois",EOMONTH(AE$3,0),AE$3+6)),"◆",""))</f>
      </c>
      <c r="AF17" s="26">
        <f>IF(OR($A17="",AF$3=""),"",IF(AND($J17&lt;&gt;"",$K17&lt;&gt;"",$J17=$K17,$J17&gt;=AF$3,$J17&lt;=IF(param_mode_affichage="mois",EOMONTH(AF$3,0),AF$3+6)),"◆",""))</f>
      </c>
      <c r="AG17" s="26">
        <f>IF(OR($A17="",AG$3=""),"",IF(AND($J17&lt;&gt;"",$K17&lt;&gt;"",$J17=$K17,$J17&gt;=AG$3,$J17&lt;=IF(param_mode_affichage="mois",EOMONTH(AG$3,0),AG$3+6)),"◆",""))</f>
      </c>
      <c r="AH17" s="26">
        <f>IF(OR($A17="",AH$3=""),"",IF(AND($J17&lt;&gt;"",$K17&lt;&gt;"",$J17=$K17,$J17&gt;=AH$3,$J17&lt;=IF(param_mode_affichage="mois",EOMONTH(AH$3,0),AH$3+6)),"◆",""))</f>
      </c>
      <c r="AI17" s="26">
        <f>IF(OR($A17="",AI$3=""),"",IF(AND($J17&lt;&gt;"",$K17&lt;&gt;"",$J17=$K17,$J17&gt;=AI$3,$J17&lt;=IF(param_mode_affichage="mois",EOMONTH(AI$3,0),AI$3+6)),"◆",""))</f>
      </c>
      <c r="AJ17" s="26">
        <f>IF(OR($A17="",AJ$3=""),"",IF(AND($J17&lt;&gt;"",$K17&lt;&gt;"",$J17=$K17,$J17&gt;=AJ$3,$J17&lt;=IF(param_mode_affichage="mois",EOMONTH(AJ$3,0),AJ$3+6)),"◆",""))</f>
      </c>
      <c r="AK17" s="26">
        <f>IF(OR($A17="",AK$3=""),"",IF(AND($J17&lt;&gt;"",$K17&lt;&gt;"",$J17=$K17,$J17&gt;=AK$3,$J17&lt;=IF(param_mode_affichage="mois",EOMONTH(AK$3,0),AK$3+6)),"◆",""))</f>
      </c>
      <c r="AL17" s="26">
        <f>IF(OR($A17="",AL$3=""),"",IF(AND($J17&lt;&gt;"",$K17&lt;&gt;"",$J17=$K17,$J17&gt;=AL$3,$J17&lt;=IF(param_mode_affichage="mois",EOMONTH(AL$3,0),AL$3+6)),"◆",""))</f>
      </c>
      <c r="AM17" s="26">
        <f>IF(OR($A17="",AM$3=""),"",IF(AND($J17&lt;&gt;"",$K17&lt;&gt;"",$J17=$K17,$J17&gt;=AM$3,$J17&lt;=IF(param_mode_affichage="mois",EOMONTH(AM$3,0),AM$3+6)),"◆",""))</f>
      </c>
      <c r="AN17" s="26">
        <f>IF(OR($A17="",AN$3=""),"",IF(AND($J17&lt;&gt;"",$K17&lt;&gt;"",$J17=$K17,$J17&gt;=AN$3,$J17&lt;=IF(param_mode_affichage="mois",EOMONTH(AN$3,0),AN$3+6)),"◆",""))</f>
      </c>
      <c r="AO17" s="26">
        <f>IF(OR($A17="",AO$3=""),"",IF(AND($J17&lt;&gt;"",$K17&lt;&gt;"",$J17=$K17,$J17&gt;=AO$3,$J17&lt;=IF(param_mode_affichage="mois",EOMONTH(AO$3,0),AO$3+6)),"◆",""))</f>
      </c>
      <c r="AP17" s="26">
        <f>IF(OR($A17="",AP$3=""),"",IF(AND($J17&lt;&gt;"",$K17&lt;&gt;"",$J17=$K17,$J17&gt;=AP$3,$J17&lt;=IF(param_mode_affichage="mois",EOMONTH(AP$3,0),AP$3+6)),"◆",""))</f>
      </c>
      <c r="AQ17" s="26">
        <f>IF(OR($A17="",AQ$3=""),"",IF(AND($J17&lt;&gt;"",$K17&lt;&gt;"",$J17=$K17,$J17&gt;=AQ$3,$J17&lt;=IF(param_mode_affichage="mois",EOMONTH(AQ$3,0),AQ$3+6)),"◆",""))</f>
      </c>
      <c r="AR17" s="26">
        <f>IF(OR($A17="",AR$3=""),"",IF(AND($J17&lt;&gt;"",$K17&lt;&gt;"",$J17=$K17,$J17&gt;=AR$3,$J17&lt;=IF(param_mode_affichage="mois",EOMONTH(AR$3,0),AR$3+6)),"◆",""))</f>
      </c>
      <c r="AS17" s="26">
        <f>IF(OR($A17="",AS$3=""),"",IF(AND($J17&lt;&gt;"",$K17&lt;&gt;"",$J17=$K17,$J17&gt;=AS$3,$J17&lt;=IF(param_mode_affichage="mois",EOMONTH(AS$3,0),AS$3+6)),"◆",""))</f>
      </c>
      <c r="AT17" s="26">
        <f>IF(OR($A17="",AT$3=""),"",IF(AND($J17&lt;&gt;"",$K17&lt;&gt;"",$J17=$K17,$J17&gt;=AT$3,$J17&lt;=IF(param_mode_affichage="mois",EOMONTH(AT$3,0),AT$3+6)),"◆",""))</f>
      </c>
      <c r="AU17" s="26">
        <f>IF(OR($A17="",AU$3=""),"",IF(AND($J17&lt;&gt;"",$K17&lt;&gt;"",$J17=$K17,$J17&gt;=AU$3,$J17&lt;=IF(param_mode_affichage="mois",EOMONTH(AU$3,0),AU$3+6)),"◆",""))</f>
      </c>
      <c r="AV17" s="26">
        <f>IF(OR($A17="",AV$3=""),"",IF(AND($J17&lt;&gt;"",$K17&lt;&gt;"",$J17=$K17,$J17&gt;=AV$3,$J17&lt;=IF(param_mode_affichage="mois",EOMONTH(AV$3,0),AV$3+6)),"◆",""))</f>
      </c>
      <c r="AW17" s="26">
        <f>IF(OR($A17="",AW$3=""),"",IF(AND($J17&lt;&gt;"",$K17&lt;&gt;"",$J17=$K17,$J17&gt;=AW$3,$J17&lt;=IF(param_mode_affichage="mois",EOMONTH(AW$3,0),AW$3+6)),"◆",""))</f>
      </c>
      <c r="AX17" s="26">
        <f>IF(OR($A17="",AX$3=""),"",IF(AND($J17&lt;&gt;"",$K17&lt;&gt;"",$J17=$K17,$J17&gt;=AX$3,$J17&lt;=IF(param_mode_affichage="mois",EOMONTH(AX$3,0),AX$3+6)),"◆",""))</f>
      </c>
      <c r="AY17" s="26">
        <f>IF(OR($A17="",AY$3=""),"",IF(AND($J17&lt;&gt;"",$K17&lt;&gt;"",$J17=$K17,$J17&gt;=AY$3,$J17&lt;=IF(param_mode_affichage="mois",EOMONTH(AY$3,0),AY$3+6)),"◆",""))</f>
      </c>
      <c r="AZ17" s="26">
        <f>IF(OR($A17="",AZ$3=""),"",IF(AND($J17&lt;&gt;"",$K17&lt;&gt;"",$J17=$K17,$J17&gt;=AZ$3,$J17&lt;=IF(param_mode_affichage="mois",EOMONTH(AZ$3,0),AZ$3+6)),"◆",""))</f>
      </c>
      <c r="BA17" s="26">
        <f>IF(OR($A17="",BA$3=""),"",IF(AND($J17&lt;&gt;"",$K17&lt;&gt;"",$J17=$K17,$J17&gt;=BA$3,$J17&lt;=IF(param_mode_affichage="mois",EOMONTH(BA$3,0),BA$3+6)),"◆",""))</f>
      </c>
      <c r="BB17" s="26">
        <f>IF(OR($A17="",BB$3=""),"",IF(AND($J17&lt;&gt;"",$K17&lt;&gt;"",$J17=$K17,$J17&gt;=BB$3,$J17&lt;=IF(param_mode_affichage="mois",EOMONTH(BB$3,0),BB$3+6)),"◆",""))</f>
      </c>
      <c r="BC17" s="26">
        <f>IF(OR($A17="",BC$3=""),"",IF(AND($J17&lt;&gt;"",$K17&lt;&gt;"",$J17=$K17,$J17&gt;=BC$3,$J17&lt;=IF(param_mode_affichage="mois",EOMONTH(BC$3,0),BC$3+6)),"◆",""))</f>
      </c>
      <c r="BD17" s="26">
        <f>IF(OR($A17="",BD$3=""),"",IF(AND($J17&lt;&gt;"",$K17&lt;&gt;"",$J17=$K17,$J17&gt;=BD$3,$J17&lt;=IF(param_mode_affichage="mois",EOMONTH(BD$3,0),BD$3+6)),"◆",""))</f>
      </c>
      <c r="BE17" s="26">
        <f>IF(OR($A17="",BE$3=""),"",IF(AND($J17&lt;&gt;"",$K17&lt;&gt;"",$J17=$K17,$J17&gt;=BE$3,$J17&lt;=IF(param_mode_affichage="mois",EOMONTH(BE$3,0),BE$3+6)),"◆",""))</f>
      </c>
      <c r="BF17" s="26">
        <f>IF(OR($A17="",BF$3=""),"",IF(AND($J17&lt;&gt;"",$K17&lt;&gt;"",$J17=$K17,$J17&gt;=BF$3,$J17&lt;=IF(param_mode_affichage="mois",EOMONTH(BF$3,0),BF$3+6)),"◆",""))</f>
      </c>
      <c r="BG17" s="26">
        <f>IF(OR($A17="",BG$3=""),"",IF(AND($J17&lt;&gt;"",$K17&lt;&gt;"",$J17=$K17,$J17&gt;=BG$3,$J17&lt;=IF(param_mode_affichage="mois",EOMONTH(BG$3,0),BG$3+6)),"◆",""))</f>
      </c>
      <c r="BH17" s="26">
        <f>IF(OR($A17="",BH$3=""),"",IF(AND($J17&lt;&gt;"",$K17&lt;&gt;"",$J17=$K17,$J17&gt;=BH$3,$J17&lt;=IF(param_mode_affichage="mois",EOMONTH(BH$3,0),BH$3+6)),"◆",""))</f>
      </c>
      <c r="BI17" s="26">
        <f>IF(OR($A17="",BI$3=""),"",IF(AND($J17&lt;&gt;"",$K17&lt;&gt;"",$J17=$K17,$J17&gt;=BI$3,$J17&lt;=IF(param_mode_affichage="mois",EOMONTH(BI$3,0),BI$3+6)),"◆",""))</f>
      </c>
      <c r="BJ17" s="26">
        <f>IF(OR($A17="",BJ$3=""),"",IF(AND($J17&lt;&gt;"",$K17&lt;&gt;"",$J17=$K17,$J17&gt;=BJ$3,$J17&lt;=IF(param_mode_affichage="mois",EOMONTH(BJ$3,0),BJ$3+6)),"◆",""))</f>
      </c>
      <c r="BK17" s="26">
        <f>IF(OR($A17="",BK$3=""),"",IF(AND($J17&lt;&gt;"",$K17&lt;&gt;"",$J17=$K17,$J17&gt;=BK$3,$J17&lt;=IF(param_mode_affichage="mois",EOMONTH(BK$3,0),BK$3+6)),"◆",""))</f>
      </c>
      <c r="BL17" s="26">
        <f>IF(OR($A17="",BL$3=""),"",IF(AND($J17&lt;&gt;"",$K17&lt;&gt;"",$J17=$K17,$J17&gt;=BL$3,$J17&lt;=IF(param_mode_affichage="mois",EOMONTH(BL$3,0),BL$3+6)),"◆",""))</f>
      </c>
    </row>
    <row r="18" spans="1:64" x14ac:dyDescent="0.25">
      <c r="A18" s="23">
        <f>IFERROR(INDEX(tblTasks[ID],ROW()-4),"")</f>
      </c>
      <c r="B18" s="24">
        <f>IF($A18="","",INDEX(tblTasks[Sujet],ROW()-4))</f>
      </c>
      <c r="C18" s="23">
        <f>IF($A18="","",INDEX(tblTasks[Responsable],ROW()-4))</f>
      </c>
      <c r="D18" s="23">
        <f>IF($A18="","",INDEX(tblTasks[Statut],ROW()-4))</f>
      </c>
      <c r="E18" s="23">
        <f>IF($A18="","",INDEX(tblTasks[Depend_de],ROW()-4))</f>
      </c>
      <c r="F18" s="23">
        <f>IF($A18="","",INDEX(tblTasks[Blocage],ROW()-4))</f>
      </c>
      <c r="G18" s="23">
        <f>IF($A18="","",INDEX(tblTasks[Niveau_criticite],ROW()-4))</f>
      </c>
      <c r="H18" s="23">
        <f>IF($A18="","",INDEX(tblTasks[Goulot],ROW()-4))</f>
      </c>
      <c r="I18" s="23">
        <f>IF($A18="","",IF(LOWER($F18)="oui","non",IF($E18="","oui",IFERROR(IF(LOWER(INDEX(tblTasks[Statut],MATCH($E18,tblTasks[ID],0)))="clos","oui","non"),"non"))))</f>
      </c>
      <c r="J18" s="25">
        <f>IF($A18="","",INDEX(tblTasks[Date_debut_prevue],ROW()-4))</f>
      </c>
      <c r="K18" s="25">
        <f>IF($A18="","",INDEX(tblTasks[Date_fin_prevue],ROW()-4))</f>
      </c>
      <c r="L18" s="23">
        <f>IF($A18="","",INDEX(tblTasks[Irreversibilite],ROW()-4))</f>
      </c>
      <c r="M18" s="26">
        <f>IF(OR($A18="",M$3=""),"",IF(AND($J18&lt;&gt;"",$K18&lt;&gt;"",$J18=$K18,$J18&gt;=M$3,$J18&lt;=IF(param_mode_affichage="mois",EOMONTH(M$3,0),M$3+6)),"◆",""))</f>
      </c>
      <c r="N18" s="26">
        <f>IF(OR($A18="",N$3=""),"",IF(AND($J18&lt;&gt;"",$K18&lt;&gt;"",$J18=$K18,$J18&gt;=N$3,$J18&lt;=IF(param_mode_affichage="mois",EOMONTH(N$3,0),N$3+6)),"◆",""))</f>
      </c>
      <c r="O18" s="26">
        <f>IF(OR($A18="",O$3=""),"",IF(AND($J18&lt;&gt;"",$K18&lt;&gt;"",$J18=$K18,$J18&gt;=O$3,$J18&lt;=IF(param_mode_affichage="mois",EOMONTH(O$3,0),O$3+6)),"◆",""))</f>
      </c>
      <c r="P18" s="26">
        <f>IF(OR($A18="",P$3=""),"",IF(AND($J18&lt;&gt;"",$K18&lt;&gt;"",$J18=$K18,$J18&gt;=P$3,$J18&lt;=IF(param_mode_affichage="mois",EOMONTH(P$3,0),P$3+6)),"◆",""))</f>
      </c>
      <c r="Q18" s="26">
        <f>IF(OR($A18="",Q$3=""),"",IF(AND($J18&lt;&gt;"",$K18&lt;&gt;"",$J18=$K18,$J18&gt;=Q$3,$J18&lt;=IF(param_mode_affichage="mois",EOMONTH(Q$3,0),Q$3+6)),"◆",""))</f>
      </c>
      <c r="R18" s="26">
        <f>IF(OR($A18="",R$3=""),"",IF(AND($J18&lt;&gt;"",$K18&lt;&gt;"",$J18=$K18,$J18&gt;=R$3,$J18&lt;=IF(param_mode_affichage="mois",EOMONTH(R$3,0),R$3+6)),"◆",""))</f>
      </c>
      <c r="S18" s="26">
        <f>IF(OR($A18="",S$3=""),"",IF(AND($J18&lt;&gt;"",$K18&lt;&gt;"",$J18=$K18,$J18&gt;=S$3,$J18&lt;=IF(param_mode_affichage="mois",EOMONTH(S$3,0),S$3+6)),"◆",""))</f>
      </c>
      <c r="T18" s="26">
        <f>IF(OR($A18="",T$3=""),"",IF(AND($J18&lt;&gt;"",$K18&lt;&gt;"",$J18=$K18,$J18&gt;=T$3,$J18&lt;=IF(param_mode_affichage="mois",EOMONTH(T$3,0),T$3+6)),"◆",""))</f>
      </c>
      <c r="U18" s="26">
        <f>IF(OR($A18="",U$3=""),"",IF(AND($J18&lt;&gt;"",$K18&lt;&gt;"",$J18=$K18,$J18&gt;=U$3,$J18&lt;=IF(param_mode_affichage="mois",EOMONTH(U$3,0),U$3+6)),"◆",""))</f>
      </c>
      <c r="V18" s="26">
        <f>IF(OR($A18="",V$3=""),"",IF(AND($J18&lt;&gt;"",$K18&lt;&gt;"",$J18=$K18,$J18&gt;=V$3,$J18&lt;=IF(param_mode_affichage="mois",EOMONTH(V$3,0),V$3+6)),"◆",""))</f>
      </c>
      <c r="W18" s="26">
        <f>IF(OR($A18="",W$3=""),"",IF(AND($J18&lt;&gt;"",$K18&lt;&gt;"",$J18=$K18,$J18&gt;=W$3,$J18&lt;=IF(param_mode_affichage="mois",EOMONTH(W$3,0),W$3+6)),"◆",""))</f>
      </c>
      <c r="X18" s="26">
        <f>IF(OR($A18="",X$3=""),"",IF(AND($J18&lt;&gt;"",$K18&lt;&gt;"",$J18=$K18,$J18&gt;=X$3,$J18&lt;=IF(param_mode_affichage="mois",EOMONTH(X$3,0),X$3+6)),"◆",""))</f>
      </c>
      <c r="Y18" s="26">
        <f>IF(OR($A18="",Y$3=""),"",IF(AND($J18&lt;&gt;"",$K18&lt;&gt;"",$J18=$K18,$J18&gt;=Y$3,$J18&lt;=IF(param_mode_affichage="mois",EOMONTH(Y$3,0),Y$3+6)),"◆",""))</f>
      </c>
      <c r="Z18" s="26">
        <f>IF(OR($A18="",Z$3=""),"",IF(AND($J18&lt;&gt;"",$K18&lt;&gt;"",$J18=$K18,$J18&gt;=Z$3,$J18&lt;=IF(param_mode_affichage="mois",EOMONTH(Z$3,0),Z$3+6)),"◆",""))</f>
      </c>
      <c r="AA18" s="26">
        <f>IF(OR($A18="",AA$3=""),"",IF(AND($J18&lt;&gt;"",$K18&lt;&gt;"",$J18=$K18,$J18&gt;=AA$3,$J18&lt;=IF(param_mode_affichage="mois",EOMONTH(AA$3,0),AA$3+6)),"◆",""))</f>
      </c>
      <c r="AB18" s="26">
        <f>IF(OR($A18="",AB$3=""),"",IF(AND($J18&lt;&gt;"",$K18&lt;&gt;"",$J18=$K18,$J18&gt;=AB$3,$J18&lt;=IF(param_mode_affichage="mois",EOMONTH(AB$3,0),AB$3+6)),"◆",""))</f>
      </c>
      <c r="AC18" s="26">
        <f>IF(OR($A18="",AC$3=""),"",IF(AND($J18&lt;&gt;"",$K18&lt;&gt;"",$J18=$K18,$J18&gt;=AC$3,$J18&lt;=IF(param_mode_affichage="mois",EOMONTH(AC$3,0),AC$3+6)),"◆",""))</f>
      </c>
      <c r="AD18" s="26">
        <f>IF(OR($A18="",AD$3=""),"",IF(AND($J18&lt;&gt;"",$K18&lt;&gt;"",$J18=$K18,$J18&gt;=AD$3,$J18&lt;=IF(param_mode_affichage="mois",EOMONTH(AD$3,0),AD$3+6)),"◆",""))</f>
      </c>
      <c r="AE18" s="26">
        <f>IF(OR($A18="",AE$3=""),"",IF(AND($J18&lt;&gt;"",$K18&lt;&gt;"",$J18=$K18,$J18&gt;=AE$3,$J18&lt;=IF(param_mode_affichage="mois",EOMONTH(AE$3,0),AE$3+6)),"◆",""))</f>
      </c>
      <c r="AF18" s="26">
        <f>IF(OR($A18="",AF$3=""),"",IF(AND($J18&lt;&gt;"",$K18&lt;&gt;"",$J18=$K18,$J18&gt;=AF$3,$J18&lt;=IF(param_mode_affichage="mois",EOMONTH(AF$3,0),AF$3+6)),"◆",""))</f>
      </c>
      <c r="AG18" s="26">
        <f>IF(OR($A18="",AG$3=""),"",IF(AND($J18&lt;&gt;"",$K18&lt;&gt;"",$J18=$K18,$J18&gt;=AG$3,$J18&lt;=IF(param_mode_affichage="mois",EOMONTH(AG$3,0),AG$3+6)),"◆",""))</f>
      </c>
      <c r="AH18" s="26">
        <f>IF(OR($A18="",AH$3=""),"",IF(AND($J18&lt;&gt;"",$K18&lt;&gt;"",$J18=$K18,$J18&gt;=AH$3,$J18&lt;=IF(param_mode_affichage="mois",EOMONTH(AH$3,0),AH$3+6)),"◆",""))</f>
      </c>
      <c r="AI18" s="26">
        <f>IF(OR($A18="",AI$3=""),"",IF(AND($J18&lt;&gt;"",$K18&lt;&gt;"",$J18=$K18,$J18&gt;=AI$3,$J18&lt;=IF(param_mode_affichage="mois",EOMONTH(AI$3,0),AI$3+6)),"◆",""))</f>
      </c>
      <c r="AJ18" s="26">
        <f>IF(OR($A18="",AJ$3=""),"",IF(AND($J18&lt;&gt;"",$K18&lt;&gt;"",$J18=$K18,$J18&gt;=AJ$3,$J18&lt;=IF(param_mode_affichage="mois",EOMONTH(AJ$3,0),AJ$3+6)),"◆",""))</f>
      </c>
      <c r="AK18" s="26">
        <f>IF(OR($A18="",AK$3=""),"",IF(AND($J18&lt;&gt;"",$K18&lt;&gt;"",$J18=$K18,$J18&gt;=AK$3,$J18&lt;=IF(param_mode_affichage="mois",EOMONTH(AK$3,0),AK$3+6)),"◆",""))</f>
      </c>
      <c r="AL18" s="26">
        <f>IF(OR($A18="",AL$3=""),"",IF(AND($J18&lt;&gt;"",$K18&lt;&gt;"",$J18=$K18,$J18&gt;=AL$3,$J18&lt;=IF(param_mode_affichage="mois",EOMONTH(AL$3,0),AL$3+6)),"◆",""))</f>
      </c>
      <c r="AM18" s="26">
        <f>IF(OR($A18="",AM$3=""),"",IF(AND($J18&lt;&gt;"",$K18&lt;&gt;"",$J18=$K18,$J18&gt;=AM$3,$J18&lt;=IF(param_mode_affichage="mois",EOMONTH(AM$3,0),AM$3+6)),"◆",""))</f>
      </c>
      <c r="AN18" s="26">
        <f>IF(OR($A18="",AN$3=""),"",IF(AND($J18&lt;&gt;"",$K18&lt;&gt;"",$J18=$K18,$J18&gt;=AN$3,$J18&lt;=IF(param_mode_affichage="mois",EOMONTH(AN$3,0),AN$3+6)),"◆",""))</f>
      </c>
      <c r="AO18" s="26">
        <f>IF(OR($A18="",AO$3=""),"",IF(AND($J18&lt;&gt;"",$K18&lt;&gt;"",$J18=$K18,$J18&gt;=AO$3,$J18&lt;=IF(param_mode_affichage="mois",EOMONTH(AO$3,0),AO$3+6)),"◆",""))</f>
      </c>
      <c r="AP18" s="26">
        <f>IF(OR($A18="",AP$3=""),"",IF(AND($J18&lt;&gt;"",$K18&lt;&gt;"",$J18=$K18,$J18&gt;=AP$3,$J18&lt;=IF(param_mode_affichage="mois",EOMONTH(AP$3,0),AP$3+6)),"◆",""))</f>
      </c>
      <c r="AQ18" s="26">
        <f>IF(OR($A18="",AQ$3=""),"",IF(AND($J18&lt;&gt;"",$K18&lt;&gt;"",$J18=$K18,$J18&gt;=AQ$3,$J18&lt;=IF(param_mode_affichage="mois",EOMONTH(AQ$3,0),AQ$3+6)),"◆",""))</f>
      </c>
      <c r="AR18" s="26">
        <f>IF(OR($A18="",AR$3=""),"",IF(AND($J18&lt;&gt;"",$K18&lt;&gt;"",$J18=$K18,$J18&gt;=AR$3,$J18&lt;=IF(param_mode_affichage="mois",EOMONTH(AR$3,0),AR$3+6)),"◆",""))</f>
      </c>
      <c r="AS18" s="26">
        <f>IF(OR($A18="",AS$3=""),"",IF(AND($J18&lt;&gt;"",$K18&lt;&gt;"",$J18=$K18,$J18&gt;=AS$3,$J18&lt;=IF(param_mode_affichage="mois",EOMONTH(AS$3,0),AS$3+6)),"◆",""))</f>
      </c>
      <c r="AT18" s="26">
        <f>IF(OR($A18="",AT$3=""),"",IF(AND($J18&lt;&gt;"",$K18&lt;&gt;"",$J18=$K18,$J18&gt;=AT$3,$J18&lt;=IF(param_mode_affichage="mois",EOMONTH(AT$3,0),AT$3+6)),"◆",""))</f>
      </c>
      <c r="AU18" s="26">
        <f>IF(OR($A18="",AU$3=""),"",IF(AND($J18&lt;&gt;"",$K18&lt;&gt;"",$J18=$K18,$J18&gt;=AU$3,$J18&lt;=IF(param_mode_affichage="mois",EOMONTH(AU$3,0),AU$3+6)),"◆",""))</f>
      </c>
      <c r="AV18" s="26">
        <f>IF(OR($A18="",AV$3=""),"",IF(AND($J18&lt;&gt;"",$K18&lt;&gt;"",$J18=$K18,$J18&gt;=AV$3,$J18&lt;=IF(param_mode_affichage="mois",EOMONTH(AV$3,0),AV$3+6)),"◆",""))</f>
      </c>
      <c r="AW18" s="26">
        <f>IF(OR($A18="",AW$3=""),"",IF(AND($J18&lt;&gt;"",$K18&lt;&gt;"",$J18=$K18,$J18&gt;=AW$3,$J18&lt;=IF(param_mode_affichage="mois",EOMONTH(AW$3,0),AW$3+6)),"◆",""))</f>
      </c>
      <c r="AX18" s="26">
        <f>IF(OR($A18="",AX$3=""),"",IF(AND($J18&lt;&gt;"",$K18&lt;&gt;"",$J18=$K18,$J18&gt;=AX$3,$J18&lt;=IF(param_mode_affichage="mois",EOMONTH(AX$3,0),AX$3+6)),"◆",""))</f>
      </c>
      <c r="AY18" s="26">
        <f>IF(OR($A18="",AY$3=""),"",IF(AND($J18&lt;&gt;"",$K18&lt;&gt;"",$J18=$K18,$J18&gt;=AY$3,$J18&lt;=IF(param_mode_affichage="mois",EOMONTH(AY$3,0),AY$3+6)),"◆",""))</f>
      </c>
      <c r="AZ18" s="26">
        <f>IF(OR($A18="",AZ$3=""),"",IF(AND($J18&lt;&gt;"",$K18&lt;&gt;"",$J18=$K18,$J18&gt;=AZ$3,$J18&lt;=IF(param_mode_affichage="mois",EOMONTH(AZ$3,0),AZ$3+6)),"◆",""))</f>
      </c>
      <c r="BA18" s="26">
        <f>IF(OR($A18="",BA$3=""),"",IF(AND($J18&lt;&gt;"",$K18&lt;&gt;"",$J18=$K18,$J18&gt;=BA$3,$J18&lt;=IF(param_mode_affichage="mois",EOMONTH(BA$3,0),BA$3+6)),"◆",""))</f>
      </c>
      <c r="BB18" s="26">
        <f>IF(OR($A18="",BB$3=""),"",IF(AND($J18&lt;&gt;"",$K18&lt;&gt;"",$J18=$K18,$J18&gt;=BB$3,$J18&lt;=IF(param_mode_affichage="mois",EOMONTH(BB$3,0),BB$3+6)),"◆",""))</f>
      </c>
      <c r="BC18" s="26">
        <f>IF(OR($A18="",BC$3=""),"",IF(AND($J18&lt;&gt;"",$K18&lt;&gt;"",$J18=$K18,$J18&gt;=BC$3,$J18&lt;=IF(param_mode_affichage="mois",EOMONTH(BC$3,0),BC$3+6)),"◆",""))</f>
      </c>
      <c r="BD18" s="26">
        <f>IF(OR($A18="",BD$3=""),"",IF(AND($J18&lt;&gt;"",$K18&lt;&gt;"",$J18=$K18,$J18&gt;=BD$3,$J18&lt;=IF(param_mode_affichage="mois",EOMONTH(BD$3,0),BD$3+6)),"◆",""))</f>
      </c>
      <c r="BE18" s="26">
        <f>IF(OR($A18="",BE$3=""),"",IF(AND($J18&lt;&gt;"",$K18&lt;&gt;"",$J18=$K18,$J18&gt;=BE$3,$J18&lt;=IF(param_mode_affichage="mois",EOMONTH(BE$3,0),BE$3+6)),"◆",""))</f>
      </c>
      <c r="BF18" s="26">
        <f>IF(OR($A18="",BF$3=""),"",IF(AND($J18&lt;&gt;"",$K18&lt;&gt;"",$J18=$K18,$J18&gt;=BF$3,$J18&lt;=IF(param_mode_affichage="mois",EOMONTH(BF$3,0),BF$3+6)),"◆",""))</f>
      </c>
      <c r="BG18" s="26">
        <f>IF(OR($A18="",BG$3=""),"",IF(AND($J18&lt;&gt;"",$K18&lt;&gt;"",$J18=$K18,$J18&gt;=BG$3,$J18&lt;=IF(param_mode_affichage="mois",EOMONTH(BG$3,0),BG$3+6)),"◆",""))</f>
      </c>
      <c r="BH18" s="26">
        <f>IF(OR($A18="",BH$3=""),"",IF(AND($J18&lt;&gt;"",$K18&lt;&gt;"",$J18=$K18,$J18&gt;=BH$3,$J18&lt;=IF(param_mode_affichage="mois",EOMONTH(BH$3,0),BH$3+6)),"◆",""))</f>
      </c>
      <c r="BI18" s="26">
        <f>IF(OR($A18="",BI$3=""),"",IF(AND($J18&lt;&gt;"",$K18&lt;&gt;"",$J18=$K18,$J18&gt;=BI$3,$J18&lt;=IF(param_mode_affichage="mois",EOMONTH(BI$3,0),BI$3+6)),"◆",""))</f>
      </c>
      <c r="BJ18" s="26">
        <f>IF(OR($A18="",BJ$3=""),"",IF(AND($J18&lt;&gt;"",$K18&lt;&gt;"",$J18=$K18,$J18&gt;=BJ$3,$J18&lt;=IF(param_mode_affichage="mois",EOMONTH(BJ$3,0),BJ$3+6)),"◆",""))</f>
      </c>
      <c r="BK18" s="26">
        <f>IF(OR($A18="",BK$3=""),"",IF(AND($J18&lt;&gt;"",$K18&lt;&gt;"",$J18=$K18,$J18&gt;=BK$3,$J18&lt;=IF(param_mode_affichage="mois",EOMONTH(BK$3,0),BK$3+6)),"◆",""))</f>
      </c>
      <c r="BL18" s="26">
        <f>IF(OR($A18="",BL$3=""),"",IF(AND($J18&lt;&gt;"",$K18&lt;&gt;"",$J18=$K18,$J18&gt;=BL$3,$J18&lt;=IF(param_mode_affichage="mois",EOMONTH(BL$3,0),BL$3+6)),"◆",""))</f>
      </c>
    </row>
    <row r="19" spans="1:64" x14ac:dyDescent="0.25">
      <c r="A19" s="23">
        <f>IFERROR(INDEX(tblTasks[ID],ROW()-4),"")</f>
      </c>
      <c r="B19" s="24">
        <f>IF($A19="","",INDEX(tblTasks[Sujet],ROW()-4))</f>
      </c>
      <c r="C19" s="23">
        <f>IF($A19="","",INDEX(tblTasks[Responsable],ROW()-4))</f>
      </c>
      <c r="D19" s="23">
        <f>IF($A19="","",INDEX(tblTasks[Statut],ROW()-4))</f>
      </c>
      <c r="E19" s="23">
        <f>IF($A19="","",INDEX(tblTasks[Depend_de],ROW()-4))</f>
      </c>
      <c r="F19" s="23">
        <f>IF($A19="","",INDEX(tblTasks[Blocage],ROW()-4))</f>
      </c>
      <c r="G19" s="23">
        <f>IF($A19="","",INDEX(tblTasks[Niveau_criticite],ROW()-4))</f>
      </c>
      <c r="H19" s="23">
        <f>IF($A19="","",INDEX(tblTasks[Goulot],ROW()-4))</f>
      </c>
      <c r="I19" s="23">
        <f>IF($A19="","",IF(LOWER($F19)="oui","non",IF($E19="","oui",IFERROR(IF(LOWER(INDEX(tblTasks[Statut],MATCH($E19,tblTasks[ID],0)))="clos","oui","non"),"non"))))</f>
      </c>
      <c r="J19" s="25">
        <f>IF($A19="","",INDEX(tblTasks[Date_debut_prevue],ROW()-4))</f>
      </c>
      <c r="K19" s="25">
        <f>IF($A19="","",INDEX(tblTasks[Date_fin_prevue],ROW()-4))</f>
      </c>
      <c r="L19" s="23">
        <f>IF($A19="","",INDEX(tblTasks[Irreversibilite],ROW()-4))</f>
      </c>
      <c r="M19" s="26">
        <f>IF(OR($A19="",M$3=""),"",IF(AND($J19&lt;&gt;"",$K19&lt;&gt;"",$J19=$K19,$J19&gt;=M$3,$J19&lt;=IF(param_mode_affichage="mois",EOMONTH(M$3,0),M$3+6)),"◆",""))</f>
      </c>
      <c r="N19" s="26">
        <f>IF(OR($A19="",N$3=""),"",IF(AND($J19&lt;&gt;"",$K19&lt;&gt;"",$J19=$K19,$J19&gt;=N$3,$J19&lt;=IF(param_mode_affichage="mois",EOMONTH(N$3,0),N$3+6)),"◆",""))</f>
      </c>
      <c r="O19" s="26">
        <f>IF(OR($A19="",O$3=""),"",IF(AND($J19&lt;&gt;"",$K19&lt;&gt;"",$J19=$K19,$J19&gt;=O$3,$J19&lt;=IF(param_mode_affichage="mois",EOMONTH(O$3,0),O$3+6)),"◆",""))</f>
      </c>
      <c r="P19" s="26">
        <f>IF(OR($A19="",P$3=""),"",IF(AND($J19&lt;&gt;"",$K19&lt;&gt;"",$J19=$K19,$J19&gt;=P$3,$J19&lt;=IF(param_mode_affichage="mois",EOMONTH(P$3,0),P$3+6)),"◆",""))</f>
      </c>
      <c r="Q19" s="26">
        <f>IF(OR($A19="",Q$3=""),"",IF(AND($J19&lt;&gt;"",$K19&lt;&gt;"",$J19=$K19,$J19&gt;=Q$3,$J19&lt;=IF(param_mode_affichage="mois",EOMONTH(Q$3,0),Q$3+6)),"◆",""))</f>
      </c>
      <c r="R19" s="26">
        <f>IF(OR($A19="",R$3=""),"",IF(AND($J19&lt;&gt;"",$K19&lt;&gt;"",$J19=$K19,$J19&gt;=R$3,$J19&lt;=IF(param_mode_affichage="mois",EOMONTH(R$3,0),R$3+6)),"◆",""))</f>
      </c>
      <c r="S19" s="26">
        <f>IF(OR($A19="",S$3=""),"",IF(AND($J19&lt;&gt;"",$K19&lt;&gt;"",$J19=$K19,$J19&gt;=S$3,$J19&lt;=IF(param_mode_affichage="mois",EOMONTH(S$3,0),S$3+6)),"◆",""))</f>
      </c>
      <c r="T19" s="26">
        <f>IF(OR($A19="",T$3=""),"",IF(AND($J19&lt;&gt;"",$K19&lt;&gt;"",$J19=$K19,$J19&gt;=T$3,$J19&lt;=IF(param_mode_affichage="mois",EOMONTH(T$3,0),T$3+6)),"◆",""))</f>
      </c>
      <c r="U19" s="26">
        <f>IF(OR($A19="",U$3=""),"",IF(AND($J19&lt;&gt;"",$K19&lt;&gt;"",$J19=$K19,$J19&gt;=U$3,$J19&lt;=IF(param_mode_affichage="mois",EOMONTH(U$3,0),U$3+6)),"◆",""))</f>
      </c>
      <c r="V19" s="26">
        <f>IF(OR($A19="",V$3=""),"",IF(AND($J19&lt;&gt;"",$K19&lt;&gt;"",$J19=$K19,$J19&gt;=V$3,$J19&lt;=IF(param_mode_affichage="mois",EOMONTH(V$3,0),V$3+6)),"◆",""))</f>
      </c>
      <c r="W19" s="26">
        <f>IF(OR($A19="",W$3=""),"",IF(AND($J19&lt;&gt;"",$K19&lt;&gt;"",$J19=$K19,$J19&gt;=W$3,$J19&lt;=IF(param_mode_affichage="mois",EOMONTH(W$3,0),W$3+6)),"◆",""))</f>
      </c>
      <c r="X19" s="26">
        <f>IF(OR($A19="",X$3=""),"",IF(AND($J19&lt;&gt;"",$K19&lt;&gt;"",$J19=$K19,$J19&gt;=X$3,$J19&lt;=IF(param_mode_affichage="mois",EOMONTH(X$3,0),X$3+6)),"◆",""))</f>
      </c>
      <c r="Y19" s="26">
        <f>IF(OR($A19="",Y$3=""),"",IF(AND($J19&lt;&gt;"",$K19&lt;&gt;"",$J19=$K19,$J19&gt;=Y$3,$J19&lt;=IF(param_mode_affichage="mois",EOMONTH(Y$3,0),Y$3+6)),"◆",""))</f>
      </c>
      <c r="Z19" s="26">
        <f>IF(OR($A19="",Z$3=""),"",IF(AND($J19&lt;&gt;"",$K19&lt;&gt;"",$J19=$K19,$J19&gt;=Z$3,$J19&lt;=IF(param_mode_affichage="mois",EOMONTH(Z$3,0),Z$3+6)),"◆",""))</f>
      </c>
      <c r="AA19" s="26">
        <f>IF(OR($A19="",AA$3=""),"",IF(AND($J19&lt;&gt;"",$K19&lt;&gt;"",$J19=$K19,$J19&gt;=AA$3,$J19&lt;=IF(param_mode_affichage="mois",EOMONTH(AA$3,0),AA$3+6)),"◆",""))</f>
      </c>
      <c r="AB19" s="26">
        <f>IF(OR($A19="",AB$3=""),"",IF(AND($J19&lt;&gt;"",$K19&lt;&gt;"",$J19=$K19,$J19&gt;=AB$3,$J19&lt;=IF(param_mode_affichage="mois",EOMONTH(AB$3,0),AB$3+6)),"◆",""))</f>
      </c>
      <c r="AC19" s="26">
        <f>IF(OR($A19="",AC$3=""),"",IF(AND($J19&lt;&gt;"",$K19&lt;&gt;"",$J19=$K19,$J19&gt;=AC$3,$J19&lt;=IF(param_mode_affichage="mois",EOMONTH(AC$3,0),AC$3+6)),"◆",""))</f>
      </c>
      <c r="AD19" s="26">
        <f>IF(OR($A19="",AD$3=""),"",IF(AND($J19&lt;&gt;"",$K19&lt;&gt;"",$J19=$K19,$J19&gt;=AD$3,$J19&lt;=IF(param_mode_affichage="mois",EOMONTH(AD$3,0),AD$3+6)),"◆",""))</f>
      </c>
      <c r="AE19" s="26">
        <f>IF(OR($A19="",AE$3=""),"",IF(AND($J19&lt;&gt;"",$K19&lt;&gt;"",$J19=$K19,$J19&gt;=AE$3,$J19&lt;=IF(param_mode_affichage="mois",EOMONTH(AE$3,0),AE$3+6)),"◆",""))</f>
      </c>
      <c r="AF19" s="26">
        <f>IF(OR($A19="",AF$3=""),"",IF(AND($J19&lt;&gt;"",$K19&lt;&gt;"",$J19=$K19,$J19&gt;=AF$3,$J19&lt;=IF(param_mode_affichage="mois",EOMONTH(AF$3,0),AF$3+6)),"◆",""))</f>
      </c>
      <c r="AG19" s="26">
        <f>IF(OR($A19="",AG$3=""),"",IF(AND($J19&lt;&gt;"",$K19&lt;&gt;"",$J19=$K19,$J19&gt;=AG$3,$J19&lt;=IF(param_mode_affichage="mois",EOMONTH(AG$3,0),AG$3+6)),"◆",""))</f>
      </c>
      <c r="AH19" s="26">
        <f>IF(OR($A19="",AH$3=""),"",IF(AND($J19&lt;&gt;"",$K19&lt;&gt;"",$J19=$K19,$J19&gt;=AH$3,$J19&lt;=IF(param_mode_affichage="mois",EOMONTH(AH$3,0),AH$3+6)),"◆",""))</f>
      </c>
      <c r="AI19" s="26">
        <f>IF(OR($A19="",AI$3=""),"",IF(AND($J19&lt;&gt;"",$K19&lt;&gt;"",$J19=$K19,$J19&gt;=AI$3,$J19&lt;=IF(param_mode_affichage="mois",EOMONTH(AI$3,0),AI$3+6)),"◆",""))</f>
      </c>
      <c r="AJ19" s="26">
        <f>IF(OR($A19="",AJ$3=""),"",IF(AND($J19&lt;&gt;"",$K19&lt;&gt;"",$J19=$K19,$J19&gt;=AJ$3,$J19&lt;=IF(param_mode_affichage="mois",EOMONTH(AJ$3,0),AJ$3+6)),"◆",""))</f>
      </c>
      <c r="AK19" s="26">
        <f>IF(OR($A19="",AK$3=""),"",IF(AND($J19&lt;&gt;"",$K19&lt;&gt;"",$J19=$K19,$J19&gt;=AK$3,$J19&lt;=IF(param_mode_affichage="mois",EOMONTH(AK$3,0),AK$3+6)),"◆",""))</f>
      </c>
      <c r="AL19" s="26">
        <f>IF(OR($A19="",AL$3=""),"",IF(AND($J19&lt;&gt;"",$K19&lt;&gt;"",$J19=$K19,$J19&gt;=AL$3,$J19&lt;=IF(param_mode_affichage="mois",EOMONTH(AL$3,0),AL$3+6)),"◆",""))</f>
      </c>
      <c r="AM19" s="26">
        <f>IF(OR($A19="",AM$3=""),"",IF(AND($J19&lt;&gt;"",$K19&lt;&gt;"",$J19=$K19,$J19&gt;=AM$3,$J19&lt;=IF(param_mode_affichage="mois",EOMONTH(AM$3,0),AM$3+6)),"◆",""))</f>
      </c>
      <c r="AN19" s="26">
        <f>IF(OR($A19="",AN$3=""),"",IF(AND($J19&lt;&gt;"",$K19&lt;&gt;"",$J19=$K19,$J19&gt;=AN$3,$J19&lt;=IF(param_mode_affichage="mois",EOMONTH(AN$3,0),AN$3+6)),"◆",""))</f>
      </c>
      <c r="AO19" s="26">
        <f>IF(OR($A19="",AO$3=""),"",IF(AND($J19&lt;&gt;"",$K19&lt;&gt;"",$J19=$K19,$J19&gt;=AO$3,$J19&lt;=IF(param_mode_affichage="mois",EOMONTH(AO$3,0),AO$3+6)),"◆",""))</f>
      </c>
      <c r="AP19" s="26">
        <f>IF(OR($A19="",AP$3=""),"",IF(AND($J19&lt;&gt;"",$K19&lt;&gt;"",$J19=$K19,$J19&gt;=AP$3,$J19&lt;=IF(param_mode_affichage="mois",EOMONTH(AP$3,0),AP$3+6)),"◆",""))</f>
      </c>
      <c r="AQ19" s="26">
        <f>IF(OR($A19="",AQ$3=""),"",IF(AND($J19&lt;&gt;"",$K19&lt;&gt;"",$J19=$K19,$J19&gt;=AQ$3,$J19&lt;=IF(param_mode_affichage="mois",EOMONTH(AQ$3,0),AQ$3+6)),"◆",""))</f>
      </c>
      <c r="AR19" s="26">
        <f>IF(OR($A19="",AR$3=""),"",IF(AND($J19&lt;&gt;"",$K19&lt;&gt;"",$J19=$K19,$J19&gt;=AR$3,$J19&lt;=IF(param_mode_affichage="mois",EOMONTH(AR$3,0),AR$3+6)),"◆",""))</f>
      </c>
      <c r="AS19" s="26">
        <f>IF(OR($A19="",AS$3=""),"",IF(AND($J19&lt;&gt;"",$K19&lt;&gt;"",$J19=$K19,$J19&gt;=AS$3,$J19&lt;=IF(param_mode_affichage="mois",EOMONTH(AS$3,0),AS$3+6)),"◆",""))</f>
      </c>
      <c r="AT19" s="26">
        <f>IF(OR($A19="",AT$3=""),"",IF(AND($J19&lt;&gt;"",$K19&lt;&gt;"",$J19=$K19,$J19&gt;=AT$3,$J19&lt;=IF(param_mode_affichage="mois",EOMONTH(AT$3,0),AT$3+6)),"◆",""))</f>
      </c>
      <c r="AU19" s="26">
        <f>IF(OR($A19="",AU$3=""),"",IF(AND($J19&lt;&gt;"",$K19&lt;&gt;"",$J19=$K19,$J19&gt;=AU$3,$J19&lt;=IF(param_mode_affichage="mois",EOMONTH(AU$3,0),AU$3+6)),"◆",""))</f>
      </c>
      <c r="AV19" s="26">
        <f>IF(OR($A19="",AV$3=""),"",IF(AND($J19&lt;&gt;"",$K19&lt;&gt;"",$J19=$K19,$J19&gt;=AV$3,$J19&lt;=IF(param_mode_affichage="mois",EOMONTH(AV$3,0),AV$3+6)),"◆",""))</f>
      </c>
      <c r="AW19" s="26">
        <f>IF(OR($A19="",AW$3=""),"",IF(AND($J19&lt;&gt;"",$K19&lt;&gt;"",$J19=$K19,$J19&gt;=AW$3,$J19&lt;=IF(param_mode_affichage="mois",EOMONTH(AW$3,0),AW$3+6)),"◆",""))</f>
      </c>
      <c r="AX19" s="26">
        <f>IF(OR($A19="",AX$3=""),"",IF(AND($J19&lt;&gt;"",$K19&lt;&gt;"",$J19=$K19,$J19&gt;=AX$3,$J19&lt;=IF(param_mode_affichage="mois",EOMONTH(AX$3,0),AX$3+6)),"◆",""))</f>
      </c>
      <c r="AY19" s="26">
        <f>IF(OR($A19="",AY$3=""),"",IF(AND($J19&lt;&gt;"",$K19&lt;&gt;"",$J19=$K19,$J19&gt;=AY$3,$J19&lt;=IF(param_mode_affichage="mois",EOMONTH(AY$3,0),AY$3+6)),"◆",""))</f>
      </c>
      <c r="AZ19" s="26">
        <f>IF(OR($A19="",AZ$3=""),"",IF(AND($J19&lt;&gt;"",$K19&lt;&gt;"",$J19=$K19,$J19&gt;=AZ$3,$J19&lt;=IF(param_mode_affichage="mois",EOMONTH(AZ$3,0),AZ$3+6)),"◆",""))</f>
      </c>
      <c r="BA19" s="26">
        <f>IF(OR($A19="",BA$3=""),"",IF(AND($J19&lt;&gt;"",$K19&lt;&gt;"",$J19=$K19,$J19&gt;=BA$3,$J19&lt;=IF(param_mode_affichage="mois",EOMONTH(BA$3,0),BA$3+6)),"◆",""))</f>
      </c>
      <c r="BB19" s="26">
        <f>IF(OR($A19="",BB$3=""),"",IF(AND($J19&lt;&gt;"",$K19&lt;&gt;"",$J19=$K19,$J19&gt;=BB$3,$J19&lt;=IF(param_mode_affichage="mois",EOMONTH(BB$3,0),BB$3+6)),"◆",""))</f>
      </c>
      <c r="BC19" s="26">
        <f>IF(OR($A19="",BC$3=""),"",IF(AND($J19&lt;&gt;"",$K19&lt;&gt;"",$J19=$K19,$J19&gt;=BC$3,$J19&lt;=IF(param_mode_affichage="mois",EOMONTH(BC$3,0),BC$3+6)),"◆",""))</f>
      </c>
      <c r="BD19" s="26">
        <f>IF(OR($A19="",BD$3=""),"",IF(AND($J19&lt;&gt;"",$K19&lt;&gt;"",$J19=$K19,$J19&gt;=BD$3,$J19&lt;=IF(param_mode_affichage="mois",EOMONTH(BD$3,0),BD$3+6)),"◆",""))</f>
      </c>
      <c r="BE19" s="26">
        <f>IF(OR($A19="",BE$3=""),"",IF(AND($J19&lt;&gt;"",$K19&lt;&gt;"",$J19=$K19,$J19&gt;=BE$3,$J19&lt;=IF(param_mode_affichage="mois",EOMONTH(BE$3,0),BE$3+6)),"◆",""))</f>
      </c>
      <c r="BF19" s="26">
        <f>IF(OR($A19="",BF$3=""),"",IF(AND($J19&lt;&gt;"",$K19&lt;&gt;"",$J19=$K19,$J19&gt;=BF$3,$J19&lt;=IF(param_mode_affichage="mois",EOMONTH(BF$3,0),BF$3+6)),"◆",""))</f>
      </c>
      <c r="BG19" s="26">
        <f>IF(OR($A19="",BG$3=""),"",IF(AND($J19&lt;&gt;"",$K19&lt;&gt;"",$J19=$K19,$J19&gt;=BG$3,$J19&lt;=IF(param_mode_affichage="mois",EOMONTH(BG$3,0),BG$3+6)),"◆",""))</f>
      </c>
      <c r="BH19" s="26">
        <f>IF(OR($A19="",BH$3=""),"",IF(AND($J19&lt;&gt;"",$K19&lt;&gt;"",$J19=$K19,$J19&gt;=BH$3,$J19&lt;=IF(param_mode_affichage="mois",EOMONTH(BH$3,0),BH$3+6)),"◆",""))</f>
      </c>
      <c r="BI19" s="26">
        <f>IF(OR($A19="",BI$3=""),"",IF(AND($J19&lt;&gt;"",$K19&lt;&gt;"",$J19=$K19,$J19&gt;=BI$3,$J19&lt;=IF(param_mode_affichage="mois",EOMONTH(BI$3,0),BI$3+6)),"◆",""))</f>
      </c>
      <c r="BJ19" s="26">
        <f>IF(OR($A19="",BJ$3=""),"",IF(AND($J19&lt;&gt;"",$K19&lt;&gt;"",$J19=$K19,$J19&gt;=BJ$3,$J19&lt;=IF(param_mode_affichage="mois",EOMONTH(BJ$3,0),BJ$3+6)),"◆",""))</f>
      </c>
      <c r="BK19" s="26">
        <f>IF(OR($A19="",BK$3=""),"",IF(AND($J19&lt;&gt;"",$K19&lt;&gt;"",$J19=$K19,$J19&gt;=BK$3,$J19&lt;=IF(param_mode_affichage="mois",EOMONTH(BK$3,0),BK$3+6)),"◆",""))</f>
      </c>
      <c r="BL19" s="26">
        <f>IF(OR($A19="",BL$3=""),"",IF(AND($J19&lt;&gt;"",$K19&lt;&gt;"",$J19=$K19,$J19&gt;=BL$3,$J19&lt;=IF(param_mode_affichage="mois",EOMONTH(BL$3,0),BL$3+6)),"◆",""))</f>
      </c>
    </row>
    <row r="20" spans="1:64" x14ac:dyDescent="0.25">
      <c r="A20" s="23">
        <f>IFERROR(INDEX(tblTasks[ID],ROW()-4),"")</f>
      </c>
      <c r="B20" s="24">
        <f>IF($A20="","",INDEX(tblTasks[Sujet],ROW()-4))</f>
      </c>
      <c r="C20" s="23">
        <f>IF($A20="","",INDEX(tblTasks[Responsable],ROW()-4))</f>
      </c>
      <c r="D20" s="23">
        <f>IF($A20="","",INDEX(tblTasks[Statut],ROW()-4))</f>
      </c>
      <c r="E20" s="23">
        <f>IF($A20="","",INDEX(tblTasks[Depend_de],ROW()-4))</f>
      </c>
      <c r="F20" s="23">
        <f>IF($A20="","",INDEX(tblTasks[Blocage],ROW()-4))</f>
      </c>
      <c r="G20" s="23">
        <f>IF($A20="","",INDEX(tblTasks[Niveau_criticite],ROW()-4))</f>
      </c>
      <c r="H20" s="23">
        <f>IF($A20="","",INDEX(tblTasks[Goulot],ROW()-4))</f>
      </c>
      <c r="I20" s="23">
        <f>IF($A20="","",IF(LOWER($F20)="oui","non",IF($E20="","oui",IFERROR(IF(LOWER(INDEX(tblTasks[Statut],MATCH($E20,tblTasks[ID],0)))="clos","oui","non"),"non"))))</f>
      </c>
      <c r="J20" s="25">
        <f>IF($A20="","",INDEX(tblTasks[Date_debut_prevue],ROW()-4))</f>
      </c>
      <c r="K20" s="25">
        <f>IF($A20="","",INDEX(tblTasks[Date_fin_prevue],ROW()-4))</f>
      </c>
      <c r="L20" s="23">
        <f>IF($A20="","",INDEX(tblTasks[Irreversibilite],ROW()-4))</f>
      </c>
      <c r="M20" s="26">
        <f>IF(OR($A20="",M$3=""),"",IF(AND($J20&lt;&gt;"",$K20&lt;&gt;"",$J20=$K20,$J20&gt;=M$3,$J20&lt;=IF(param_mode_affichage="mois",EOMONTH(M$3,0),M$3+6)),"◆",""))</f>
      </c>
      <c r="N20" s="26">
        <f>IF(OR($A20="",N$3=""),"",IF(AND($J20&lt;&gt;"",$K20&lt;&gt;"",$J20=$K20,$J20&gt;=N$3,$J20&lt;=IF(param_mode_affichage="mois",EOMONTH(N$3,0),N$3+6)),"◆",""))</f>
      </c>
      <c r="O20" s="26">
        <f>IF(OR($A20="",O$3=""),"",IF(AND($J20&lt;&gt;"",$K20&lt;&gt;"",$J20=$K20,$J20&gt;=O$3,$J20&lt;=IF(param_mode_affichage="mois",EOMONTH(O$3,0),O$3+6)),"◆",""))</f>
      </c>
      <c r="P20" s="26">
        <f>IF(OR($A20="",P$3=""),"",IF(AND($J20&lt;&gt;"",$K20&lt;&gt;"",$J20=$K20,$J20&gt;=P$3,$J20&lt;=IF(param_mode_affichage="mois",EOMONTH(P$3,0),P$3+6)),"◆",""))</f>
      </c>
      <c r="Q20" s="26">
        <f>IF(OR($A20="",Q$3=""),"",IF(AND($J20&lt;&gt;"",$K20&lt;&gt;"",$J20=$K20,$J20&gt;=Q$3,$J20&lt;=IF(param_mode_affichage="mois",EOMONTH(Q$3,0),Q$3+6)),"◆",""))</f>
      </c>
      <c r="R20" s="26">
        <f>IF(OR($A20="",R$3=""),"",IF(AND($J20&lt;&gt;"",$K20&lt;&gt;"",$J20=$K20,$J20&gt;=R$3,$J20&lt;=IF(param_mode_affichage="mois",EOMONTH(R$3,0),R$3+6)),"◆",""))</f>
      </c>
      <c r="S20" s="26">
        <f>IF(OR($A20="",S$3=""),"",IF(AND($J20&lt;&gt;"",$K20&lt;&gt;"",$J20=$K20,$J20&gt;=S$3,$J20&lt;=IF(param_mode_affichage="mois",EOMONTH(S$3,0),S$3+6)),"◆",""))</f>
      </c>
      <c r="T20" s="26">
        <f>IF(OR($A20="",T$3=""),"",IF(AND($J20&lt;&gt;"",$K20&lt;&gt;"",$J20=$K20,$J20&gt;=T$3,$J20&lt;=IF(param_mode_affichage="mois",EOMONTH(T$3,0),T$3+6)),"◆",""))</f>
      </c>
      <c r="U20" s="26">
        <f>IF(OR($A20="",U$3=""),"",IF(AND($J20&lt;&gt;"",$K20&lt;&gt;"",$J20=$K20,$J20&gt;=U$3,$J20&lt;=IF(param_mode_affichage="mois",EOMONTH(U$3,0),U$3+6)),"◆",""))</f>
      </c>
      <c r="V20" s="26">
        <f>IF(OR($A20="",V$3=""),"",IF(AND($J20&lt;&gt;"",$K20&lt;&gt;"",$J20=$K20,$J20&gt;=V$3,$J20&lt;=IF(param_mode_affichage="mois",EOMONTH(V$3,0),V$3+6)),"◆",""))</f>
      </c>
      <c r="W20" s="26">
        <f>IF(OR($A20="",W$3=""),"",IF(AND($J20&lt;&gt;"",$K20&lt;&gt;"",$J20=$K20,$J20&gt;=W$3,$J20&lt;=IF(param_mode_affichage="mois",EOMONTH(W$3,0),W$3+6)),"◆",""))</f>
      </c>
      <c r="X20" s="26">
        <f>IF(OR($A20="",X$3=""),"",IF(AND($J20&lt;&gt;"",$K20&lt;&gt;"",$J20=$K20,$J20&gt;=X$3,$J20&lt;=IF(param_mode_affichage="mois",EOMONTH(X$3,0),X$3+6)),"◆",""))</f>
      </c>
      <c r="Y20" s="26">
        <f>IF(OR($A20="",Y$3=""),"",IF(AND($J20&lt;&gt;"",$K20&lt;&gt;"",$J20=$K20,$J20&gt;=Y$3,$J20&lt;=IF(param_mode_affichage="mois",EOMONTH(Y$3,0),Y$3+6)),"◆",""))</f>
      </c>
      <c r="Z20" s="26">
        <f>IF(OR($A20="",Z$3=""),"",IF(AND($J20&lt;&gt;"",$K20&lt;&gt;"",$J20=$K20,$J20&gt;=Z$3,$J20&lt;=IF(param_mode_affichage="mois",EOMONTH(Z$3,0),Z$3+6)),"◆",""))</f>
      </c>
      <c r="AA20" s="26">
        <f>IF(OR($A20="",AA$3=""),"",IF(AND($J20&lt;&gt;"",$K20&lt;&gt;"",$J20=$K20,$J20&gt;=AA$3,$J20&lt;=IF(param_mode_affichage="mois",EOMONTH(AA$3,0),AA$3+6)),"◆",""))</f>
      </c>
      <c r="AB20" s="26">
        <f>IF(OR($A20="",AB$3=""),"",IF(AND($J20&lt;&gt;"",$K20&lt;&gt;"",$J20=$K20,$J20&gt;=AB$3,$J20&lt;=IF(param_mode_affichage="mois",EOMONTH(AB$3,0),AB$3+6)),"◆",""))</f>
      </c>
      <c r="AC20" s="26">
        <f>IF(OR($A20="",AC$3=""),"",IF(AND($J20&lt;&gt;"",$K20&lt;&gt;"",$J20=$K20,$J20&gt;=AC$3,$J20&lt;=IF(param_mode_affichage="mois",EOMONTH(AC$3,0),AC$3+6)),"◆",""))</f>
      </c>
      <c r="AD20" s="26">
        <f>IF(OR($A20="",AD$3=""),"",IF(AND($J20&lt;&gt;"",$K20&lt;&gt;"",$J20=$K20,$J20&gt;=AD$3,$J20&lt;=IF(param_mode_affichage="mois",EOMONTH(AD$3,0),AD$3+6)),"◆",""))</f>
      </c>
      <c r="AE20" s="26">
        <f>IF(OR($A20="",AE$3=""),"",IF(AND($J20&lt;&gt;"",$K20&lt;&gt;"",$J20=$K20,$J20&gt;=AE$3,$J20&lt;=IF(param_mode_affichage="mois",EOMONTH(AE$3,0),AE$3+6)),"◆",""))</f>
      </c>
      <c r="AF20" s="26">
        <f>IF(OR($A20="",AF$3=""),"",IF(AND($J20&lt;&gt;"",$K20&lt;&gt;"",$J20=$K20,$J20&gt;=AF$3,$J20&lt;=IF(param_mode_affichage="mois",EOMONTH(AF$3,0),AF$3+6)),"◆",""))</f>
      </c>
      <c r="AG20" s="26">
        <f>IF(OR($A20="",AG$3=""),"",IF(AND($J20&lt;&gt;"",$K20&lt;&gt;"",$J20=$K20,$J20&gt;=AG$3,$J20&lt;=IF(param_mode_affichage="mois",EOMONTH(AG$3,0),AG$3+6)),"◆",""))</f>
      </c>
      <c r="AH20" s="26">
        <f>IF(OR($A20="",AH$3=""),"",IF(AND($J20&lt;&gt;"",$K20&lt;&gt;"",$J20=$K20,$J20&gt;=AH$3,$J20&lt;=IF(param_mode_affichage="mois",EOMONTH(AH$3,0),AH$3+6)),"◆",""))</f>
      </c>
      <c r="AI20" s="26">
        <f>IF(OR($A20="",AI$3=""),"",IF(AND($J20&lt;&gt;"",$K20&lt;&gt;"",$J20=$K20,$J20&gt;=AI$3,$J20&lt;=IF(param_mode_affichage="mois",EOMONTH(AI$3,0),AI$3+6)),"◆",""))</f>
      </c>
      <c r="AJ20" s="26">
        <f>IF(OR($A20="",AJ$3=""),"",IF(AND($J20&lt;&gt;"",$K20&lt;&gt;"",$J20=$K20,$J20&gt;=AJ$3,$J20&lt;=IF(param_mode_affichage="mois",EOMONTH(AJ$3,0),AJ$3+6)),"◆",""))</f>
      </c>
      <c r="AK20" s="26">
        <f>IF(OR($A20="",AK$3=""),"",IF(AND($J20&lt;&gt;"",$K20&lt;&gt;"",$J20=$K20,$J20&gt;=AK$3,$J20&lt;=IF(param_mode_affichage="mois",EOMONTH(AK$3,0),AK$3+6)),"◆",""))</f>
      </c>
      <c r="AL20" s="26">
        <f>IF(OR($A20="",AL$3=""),"",IF(AND($J20&lt;&gt;"",$K20&lt;&gt;"",$J20=$K20,$J20&gt;=AL$3,$J20&lt;=IF(param_mode_affichage="mois",EOMONTH(AL$3,0),AL$3+6)),"◆",""))</f>
      </c>
      <c r="AM20" s="26">
        <f>IF(OR($A20="",AM$3=""),"",IF(AND($J20&lt;&gt;"",$K20&lt;&gt;"",$J20=$K20,$J20&gt;=AM$3,$J20&lt;=IF(param_mode_affichage="mois",EOMONTH(AM$3,0),AM$3+6)),"◆",""))</f>
      </c>
      <c r="AN20" s="26">
        <f>IF(OR($A20="",AN$3=""),"",IF(AND($J20&lt;&gt;"",$K20&lt;&gt;"",$J20=$K20,$J20&gt;=AN$3,$J20&lt;=IF(param_mode_affichage="mois",EOMONTH(AN$3,0),AN$3+6)),"◆",""))</f>
      </c>
      <c r="AO20" s="26">
        <f>IF(OR($A20="",AO$3=""),"",IF(AND($J20&lt;&gt;"",$K20&lt;&gt;"",$J20=$K20,$J20&gt;=AO$3,$J20&lt;=IF(param_mode_affichage="mois",EOMONTH(AO$3,0),AO$3+6)),"◆",""))</f>
      </c>
      <c r="AP20" s="26">
        <f>IF(OR($A20="",AP$3=""),"",IF(AND($J20&lt;&gt;"",$K20&lt;&gt;"",$J20=$K20,$J20&gt;=AP$3,$J20&lt;=IF(param_mode_affichage="mois",EOMONTH(AP$3,0),AP$3+6)),"◆",""))</f>
      </c>
      <c r="AQ20" s="26">
        <f>IF(OR($A20="",AQ$3=""),"",IF(AND($J20&lt;&gt;"",$K20&lt;&gt;"",$J20=$K20,$J20&gt;=AQ$3,$J20&lt;=IF(param_mode_affichage="mois",EOMONTH(AQ$3,0),AQ$3+6)),"◆",""))</f>
      </c>
      <c r="AR20" s="26">
        <f>IF(OR($A20="",AR$3=""),"",IF(AND($J20&lt;&gt;"",$K20&lt;&gt;"",$J20=$K20,$J20&gt;=AR$3,$J20&lt;=IF(param_mode_affichage="mois",EOMONTH(AR$3,0),AR$3+6)),"◆",""))</f>
      </c>
      <c r="AS20" s="26">
        <f>IF(OR($A20="",AS$3=""),"",IF(AND($J20&lt;&gt;"",$K20&lt;&gt;"",$J20=$K20,$J20&gt;=AS$3,$J20&lt;=IF(param_mode_affichage="mois",EOMONTH(AS$3,0),AS$3+6)),"◆",""))</f>
      </c>
      <c r="AT20" s="26">
        <f>IF(OR($A20="",AT$3=""),"",IF(AND($J20&lt;&gt;"",$K20&lt;&gt;"",$J20=$K20,$J20&gt;=AT$3,$J20&lt;=IF(param_mode_affichage="mois",EOMONTH(AT$3,0),AT$3+6)),"◆",""))</f>
      </c>
      <c r="AU20" s="26">
        <f>IF(OR($A20="",AU$3=""),"",IF(AND($J20&lt;&gt;"",$K20&lt;&gt;"",$J20=$K20,$J20&gt;=AU$3,$J20&lt;=IF(param_mode_affichage="mois",EOMONTH(AU$3,0),AU$3+6)),"◆",""))</f>
      </c>
      <c r="AV20" s="26">
        <f>IF(OR($A20="",AV$3=""),"",IF(AND($J20&lt;&gt;"",$K20&lt;&gt;"",$J20=$K20,$J20&gt;=AV$3,$J20&lt;=IF(param_mode_affichage="mois",EOMONTH(AV$3,0),AV$3+6)),"◆",""))</f>
      </c>
      <c r="AW20" s="26">
        <f>IF(OR($A20="",AW$3=""),"",IF(AND($J20&lt;&gt;"",$K20&lt;&gt;"",$J20=$K20,$J20&gt;=AW$3,$J20&lt;=IF(param_mode_affichage="mois",EOMONTH(AW$3,0),AW$3+6)),"◆",""))</f>
      </c>
      <c r="AX20" s="26">
        <f>IF(OR($A20="",AX$3=""),"",IF(AND($J20&lt;&gt;"",$K20&lt;&gt;"",$J20=$K20,$J20&gt;=AX$3,$J20&lt;=IF(param_mode_affichage="mois",EOMONTH(AX$3,0),AX$3+6)),"◆",""))</f>
      </c>
      <c r="AY20" s="26">
        <f>IF(OR($A20="",AY$3=""),"",IF(AND($J20&lt;&gt;"",$K20&lt;&gt;"",$J20=$K20,$J20&gt;=AY$3,$J20&lt;=IF(param_mode_affichage="mois",EOMONTH(AY$3,0),AY$3+6)),"◆",""))</f>
      </c>
      <c r="AZ20" s="26">
        <f>IF(OR($A20="",AZ$3=""),"",IF(AND($J20&lt;&gt;"",$K20&lt;&gt;"",$J20=$K20,$J20&gt;=AZ$3,$J20&lt;=IF(param_mode_affichage="mois",EOMONTH(AZ$3,0),AZ$3+6)),"◆",""))</f>
      </c>
      <c r="BA20" s="26">
        <f>IF(OR($A20="",BA$3=""),"",IF(AND($J20&lt;&gt;"",$K20&lt;&gt;"",$J20=$K20,$J20&gt;=BA$3,$J20&lt;=IF(param_mode_affichage="mois",EOMONTH(BA$3,0),BA$3+6)),"◆",""))</f>
      </c>
      <c r="BB20" s="26">
        <f>IF(OR($A20="",BB$3=""),"",IF(AND($J20&lt;&gt;"",$K20&lt;&gt;"",$J20=$K20,$J20&gt;=BB$3,$J20&lt;=IF(param_mode_affichage="mois",EOMONTH(BB$3,0),BB$3+6)),"◆",""))</f>
      </c>
      <c r="BC20" s="26">
        <f>IF(OR($A20="",BC$3=""),"",IF(AND($J20&lt;&gt;"",$K20&lt;&gt;"",$J20=$K20,$J20&gt;=BC$3,$J20&lt;=IF(param_mode_affichage="mois",EOMONTH(BC$3,0),BC$3+6)),"◆",""))</f>
      </c>
      <c r="BD20" s="26">
        <f>IF(OR($A20="",BD$3=""),"",IF(AND($J20&lt;&gt;"",$K20&lt;&gt;"",$J20=$K20,$J20&gt;=BD$3,$J20&lt;=IF(param_mode_affichage="mois",EOMONTH(BD$3,0),BD$3+6)),"◆",""))</f>
      </c>
      <c r="BE20" s="26">
        <f>IF(OR($A20="",BE$3=""),"",IF(AND($J20&lt;&gt;"",$K20&lt;&gt;"",$J20=$K20,$J20&gt;=BE$3,$J20&lt;=IF(param_mode_affichage="mois",EOMONTH(BE$3,0),BE$3+6)),"◆",""))</f>
      </c>
      <c r="BF20" s="26">
        <f>IF(OR($A20="",BF$3=""),"",IF(AND($J20&lt;&gt;"",$K20&lt;&gt;"",$J20=$K20,$J20&gt;=BF$3,$J20&lt;=IF(param_mode_affichage="mois",EOMONTH(BF$3,0),BF$3+6)),"◆",""))</f>
      </c>
      <c r="BG20" s="26">
        <f>IF(OR($A20="",BG$3=""),"",IF(AND($J20&lt;&gt;"",$K20&lt;&gt;"",$J20=$K20,$J20&gt;=BG$3,$J20&lt;=IF(param_mode_affichage="mois",EOMONTH(BG$3,0),BG$3+6)),"◆",""))</f>
      </c>
      <c r="BH20" s="26">
        <f>IF(OR($A20="",BH$3=""),"",IF(AND($J20&lt;&gt;"",$K20&lt;&gt;"",$J20=$K20,$J20&gt;=BH$3,$J20&lt;=IF(param_mode_affichage="mois",EOMONTH(BH$3,0),BH$3+6)),"◆",""))</f>
      </c>
      <c r="BI20" s="26">
        <f>IF(OR($A20="",BI$3=""),"",IF(AND($J20&lt;&gt;"",$K20&lt;&gt;"",$J20=$K20,$J20&gt;=BI$3,$J20&lt;=IF(param_mode_affichage="mois",EOMONTH(BI$3,0),BI$3+6)),"◆",""))</f>
      </c>
      <c r="BJ20" s="26">
        <f>IF(OR($A20="",BJ$3=""),"",IF(AND($J20&lt;&gt;"",$K20&lt;&gt;"",$J20=$K20,$J20&gt;=BJ$3,$J20&lt;=IF(param_mode_affichage="mois",EOMONTH(BJ$3,0),BJ$3+6)),"◆",""))</f>
      </c>
      <c r="BK20" s="26">
        <f>IF(OR($A20="",BK$3=""),"",IF(AND($J20&lt;&gt;"",$K20&lt;&gt;"",$J20=$K20,$J20&gt;=BK$3,$J20&lt;=IF(param_mode_affichage="mois",EOMONTH(BK$3,0),BK$3+6)),"◆",""))</f>
      </c>
      <c r="BL20" s="26">
        <f>IF(OR($A20="",BL$3=""),"",IF(AND($J20&lt;&gt;"",$K20&lt;&gt;"",$J20=$K20,$J20&gt;=BL$3,$J20&lt;=IF(param_mode_affichage="mois",EOMONTH(BL$3,0),BL$3+6)),"◆",""))</f>
      </c>
    </row>
    <row r="21" spans="1:64" x14ac:dyDescent="0.25">
      <c r="A21" s="23">
        <f>IFERROR(INDEX(tblTasks[ID],ROW()-4),"")</f>
      </c>
      <c r="B21" s="24">
        <f>IF($A21="","",INDEX(tblTasks[Sujet],ROW()-4))</f>
      </c>
      <c r="C21" s="23">
        <f>IF($A21="","",INDEX(tblTasks[Responsable],ROW()-4))</f>
      </c>
      <c r="D21" s="23">
        <f>IF($A21="","",INDEX(tblTasks[Statut],ROW()-4))</f>
      </c>
      <c r="E21" s="23">
        <f>IF($A21="","",INDEX(tblTasks[Depend_de],ROW()-4))</f>
      </c>
      <c r="F21" s="23">
        <f>IF($A21="","",INDEX(tblTasks[Blocage],ROW()-4))</f>
      </c>
      <c r="G21" s="23">
        <f>IF($A21="","",INDEX(tblTasks[Niveau_criticite],ROW()-4))</f>
      </c>
      <c r="H21" s="23">
        <f>IF($A21="","",INDEX(tblTasks[Goulot],ROW()-4))</f>
      </c>
      <c r="I21" s="23">
        <f>IF($A21="","",IF(LOWER($F21)="oui","non",IF($E21="","oui",IFERROR(IF(LOWER(INDEX(tblTasks[Statut],MATCH($E21,tblTasks[ID],0)))="clos","oui","non"),"non"))))</f>
      </c>
      <c r="J21" s="25">
        <f>IF($A21="","",INDEX(tblTasks[Date_debut_prevue],ROW()-4))</f>
      </c>
      <c r="K21" s="25">
        <f>IF($A21="","",INDEX(tblTasks[Date_fin_prevue],ROW()-4))</f>
      </c>
      <c r="L21" s="23">
        <f>IF($A21="","",INDEX(tblTasks[Irreversibilite],ROW()-4))</f>
      </c>
      <c r="M21" s="26">
        <f>IF(OR($A21="",M$3=""),"",IF(AND($J21&lt;&gt;"",$K21&lt;&gt;"",$J21=$K21,$J21&gt;=M$3,$J21&lt;=IF(param_mode_affichage="mois",EOMONTH(M$3,0),M$3+6)),"◆",""))</f>
      </c>
      <c r="N21" s="26">
        <f>IF(OR($A21="",N$3=""),"",IF(AND($J21&lt;&gt;"",$K21&lt;&gt;"",$J21=$K21,$J21&gt;=N$3,$J21&lt;=IF(param_mode_affichage="mois",EOMONTH(N$3,0),N$3+6)),"◆",""))</f>
      </c>
      <c r="O21" s="26">
        <f>IF(OR($A21="",O$3=""),"",IF(AND($J21&lt;&gt;"",$K21&lt;&gt;"",$J21=$K21,$J21&gt;=O$3,$J21&lt;=IF(param_mode_affichage="mois",EOMONTH(O$3,0),O$3+6)),"◆",""))</f>
      </c>
      <c r="P21" s="26">
        <f>IF(OR($A21="",P$3=""),"",IF(AND($J21&lt;&gt;"",$K21&lt;&gt;"",$J21=$K21,$J21&gt;=P$3,$J21&lt;=IF(param_mode_affichage="mois",EOMONTH(P$3,0),P$3+6)),"◆",""))</f>
      </c>
      <c r="Q21" s="26">
        <f>IF(OR($A21="",Q$3=""),"",IF(AND($J21&lt;&gt;"",$K21&lt;&gt;"",$J21=$K21,$J21&gt;=Q$3,$J21&lt;=IF(param_mode_affichage="mois",EOMONTH(Q$3,0),Q$3+6)),"◆",""))</f>
      </c>
      <c r="R21" s="26">
        <f>IF(OR($A21="",R$3=""),"",IF(AND($J21&lt;&gt;"",$K21&lt;&gt;"",$J21=$K21,$J21&gt;=R$3,$J21&lt;=IF(param_mode_affichage="mois",EOMONTH(R$3,0),R$3+6)),"◆",""))</f>
      </c>
      <c r="S21" s="26">
        <f>IF(OR($A21="",S$3=""),"",IF(AND($J21&lt;&gt;"",$K21&lt;&gt;"",$J21=$K21,$J21&gt;=S$3,$J21&lt;=IF(param_mode_affichage="mois",EOMONTH(S$3,0),S$3+6)),"◆",""))</f>
      </c>
      <c r="T21" s="26">
        <f>IF(OR($A21="",T$3=""),"",IF(AND($J21&lt;&gt;"",$K21&lt;&gt;"",$J21=$K21,$J21&gt;=T$3,$J21&lt;=IF(param_mode_affichage="mois",EOMONTH(T$3,0),T$3+6)),"◆",""))</f>
      </c>
      <c r="U21" s="26">
        <f>IF(OR($A21="",U$3=""),"",IF(AND($J21&lt;&gt;"",$K21&lt;&gt;"",$J21=$K21,$J21&gt;=U$3,$J21&lt;=IF(param_mode_affichage="mois",EOMONTH(U$3,0),U$3+6)),"◆",""))</f>
      </c>
      <c r="V21" s="26">
        <f>IF(OR($A21="",V$3=""),"",IF(AND($J21&lt;&gt;"",$K21&lt;&gt;"",$J21=$K21,$J21&gt;=V$3,$J21&lt;=IF(param_mode_affichage="mois",EOMONTH(V$3,0),V$3+6)),"◆",""))</f>
      </c>
      <c r="W21" s="26">
        <f>IF(OR($A21="",W$3=""),"",IF(AND($J21&lt;&gt;"",$K21&lt;&gt;"",$J21=$K21,$J21&gt;=W$3,$J21&lt;=IF(param_mode_affichage="mois",EOMONTH(W$3,0),W$3+6)),"◆",""))</f>
      </c>
      <c r="X21" s="26">
        <f>IF(OR($A21="",X$3=""),"",IF(AND($J21&lt;&gt;"",$K21&lt;&gt;"",$J21=$K21,$J21&gt;=X$3,$J21&lt;=IF(param_mode_affichage="mois",EOMONTH(X$3,0),X$3+6)),"◆",""))</f>
      </c>
      <c r="Y21" s="26">
        <f>IF(OR($A21="",Y$3=""),"",IF(AND($J21&lt;&gt;"",$K21&lt;&gt;"",$J21=$K21,$J21&gt;=Y$3,$J21&lt;=IF(param_mode_affichage="mois",EOMONTH(Y$3,0),Y$3+6)),"◆",""))</f>
      </c>
      <c r="Z21" s="26">
        <f>IF(OR($A21="",Z$3=""),"",IF(AND($J21&lt;&gt;"",$K21&lt;&gt;"",$J21=$K21,$J21&gt;=Z$3,$J21&lt;=IF(param_mode_affichage="mois",EOMONTH(Z$3,0),Z$3+6)),"◆",""))</f>
      </c>
      <c r="AA21" s="26">
        <f>IF(OR($A21="",AA$3=""),"",IF(AND($J21&lt;&gt;"",$K21&lt;&gt;"",$J21=$K21,$J21&gt;=AA$3,$J21&lt;=IF(param_mode_affichage="mois",EOMONTH(AA$3,0),AA$3+6)),"◆",""))</f>
      </c>
      <c r="AB21" s="26">
        <f>IF(OR($A21="",AB$3=""),"",IF(AND($J21&lt;&gt;"",$K21&lt;&gt;"",$J21=$K21,$J21&gt;=AB$3,$J21&lt;=IF(param_mode_affichage="mois",EOMONTH(AB$3,0),AB$3+6)),"◆",""))</f>
      </c>
      <c r="AC21" s="26">
        <f>IF(OR($A21="",AC$3=""),"",IF(AND($J21&lt;&gt;"",$K21&lt;&gt;"",$J21=$K21,$J21&gt;=AC$3,$J21&lt;=IF(param_mode_affichage="mois",EOMONTH(AC$3,0),AC$3+6)),"◆",""))</f>
      </c>
      <c r="AD21" s="26">
        <f>IF(OR($A21="",AD$3=""),"",IF(AND($J21&lt;&gt;"",$K21&lt;&gt;"",$J21=$K21,$J21&gt;=AD$3,$J21&lt;=IF(param_mode_affichage="mois",EOMONTH(AD$3,0),AD$3+6)),"◆",""))</f>
      </c>
      <c r="AE21" s="26">
        <f>IF(OR($A21="",AE$3=""),"",IF(AND($J21&lt;&gt;"",$K21&lt;&gt;"",$J21=$K21,$J21&gt;=AE$3,$J21&lt;=IF(param_mode_affichage="mois",EOMONTH(AE$3,0),AE$3+6)),"◆",""))</f>
      </c>
      <c r="AF21" s="26">
        <f>IF(OR($A21="",AF$3=""),"",IF(AND($J21&lt;&gt;"",$K21&lt;&gt;"",$J21=$K21,$J21&gt;=AF$3,$J21&lt;=IF(param_mode_affichage="mois",EOMONTH(AF$3,0),AF$3+6)),"◆",""))</f>
      </c>
      <c r="AG21" s="26">
        <f>IF(OR($A21="",AG$3=""),"",IF(AND($J21&lt;&gt;"",$K21&lt;&gt;"",$J21=$K21,$J21&gt;=AG$3,$J21&lt;=IF(param_mode_affichage="mois",EOMONTH(AG$3,0),AG$3+6)),"◆",""))</f>
      </c>
      <c r="AH21" s="26">
        <f>IF(OR($A21="",AH$3=""),"",IF(AND($J21&lt;&gt;"",$K21&lt;&gt;"",$J21=$K21,$J21&gt;=AH$3,$J21&lt;=IF(param_mode_affichage="mois",EOMONTH(AH$3,0),AH$3+6)),"◆",""))</f>
      </c>
      <c r="AI21" s="26">
        <f>IF(OR($A21="",AI$3=""),"",IF(AND($J21&lt;&gt;"",$K21&lt;&gt;"",$J21=$K21,$J21&gt;=AI$3,$J21&lt;=IF(param_mode_affichage="mois",EOMONTH(AI$3,0),AI$3+6)),"◆",""))</f>
      </c>
      <c r="AJ21" s="26">
        <f>IF(OR($A21="",AJ$3=""),"",IF(AND($J21&lt;&gt;"",$K21&lt;&gt;"",$J21=$K21,$J21&gt;=AJ$3,$J21&lt;=IF(param_mode_affichage="mois",EOMONTH(AJ$3,0),AJ$3+6)),"◆",""))</f>
      </c>
      <c r="AK21" s="26">
        <f>IF(OR($A21="",AK$3=""),"",IF(AND($J21&lt;&gt;"",$K21&lt;&gt;"",$J21=$K21,$J21&gt;=AK$3,$J21&lt;=IF(param_mode_affichage="mois",EOMONTH(AK$3,0),AK$3+6)),"◆",""))</f>
      </c>
      <c r="AL21" s="26">
        <f>IF(OR($A21="",AL$3=""),"",IF(AND($J21&lt;&gt;"",$K21&lt;&gt;"",$J21=$K21,$J21&gt;=AL$3,$J21&lt;=IF(param_mode_affichage="mois",EOMONTH(AL$3,0),AL$3+6)),"◆",""))</f>
      </c>
      <c r="AM21" s="26">
        <f>IF(OR($A21="",AM$3=""),"",IF(AND($J21&lt;&gt;"",$K21&lt;&gt;"",$J21=$K21,$J21&gt;=AM$3,$J21&lt;=IF(param_mode_affichage="mois",EOMONTH(AM$3,0),AM$3+6)),"◆",""))</f>
      </c>
      <c r="AN21" s="26">
        <f>IF(OR($A21="",AN$3=""),"",IF(AND($J21&lt;&gt;"",$K21&lt;&gt;"",$J21=$K21,$J21&gt;=AN$3,$J21&lt;=IF(param_mode_affichage="mois",EOMONTH(AN$3,0),AN$3+6)),"◆",""))</f>
      </c>
      <c r="AO21" s="26">
        <f>IF(OR($A21="",AO$3=""),"",IF(AND($J21&lt;&gt;"",$K21&lt;&gt;"",$J21=$K21,$J21&gt;=AO$3,$J21&lt;=IF(param_mode_affichage="mois",EOMONTH(AO$3,0),AO$3+6)),"◆",""))</f>
      </c>
      <c r="AP21" s="26">
        <f>IF(OR($A21="",AP$3=""),"",IF(AND($J21&lt;&gt;"",$K21&lt;&gt;"",$J21=$K21,$J21&gt;=AP$3,$J21&lt;=IF(param_mode_affichage="mois",EOMONTH(AP$3,0),AP$3+6)),"◆",""))</f>
      </c>
      <c r="AQ21" s="26">
        <f>IF(OR($A21="",AQ$3=""),"",IF(AND($J21&lt;&gt;"",$K21&lt;&gt;"",$J21=$K21,$J21&gt;=AQ$3,$J21&lt;=IF(param_mode_affichage="mois",EOMONTH(AQ$3,0),AQ$3+6)),"◆",""))</f>
      </c>
      <c r="AR21" s="26">
        <f>IF(OR($A21="",AR$3=""),"",IF(AND($J21&lt;&gt;"",$K21&lt;&gt;"",$J21=$K21,$J21&gt;=AR$3,$J21&lt;=IF(param_mode_affichage="mois",EOMONTH(AR$3,0),AR$3+6)),"◆",""))</f>
      </c>
      <c r="AS21" s="26">
        <f>IF(OR($A21="",AS$3=""),"",IF(AND($J21&lt;&gt;"",$K21&lt;&gt;"",$J21=$K21,$J21&gt;=AS$3,$J21&lt;=IF(param_mode_affichage="mois",EOMONTH(AS$3,0),AS$3+6)),"◆",""))</f>
      </c>
      <c r="AT21" s="26">
        <f>IF(OR($A21="",AT$3=""),"",IF(AND($J21&lt;&gt;"",$K21&lt;&gt;"",$J21=$K21,$J21&gt;=AT$3,$J21&lt;=IF(param_mode_affichage="mois",EOMONTH(AT$3,0),AT$3+6)),"◆",""))</f>
      </c>
      <c r="AU21" s="26">
        <f>IF(OR($A21="",AU$3=""),"",IF(AND($J21&lt;&gt;"",$K21&lt;&gt;"",$J21=$K21,$J21&gt;=AU$3,$J21&lt;=IF(param_mode_affichage="mois",EOMONTH(AU$3,0),AU$3+6)),"◆",""))</f>
      </c>
      <c r="AV21" s="26">
        <f>IF(OR($A21="",AV$3=""),"",IF(AND($J21&lt;&gt;"",$K21&lt;&gt;"",$J21=$K21,$J21&gt;=AV$3,$J21&lt;=IF(param_mode_affichage="mois",EOMONTH(AV$3,0),AV$3+6)),"◆",""))</f>
      </c>
      <c r="AW21" s="26">
        <f>IF(OR($A21="",AW$3=""),"",IF(AND($J21&lt;&gt;"",$K21&lt;&gt;"",$J21=$K21,$J21&gt;=AW$3,$J21&lt;=IF(param_mode_affichage="mois",EOMONTH(AW$3,0),AW$3+6)),"◆",""))</f>
      </c>
      <c r="AX21" s="26">
        <f>IF(OR($A21="",AX$3=""),"",IF(AND($J21&lt;&gt;"",$K21&lt;&gt;"",$J21=$K21,$J21&gt;=AX$3,$J21&lt;=IF(param_mode_affichage="mois",EOMONTH(AX$3,0),AX$3+6)),"◆",""))</f>
      </c>
      <c r="AY21" s="26">
        <f>IF(OR($A21="",AY$3=""),"",IF(AND($J21&lt;&gt;"",$K21&lt;&gt;"",$J21=$K21,$J21&gt;=AY$3,$J21&lt;=IF(param_mode_affichage="mois",EOMONTH(AY$3,0),AY$3+6)),"◆",""))</f>
      </c>
      <c r="AZ21" s="26">
        <f>IF(OR($A21="",AZ$3=""),"",IF(AND($J21&lt;&gt;"",$K21&lt;&gt;"",$J21=$K21,$J21&gt;=AZ$3,$J21&lt;=IF(param_mode_affichage="mois",EOMONTH(AZ$3,0),AZ$3+6)),"◆",""))</f>
      </c>
      <c r="BA21" s="26">
        <f>IF(OR($A21="",BA$3=""),"",IF(AND($J21&lt;&gt;"",$K21&lt;&gt;"",$J21=$K21,$J21&gt;=BA$3,$J21&lt;=IF(param_mode_affichage="mois",EOMONTH(BA$3,0),BA$3+6)),"◆",""))</f>
      </c>
      <c r="BB21" s="26">
        <f>IF(OR($A21="",BB$3=""),"",IF(AND($J21&lt;&gt;"",$K21&lt;&gt;"",$J21=$K21,$J21&gt;=BB$3,$J21&lt;=IF(param_mode_affichage="mois",EOMONTH(BB$3,0),BB$3+6)),"◆",""))</f>
      </c>
      <c r="BC21" s="26">
        <f>IF(OR($A21="",BC$3=""),"",IF(AND($J21&lt;&gt;"",$K21&lt;&gt;"",$J21=$K21,$J21&gt;=BC$3,$J21&lt;=IF(param_mode_affichage="mois",EOMONTH(BC$3,0),BC$3+6)),"◆",""))</f>
      </c>
      <c r="BD21" s="26">
        <f>IF(OR($A21="",BD$3=""),"",IF(AND($J21&lt;&gt;"",$K21&lt;&gt;"",$J21=$K21,$J21&gt;=BD$3,$J21&lt;=IF(param_mode_affichage="mois",EOMONTH(BD$3,0),BD$3+6)),"◆",""))</f>
      </c>
      <c r="BE21" s="26">
        <f>IF(OR($A21="",BE$3=""),"",IF(AND($J21&lt;&gt;"",$K21&lt;&gt;"",$J21=$K21,$J21&gt;=BE$3,$J21&lt;=IF(param_mode_affichage="mois",EOMONTH(BE$3,0),BE$3+6)),"◆",""))</f>
      </c>
      <c r="BF21" s="26">
        <f>IF(OR($A21="",BF$3=""),"",IF(AND($J21&lt;&gt;"",$K21&lt;&gt;"",$J21=$K21,$J21&gt;=BF$3,$J21&lt;=IF(param_mode_affichage="mois",EOMONTH(BF$3,0),BF$3+6)),"◆",""))</f>
      </c>
      <c r="BG21" s="26">
        <f>IF(OR($A21="",BG$3=""),"",IF(AND($J21&lt;&gt;"",$K21&lt;&gt;"",$J21=$K21,$J21&gt;=BG$3,$J21&lt;=IF(param_mode_affichage="mois",EOMONTH(BG$3,0),BG$3+6)),"◆",""))</f>
      </c>
      <c r="BH21" s="26">
        <f>IF(OR($A21="",BH$3=""),"",IF(AND($J21&lt;&gt;"",$K21&lt;&gt;"",$J21=$K21,$J21&gt;=BH$3,$J21&lt;=IF(param_mode_affichage="mois",EOMONTH(BH$3,0),BH$3+6)),"◆",""))</f>
      </c>
      <c r="BI21" s="26">
        <f>IF(OR($A21="",BI$3=""),"",IF(AND($J21&lt;&gt;"",$K21&lt;&gt;"",$J21=$K21,$J21&gt;=BI$3,$J21&lt;=IF(param_mode_affichage="mois",EOMONTH(BI$3,0),BI$3+6)),"◆",""))</f>
      </c>
      <c r="BJ21" s="26">
        <f>IF(OR($A21="",BJ$3=""),"",IF(AND($J21&lt;&gt;"",$K21&lt;&gt;"",$J21=$K21,$J21&gt;=BJ$3,$J21&lt;=IF(param_mode_affichage="mois",EOMONTH(BJ$3,0),BJ$3+6)),"◆",""))</f>
      </c>
      <c r="BK21" s="26">
        <f>IF(OR($A21="",BK$3=""),"",IF(AND($J21&lt;&gt;"",$K21&lt;&gt;"",$J21=$K21,$J21&gt;=BK$3,$J21&lt;=IF(param_mode_affichage="mois",EOMONTH(BK$3,0),BK$3+6)),"◆",""))</f>
      </c>
      <c r="BL21" s="26">
        <f>IF(OR($A21="",BL$3=""),"",IF(AND($J21&lt;&gt;"",$K21&lt;&gt;"",$J21=$K21,$J21&gt;=BL$3,$J21&lt;=IF(param_mode_affichage="mois",EOMONTH(BL$3,0),BL$3+6)),"◆",""))</f>
      </c>
    </row>
    <row r="22" spans="1:64" x14ac:dyDescent="0.25">
      <c r="A22" s="23">
        <f>IFERROR(INDEX(tblTasks[ID],ROW()-4),"")</f>
      </c>
      <c r="B22" s="24">
        <f>IF($A22="","",INDEX(tblTasks[Sujet],ROW()-4))</f>
      </c>
      <c r="C22" s="23">
        <f>IF($A22="","",INDEX(tblTasks[Responsable],ROW()-4))</f>
      </c>
      <c r="D22" s="23">
        <f>IF($A22="","",INDEX(tblTasks[Statut],ROW()-4))</f>
      </c>
      <c r="E22" s="23">
        <f>IF($A22="","",INDEX(tblTasks[Depend_de],ROW()-4))</f>
      </c>
      <c r="F22" s="23">
        <f>IF($A22="","",INDEX(tblTasks[Blocage],ROW()-4))</f>
      </c>
      <c r="G22" s="23">
        <f>IF($A22="","",INDEX(tblTasks[Niveau_criticite],ROW()-4))</f>
      </c>
      <c r="H22" s="23">
        <f>IF($A22="","",INDEX(tblTasks[Goulot],ROW()-4))</f>
      </c>
      <c r="I22" s="23">
        <f>IF($A22="","",IF(LOWER($F22)="oui","non",IF($E22="","oui",IFERROR(IF(LOWER(INDEX(tblTasks[Statut],MATCH($E22,tblTasks[ID],0)))="clos","oui","non"),"non"))))</f>
      </c>
      <c r="J22" s="25">
        <f>IF($A22="","",INDEX(tblTasks[Date_debut_prevue],ROW()-4))</f>
      </c>
      <c r="K22" s="25">
        <f>IF($A22="","",INDEX(tblTasks[Date_fin_prevue],ROW()-4))</f>
      </c>
      <c r="L22" s="23">
        <f>IF($A22="","",INDEX(tblTasks[Irreversibilite],ROW()-4))</f>
      </c>
      <c r="M22" s="26">
        <f>IF(OR($A22="",M$3=""),"",IF(AND($J22&lt;&gt;"",$K22&lt;&gt;"",$J22=$K22,$J22&gt;=M$3,$J22&lt;=IF(param_mode_affichage="mois",EOMONTH(M$3,0),M$3+6)),"◆",""))</f>
      </c>
      <c r="N22" s="26">
        <f>IF(OR($A22="",N$3=""),"",IF(AND($J22&lt;&gt;"",$K22&lt;&gt;"",$J22=$K22,$J22&gt;=N$3,$J22&lt;=IF(param_mode_affichage="mois",EOMONTH(N$3,0),N$3+6)),"◆",""))</f>
      </c>
      <c r="O22" s="26">
        <f>IF(OR($A22="",O$3=""),"",IF(AND($J22&lt;&gt;"",$K22&lt;&gt;"",$J22=$K22,$J22&gt;=O$3,$J22&lt;=IF(param_mode_affichage="mois",EOMONTH(O$3,0),O$3+6)),"◆",""))</f>
      </c>
      <c r="P22" s="26">
        <f>IF(OR($A22="",P$3=""),"",IF(AND($J22&lt;&gt;"",$K22&lt;&gt;"",$J22=$K22,$J22&gt;=P$3,$J22&lt;=IF(param_mode_affichage="mois",EOMONTH(P$3,0),P$3+6)),"◆",""))</f>
      </c>
      <c r="Q22" s="26">
        <f>IF(OR($A22="",Q$3=""),"",IF(AND($J22&lt;&gt;"",$K22&lt;&gt;"",$J22=$K22,$J22&gt;=Q$3,$J22&lt;=IF(param_mode_affichage="mois",EOMONTH(Q$3,0),Q$3+6)),"◆",""))</f>
      </c>
      <c r="R22" s="26">
        <f>IF(OR($A22="",R$3=""),"",IF(AND($J22&lt;&gt;"",$K22&lt;&gt;"",$J22=$K22,$J22&gt;=R$3,$J22&lt;=IF(param_mode_affichage="mois",EOMONTH(R$3,0),R$3+6)),"◆",""))</f>
      </c>
      <c r="S22" s="26">
        <f>IF(OR($A22="",S$3=""),"",IF(AND($J22&lt;&gt;"",$K22&lt;&gt;"",$J22=$K22,$J22&gt;=S$3,$J22&lt;=IF(param_mode_affichage="mois",EOMONTH(S$3,0),S$3+6)),"◆",""))</f>
      </c>
      <c r="T22" s="26">
        <f>IF(OR($A22="",T$3=""),"",IF(AND($J22&lt;&gt;"",$K22&lt;&gt;"",$J22=$K22,$J22&gt;=T$3,$J22&lt;=IF(param_mode_affichage="mois",EOMONTH(T$3,0),T$3+6)),"◆",""))</f>
      </c>
      <c r="U22" s="26">
        <f>IF(OR($A22="",U$3=""),"",IF(AND($J22&lt;&gt;"",$K22&lt;&gt;"",$J22=$K22,$J22&gt;=U$3,$J22&lt;=IF(param_mode_affichage="mois",EOMONTH(U$3,0),U$3+6)),"◆",""))</f>
      </c>
      <c r="V22" s="26">
        <f>IF(OR($A22="",V$3=""),"",IF(AND($J22&lt;&gt;"",$K22&lt;&gt;"",$J22=$K22,$J22&gt;=V$3,$J22&lt;=IF(param_mode_affichage="mois",EOMONTH(V$3,0),V$3+6)),"◆",""))</f>
      </c>
      <c r="W22" s="26">
        <f>IF(OR($A22="",W$3=""),"",IF(AND($J22&lt;&gt;"",$K22&lt;&gt;"",$J22=$K22,$J22&gt;=W$3,$J22&lt;=IF(param_mode_affichage="mois",EOMONTH(W$3,0),W$3+6)),"◆",""))</f>
      </c>
      <c r="X22" s="26">
        <f>IF(OR($A22="",X$3=""),"",IF(AND($J22&lt;&gt;"",$K22&lt;&gt;"",$J22=$K22,$J22&gt;=X$3,$J22&lt;=IF(param_mode_affichage="mois",EOMONTH(X$3,0),X$3+6)),"◆",""))</f>
      </c>
      <c r="Y22" s="26">
        <f>IF(OR($A22="",Y$3=""),"",IF(AND($J22&lt;&gt;"",$K22&lt;&gt;"",$J22=$K22,$J22&gt;=Y$3,$J22&lt;=IF(param_mode_affichage="mois",EOMONTH(Y$3,0),Y$3+6)),"◆",""))</f>
      </c>
      <c r="Z22" s="26">
        <f>IF(OR($A22="",Z$3=""),"",IF(AND($J22&lt;&gt;"",$K22&lt;&gt;"",$J22=$K22,$J22&gt;=Z$3,$J22&lt;=IF(param_mode_affichage="mois",EOMONTH(Z$3,0),Z$3+6)),"◆",""))</f>
      </c>
      <c r="AA22" s="26">
        <f>IF(OR($A22="",AA$3=""),"",IF(AND($J22&lt;&gt;"",$K22&lt;&gt;"",$J22=$K22,$J22&gt;=AA$3,$J22&lt;=IF(param_mode_affichage="mois",EOMONTH(AA$3,0),AA$3+6)),"◆",""))</f>
      </c>
      <c r="AB22" s="26">
        <f>IF(OR($A22="",AB$3=""),"",IF(AND($J22&lt;&gt;"",$K22&lt;&gt;"",$J22=$K22,$J22&gt;=AB$3,$J22&lt;=IF(param_mode_affichage="mois",EOMONTH(AB$3,0),AB$3+6)),"◆",""))</f>
      </c>
      <c r="AC22" s="26">
        <f>IF(OR($A22="",AC$3=""),"",IF(AND($J22&lt;&gt;"",$K22&lt;&gt;"",$J22=$K22,$J22&gt;=AC$3,$J22&lt;=IF(param_mode_affichage="mois",EOMONTH(AC$3,0),AC$3+6)),"◆",""))</f>
      </c>
      <c r="AD22" s="26">
        <f>IF(OR($A22="",AD$3=""),"",IF(AND($J22&lt;&gt;"",$K22&lt;&gt;"",$J22=$K22,$J22&gt;=AD$3,$J22&lt;=IF(param_mode_affichage="mois",EOMONTH(AD$3,0),AD$3+6)),"◆",""))</f>
      </c>
      <c r="AE22" s="26">
        <f>IF(OR($A22="",AE$3=""),"",IF(AND($J22&lt;&gt;"",$K22&lt;&gt;"",$J22=$K22,$J22&gt;=AE$3,$J22&lt;=IF(param_mode_affichage="mois",EOMONTH(AE$3,0),AE$3+6)),"◆",""))</f>
      </c>
      <c r="AF22" s="26">
        <f>IF(OR($A22="",AF$3=""),"",IF(AND($J22&lt;&gt;"",$K22&lt;&gt;"",$J22=$K22,$J22&gt;=AF$3,$J22&lt;=IF(param_mode_affichage="mois",EOMONTH(AF$3,0),AF$3+6)),"◆",""))</f>
      </c>
      <c r="AG22" s="26">
        <f>IF(OR($A22="",AG$3=""),"",IF(AND($J22&lt;&gt;"",$K22&lt;&gt;"",$J22=$K22,$J22&gt;=AG$3,$J22&lt;=IF(param_mode_affichage="mois",EOMONTH(AG$3,0),AG$3+6)),"◆",""))</f>
      </c>
      <c r="AH22" s="26">
        <f>IF(OR($A22="",AH$3=""),"",IF(AND($J22&lt;&gt;"",$K22&lt;&gt;"",$J22=$K22,$J22&gt;=AH$3,$J22&lt;=IF(param_mode_affichage="mois",EOMONTH(AH$3,0),AH$3+6)),"◆",""))</f>
      </c>
      <c r="AI22" s="26">
        <f>IF(OR($A22="",AI$3=""),"",IF(AND($J22&lt;&gt;"",$K22&lt;&gt;"",$J22=$K22,$J22&gt;=AI$3,$J22&lt;=IF(param_mode_affichage="mois",EOMONTH(AI$3,0),AI$3+6)),"◆",""))</f>
      </c>
      <c r="AJ22" s="26">
        <f>IF(OR($A22="",AJ$3=""),"",IF(AND($J22&lt;&gt;"",$K22&lt;&gt;"",$J22=$K22,$J22&gt;=AJ$3,$J22&lt;=IF(param_mode_affichage="mois",EOMONTH(AJ$3,0),AJ$3+6)),"◆",""))</f>
      </c>
      <c r="AK22" s="26">
        <f>IF(OR($A22="",AK$3=""),"",IF(AND($J22&lt;&gt;"",$K22&lt;&gt;"",$J22=$K22,$J22&gt;=AK$3,$J22&lt;=IF(param_mode_affichage="mois",EOMONTH(AK$3,0),AK$3+6)),"◆",""))</f>
      </c>
      <c r="AL22" s="26">
        <f>IF(OR($A22="",AL$3=""),"",IF(AND($J22&lt;&gt;"",$K22&lt;&gt;"",$J22=$K22,$J22&gt;=AL$3,$J22&lt;=IF(param_mode_affichage="mois",EOMONTH(AL$3,0),AL$3+6)),"◆",""))</f>
      </c>
      <c r="AM22" s="26">
        <f>IF(OR($A22="",AM$3=""),"",IF(AND($J22&lt;&gt;"",$K22&lt;&gt;"",$J22=$K22,$J22&gt;=AM$3,$J22&lt;=IF(param_mode_affichage="mois",EOMONTH(AM$3,0),AM$3+6)),"◆",""))</f>
      </c>
      <c r="AN22" s="26">
        <f>IF(OR($A22="",AN$3=""),"",IF(AND($J22&lt;&gt;"",$K22&lt;&gt;"",$J22=$K22,$J22&gt;=AN$3,$J22&lt;=IF(param_mode_affichage="mois",EOMONTH(AN$3,0),AN$3+6)),"◆",""))</f>
      </c>
      <c r="AO22" s="26">
        <f>IF(OR($A22="",AO$3=""),"",IF(AND($J22&lt;&gt;"",$K22&lt;&gt;"",$J22=$K22,$J22&gt;=AO$3,$J22&lt;=IF(param_mode_affichage="mois",EOMONTH(AO$3,0),AO$3+6)),"◆",""))</f>
      </c>
      <c r="AP22" s="26">
        <f>IF(OR($A22="",AP$3=""),"",IF(AND($J22&lt;&gt;"",$K22&lt;&gt;"",$J22=$K22,$J22&gt;=AP$3,$J22&lt;=IF(param_mode_affichage="mois",EOMONTH(AP$3,0),AP$3+6)),"◆",""))</f>
      </c>
      <c r="AQ22" s="26">
        <f>IF(OR($A22="",AQ$3=""),"",IF(AND($J22&lt;&gt;"",$K22&lt;&gt;"",$J22=$K22,$J22&gt;=AQ$3,$J22&lt;=IF(param_mode_affichage="mois",EOMONTH(AQ$3,0),AQ$3+6)),"◆",""))</f>
      </c>
      <c r="AR22" s="26">
        <f>IF(OR($A22="",AR$3=""),"",IF(AND($J22&lt;&gt;"",$K22&lt;&gt;"",$J22=$K22,$J22&gt;=AR$3,$J22&lt;=IF(param_mode_affichage="mois",EOMONTH(AR$3,0),AR$3+6)),"◆",""))</f>
      </c>
      <c r="AS22" s="26">
        <f>IF(OR($A22="",AS$3=""),"",IF(AND($J22&lt;&gt;"",$K22&lt;&gt;"",$J22=$K22,$J22&gt;=AS$3,$J22&lt;=IF(param_mode_affichage="mois",EOMONTH(AS$3,0),AS$3+6)),"◆",""))</f>
      </c>
      <c r="AT22" s="26">
        <f>IF(OR($A22="",AT$3=""),"",IF(AND($J22&lt;&gt;"",$K22&lt;&gt;"",$J22=$K22,$J22&gt;=AT$3,$J22&lt;=IF(param_mode_affichage="mois",EOMONTH(AT$3,0),AT$3+6)),"◆",""))</f>
      </c>
      <c r="AU22" s="26">
        <f>IF(OR($A22="",AU$3=""),"",IF(AND($J22&lt;&gt;"",$K22&lt;&gt;"",$J22=$K22,$J22&gt;=AU$3,$J22&lt;=IF(param_mode_affichage="mois",EOMONTH(AU$3,0),AU$3+6)),"◆",""))</f>
      </c>
      <c r="AV22" s="26">
        <f>IF(OR($A22="",AV$3=""),"",IF(AND($J22&lt;&gt;"",$K22&lt;&gt;"",$J22=$K22,$J22&gt;=AV$3,$J22&lt;=IF(param_mode_affichage="mois",EOMONTH(AV$3,0),AV$3+6)),"◆",""))</f>
      </c>
      <c r="AW22" s="26">
        <f>IF(OR($A22="",AW$3=""),"",IF(AND($J22&lt;&gt;"",$K22&lt;&gt;"",$J22=$K22,$J22&gt;=AW$3,$J22&lt;=IF(param_mode_affichage="mois",EOMONTH(AW$3,0),AW$3+6)),"◆",""))</f>
      </c>
      <c r="AX22" s="26">
        <f>IF(OR($A22="",AX$3=""),"",IF(AND($J22&lt;&gt;"",$K22&lt;&gt;"",$J22=$K22,$J22&gt;=AX$3,$J22&lt;=IF(param_mode_affichage="mois",EOMONTH(AX$3,0),AX$3+6)),"◆",""))</f>
      </c>
      <c r="AY22" s="26">
        <f>IF(OR($A22="",AY$3=""),"",IF(AND($J22&lt;&gt;"",$K22&lt;&gt;"",$J22=$K22,$J22&gt;=AY$3,$J22&lt;=IF(param_mode_affichage="mois",EOMONTH(AY$3,0),AY$3+6)),"◆",""))</f>
      </c>
      <c r="AZ22" s="26">
        <f>IF(OR($A22="",AZ$3=""),"",IF(AND($J22&lt;&gt;"",$K22&lt;&gt;"",$J22=$K22,$J22&gt;=AZ$3,$J22&lt;=IF(param_mode_affichage="mois",EOMONTH(AZ$3,0),AZ$3+6)),"◆",""))</f>
      </c>
      <c r="BA22" s="26">
        <f>IF(OR($A22="",BA$3=""),"",IF(AND($J22&lt;&gt;"",$K22&lt;&gt;"",$J22=$K22,$J22&gt;=BA$3,$J22&lt;=IF(param_mode_affichage="mois",EOMONTH(BA$3,0),BA$3+6)),"◆",""))</f>
      </c>
      <c r="BB22" s="26">
        <f>IF(OR($A22="",BB$3=""),"",IF(AND($J22&lt;&gt;"",$K22&lt;&gt;"",$J22=$K22,$J22&gt;=BB$3,$J22&lt;=IF(param_mode_affichage="mois",EOMONTH(BB$3,0),BB$3+6)),"◆",""))</f>
      </c>
      <c r="BC22" s="26">
        <f>IF(OR($A22="",BC$3=""),"",IF(AND($J22&lt;&gt;"",$K22&lt;&gt;"",$J22=$K22,$J22&gt;=BC$3,$J22&lt;=IF(param_mode_affichage="mois",EOMONTH(BC$3,0),BC$3+6)),"◆",""))</f>
      </c>
      <c r="BD22" s="26">
        <f>IF(OR($A22="",BD$3=""),"",IF(AND($J22&lt;&gt;"",$K22&lt;&gt;"",$J22=$K22,$J22&gt;=BD$3,$J22&lt;=IF(param_mode_affichage="mois",EOMONTH(BD$3,0),BD$3+6)),"◆",""))</f>
      </c>
      <c r="BE22" s="26">
        <f>IF(OR($A22="",BE$3=""),"",IF(AND($J22&lt;&gt;"",$K22&lt;&gt;"",$J22=$K22,$J22&gt;=BE$3,$J22&lt;=IF(param_mode_affichage="mois",EOMONTH(BE$3,0),BE$3+6)),"◆",""))</f>
      </c>
      <c r="BF22" s="26">
        <f>IF(OR($A22="",BF$3=""),"",IF(AND($J22&lt;&gt;"",$K22&lt;&gt;"",$J22=$K22,$J22&gt;=BF$3,$J22&lt;=IF(param_mode_affichage="mois",EOMONTH(BF$3,0),BF$3+6)),"◆",""))</f>
      </c>
      <c r="BG22" s="26">
        <f>IF(OR($A22="",BG$3=""),"",IF(AND($J22&lt;&gt;"",$K22&lt;&gt;"",$J22=$K22,$J22&gt;=BG$3,$J22&lt;=IF(param_mode_affichage="mois",EOMONTH(BG$3,0),BG$3+6)),"◆",""))</f>
      </c>
      <c r="BH22" s="26">
        <f>IF(OR($A22="",BH$3=""),"",IF(AND($J22&lt;&gt;"",$K22&lt;&gt;"",$J22=$K22,$J22&gt;=BH$3,$J22&lt;=IF(param_mode_affichage="mois",EOMONTH(BH$3,0),BH$3+6)),"◆",""))</f>
      </c>
      <c r="BI22" s="26">
        <f>IF(OR($A22="",BI$3=""),"",IF(AND($J22&lt;&gt;"",$K22&lt;&gt;"",$J22=$K22,$J22&gt;=BI$3,$J22&lt;=IF(param_mode_affichage="mois",EOMONTH(BI$3,0),BI$3+6)),"◆",""))</f>
      </c>
      <c r="BJ22" s="26">
        <f>IF(OR($A22="",BJ$3=""),"",IF(AND($J22&lt;&gt;"",$K22&lt;&gt;"",$J22=$K22,$J22&gt;=BJ$3,$J22&lt;=IF(param_mode_affichage="mois",EOMONTH(BJ$3,0),BJ$3+6)),"◆",""))</f>
      </c>
      <c r="BK22" s="26">
        <f>IF(OR($A22="",BK$3=""),"",IF(AND($J22&lt;&gt;"",$K22&lt;&gt;"",$J22=$K22,$J22&gt;=BK$3,$J22&lt;=IF(param_mode_affichage="mois",EOMONTH(BK$3,0),BK$3+6)),"◆",""))</f>
      </c>
      <c r="BL22" s="26">
        <f>IF(OR($A22="",BL$3=""),"",IF(AND($J22&lt;&gt;"",$K22&lt;&gt;"",$J22=$K22,$J22&gt;=BL$3,$J22&lt;=IF(param_mode_affichage="mois",EOMONTH(BL$3,0),BL$3+6)),"◆",""))</f>
      </c>
    </row>
    <row r="23" spans="1:64" x14ac:dyDescent="0.25">
      <c r="A23" s="23">
        <f>IFERROR(INDEX(tblTasks[ID],ROW()-4),"")</f>
      </c>
      <c r="B23" s="24">
        <f>IF($A23="","",INDEX(tblTasks[Sujet],ROW()-4))</f>
      </c>
      <c r="C23" s="23">
        <f>IF($A23="","",INDEX(tblTasks[Responsable],ROW()-4))</f>
      </c>
      <c r="D23" s="23">
        <f>IF($A23="","",INDEX(tblTasks[Statut],ROW()-4))</f>
      </c>
      <c r="E23" s="23">
        <f>IF($A23="","",INDEX(tblTasks[Depend_de],ROW()-4))</f>
      </c>
      <c r="F23" s="23">
        <f>IF($A23="","",INDEX(tblTasks[Blocage],ROW()-4))</f>
      </c>
      <c r="G23" s="23">
        <f>IF($A23="","",INDEX(tblTasks[Niveau_criticite],ROW()-4))</f>
      </c>
      <c r="H23" s="23">
        <f>IF($A23="","",INDEX(tblTasks[Goulot],ROW()-4))</f>
      </c>
      <c r="I23" s="23">
        <f>IF($A23="","",IF(LOWER($F23)="oui","non",IF($E23="","oui",IFERROR(IF(LOWER(INDEX(tblTasks[Statut],MATCH($E23,tblTasks[ID],0)))="clos","oui","non"),"non"))))</f>
      </c>
      <c r="J23" s="25">
        <f>IF($A23="","",INDEX(tblTasks[Date_debut_prevue],ROW()-4))</f>
      </c>
      <c r="K23" s="25">
        <f>IF($A23="","",INDEX(tblTasks[Date_fin_prevue],ROW()-4))</f>
      </c>
      <c r="L23" s="23">
        <f>IF($A23="","",INDEX(tblTasks[Irreversibilite],ROW()-4))</f>
      </c>
      <c r="M23" s="26">
        <f>IF(OR($A23="",M$3=""),"",IF(AND($J23&lt;&gt;"",$K23&lt;&gt;"",$J23=$K23,$J23&gt;=M$3,$J23&lt;=IF(param_mode_affichage="mois",EOMONTH(M$3,0),M$3+6)),"◆",""))</f>
      </c>
      <c r="N23" s="26">
        <f>IF(OR($A23="",N$3=""),"",IF(AND($J23&lt;&gt;"",$K23&lt;&gt;"",$J23=$K23,$J23&gt;=N$3,$J23&lt;=IF(param_mode_affichage="mois",EOMONTH(N$3,0),N$3+6)),"◆",""))</f>
      </c>
      <c r="O23" s="26">
        <f>IF(OR($A23="",O$3=""),"",IF(AND($J23&lt;&gt;"",$K23&lt;&gt;"",$J23=$K23,$J23&gt;=O$3,$J23&lt;=IF(param_mode_affichage="mois",EOMONTH(O$3,0),O$3+6)),"◆",""))</f>
      </c>
      <c r="P23" s="26">
        <f>IF(OR($A23="",P$3=""),"",IF(AND($J23&lt;&gt;"",$K23&lt;&gt;"",$J23=$K23,$J23&gt;=P$3,$J23&lt;=IF(param_mode_affichage="mois",EOMONTH(P$3,0),P$3+6)),"◆",""))</f>
      </c>
      <c r="Q23" s="26">
        <f>IF(OR($A23="",Q$3=""),"",IF(AND($J23&lt;&gt;"",$K23&lt;&gt;"",$J23=$K23,$J23&gt;=Q$3,$J23&lt;=IF(param_mode_affichage="mois",EOMONTH(Q$3,0),Q$3+6)),"◆",""))</f>
      </c>
      <c r="R23" s="26">
        <f>IF(OR($A23="",R$3=""),"",IF(AND($J23&lt;&gt;"",$K23&lt;&gt;"",$J23=$K23,$J23&gt;=R$3,$J23&lt;=IF(param_mode_affichage="mois",EOMONTH(R$3,0),R$3+6)),"◆",""))</f>
      </c>
      <c r="S23" s="26">
        <f>IF(OR($A23="",S$3=""),"",IF(AND($J23&lt;&gt;"",$K23&lt;&gt;"",$J23=$K23,$J23&gt;=S$3,$J23&lt;=IF(param_mode_affichage="mois",EOMONTH(S$3,0),S$3+6)),"◆",""))</f>
      </c>
      <c r="T23" s="26">
        <f>IF(OR($A23="",T$3=""),"",IF(AND($J23&lt;&gt;"",$K23&lt;&gt;"",$J23=$K23,$J23&gt;=T$3,$J23&lt;=IF(param_mode_affichage="mois",EOMONTH(T$3,0),T$3+6)),"◆",""))</f>
      </c>
      <c r="U23" s="26">
        <f>IF(OR($A23="",U$3=""),"",IF(AND($J23&lt;&gt;"",$K23&lt;&gt;"",$J23=$K23,$J23&gt;=U$3,$J23&lt;=IF(param_mode_affichage="mois",EOMONTH(U$3,0),U$3+6)),"◆",""))</f>
      </c>
      <c r="V23" s="26">
        <f>IF(OR($A23="",V$3=""),"",IF(AND($J23&lt;&gt;"",$K23&lt;&gt;"",$J23=$K23,$J23&gt;=V$3,$J23&lt;=IF(param_mode_affichage="mois",EOMONTH(V$3,0),V$3+6)),"◆",""))</f>
      </c>
      <c r="W23" s="26">
        <f>IF(OR($A23="",W$3=""),"",IF(AND($J23&lt;&gt;"",$K23&lt;&gt;"",$J23=$K23,$J23&gt;=W$3,$J23&lt;=IF(param_mode_affichage="mois",EOMONTH(W$3,0),W$3+6)),"◆",""))</f>
      </c>
      <c r="X23" s="26">
        <f>IF(OR($A23="",X$3=""),"",IF(AND($J23&lt;&gt;"",$K23&lt;&gt;"",$J23=$K23,$J23&gt;=X$3,$J23&lt;=IF(param_mode_affichage="mois",EOMONTH(X$3,0),X$3+6)),"◆",""))</f>
      </c>
      <c r="Y23" s="26">
        <f>IF(OR($A23="",Y$3=""),"",IF(AND($J23&lt;&gt;"",$K23&lt;&gt;"",$J23=$K23,$J23&gt;=Y$3,$J23&lt;=IF(param_mode_affichage="mois",EOMONTH(Y$3,0),Y$3+6)),"◆",""))</f>
      </c>
      <c r="Z23" s="26">
        <f>IF(OR($A23="",Z$3=""),"",IF(AND($J23&lt;&gt;"",$K23&lt;&gt;"",$J23=$K23,$J23&gt;=Z$3,$J23&lt;=IF(param_mode_affichage="mois",EOMONTH(Z$3,0),Z$3+6)),"◆",""))</f>
      </c>
      <c r="AA23" s="26">
        <f>IF(OR($A23="",AA$3=""),"",IF(AND($J23&lt;&gt;"",$K23&lt;&gt;"",$J23=$K23,$J23&gt;=AA$3,$J23&lt;=IF(param_mode_affichage="mois",EOMONTH(AA$3,0),AA$3+6)),"◆",""))</f>
      </c>
      <c r="AB23" s="26">
        <f>IF(OR($A23="",AB$3=""),"",IF(AND($J23&lt;&gt;"",$K23&lt;&gt;"",$J23=$K23,$J23&gt;=AB$3,$J23&lt;=IF(param_mode_affichage="mois",EOMONTH(AB$3,0),AB$3+6)),"◆",""))</f>
      </c>
      <c r="AC23" s="26">
        <f>IF(OR($A23="",AC$3=""),"",IF(AND($J23&lt;&gt;"",$K23&lt;&gt;"",$J23=$K23,$J23&gt;=AC$3,$J23&lt;=IF(param_mode_affichage="mois",EOMONTH(AC$3,0),AC$3+6)),"◆",""))</f>
      </c>
      <c r="AD23" s="26">
        <f>IF(OR($A23="",AD$3=""),"",IF(AND($J23&lt;&gt;"",$K23&lt;&gt;"",$J23=$K23,$J23&gt;=AD$3,$J23&lt;=IF(param_mode_affichage="mois",EOMONTH(AD$3,0),AD$3+6)),"◆",""))</f>
      </c>
      <c r="AE23" s="26">
        <f>IF(OR($A23="",AE$3=""),"",IF(AND($J23&lt;&gt;"",$K23&lt;&gt;"",$J23=$K23,$J23&gt;=AE$3,$J23&lt;=IF(param_mode_affichage="mois",EOMONTH(AE$3,0),AE$3+6)),"◆",""))</f>
      </c>
      <c r="AF23" s="26">
        <f>IF(OR($A23="",AF$3=""),"",IF(AND($J23&lt;&gt;"",$K23&lt;&gt;"",$J23=$K23,$J23&gt;=AF$3,$J23&lt;=IF(param_mode_affichage="mois",EOMONTH(AF$3,0),AF$3+6)),"◆",""))</f>
      </c>
      <c r="AG23" s="26">
        <f>IF(OR($A23="",AG$3=""),"",IF(AND($J23&lt;&gt;"",$K23&lt;&gt;"",$J23=$K23,$J23&gt;=AG$3,$J23&lt;=IF(param_mode_affichage="mois",EOMONTH(AG$3,0),AG$3+6)),"◆",""))</f>
      </c>
      <c r="AH23" s="26">
        <f>IF(OR($A23="",AH$3=""),"",IF(AND($J23&lt;&gt;"",$K23&lt;&gt;"",$J23=$K23,$J23&gt;=AH$3,$J23&lt;=IF(param_mode_affichage="mois",EOMONTH(AH$3,0),AH$3+6)),"◆",""))</f>
      </c>
      <c r="AI23" s="26">
        <f>IF(OR($A23="",AI$3=""),"",IF(AND($J23&lt;&gt;"",$K23&lt;&gt;"",$J23=$K23,$J23&gt;=AI$3,$J23&lt;=IF(param_mode_affichage="mois",EOMONTH(AI$3,0),AI$3+6)),"◆",""))</f>
      </c>
      <c r="AJ23" s="26">
        <f>IF(OR($A23="",AJ$3=""),"",IF(AND($J23&lt;&gt;"",$K23&lt;&gt;"",$J23=$K23,$J23&gt;=AJ$3,$J23&lt;=IF(param_mode_affichage="mois",EOMONTH(AJ$3,0),AJ$3+6)),"◆",""))</f>
      </c>
      <c r="AK23" s="26">
        <f>IF(OR($A23="",AK$3=""),"",IF(AND($J23&lt;&gt;"",$K23&lt;&gt;"",$J23=$K23,$J23&gt;=AK$3,$J23&lt;=IF(param_mode_affichage="mois",EOMONTH(AK$3,0),AK$3+6)),"◆",""))</f>
      </c>
      <c r="AL23" s="26">
        <f>IF(OR($A23="",AL$3=""),"",IF(AND($J23&lt;&gt;"",$K23&lt;&gt;"",$J23=$K23,$J23&gt;=AL$3,$J23&lt;=IF(param_mode_affichage="mois",EOMONTH(AL$3,0),AL$3+6)),"◆",""))</f>
      </c>
      <c r="AM23" s="26">
        <f>IF(OR($A23="",AM$3=""),"",IF(AND($J23&lt;&gt;"",$K23&lt;&gt;"",$J23=$K23,$J23&gt;=AM$3,$J23&lt;=IF(param_mode_affichage="mois",EOMONTH(AM$3,0),AM$3+6)),"◆",""))</f>
      </c>
      <c r="AN23" s="26">
        <f>IF(OR($A23="",AN$3=""),"",IF(AND($J23&lt;&gt;"",$K23&lt;&gt;"",$J23=$K23,$J23&gt;=AN$3,$J23&lt;=IF(param_mode_affichage="mois",EOMONTH(AN$3,0),AN$3+6)),"◆",""))</f>
      </c>
      <c r="AO23" s="26">
        <f>IF(OR($A23="",AO$3=""),"",IF(AND($J23&lt;&gt;"",$K23&lt;&gt;"",$J23=$K23,$J23&gt;=AO$3,$J23&lt;=IF(param_mode_affichage="mois",EOMONTH(AO$3,0),AO$3+6)),"◆",""))</f>
      </c>
      <c r="AP23" s="26">
        <f>IF(OR($A23="",AP$3=""),"",IF(AND($J23&lt;&gt;"",$K23&lt;&gt;"",$J23=$K23,$J23&gt;=AP$3,$J23&lt;=IF(param_mode_affichage="mois",EOMONTH(AP$3,0),AP$3+6)),"◆",""))</f>
      </c>
      <c r="AQ23" s="26">
        <f>IF(OR($A23="",AQ$3=""),"",IF(AND($J23&lt;&gt;"",$K23&lt;&gt;"",$J23=$K23,$J23&gt;=AQ$3,$J23&lt;=IF(param_mode_affichage="mois",EOMONTH(AQ$3,0),AQ$3+6)),"◆",""))</f>
      </c>
      <c r="AR23" s="26">
        <f>IF(OR($A23="",AR$3=""),"",IF(AND($J23&lt;&gt;"",$K23&lt;&gt;"",$J23=$K23,$J23&gt;=AR$3,$J23&lt;=IF(param_mode_affichage="mois",EOMONTH(AR$3,0),AR$3+6)),"◆",""))</f>
      </c>
      <c r="AS23" s="26">
        <f>IF(OR($A23="",AS$3=""),"",IF(AND($J23&lt;&gt;"",$K23&lt;&gt;"",$J23=$K23,$J23&gt;=AS$3,$J23&lt;=IF(param_mode_affichage="mois",EOMONTH(AS$3,0),AS$3+6)),"◆",""))</f>
      </c>
      <c r="AT23" s="26">
        <f>IF(OR($A23="",AT$3=""),"",IF(AND($J23&lt;&gt;"",$K23&lt;&gt;"",$J23=$K23,$J23&gt;=AT$3,$J23&lt;=IF(param_mode_affichage="mois",EOMONTH(AT$3,0),AT$3+6)),"◆",""))</f>
      </c>
      <c r="AU23" s="26">
        <f>IF(OR($A23="",AU$3=""),"",IF(AND($J23&lt;&gt;"",$K23&lt;&gt;"",$J23=$K23,$J23&gt;=AU$3,$J23&lt;=IF(param_mode_affichage="mois",EOMONTH(AU$3,0),AU$3+6)),"◆",""))</f>
      </c>
      <c r="AV23" s="26">
        <f>IF(OR($A23="",AV$3=""),"",IF(AND($J23&lt;&gt;"",$K23&lt;&gt;"",$J23=$K23,$J23&gt;=AV$3,$J23&lt;=IF(param_mode_affichage="mois",EOMONTH(AV$3,0),AV$3+6)),"◆",""))</f>
      </c>
      <c r="AW23" s="26">
        <f>IF(OR($A23="",AW$3=""),"",IF(AND($J23&lt;&gt;"",$K23&lt;&gt;"",$J23=$K23,$J23&gt;=AW$3,$J23&lt;=IF(param_mode_affichage="mois",EOMONTH(AW$3,0),AW$3+6)),"◆",""))</f>
      </c>
      <c r="AX23" s="26">
        <f>IF(OR($A23="",AX$3=""),"",IF(AND($J23&lt;&gt;"",$K23&lt;&gt;"",$J23=$K23,$J23&gt;=AX$3,$J23&lt;=IF(param_mode_affichage="mois",EOMONTH(AX$3,0),AX$3+6)),"◆",""))</f>
      </c>
      <c r="AY23" s="26">
        <f>IF(OR($A23="",AY$3=""),"",IF(AND($J23&lt;&gt;"",$K23&lt;&gt;"",$J23=$K23,$J23&gt;=AY$3,$J23&lt;=IF(param_mode_affichage="mois",EOMONTH(AY$3,0),AY$3+6)),"◆",""))</f>
      </c>
      <c r="AZ23" s="26">
        <f>IF(OR($A23="",AZ$3=""),"",IF(AND($J23&lt;&gt;"",$K23&lt;&gt;"",$J23=$K23,$J23&gt;=AZ$3,$J23&lt;=IF(param_mode_affichage="mois",EOMONTH(AZ$3,0),AZ$3+6)),"◆",""))</f>
      </c>
      <c r="BA23" s="26">
        <f>IF(OR($A23="",BA$3=""),"",IF(AND($J23&lt;&gt;"",$K23&lt;&gt;"",$J23=$K23,$J23&gt;=BA$3,$J23&lt;=IF(param_mode_affichage="mois",EOMONTH(BA$3,0),BA$3+6)),"◆",""))</f>
      </c>
      <c r="BB23" s="26">
        <f>IF(OR($A23="",BB$3=""),"",IF(AND($J23&lt;&gt;"",$K23&lt;&gt;"",$J23=$K23,$J23&gt;=BB$3,$J23&lt;=IF(param_mode_affichage="mois",EOMONTH(BB$3,0),BB$3+6)),"◆",""))</f>
      </c>
      <c r="BC23" s="26">
        <f>IF(OR($A23="",BC$3=""),"",IF(AND($J23&lt;&gt;"",$K23&lt;&gt;"",$J23=$K23,$J23&gt;=BC$3,$J23&lt;=IF(param_mode_affichage="mois",EOMONTH(BC$3,0),BC$3+6)),"◆",""))</f>
      </c>
      <c r="BD23" s="26">
        <f>IF(OR($A23="",BD$3=""),"",IF(AND($J23&lt;&gt;"",$K23&lt;&gt;"",$J23=$K23,$J23&gt;=BD$3,$J23&lt;=IF(param_mode_affichage="mois",EOMONTH(BD$3,0),BD$3+6)),"◆",""))</f>
      </c>
      <c r="BE23" s="26">
        <f>IF(OR($A23="",BE$3=""),"",IF(AND($J23&lt;&gt;"",$K23&lt;&gt;"",$J23=$K23,$J23&gt;=BE$3,$J23&lt;=IF(param_mode_affichage="mois",EOMONTH(BE$3,0),BE$3+6)),"◆",""))</f>
      </c>
      <c r="BF23" s="26">
        <f>IF(OR($A23="",BF$3=""),"",IF(AND($J23&lt;&gt;"",$K23&lt;&gt;"",$J23=$K23,$J23&gt;=BF$3,$J23&lt;=IF(param_mode_affichage="mois",EOMONTH(BF$3,0),BF$3+6)),"◆",""))</f>
      </c>
      <c r="BG23" s="26">
        <f>IF(OR($A23="",BG$3=""),"",IF(AND($J23&lt;&gt;"",$K23&lt;&gt;"",$J23=$K23,$J23&gt;=BG$3,$J23&lt;=IF(param_mode_affichage="mois",EOMONTH(BG$3,0),BG$3+6)),"◆",""))</f>
      </c>
      <c r="BH23" s="26">
        <f>IF(OR($A23="",BH$3=""),"",IF(AND($J23&lt;&gt;"",$K23&lt;&gt;"",$J23=$K23,$J23&gt;=BH$3,$J23&lt;=IF(param_mode_affichage="mois",EOMONTH(BH$3,0),BH$3+6)),"◆",""))</f>
      </c>
      <c r="BI23" s="26">
        <f>IF(OR($A23="",BI$3=""),"",IF(AND($J23&lt;&gt;"",$K23&lt;&gt;"",$J23=$K23,$J23&gt;=BI$3,$J23&lt;=IF(param_mode_affichage="mois",EOMONTH(BI$3,0),BI$3+6)),"◆",""))</f>
      </c>
      <c r="BJ23" s="26">
        <f>IF(OR($A23="",BJ$3=""),"",IF(AND($J23&lt;&gt;"",$K23&lt;&gt;"",$J23=$K23,$J23&gt;=BJ$3,$J23&lt;=IF(param_mode_affichage="mois",EOMONTH(BJ$3,0),BJ$3+6)),"◆",""))</f>
      </c>
      <c r="BK23" s="26">
        <f>IF(OR($A23="",BK$3=""),"",IF(AND($J23&lt;&gt;"",$K23&lt;&gt;"",$J23=$K23,$J23&gt;=BK$3,$J23&lt;=IF(param_mode_affichage="mois",EOMONTH(BK$3,0),BK$3+6)),"◆",""))</f>
      </c>
      <c r="BL23" s="26">
        <f>IF(OR($A23="",BL$3=""),"",IF(AND($J23&lt;&gt;"",$K23&lt;&gt;"",$J23=$K23,$J23&gt;=BL$3,$J23&lt;=IF(param_mode_affichage="mois",EOMONTH(BL$3,0),BL$3+6)),"◆",""))</f>
      </c>
    </row>
    <row r="24" spans="1:64" x14ac:dyDescent="0.25">
      <c r="A24" s="23">
        <f>IFERROR(INDEX(tblTasks[ID],ROW()-4),"")</f>
      </c>
      <c r="B24" s="24">
        <f>IF($A24="","",INDEX(tblTasks[Sujet],ROW()-4))</f>
      </c>
      <c r="C24" s="23">
        <f>IF($A24="","",INDEX(tblTasks[Responsable],ROW()-4))</f>
      </c>
      <c r="D24" s="23">
        <f>IF($A24="","",INDEX(tblTasks[Statut],ROW()-4))</f>
      </c>
      <c r="E24" s="23">
        <f>IF($A24="","",INDEX(tblTasks[Depend_de],ROW()-4))</f>
      </c>
      <c r="F24" s="23">
        <f>IF($A24="","",INDEX(tblTasks[Blocage],ROW()-4))</f>
      </c>
      <c r="G24" s="23">
        <f>IF($A24="","",INDEX(tblTasks[Niveau_criticite],ROW()-4))</f>
      </c>
      <c r="H24" s="23">
        <f>IF($A24="","",INDEX(tblTasks[Goulot],ROW()-4))</f>
      </c>
      <c r="I24" s="23">
        <f>IF($A24="","",IF(LOWER($F24)="oui","non",IF($E24="","oui",IFERROR(IF(LOWER(INDEX(tblTasks[Statut],MATCH($E24,tblTasks[ID],0)))="clos","oui","non"),"non"))))</f>
      </c>
      <c r="J24" s="25">
        <f>IF($A24="","",INDEX(tblTasks[Date_debut_prevue],ROW()-4))</f>
      </c>
      <c r="K24" s="25">
        <f>IF($A24="","",INDEX(tblTasks[Date_fin_prevue],ROW()-4))</f>
      </c>
      <c r="L24" s="23">
        <f>IF($A24="","",INDEX(tblTasks[Irreversibilite],ROW()-4))</f>
      </c>
      <c r="M24" s="26">
        <f>IF(OR($A24="",M$3=""),"",IF(AND($J24&lt;&gt;"",$K24&lt;&gt;"",$J24=$K24,$J24&gt;=M$3,$J24&lt;=IF(param_mode_affichage="mois",EOMONTH(M$3,0),M$3+6)),"◆",""))</f>
      </c>
      <c r="N24" s="26">
        <f>IF(OR($A24="",N$3=""),"",IF(AND($J24&lt;&gt;"",$K24&lt;&gt;"",$J24=$K24,$J24&gt;=N$3,$J24&lt;=IF(param_mode_affichage="mois",EOMONTH(N$3,0),N$3+6)),"◆",""))</f>
      </c>
      <c r="O24" s="26">
        <f>IF(OR($A24="",O$3=""),"",IF(AND($J24&lt;&gt;"",$K24&lt;&gt;"",$J24=$K24,$J24&gt;=O$3,$J24&lt;=IF(param_mode_affichage="mois",EOMONTH(O$3,0),O$3+6)),"◆",""))</f>
      </c>
      <c r="P24" s="26">
        <f>IF(OR($A24="",P$3=""),"",IF(AND($J24&lt;&gt;"",$K24&lt;&gt;"",$J24=$K24,$J24&gt;=P$3,$J24&lt;=IF(param_mode_affichage="mois",EOMONTH(P$3,0),P$3+6)),"◆",""))</f>
      </c>
      <c r="Q24" s="26">
        <f>IF(OR($A24="",Q$3=""),"",IF(AND($J24&lt;&gt;"",$K24&lt;&gt;"",$J24=$K24,$J24&gt;=Q$3,$J24&lt;=IF(param_mode_affichage="mois",EOMONTH(Q$3,0),Q$3+6)),"◆",""))</f>
      </c>
      <c r="R24" s="26">
        <f>IF(OR($A24="",R$3=""),"",IF(AND($J24&lt;&gt;"",$K24&lt;&gt;"",$J24=$K24,$J24&gt;=R$3,$J24&lt;=IF(param_mode_affichage="mois",EOMONTH(R$3,0),R$3+6)),"◆",""))</f>
      </c>
      <c r="S24" s="26">
        <f>IF(OR($A24="",S$3=""),"",IF(AND($J24&lt;&gt;"",$K24&lt;&gt;"",$J24=$K24,$J24&gt;=S$3,$J24&lt;=IF(param_mode_affichage="mois",EOMONTH(S$3,0),S$3+6)),"◆",""))</f>
      </c>
      <c r="T24" s="26">
        <f>IF(OR($A24="",T$3=""),"",IF(AND($J24&lt;&gt;"",$K24&lt;&gt;"",$J24=$K24,$J24&gt;=T$3,$J24&lt;=IF(param_mode_affichage="mois",EOMONTH(T$3,0),T$3+6)),"◆",""))</f>
      </c>
      <c r="U24" s="26">
        <f>IF(OR($A24="",U$3=""),"",IF(AND($J24&lt;&gt;"",$K24&lt;&gt;"",$J24=$K24,$J24&gt;=U$3,$J24&lt;=IF(param_mode_affichage="mois",EOMONTH(U$3,0),U$3+6)),"◆",""))</f>
      </c>
      <c r="V24" s="26">
        <f>IF(OR($A24="",V$3=""),"",IF(AND($J24&lt;&gt;"",$K24&lt;&gt;"",$J24=$K24,$J24&gt;=V$3,$J24&lt;=IF(param_mode_affichage="mois",EOMONTH(V$3,0),V$3+6)),"◆",""))</f>
      </c>
      <c r="W24" s="26">
        <f>IF(OR($A24="",W$3=""),"",IF(AND($J24&lt;&gt;"",$K24&lt;&gt;"",$J24=$K24,$J24&gt;=W$3,$J24&lt;=IF(param_mode_affichage="mois",EOMONTH(W$3,0),W$3+6)),"◆",""))</f>
      </c>
      <c r="X24" s="26">
        <f>IF(OR($A24="",X$3=""),"",IF(AND($J24&lt;&gt;"",$K24&lt;&gt;"",$J24=$K24,$J24&gt;=X$3,$J24&lt;=IF(param_mode_affichage="mois",EOMONTH(X$3,0),X$3+6)),"◆",""))</f>
      </c>
      <c r="Y24" s="26">
        <f>IF(OR($A24="",Y$3=""),"",IF(AND($J24&lt;&gt;"",$K24&lt;&gt;"",$J24=$K24,$J24&gt;=Y$3,$J24&lt;=IF(param_mode_affichage="mois",EOMONTH(Y$3,0),Y$3+6)),"◆",""))</f>
      </c>
      <c r="Z24" s="26">
        <f>IF(OR($A24="",Z$3=""),"",IF(AND($J24&lt;&gt;"",$K24&lt;&gt;"",$J24=$K24,$J24&gt;=Z$3,$J24&lt;=IF(param_mode_affichage="mois",EOMONTH(Z$3,0),Z$3+6)),"◆",""))</f>
      </c>
      <c r="AA24" s="26">
        <f>IF(OR($A24="",AA$3=""),"",IF(AND($J24&lt;&gt;"",$K24&lt;&gt;"",$J24=$K24,$J24&gt;=AA$3,$J24&lt;=IF(param_mode_affichage="mois",EOMONTH(AA$3,0),AA$3+6)),"◆",""))</f>
      </c>
      <c r="AB24" s="26">
        <f>IF(OR($A24="",AB$3=""),"",IF(AND($J24&lt;&gt;"",$K24&lt;&gt;"",$J24=$K24,$J24&gt;=AB$3,$J24&lt;=IF(param_mode_affichage="mois",EOMONTH(AB$3,0),AB$3+6)),"◆",""))</f>
      </c>
      <c r="AC24" s="26">
        <f>IF(OR($A24="",AC$3=""),"",IF(AND($J24&lt;&gt;"",$K24&lt;&gt;"",$J24=$K24,$J24&gt;=AC$3,$J24&lt;=IF(param_mode_affichage="mois",EOMONTH(AC$3,0),AC$3+6)),"◆",""))</f>
      </c>
      <c r="AD24" s="26">
        <f>IF(OR($A24="",AD$3=""),"",IF(AND($J24&lt;&gt;"",$K24&lt;&gt;"",$J24=$K24,$J24&gt;=AD$3,$J24&lt;=IF(param_mode_affichage="mois",EOMONTH(AD$3,0),AD$3+6)),"◆",""))</f>
      </c>
      <c r="AE24" s="26">
        <f>IF(OR($A24="",AE$3=""),"",IF(AND($J24&lt;&gt;"",$K24&lt;&gt;"",$J24=$K24,$J24&gt;=AE$3,$J24&lt;=IF(param_mode_affichage="mois",EOMONTH(AE$3,0),AE$3+6)),"◆",""))</f>
      </c>
      <c r="AF24" s="26">
        <f>IF(OR($A24="",AF$3=""),"",IF(AND($J24&lt;&gt;"",$K24&lt;&gt;"",$J24=$K24,$J24&gt;=AF$3,$J24&lt;=IF(param_mode_affichage="mois",EOMONTH(AF$3,0),AF$3+6)),"◆",""))</f>
      </c>
      <c r="AG24" s="26">
        <f>IF(OR($A24="",AG$3=""),"",IF(AND($J24&lt;&gt;"",$K24&lt;&gt;"",$J24=$K24,$J24&gt;=AG$3,$J24&lt;=IF(param_mode_affichage="mois",EOMONTH(AG$3,0),AG$3+6)),"◆",""))</f>
      </c>
      <c r="AH24" s="26">
        <f>IF(OR($A24="",AH$3=""),"",IF(AND($J24&lt;&gt;"",$K24&lt;&gt;"",$J24=$K24,$J24&gt;=AH$3,$J24&lt;=IF(param_mode_affichage="mois",EOMONTH(AH$3,0),AH$3+6)),"◆",""))</f>
      </c>
      <c r="AI24" s="26">
        <f>IF(OR($A24="",AI$3=""),"",IF(AND($J24&lt;&gt;"",$K24&lt;&gt;"",$J24=$K24,$J24&gt;=AI$3,$J24&lt;=IF(param_mode_affichage="mois",EOMONTH(AI$3,0),AI$3+6)),"◆",""))</f>
      </c>
      <c r="AJ24" s="26">
        <f>IF(OR($A24="",AJ$3=""),"",IF(AND($J24&lt;&gt;"",$K24&lt;&gt;"",$J24=$K24,$J24&gt;=AJ$3,$J24&lt;=IF(param_mode_affichage="mois",EOMONTH(AJ$3,0),AJ$3+6)),"◆",""))</f>
      </c>
      <c r="AK24" s="26">
        <f>IF(OR($A24="",AK$3=""),"",IF(AND($J24&lt;&gt;"",$K24&lt;&gt;"",$J24=$K24,$J24&gt;=AK$3,$J24&lt;=IF(param_mode_affichage="mois",EOMONTH(AK$3,0),AK$3+6)),"◆",""))</f>
      </c>
      <c r="AL24" s="26">
        <f>IF(OR($A24="",AL$3=""),"",IF(AND($J24&lt;&gt;"",$K24&lt;&gt;"",$J24=$K24,$J24&gt;=AL$3,$J24&lt;=IF(param_mode_affichage="mois",EOMONTH(AL$3,0),AL$3+6)),"◆",""))</f>
      </c>
      <c r="AM24" s="26">
        <f>IF(OR($A24="",AM$3=""),"",IF(AND($J24&lt;&gt;"",$K24&lt;&gt;"",$J24=$K24,$J24&gt;=AM$3,$J24&lt;=IF(param_mode_affichage="mois",EOMONTH(AM$3,0),AM$3+6)),"◆",""))</f>
      </c>
      <c r="AN24" s="26">
        <f>IF(OR($A24="",AN$3=""),"",IF(AND($J24&lt;&gt;"",$K24&lt;&gt;"",$J24=$K24,$J24&gt;=AN$3,$J24&lt;=IF(param_mode_affichage="mois",EOMONTH(AN$3,0),AN$3+6)),"◆",""))</f>
      </c>
      <c r="AO24" s="26">
        <f>IF(OR($A24="",AO$3=""),"",IF(AND($J24&lt;&gt;"",$K24&lt;&gt;"",$J24=$K24,$J24&gt;=AO$3,$J24&lt;=IF(param_mode_affichage="mois",EOMONTH(AO$3,0),AO$3+6)),"◆",""))</f>
      </c>
      <c r="AP24" s="26">
        <f>IF(OR($A24="",AP$3=""),"",IF(AND($J24&lt;&gt;"",$K24&lt;&gt;"",$J24=$K24,$J24&gt;=AP$3,$J24&lt;=IF(param_mode_affichage="mois",EOMONTH(AP$3,0),AP$3+6)),"◆",""))</f>
      </c>
      <c r="AQ24" s="26">
        <f>IF(OR($A24="",AQ$3=""),"",IF(AND($J24&lt;&gt;"",$K24&lt;&gt;"",$J24=$K24,$J24&gt;=AQ$3,$J24&lt;=IF(param_mode_affichage="mois",EOMONTH(AQ$3,0),AQ$3+6)),"◆",""))</f>
      </c>
      <c r="AR24" s="26">
        <f>IF(OR($A24="",AR$3=""),"",IF(AND($J24&lt;&gt;"",$K24&lt;&gt;"",$J24=$K24,$J24&gt;=AR$3,$J24&lt;=IF(param_mode_affichage="mois",EOMONTH(AR$3,0),AR$3+6)),"◆",""))</f>
      </c>
      <c r="AS24" s="26">
        <f>IF(OR($A24="",AS$3=""),"",IF(AND($J24&lt;&gt;"",$K24&lt;&gt;"",$J24=$K24,$J24&gt;=AS$3,$J24&lt;=IF(param_mode_affichage="mois",EOMONTH(AS$3,0),AS$3+6)),"◆",""))</f>
      </c>
      <c r="AT24" s="26">
        <f>IF(OR($A24="",AT$3=""),"",IF(AND($J24&lt;&gt;"",$K24&lt;&gt;"",$J24=$K24,$J24&gt;=AT$3,$J24&lt;=IF(param_mode_affichage="mois",EOMONTH(AT$3,0),AT$3+6)),"◆",""))</f>
      </c>
      <c r="AU24" s="26">
        <f>IF(OR($A24="",AU$3=""),"",IF(AND($J24&lt;&gt;"",$K24&lt;&gt;"",$J24=$K24,$J24&gt;=AU$3,$J24&lt;=IF(param_mode_affichage="mois",EOMONTH(AU$3,0),AU$3+6)),"◆",""))</f>
      </c>
      <c r="AV24" s="26">
        <f>IF(OR($A24="",AV$3=""),"",IF(AND($J24&lt;&gt;"",$K24&lt;&gt;"",$J24=$K24,$J24&gt;=AV$3,$J24&lt;=IF(param_mode_affichage="mois",EOMONTH(AV$3,0),AV$3+6)),"◆",""))</f>
      </c>
      <c r="AW24" s="26">
        <f>IF(OR($A24="",AW$3=""),"",IF(AND($J24&lt;&gt;"",$K24&lt;&gt;"",$J24=$K24,$J24&gt;=AW$3,$J24&lt;=IF(param_mode_affichage="mois",EOMONTH(AW$3,0),AW$3+6)),"◆",""))</f>
      </c>
      <c r="AX24" s="26">
        <f>IF(OR($A24="",AX$3=""),"",IF(AND($J24&lt;&gt;"",$K24&lt;&gt;"",$J24=$K24,$J24&gt;=AX$3,$J24&lt;=IF(param_mode_affichage="mois",EOMONTH(AX$3,0),AX$3+6)),"◆",""))</f>
      </c>
      <c r="AY24" s="26">
        <f>IF(OR($A24="",AY$3=""),"",IF(AND($J24&lt;&gt;"",$K24&lt;&gt;"",$J24=$K24,$J24&gt;=AY$3,$J24&lt;=IF(param_mode_affichage="mois",EOMONTH(AY$3,0),AY$3+6)),"◆",""))</f>
      </c>
      <c r="AZ24" s="26">
        <f>IF(OR($A24="",AZ$3=""),"",IF(AND($J24&lt;&gt;"",$K24&lt;&gt;"",$J24=$K24,$J24&gt;=AZ$3,$J24&lt;=IF(param_mode_affichage="mois",EOMONTH(AZ$3,0),AZ$3+6)),"◆",""))</f>
      </c>
      <c r="BA24" s="26">
        <f>IF(OR($A24="",BA$3=""),"",IF(AND($J24&lt;&gt;"",$K24&lt;&gt;"",$J24=$K24,$J24&gt;=BA$3,$J24&lt;=IF(param_mode_affichage="mois",EOMONTH(BA$3,0),BA$3+6)),"◆",""))</f>
      </c>
      <c r="BB24" s="26">
        <f>IF(OR($A24="",BB$3=""),"",IF(AND($J24&lt;&gt;"",$K24&lt;&gt;"",$J24=$K24,$J24&gt;=BB$3,$J24&lt;=IF(param_mode_affichage="mois",EOMONTH(BB$3,0),BB$3+6)),"◆",""))</f>
      </c>
      <c r="BC24" s="26">
        <f>IF(OR($A24="",BC$3=""),"",IF(AND($J24&lt;&gt;"",$K24&lt;&gt;"",$J24=$K24,$J24&gt;=BC$3,$J24&lt;=IF(param_mode_affichage="mois",EOMONTH(BC$3,0),BC$3+6)),"◆",""))</f>
      </c>
      <c r="BD24" s="26">
        <f>IF(OR($A24="",BD$3=""),"",IF(AND($J24&lt;&gt;"",$K24&lt;&gt;"",$J24=$K24,$J24&gt;=BD$3,$J24&lt;=IF(param_mode_affichage="mois",EOMONTH(BD$3,0),BD$3+6)),"◆",""))</f>
      </c>
      <c r="BE24" s="26">
        <f>IF(OR($A24="",BE$3=""),"",IF(AND($J24&lt;&gt;"",$K24&lt;&gt;"",$J24=$K24,$J24&gt;=BE$3,$J24&lt;=IF(param_mode_affichage="mois",EOMONTH(BE$3,0),BE$3+6)),"◆",""))</f>
      </c>
      <c r="BF24" s="26">
        <f>IF(OR($A24="",BF$3=""),"",IF(AND($J24&lt;&gt;"",$K24&lt;&gt;"",$J24=$K24,$J24&gt;=BF$3,$J24&lt;=IF(param_mode_affichage="mois",EOMONTH(BF$3,0),BF$3+6)),"◆",""))</f>
      </c>
      <c r="BG24" s="26">
        <f>IF(OR($A24="",BG$3=""),"",IF(AND($J24&lt;&gt;"",$K24&lt;&gt;"",$J24=$K24,$J24&gt;=BG$3,$J24&lt;=IF(param_mode_affichage="mois",EOMONTH(BG$3,0),BG$3+6)),"◆",""))</f>
      </c>
      <c r="BH24" s="26">
        <f>IF(OR($A24="",BH$3=""),"",IF(AND($J24&lt;&gt;"",$K24&lt;&gt;"",$J24=$K24,$J24&gt;=BH$3,$J24&lt;=IF(param_mode_affichage="mois",EOMONTH(BH$3,0),BH$3+6)),"◆",""))</f>
      </c>
      <c r="BI24" s="26">
        <f>IF(OR($A24="",BI$3=""),"",IF(AND($J24&lt;&gt;"",$K24&lt;&gt;"",$J24=$K24,$J24&gt;=BI$3,$J24&lt;=IF(param_mode_affichage="mois",EOMONTH(BI$3,0),BI$3+6)),"◆",""))</f>
      </c>
      <c r="BJ24" s="26">
        <f>IF(OR($A24="",BJ$3=""),"",IF(AND($J24&lt;&gt;"",$K24&lt;&gt;"",$J24=$K24,$J24&gt;=BJ$3,$J24&lt;=IF(param_mode_affichage="mois",EOMONTH(BJ$3,0),BJ$3+6)),"◆",""))</f>
      </c>
      <c r="BK24" s="26">
        <f>IF(OR($A24="",BK$3=""),"",IF(AND($J24&lt;&gt;"",$K24&lt;&gt;"",$J24=$K24,$J24&gt;=BK$3,$J24&lt;=IF(param_mode_affichage="mois",EOMONTH(BK$3,0),BK$3+6)),"◆",""))</f>
      </c>
      <c r="BL24" s="26">
        <f>IF(OR($A24="",BL$3=""),"",IF(AND($J24&lt;&gt;"",$K24&lt;&gt;"",$J24=$K24,$J24&gt;=BL$3,$J24&lt;=IF(param_mode_affichage="mois",EOMONTH(BL$3,0),BL$3+6)),"◆",""))</f>
      </c>
    </row>
    <row r="25" spans="1:64" x14ac:dyDescent="0.25">
      <c r="A25" s="23">
        <f>IFERROR(INDEX(tblTasks[ID],ROW()-4),"")</f>
      </c>
      <c r="B25" s="24">
        <f>IF($A25="","",INDEX(tblTasks[Sujet],ROW()-4))</f>
      </c>
      <c r="C25" s="23">
        <f>IF($A25="","",INDEX(tblTasks[Responsable],ROW()-4))</f>
      </c>
      <c r="D25" s="23">
        <f>IF($A25="","",INDEX(tblTasks[Statut],ROW()-4))</f>
      </c>
      <c r="E25" s="23">
        <f>IF($A25="","",INDEX(tblTasks[Depend_de],ROW()-4))</f>
      </c>
      <c r="F25" s="23">
        <f>IF($A25="","",INDEX(tblTasks[Blocage],ROW()-4))</f>
      </c>
      <c r="G25" s="23">
        <f>IF($A25="","",INDEX(tblTasks[Niveau_criticite],ROW()-4))</f>
      </c>
      <c r="H25" s="23">
        <f>IF($A25="","",INDEX(tblTasks[Goulot],ROW()-4))</f>
      </c>
      <c r="I25" s="23">
        <f>IF($A25="","",IF(LOWER($F25)="oui","non",IF($E25="","oui",IFERROR(IF(LOWER(INDEX(tblTasks[Statut],MATCH($E25,tblTasks[ID],0)))="clos","oui","non"),"non"))))</f>
      </c>
      <c r="J25" s="25">
        <f>IF($A25="","",INDEX(tblTasks[Date_debut_prevue],ROW()-4))</f>
      </c>
      <c r="K25" s="25">
        <f>IF($A25="","",INDEX(tblTasks[Date_fin_prevue],ROW()-4))</f>
      </c>
      <c r="L25" s="23">
        <f>IF($A25="","",INDEX(tblTasks[Irreversibilite],ROW()-4))</f>
      </c>
      <c r="M25" s="26">
        <f>IF(OR($A25="",M$3=""),"",IF(AND($J25&lt;&gt;"",$K25&lt;&gt;"",$J25=$K25,$J25&gt;=M$3,$J25&lt;=IF(param_mode_affichage="mois",EOMONTH(M$3,0),M$3+6)),"◆",""))</f>
      </c>
      <c r="N25" s="26">
        <f>IF(OR($A25="",N$3=""),"",IF(AND($J25&lt;&gt;"",$K25&lt;&gt;"",$J25=$K25,$J25&gt;=N$3,$J25&lt;=IF(param_mode_affichage="mois",EOMONTH(N$3,0),N$3+6)),"◆",""))</f>
      </c>
      <c r="O25" s="26">
        <f>IF(OR($A25="",O$3=""),"",IF(AND($J25&lt;&gt;"",$K25&lt;&gt;"",$J25=$K25,$J25&gt;=O$3,$J25&lt;=IF(param_mode_affichage="mois",EOMONTH(O$3,0),O$3+6)),"◆",""))</f>
      </c>
      <c r="P25" s="26">
        <f>IF(OR($A25="",P$3=""),"",IF(AND($J25&lt;&gt;"",$K25&lt;&gt;"",$J25=$K25,$J25&gt;=P$3,$J25&lt;=IF(param_mode_affichage="mois",EOMONTH(P$3,0),P$3+6)),"◆",""))</f>
      </c>
      <c r="Q25" s="26">
        <f>IF(OR($A25="",Q$3=""),"",IF(AND($J25&lt;&gt;"",$K25&lt;&gt;"",$J25=$K25,$J25&gt;=Q$3,$J25&lt;=IF(param_mode_affichage="mois",EOMONTH(Q$3,0),Q$3+6)),"◆",""))</f>
      </c>
      <c r="R25" s="26">
        <f>IF(OR($A25="",R$3=""),"",IF(AND($J25&lt;&gt;"",$K25&lt;&gt;"",$J25=$K25,$J25&gt;=R$3,$J25&lt;=IF(param_mode_affichage="mois",EOMONTH(R$3,0),R$3+6)),"◆",""))</f>
      </c>
      <c r="S25" s="26">
        <f>IF(OR($A25="",S$3=""),"",IF(AND($J25&lt;&gt;"",$K25&lt;&gt;"",$J25=$K25,$J25&gt;=S$3,$J25&lt;=IF(param_mode_affichage="mois",EOMONTH(S$3,0),S$3+6)),"◆",""))</f>
      </c>
      <c r="T25" s="26">
        <f>IF(OR($A25="",T$3=""),"",IF(AND($J25&lt;&gt;"",$K25&lt;&gt;"",$J25=$K25,$J25&gt;=T$3,$J25&lt;=IF(param_mode_affichage="mois",EOMONTH(T$3,0),T$3+6)),"◆",""))</f>
      </c>
      <c r="U25" s="26">
        <f>IF(OR($A25="",U$3=""),"",IF(AND($J25&lt;&gt;"",$K25&lt;&gt;"",$J25=$K25,$J25&gt;=U$3,$J25&lt;=IF(param_mode_affichage="mois",EOMONTH(U$3,0),U$3+6)),"◆",""))</f>
      </c>
      <c r="V25" s="26">
        <f>IF(OR($A25="",V$3=""),"",IF(AND($J25&lt;&gt;"",$K25&lt;&gt;"",$J25=$K25,$J25&gt;=V$3,$J25&lt;=IF(param_mode_affichage="mois",EOMONTH(V$3,0),V$3+6)),"◆",""))</f>
      </c>
      <c r="W25" s="26">
        <f>IF(OR($A25="",W$3=""),"",IF(AND($J25&lt;&gt;"",$K25&lt;&gt;"",$J25=$K25,$J25&gt;=W$3,$J25&lt;=IF(param_mode_affichage="mois",EOMONTH(W$3,0),W$3+6)),"◆",""))</f>
      </c>
      <c r="X25" s="26">
        <f>IF(OR($A25="",X$3=""),"",IF(AND($J25&lt;&gt;"",$K25&lt;&gt;"",$J25=$K25,$J25&gt;=X$3,$J25&lt;=IF(param_mode_affichage="mois",EOMONTH(X$3,0),X$3+6)),"◆",""))</f>
      </c>
      <c r="Y25" s="26">
        <f>IF(OR($A25="",Y$3=""),"",IF(AND($J25&lt;&gt;"",$K25&lt;&gt;"",$J25=$K25,$J25&gt;=Y$3,$J25&lt;=IF(param_mode_affichage="mois",EOMONTH(Y$3,0),Y$3+6)),"◆",""))</f>
      </c>
      <c r="Z25" s="26">
        <f>IF(OR($A25="",Z$3=""),"",IF(AND($J25&lt;&gt;"",$K25&lt;&gt;"",$J25=$K25,$J25&gt;=Z$3,$J25&lt;=IF(param_mode_affichage="mois",EOMONTH(Z$3,0),Z$3+6)),"◆",""))</f>
      </c>
      <c r="AA25" s="26">
        <f>IF(OR($A25="",AA$3=""),"",IF(AND($J25&lt;&gt;"",$K25&lt;&gt;"",$J25=$K25,$J25&gt;=AA$3,$J25&lt;=IF(param_mode_affichage="mois",EOMONTH(AA$3,0),AA$3+6)),"◆",""))</f>
      </c>
      <c r="AB25" s="26">
        <f>IF(OR($A25="",AB$3=""),"",IF(AND($J25&lt;&gt;"",$K25&lt;&gt;"",$J25=$K25,$J25&gt;=AB$3,$J25&lt;=IF(param_mode_affichage="mois",EOMONTH(AB$3,0),AB$3+6)),"◆",""))</f>
      </c>
      <c r="AC25" s="26">
        <f>IF(OR($A25="",AC$3=""),"",IF(AND($J25&lt;&gt;"",$K25&lt;&gt;"",$J25=$K25,$J25&gt;=AC$3,$J25&lt;=IF(param_mode_affichage="mois",EOMONTH(AC$3,0),AC$3+6)),"◆",""))</f>
      </c>
      <c r="AD25" s="26">
        <f>IF(OR($A25="",AD$3=""),"",IF(AND($J25&lt;&gt;"",$K25&lt;&gt;"",$J25=$K25,$J25&gt;=AD$3,$J25&lt;=IF(param_mode_affichage="mois",EOMONTH(AD$3,0),AD$3+6)),"◆",""))</f>
      </c>
      <c r="AE25" s="26">
        <f>IF(OR($A25="",AE$3=""),"",IF(AND($J25&lt;&gt;"",$K25&lt;&gt;"",$J25=$K25,$J25&gt;=AE$3,$J25&lt;=IF(param_mode_affichage="mois",EOMONTH(AE$3,0),AE$3+6)),"◆",""))</f>
      </c>
      <c r="AF25" s="26">
        <f>IF(OR($A25="",AF$3=""),"",IF(AND($J25&lt;&gt;"",$K25&lt;&gt;"",$J25=$K25,$J25&gt;=AF$3,$J25&lt;=IF(param_mode_affichage="mois",EOMONTH(AF$3,0),AF$3+6)),"◆",""))</f>
      </c>
      <c r="AG25" s="26">
        <f>IF(OR($A25="",AG$3=""),"",IF(AND($J25&lt;&gt;"",$K25&lt;&gt;"",$J25=$K25,$J25&gt;=AG$3,$J25&lt;=IF(param_mode_affichage="mois",EOMONTH(AG$3,0),AG$3+6)),"◆",""))</f>
      </c>
      <c r="AH25" s="26">
        <f>IF(OR($A25="",AH$3=""),"",IF(AND($J25&lt;&gt;"",$K25&lt;&gt;"",$J25=$K25,$J25&gt;=AH$3,$J25&lt;=IF(param_mode_affichage="mois",EOMONTH(AH$3,0),AH$3+6)),"◆",""))</f>
      </c>
      <c r="AI25" s="26">
        <f>IF(OR($A25="",AI$3=""),"",IF(AND($J25&lt;&gt;"",$K25&lt;&gt;"",$J25=$K25,$J25&gt;=AI$3,$J25&lt;=IF(param_mode_affichage="mois",EOMONTH(AI$3,0),AI$3+6)),"◆",""))</f>
      </c>
      <c r="AJ25" s="26">
        <f>IF(OR($A25="",AJ$3=""),"",IF(AND($J25&lt;&gt;"",$K25&lt;&gt;"",$J25=$K25,$J25&gt;=AJ$3,$J25&lt;=IF(param_mode_affichage="mois",EOMONTH(AJ$3,0),AJ$3+6)),"◆",""))</f>
      </c>
      <c r="AK25" s="26">
        <f>IF(OR($A25="",AK$3=""),"",IF(AND($J25&lt;&gt;"",$K25&lt;&gt;"",$J25=$K25,$J25&gt;=AK$3,$J25&lt;=IF(param_mode_affichage="mois",EOMONTH(AK$3,0),AK$3+6)),"◆",""))</f>
      </c>
      <c r="AL25" s="26">
        <f>IF(OR($A25="",AL$3=""),"",IF(AND($J25&lt;&gt;"",$K25&lt;&gt;"",$J25=$K25,$J25&gt;=AL$3,$J25&lt;=IF(param_mode_affichage="mois",EOMONTH(AL$3,0),AL$3+6)),"◆",""))</f>
      </c>
      <c r="AM25" s="26">
        <f>IF(OR($A25="",AM$3=""),"",IF(AND($J25&lt;&gt;"",$K25&lt;&gt;"",$J25=$K25,$J25&gt;=AM$3,$J25&lt;=IF(param_mode_affichage="mois",EOMONTH(AM$3,0),AM$3+6)),"◆",""))</f>
      </c>
      <c r="AN25" s="26">
        <f>IF(OR($A25="",AN$3=""),"",IF(AND($J25&lt;&gt;"",$K25&lt;&gt;"",$J25=$K25,$J25&gt;=AN$3,$J25&lt;=IF(param_mode_affichage="mois",EOMONTH(AN$3,0),AN$3+6)),"◆",""))</f>
      </c>
      <c r="AO25" s="26">
        <f>IF(OR($A25="",AO$3=""),"",IF(AND($J25&lt;&gt;"",$K25&lt;&gt;"",$J25=$K25,$J25&gt;=AO$3,$J25&lt;=IF(param_mode_affichage="mois",EOMONTH(AO$3,0),AO$3+6)),"◆",""))</f>
      </c>
      <c r="AP25" s="26">
        <f>IF(OR($A25="",AP$3=""),"",IF(AND($J25&lt;&gt;"",$K25&lt;&gt;"",$J25=$K25,$J25&gt;=AP$3,$J25&lt;=IF(param_mode_affichage="mois",EOMONTH(AP$3,0),AP$3+6)),"◆",""))</f>
      </c>
      <c r="AQ25" s="26">
        <f>IF(OR($A25="",AQ$3=""),"",IF(AND($J25&lt;&gt;"",$K25&lt;&gt;"",$J25=$K25,$J25&gt;=AQ$3,$J25&lt;=IF(param_mode_affichage="mois",EOMONTH(AQ$3,0),AQ$3+6)),"◆",""))</f>
      </c>
      <c r="AR25" s="26">
        <f>IF(OR($A25="",AR$3=""),"",IF(AND($J25&lt;&gt;"",$K25&lt;&gt;"",$J25=$K25,$J25&gt;=AR$3,$J25&lt;=IF(param_mode_affichage="mois",EOMONTH(AR$3,0),AR$3+6)),"◆",""))</f>
      </c>
      <c r="AS25" s="26">
        <f>IF(OR($A25="",AS$3=""),"",IF(AND($J25&lt;&gt;"",$K25&lt;&gt;"",$J25=$K25,$J25&gt;=AS$3,$J25&lt;=IF(param_mode_affichage="mois",EOMONTH(AS$3,0),AS$3+6)),"◆",""))</f>
      </c>
      <c r="AT25" s="26">
        <f>IF(OR($A25="",AT$3=""),"",IF(AND($J25&lt;&gt;"",$K25&lt;&gt;"",$J25=$K25,$J25&gt;=AT$3,$J25&lt;=IF(param_mode_affichage="mois",EOMONTH(AT$3,0),AT$3+6)),"◆",""))</f>
      </c>
      <c r="AU25" s="26">
        <f>IF(OR($A25="",AU$3=""),"",IF(AND($J25&lt;&gt;"",$K25&lt;&gt;"",$J25=$K25,$J25&gt;=AU$3,$J25&lt;=IF(param_mode_affichage="mois",EOMONTH(AU$3,0),AU$3+6)),"◆",""))</f>
      </c>
      <c r="AV25" s="26">
        <f>IF(OR($A25="",AV$3=""),"",IF(AND($J25&lt;&gt;"",$K25&lt;&gt;"",$J25=$K25,$J25&gt;=AV$3,$J25&lt;=IF(param_mode_affichage="mois",EOMONTH(AV$3,0),AV$3+6)),"◆",""))</f>
      </c>
      <c r="AW25" s="26">
        <f>IF(OR($A25="",AW$3=""),"",IF(AND($J25&lt;&gt;"",$K25&lt;&gt;"",$J25=$K25,$J25&gt;=AW$3,$J25&lt;=IF(param_mode_affichage="mois",EOMONTH(AW$3,0),AW$3+6)),"◆",""))</f>
      </c>
      <c r="AX25" s="26">
        <f>IF(OR($A25="",AX$3=""),"",IF(AND($J25&lt;&gt;"",$K25&lt;&gt;"",$J25=$K25,$J25&gt;=AX$3,$J25&lt;=IF(param_mode_affichage="mois",EOMONTH(AX$3,0),AX$3+6)),"◆",""))</f>
      </c>
      <c r="AY25" s="26">
        <f>IF(OR($A25="",AY$3=""),"",IF(AND($J25&lt;&gt;"",$K25&lt;&gt;"",$J25=$K25,$J25&gt;=AY$3,$J25&lt;=IF(param_mode_affichage="mois",EOMONTH(AY$3,0),AY$3+6)),"◆",""))</f>
      </c>
      <c r="AZ25" s="26">
        <f>IF(OR($A25="",AZ$3=""),"",IF(AND($J25&lt;&gt;"",$K25&lt;&gt;"",$J25=$K25,$J25&gt;=AZ$3,$J25&lt;=IF(param_mode_affichage="mois",EOMONTH(AZ$3,0),AZ$3+6)),"◆",""))</f>
      </c>
      <c r="BA25" s="26">
        <f>IF(OR($A25="",BA$3=""),"",IF(AND($J25&lt;&gt;"",$K25&lt;&gt;"",$J25=$K25,$J25&gt;=BA$3,$J25&lt;=IF(param_mode_affichage="mois",EOMONTH(BA$3,0),BA$3+6)),"◆",""))</f>
      </c>
      <c r="BB25" s="26">
        <f>IF(OR($A25="",BB$3=""),"",IF(AND($J25&lt;&gt;"",$K25&lt;&gt;"",$J25=$K25,$J25&gt;=BB$3,$J25&lt;=IF(param_mode_affichage="mois",EOMONTH(BB$3,0),BB$3+6)),"◆",""))</f>
      </c>
      <c r="BC25" s="26">
        <f>IF(OR($A25="",BC$3=""),"",IF(AND($J25&lt;&gt;"",$K25&lt;&gt;"",$J25=$K25,$J25&gt;=BC$3,$J25&lt;=IF(param_mode_affichage="mois",EOMONTH(BC$3,0),BC$3+6)),"◆",""))</f>
      </c>
      <c r="BD25" s="26">
        <f>IF(OR($A25="",BD$3=""),"",IF(AND($J25&lt;&gt;"",$K25&lt;&gt;"",$J25=$K25,$J25&gt;=BD$3,$J25&lt;=IF(param_mode_affichage="mois",EOMONTH(BD$3,0),BD$3+6)),"◆",""))</f>
      </c>
      <c r="BE25" s="26">
        <f>IF(OR($A25="",BE$3=""),"",IF(AND($J25&lt;&gt;"",$K25&lt;&gt;"",$J25=$K25,$J25&gt;=BE$3,$J25&lt;=IF(param_mode_affichage="mois",EOMONTH(BE$3,0),BE$3+6)),"◆",""))</f>
      </c>
      <c r="BF25" s="26">
        <f>IF(OR($A25="",BF$3=""),"",IF(AND($J25&lt;&gt;"",$K25&lt;&gt;"",$J25=$K25,$J25&gt;=BF$3,$J25&lt;=IF(param_mode_affichage="mois",EOMONTH(BF$3,0),BF$3+6)),"◆",""))</f>
      </c>
      <c r="BG25" s="26">
        <f>IF(OR($A25="",BG$3=""),"",IF(AND($J25&lt;&gt;"",$K25&lt;&gt;"",$J25=$K25,$J25&gt;=BG$3,$J25&lt;=IF(param_mode_affichage="mois",EOMONTH(BG$3,0),BG$3+6)),"◆",""))</f>
      </c>
      <c r="BH25" s="26">
        <f>IF(OR($A25="",BH$3=""),"",IF(AND($J25&lt;&gt;"",$K25&lt;&gt;"",$J25=$K25,$J25&gt;=BH$3,$J25&lt;=IF(param_mode_affichage="mois",EOMONTH(BH$3,0),BH$3+6)),"◆",""))</f>
      </c>
      <c r="BI25" s="26">
        <f>IF(OR($A25="",BI$3=""),"",IF(AND($J25&lt;&gt;"",$K25&lt;&gt;"",$J25=$K25,$J25&gt;=BI$3,$J25&lt;=IF(param_mode_affichage="mois",EOMONTH(BI$3,0),BI$3+6)),"◆",""))</f>
      </c>
      <c r="BJ25" s="26">
        <f>IF(OR($A25="",BJ$3=""),"",IF(AND($J25&lt;&gt;"",$K25&lt;&gt;"",$J25=$K25,$J25&gt;=BJ$3,$J25&lt;=IF(param_mode_affichage="mois",EOMONTH(BJ$3,0),BJ$3+6)),"◆",""))</f>
      </c>
      <c r="BK25" s="26">
        <f>IF(OR($A25="",BK$3=""),"",IF(AND($J25&lt;&gt;"",$K25&lt;&gt;"",$J25=$K25,$J25&gt;=BK$3,$J25&lt;=IF(param_mode_affichage="mois",EOMONTH(BK$3,0),BK$3+6)),"◆",""))</f>
      </c>
      <c r="BL25" s="26">
        <f>IF(OR($A25="",BL$3=""),"",IF(AND($J25&lt;&gt;"",$K25&lt;&gt;"",$J25=$K25,$J25&gt;=BL$3,$J25&lt;=IF(param_mode_affichage="mois",EOMONTH(BL$3,0),BL$3+6)),"◆",""))</f>
      </c>
    </row>
    <row r="26" spans="1:64" x14ac:dyDescent="0.25">
      <c r="A26" s="23">
        <f>IFERROR(INDEX(tblTasks[ID],ROW()-4),"")</f>
      </c>
      <c r="B26" s="24">
        <f>IF($A26="","",INDEX(tblTasks[Sujet],ROW()-4))</f>
      </c>
      <c r="C26" s="23">
        <f>IF($A26="","",INDEX(tblTasks[Responsable],ROW()-4))</f>
      </c>
      <c r="D26" s="23">
        <f>IF($A26="","",INDEX(tblTasks[Statut],ROW()-4))</f>
      </c>
      <c r="E26" s="23">
        <f>IF($A26="","",INDEX(tblTasks[Depend_de],ROW()-4))</f>
      </c>
      <c r="F26" s="23">
        <f>IF($A26="","",INDEX(tblTasks[Blocage],ROW()-4))</f>
      </c>
      <c r="G26" s="23">
        <f>IF($A26="","",INDEX(tblTasks[Niveau_criticite],ROW()-4))</f>
      </c>
      <c r="H26" s="23">
        <f>IF($A26="","",INDEX(tblTasks[Goulot],ROW()-4))</f>
      </c>
      <c r="I26" s="23">
        <f>IF($A26="","",IF(LOWER($F26)="oui","non",IF($E26="","oui",IFERROR(IF(LOWER(INDEX(tblTasks[Statut],MATCH($E26,tblTasks[ID],0)))="clos","oui","non"),"non"))))</f>
      </c>
      <c r="J26" s="25">
        <f>IF($A26="","",INDEX(tblTasks[Date_debut_prevue],ROW()-4))</f>
      </c>
      <c r="K26" s="25">
        <f>IF($A26="","",INDEX(tblTasks[Date_fin_prevue],ROW()-4))</f>
      </c>
      <c r="L26" s="23">
        <f>IF($A26="","",INDEX(tblTasks[Irreversibilite],ROW()-4))</f>
      </c>
      <c r="M26" s="26">
        <f>IF(OR($A26="",M$3=""),"",IF(AND($J26&lt;&gt;"",$K26&lt;&gt;"",$J26=$K26,$J26&gt;=M$3,$J26&lt;=IF(param_mode_affichage="mois",EOMONTH(M$3,0),M$3+6)),"◆",""))</f>
      </c>
      <c r="N26" s="26">
        <f>IF(OR($A26="",N$3=""),"",IF(AND($J26&lt;&gt;"",$K26&lt;&gt;"",$J26=$K26,$J26&gt;=N$3,$J26&lt;=IF(param_mode_affichage="mois",EOMONTH(N$3,0),N$3+6)),"◆",""))</f>
      </c>
      <c r="O26" s="26">
        <f>IF(OR($A26="",O$3=""),"",IF(AND($J26&lt;&gt;"",$K26&lt;&gt;"",$J26=$K26,$J26&gt;=O$3,$J26&lt;=IF(param_mode_affichage="mois",EOMONTH(O$3,0),O$3+6)),"◆",""))</f>
      </c>
      <c r="P26" s="26">
        <f>IF(OR($A26="",P$3=""),"",IF(AND($J26&lt;&gt;"",$K26&lt;&gt;"",$J26=$K26,$J26&gt;=P$3,$J26&lt;=IF(param_mode_affichage="mois",EOMONTH(P$3,0),P$3+6)),"◆",""))</f>
      </c>
      <c r="Q26" s="26">
        <f>IF(OR($A26="",Q$3=""),"",IF(AND($J26&lt;&gt;"",$K26&lt;&gt;"",$J26=$K26,$J26&gt;=Q$3,$J26&lt;=IF(param_mode_affichage="mois",EOMONTH(Q$3,0),Q$3+6)),"◆",""))</f>
      </c>
      <c r="R26" s="26">
        <f>IF(OR($A26="",R$3=""),"",IF(AND($J26&lt;&gt;"",$K26&lt;&gt;"",$J26=$K26,$J26&gt;=R$3,$J26&lt;=IF(param_mode_affichage="mois",EOMONTH(R$3,0),R$3+6)),"◆",""))</f>
      </c>
      <c r="S26" s="26">
        <f>IF(OR($A26="",S$3=""),"",IF(AND($J26&lt;&gt;"",$K26&lt;&gt;"",$J26=$K26,$J26&gt;=S$3,$J26&lt;=IF(param_mode_affichage="mois",EOMONTH(S$3,0),S$3+6)),"◆",""))</f>
      </c>
      <c r="T26" s="26">
        <f>IF(OR($A26="",T$3=""),"",IF(AND($J26&lt;&gt;"",$K26&lt;&gt;"",$J26=$K26,$J26&gt;=T$3,$J26&lt;=IF(param_mode_affichage="mois",EOMONTH(T$3,0),T$3+6)),"◆",""))</f>
      </c>
      <c r="U26" s="26">
        <f>IF(OR($A26="",U$3=""),"",IF(AND($J26&lt;&gt;"",$K26&lt;&gt;"",$J26=$K26,$J26&gt;=U$3,$J26&lt;=IF(param_mode_affichage="mois",EOMONTH(U$3,0),U$3+6)),"◆",""))</f>
      </c>
      <c r="V26" s="26">
        <f>IF(OR($A26="",V$3=""),"",IF(AND($J26&lt;&gt;"",$K26&lt;&gt;"",$J26=$K26,$J26&gt;=V$3,$J26&lt;=IF(param_mode_affichage="mois",EOMONTH(V$3,0),V$3+6)),"◆",""))</f>
      </c>
      <c r="W26" s="26">
        <f>IF(OR($A26="",W$3=""),"",IF(AND($J26&lt;&gt;"",$K26&lt;&gt;"",$J26=$K26,$J26&gt;=W$3,$J26&lt;=IF(param_mode_affichage="mois",EOMONTH(W$3,0),W$3+6)),"◆",""))</f>
      </c>
      <c r="X26" s="26">
        <f>IF(OR($A26="",X$3=""),"",IF(AND($J26&lt;&gt;"",$K26&lt;&gt;"",$J26=$K26,$J26&gt;=X$3,$J26&lt;=IF(param_mode_affichage="mois",EOMONTH(X$3,0),X$3+6)),"◆",""))</f>
      </c>
      <c r="Y26" s="26">
        <f>IF(OR($A26="",Y$3=""),"",IF(AND($J26&lt;&gt;"",$K26&lt;&gt;"",$J26=$K26,$J26&gt;=Y$3,$J26&lt;=IF(param_mode_affichage="mois",EOMONTH(Y$3,0),Y$3+6)),"◆",""))</f>
      </c>
      <c r="Z26" s="26">
        <f>IF(OR($A26="",Z$3=""),"",IF(AND($J26&lt;&gt;"",$K26&lt;&gt;"",$J26=$K26,$J26&gt;=Z$3,$J26&lt;=IF(param_mode_affichage="mois",EOMONTH(Z$3,0),Z$3+6)),"◆",""))</f>
      </c>
      <c r="AA26" s="26">
        <f>IF(OR($A26="",AA$3=""),"",IF(AND($J26&lt;&gt;"",$K26&lt;&gt;"",$J26=$K26,$J26&gt;=AA$3,$J26&lt;=IF(param_mode_affichage="mois",EOMONTH(AA$3,0),AA$3+6)),"◆",""))</f>
      </c>
      <c r="AB26" s="26">
        <f>IF(OR($A26="",AB$3=""),"",IF(AND($J26&lt;&gt;"",$K26&lt;&gt;"",$J26=$K26,$J26&gt;=AB$3,$J26&lt;=IF(param_mode_affichage="mois",EOMONTH(AB$3,0),AB$3+6)),"◆",""))</f>
      </c>
      <c r="AC26" s="26">
        <f>IF(OR($A26="",AC$3=""),"",IF(AND($J26&lt;&gt;"",$K26&lt;&gt;"",$J26=$K26,$J26&gt;=AC$3,$J26&lt;=IF(param_mode_affichage="mois",EOMONTH(AC$3,0),AC$3+6)),"◆",""))</f>
      </c>
      <c r="AD26" s="26">
        <f>IF(OR($A26="",AD$3=""),"",IF(AND($J26&lt;&gt;"",$K26&lt;&gt;"",$J26=$K26,$J26&gt;=AD$3,$J26&lt;=IF(param_mode_affichage="mois",EOMONTH(AD$3,0),AD$3+6)),"◆",""))</f>
      </c>
      <c r="AE26" s="26">
        <f>IF(OR($A26="",AE$3=""),"",IF(AND($J26&lt;&gt;"",$K26&lt;&gt;"",$J26=$K26,$J26&gt;=AE$3,$J26&lt;=IF(param_mode_affichage="mois",EOMONTH(AE$3,0),AE$3+6)),"◆",""))</f>
      </c>
      <c r="AF26" s="26">
        <f>IF(OR($A26="",AF$3=""),"",IF(AND($J26&lt;&gt;"",$K26&lt;&gt;"",$J26=$K26,$J26&gt;=AF$3,$J26&lt;=IF(param_mode_affichage="mois",EOMONTH(AF$3,0),AF$3+6)),"◆",""))</f>
      </c>
      <c r="AG26" s="26">
        <f>IF(OR($A26="",AG$3=""),"",IF(AND($J26&lt;&gt;"",$K26&lt;&gt;"",$J26=$K26,$J26&gt;=AG$3,$J26&lt;=IF(param_mode_affichage="mois",EOMONTH(AG$3,0),AG$3+6)),"◆",""))</f>
      </c>
      <c r="AH26" s="26">
        <f>IF(OR($A26="",AH$3=""),"",IF(AND($J26&lt;&gt;"",$K26&lt;&gt;"",$J26=$K26,$J26&gt;=AH$3,$J26&lt;=IF(param_mode_affichage="mois",EOMONTH(AH$3,0),AH$3+6)),"◆",""))</f>
      </c>
      <c r="AI26" s="26">
        <f>IF(OR($A26="",AI$3=""),"",IF(AND($J26&lt;&gt;"",$K26&lt;&gt;"",$J26=$K26,$J26&gt;=AI$3,$J26&lt;=IF(param_mode_affichage="mois",EOMONTH(AI$3,0),AI$3+6)),"◆",""))</f>
      </c>
      <c r="AJ26" s="26">
        <f>IF(OR($A26="",AJ$3=""),"",IF(AND($J26&lt;&gt;"",$K26&lt;&gt;"",$J26=$K26,$J26&gt;=AJ$3,$J26&lt;=IF(param_mode_affichage="mois",EOMONTH(AJ$3,0),AJ$3+6)),"◆",""))</f>
      </c>
      <c r="AK26" s="26">
        <f>IF(OR($A26="",AK$3=""),"",IF(AND($J26&lt;&gt;"",$K26&lt;&gt;"",$J26=$K26,$J26&gt;=AK$3,$J26&lt;=IF(param_mode_affichage="mois",EOMONTH(AK$3,0),AK$3+6)),"◆",""))</f>
      </c>
      <c r="AL26" s="26">
        <f>IF(OR($A26="",AL$3=""),"",IF(AND($J26&lt;&gt;"",$K26&lt;&gt;"",$J26=$K26,$J26&gt;=AL$3,$J26&lt;=IF(param_mode_affichage="mois",EOMONTH(AL$3,0),AL$3+6)),"◆",""))</f>
      </c>
      <c r="AM26" s="26">
        <f>IF(OR($A26="",AM$3=""),"",IF(AND($J26&lt;&gt;"",$K26&lt;&gt;"",$J26=$K26,$J26&gt;=AM$3,$J26&lt;=IF(param_mode_affichage="mois",EOMONTH(AM$3,0),AM$3+6)),"◆",""))</f>
      </c>
      <c r="AN26" s="26">
        <f>IF(OR($A26="",AN$3=""),"",IF(AND($J26&lt;&gt;"",$K26&lt;&gt;"",$J26=$K26,$J26&gt;=AN$3,$J26&lt;=IF(param_mode_affichage="mois",EOMONTH(AN$3,0),AN$3+6)),"◆",""))</f>
      </c>
      <c r="AO26" s="26">
        <f>IF(OR($A26="",AO$3=""),"",IF(AND($J26&lt;&gt;"",$K26&lt;&gt;"",$J26=$K26,$J26&gt;=AO$3,$J26&lt;=IF(param_mode_affichage="mois",EOMONTH(AO$3,0),AO$3+6)),"◆",""))</f>
      </c>
      <c r="AP26" s="26">
        <f>IF(OR($A26="",AP$3=""),"",IF(AND($J26&lt;&gt;"",$K26&lt;&gt;"",$J26=$K26,$J26&gt;=AP$3,$J26&lt;=IF(param_mode_affichage="mois",EOMONTH(AP$3,0),AP$3+6)),"◆",""))</f>
      </c>
      <c r="AQ26" s="26">
        <f>IF(OR($A26="",AQ$3=""),"",IF(AND($J26&lt;&gt;"",$K26&lt;&gt;"",$J26=$K26,$J26&gt;=AQ$3,$J26&lt;=IF(param_mode_affichage="mois",EOMONTH(AQ$3,0),AQ$3+6)),"◆",""))</f>
      </c>
      <c r="AR26" s="26">
        <f>IF(OR($A26="",AR$3=""),"",IF(AND($J26&lt;&gt;"",$K26&lt;&gt;"",$J26=$K26,$J26&gt;=AR$3,$J26&lt;=IF(param_mode_affichage="mois",EOMONTH(AR$3,0),AR$3+6)),"◆",""))</f>
      </c>
      <c r="AS26" s="26">
        <f>IF(OR($A26="",AS$3=""),"",IF(AND($J26&lt;&gt;"",$K26&lt;&gt;"",$J26=$K26,$J26&gt;=AS$3,$J26&lt;=IF(param_mode_affichage="mois",EOMONTH(AS$3,0),AS$3+6)),"◆",""))</f>
      </c>
      <c r="AT26" s="26">
        <f>IF(OR($A26="",AT$3=""),"",IF(AND($J26&lt;&gt;"",$K26&lt;&gt;"",$J26=$K26,$J26&gt;=AT$3,$J26&lt;=IF(param_mode_affichage="mois",EOMONTH(AT$3,0),AT$3+6)),"◆",""))</f>
      </c>
      <c r="AU26" s="26">
        <f>IF(OR($A26="",AU$3=""),"",IF(AND($J26&lt;&gt;"",$K26&lt;&gt;"",$J26=$K26,$J26&gt;=AU$3,$J26&lt;=IF(param_mode_affichage="mois",EOMONTH(AU$3,0),AU$3+6)),"◆",""))</f>
      </c>
      <c r="AV26" s="26">
        <f>IF(OR($A26="",AV$3=""),"",IF(AND($J26&lt;&gt;"",$K26&lt;&gt;"",$J26=$K26,$J26&gt;=AV$3,$J26&lt;=IF(param_mode_affichage="mois",EOMONTH(AV$3,0),AV$3+6)),"◆",""))</f>
      </c>
      <c r="AW26" s="26">
        <f>IF(OR($A26="",AW$3=""),"",IF(AND($J26&lt;&gt;"",$K26&lt;&gt;"",$J26=$K26,$J26&gt;=AW$3,$J26&lt;=IF(param_mode_affichage="mois",EOMONTH(AW$3,0),AW$3+6)),"◆",""))</f>
      </c>
      <c r="AX26" s="26">
        <f>IF(OR($A26="",AX$3=""),"",IF(AND($J26&lt;&gt;"",$K26&lt;&gt;"",$J26=$K26,$J26&gt;=AX$3,$J26&lt;=IF(param_mode_affichage="mois",EOMONTH(AX$3,0),AX$3+6)),"◆",""))</f>
      </c>
      <c r="AY26" s="26">
        <f>IF(OR($A26="",AY$3=""),"",IF(AND($J26&lt;&gt;"",$K26&lt;&gt;"",$J26=$K26,$J26&gt;=AY$3,$J26&lt;=IF(param_mode_affichage="mois",EOMONTH(AY$3,0),AY$3+6)),"◆",""))</f>
      </c>
      <c r="AZ26" s="26">
        <f>IF(OR($A26="",AZ$3=""),"",IF(AND($J26&lt;&gt;"",$K26&lt;&gt;"",$J26=$K26,$J26&gt;=AZ$3,$J26&lt;=IF(param_mode_affichage="mois",EOMONTH(AZ$3,0),AZ$3+6)),"◆",""))</f>
      </c>
      <c r="BA26" s="26">
        <f>IF(OR($A26="",BA$3=""),"",IF(AND($J26&lt;&gt;"",$K26&lt;&gt;"",$J26=$K26,$J26&gt;=BA$3,$J26&lt;=IF(param_mode_affichage="mois",EOMONTH(BA$3,0),BA$3+6)),"◆",""))</f>
      </c>
      <c r="BB26" s="26">
        <f>IF(OR($A26="",BB$3=""),"",IF(AND($J26&lt;&gt;"",$K26&lt;&gt;"",$J26=$K26,$J26&gt;=BB$3,$J26&lt;=IF(param_mode_affichage="mois",EOMONTH(BB$3,0),BB$3+6)),"◆",""))</f>
      </c>
      <c r="BC26" s="26">
        <f>IF(OR($A26="",BC$3=""),"",IF(AND($J26&lt;&gt;"",$K26&lt;&gt;"",$J26=$K26,$J26&gt;=BC$3,$J26&lt;=IF(param_mode_affichage="mois",EOMONTH(BC$3,0),BC$3+6)),"◆",""))</f>
      </c>
      <c r="BD26" s="26">
        <f>IF(OR($A26="",BD$3=""),"",IF(AND($J26&lt;&gt;"",$K26&lt;&gt;"",$J26=$K26,$J26&gt;=BD$3,$J26&lt;=IF(param_mode_affichage="mois",EOMONTH(BD$3,0),BD$3+6)),"◆",""))</f>
      </c>
      <c r="BE26" s="26">
        <f>IF(OR($A26="",BE$3=""),"",IF(AND($J26&lt;&gt;"",$K26&lt;&gt;"",$J26=$K26,$J26&gt;=BE$3,$J26&lt;=IF(param_mode_affichage="mois",EOMONTH(BE$3,0),BE$3+6)),"◆",""))</f>
      </c>
      <c r="BF26" s="26">
        <f>IF(OR($A26="",BF$3=""),"",IF(AND($J26&lt;&gt;"",$K26&lt;&gt;"",$J26=$K26,$J26&gt;=BF$3,$J26&lt;=IF(param_mode_affichage="mois",EOMONTH(BF$3,0),BF$3+6)),"◆",""))</f>
      </c>
      <c r="BG26" s="26">
        <f>IF(OR($A26="",BG$3=""),"",IF(AND($J26&lt;&gt;"",$K26&lt;&gt;"",$J26=$K26,$J26&gt;=BG$3,$J26&lt;=IF(param_mode_affichage="mois",EOMONTH(BG$3,0),BG$3+6)),"◆",""))</f>
      </c>
      <c r="BH26" s="26">
        <f>IF(OR($A26="",BH$3=""),"",IF(AND($J26&lt;&gt;"",$K26&lt;&gt;"",$J26=$K26,$J26&gt;=BH$3,$J26&lt;=IF(param_mode_affichage="mois",EOMONTH(BH$3,0),BH$3+6)),"◆",""))</f>
      </c>
      <c r="BI26" s="26">
        <f>IF(OR($A26="",BI$3=""),"",IF(AND($J26&lt;&gt;"",$K26&lt;&gt;"",$J26=$K26,$J26&gt;=BI$3,$J26&lt;=IF(param_mode_affichage="mois",EOMONTH(BI$3,0),BI$3+6)),"◆",""))</f>
      </c>
      <c r="BJ26" s="26">
        <f>IF(OR($A26="",BJ$3=""),"",IF(AND($J26&lt;&gt;"",$K26&lt;&gt;"",$J26=$K26,$J26&gt;=BJ$3,$J26&lt;=IF(param_mode_affichage="mois",EOMONTH(BJ$3,0),BJ$3+6)),"◆",""))</f>
      </c>
      <c r="BK26" s="26">
        <f>IF(OR($A26="",BK$3=""),"",IF(AND($J26&lt;&gt;"",$K26&lt;&gt;"",$J26=$K26,$J26&gt;=BK$3,$J26&lt;=IF(param_mode_affichage="mois",EOMONTH(BK$3,0),BK$3+6)),"◆",""))</f>
      </c>
      <c r="BL26" s="26">
        <f>IF(OR($A26="",BL$3=""),"",IF(AND($J26&lt;&gt;"",$K26&lt;&gt;"",$J26=$K26,$J26&gt;=BL$3,$J26&lt;=IF(param_mode_affichage="mois",EOMONTH(BL$3,0),BL$3+6)),"◆",""))</f>
      </c>
    </row>
    <row r="27" spans="1:64" x14ac:dyDescent="0.25">
      <c r="A27" s="23">
        <f>IFERROR(INDEX(tblTasks[ID],ROW()-4),"")</f>
      </c>
      <c r="B27" s="24">
        <f>IF($A27="","",INDEX(tblTasks[Sujet],ROW()-4))</f>
      </c>
      <c r="C27" s="23">
        <f>IF($A27="","",INDEX(tblTasks[Responsable],ROW()-4))</f>
      </c>
      <c r="D27" s="23">
        <f>IF($A27="","",INDEX(tblTasks[Statut],ROW()-4))</f>
      </c>
      <c r="E27" s="23">
        <f>IF($A27="","",INDEX(tblTasks[Depend_de],ROW()-4))</f>
      </c>
      <c r="F27" s="23">
        <f>IF($A27="","",INDEX(tblTasks[Blocage],ROW()-4))</f>
      </c>
      <c r="G27" s="23">
        <f>IF($A27="","",INDEX(tblTasks[Niveau_criticite],ROW()-4))</f>
      </c>
      <c r="H27" s="23">
        <f>IF($A27="","",INDEX(tblTasks[Goulot],ROW()-4))</f>
      </c>
      <c r="I27" s="23">
        <f>IF($A27="","",IF(LOWER($F27)="oui","non",IF($E27="","oui",IFERROR(IF(LOWER(INDEX(tblTasks[Statut],MATCH($E27,tblTasks[ID],0)))="clos","oui","non"),"non"))))</f>
      </c>
      <c r="J27" s="25">
        <f>IF($A27="","",INDEX(tblTasks[Date_debut_prevue],ROW()-4))</f>
      </c>
      <c r="K27" s="25">
        <f>IF($A27="","",INDEX(tblTasks[Date_fin_prevue],ROW()-4))</f>
      </c>
      <c r="L27" s="23">
        <f>IF($A27="","",INDEX(tblTasks[Irreversibilite],ROW()-4))</f>
      </c>
      <c r="M27" s="26">
        <f>IF(OR($A27="",M$3=""),"",IF(AND($J27&lt;&gt;"",$K27&lt;&gt;"",$J27=$K27,$J27&gt;=M$3,$J27&lt;=IF(param_mode_affichage="mois",EOMONTH(M$3,0),M$3+6)),"◆",""))</f>
      </c>
      <c r="N27" s="26">
        <f>IF(OR($A27="",N$3=""),"",IF(AND($J27&lt;&gt;"",$K27&lt;&gt;"",$J27=$K27,$J27&gt;=N$3,$J27&lt;=IF(param_mode_affichage="mois",EOMONTH(N$3,0),N$3+6)),"◆",""))</f>
      </c>
      <c r="O27" s="26">
        <f>IF(OR($A27="",O$3=""),"",IF(AND($J27&lt;&gt;"",$K27&lt;&gt;"",$J27=$K27,$J27&gt;=O$3,$J27&lt;=IF(param_mode_affichage="mois",EOMONTH(O$3,0),O$3+6)),"◆",""))</f>
      </c>
      <c r="P27" s="26">
        <f>IF(OR($A27="",P$3=""),"",IF(AND($J27&lt;&gt;"",$K27&lt;&gt;"",$J27=$K27,$J27&gt;=P$3,$J27&lt;=IF(param_mode_affichage="mois",EOMONTH(P$3,0),P$3+6)),"◆",""))</f>
      </c>
      <c r="Q27" s="26">
        <f>IF(OR($A27="",Q$3=""),"",IF(AND($J27&lt;&gt;"",$K27&lt;&gt;"",$J27=$K27,$J27&gt;=Q$3,$J27&lt;=IF(param_mode_affichage="mois",EOMONTH(Q$3,0),Q$3+6)),"◆",""))</f>
      </c>
      <c r="R27" s="26">
        <f>IF(OR($A27="",R$3=""),"",IF(AND($J27&lt;&gt;"",$K27&lt;&gt;"",$J27=$K27,$J27&gt;=R$3,$J27&lt;=IF(param_mode_affichage="mois",EOMONTH(R$3,0),R$3+6)),"◆",""))</f>
      </c>
      <c r="S27" s="26">
        <f>IF(OR($A27="",S$3=""),"",IF(AND($J27&lt;&gt;"",$K27&lt;&gt;"",$J27=$K27,$J27&gt;=S$3,$J27&lt;=IF(param_mode_affichage="mois",EOMONTH(S$3,0),S$3+6)),"◆",""))</f>
      </c>
      <c r="T27" s="26">
        <f>IF(OR($A27="",T$3=""),"",IF(AND($J27&lt;&gt;"",$K27&lt;&gt;"",$J27=$K27,$J27&gt;=T$3,$J27&lt;=IF(param_mode_affichage="mois",EOMONTH(T$3,0),T$3+6)),"◆",""))</f>
      </c>
      <c r="U27" s="26">
        <f>IF(OR($A27="",U$3=""),"",IF(AND($J27&lt;&gt;"",$K27&lt;&gt;"",$J27=$K27,$J27&gt;=U$3,$J27&lt;=IF(param_mode_affichage="mois",EOMONTH(U$3,0),U$3+6)),"◆",""))</f>
      </c>
      <c r="V27" s="26">
        <f>IF(OR($A27="",V$3=""),"",IF(AND($J27&lt;&gt;"",$K27&lt;&gt;"",$J27=$K27,$J27&gt;=V$3,$J27&lt;=IF(param_mode_affichage="mois",EOMONTH(V$3,0),V$3+6)),"◆",""))</f>
      </c>
      <c r="W27" s="26">
        <f>IF(OR($A27="",W$3=""),"",IF(AND($J27&lt;&gt;"",$K27&lt;&gt;"",$J27=$K27,$J27&gt;=W$3,$J27&lt;=IF(param_mode_affichage="mois",EOMONTH(W$3,0),W$3+6)),"◆",""))</f>
      </c>
      <c r="X27" s="26">
        <f>IF(OR($A27="",X$3=""),"",IF(AND($J27&lt;&gt;"",$K27&lt;&gt;"",$J27=$K27,$J27&gt;=X$3,$J27&lt;=IF(param_mode_affichage="mois",EOMONTH(X$3,0),X$3+6)),"◆",""))</f>
      </c>
      <c r="Y27" s="26">
        <f>IF(OR($A27="",Y$3=""),"",IF(AND($J27&lt;&gt;"",$K27&lt;&gt;"",$J27=$K27,$J27&gt;=Y$3,$J27&lt;=IF(param_mode_affichage="mois",EOMONTH(Y$3,0),Y$3+6)),"◆",""))</f>
      </c>
      <c r="Z27" s="26">
        <f>IF(OR($A27="",Z$3=""),"",IF(AND($J27&lt;&gt;"",$K27&lt;&gt;"",$J27=$K27,$J27&gt;=Z$3,$J27&lt;=IF(param_mode_affichage="mois",EOMONTH(Z$3,0),Z$3+6)),"◆",""))</f>
      </c>
      <c r="AA27" s="26">
        <f>IF(OR($A27="",AA$3=""),"",IF(AND($J27&lt;&gt;"",$K27&lt;&gt;"",$J27=$K27,$J27&gt;=AA$3,$J27&lt;=IF(param_mode_affichage="mois",EOMONTH(AA$3,0),AA$3+6)),"◆",""))</f>
      </c>
      <c r="AB27" s="26">
        <f>IF(OR($A27="",AB$3=""),"",IF(AND($J27&lt;&gt;"",$K27&lt;&gt;"",$J27=$K27,$J27&gt;=AB$3,$J27&lt;=IF(param_mode_affichage="mois",EOMONTH(AB$3,0),AB$3+6)),"◆",""))</f>
      </c>
      <c r="AC27" s="26">
        <f>IF(OR($A27="",AC$3=""),"",IF(AND($J27&lt;&gt;"",$K27&lt;&gt;"",$J27=$K27,$J27&gt;=AC$3,$J27&lt;=IF(param_mode_affichage="mois",EOMONTH(AC$3,0),AC$3+6)),"◆",""))</f>
      </c>
      <c r="AD27" s="26">
        <f>IF(OR($A27="",AD$3=""),"",IF(AND($J27&lt;&gt;"",$K27&lt;&gt;"",$J27=$K27,$J27&gt;=AD$3,$J27&lt;=IF(param_mode_affichage="mois",EOMONTH(AD$3,0),AD$3+6)),"◆",""))</f>
      </c>
      <c r="AE27" s="26">
        <f>IF(OR($A27="",AE$3=""),"",IF(AND($J27&lt;&gt;"",$K27&lt;&gt;"",$J27=$K27,$J27&gt;=AE$3,$J27&lt;=IF(param_mode_affichage="mois",EOMONTH(AE$3,0),AE$3+6)),"◆",""))</f>
      </c>
      <c r="AF27" s="26">
        <f>IF(OR($A27="",AF$3=""),"",IF(AND($J27&lt;&gt;"",$K27&lt;&gt;"",$J27=$K27,$J27&gt;=AF$3,$J27&lt;=IF(param_mode_affichage="mois",EOMONTH(AF$3,0),AF$3+6)),"◆",""))</f>
      </c>
      <c r="AG27" s="26">
        <f>IF(OR($A27="",AG$3=""),"",IF(AND($J27&lt;&gt;"",$K27&lt;&gt;"",$J27=$K27,$J27&gt;=AG$3,$J27&lt;=IF(param_mode_affichage="mois",EOMONTH(AG$3,0),AG$3+6)),"◆",""))</f>
      </c>
      <c r="AH27" s="26">
        <f>IF(OR($A27="",AH$3=""),"",IF(AND($J27&lt;&gt;"",$K27&lt;&gt;"",$J27=$K27,$J27&gt;=AH$3,$J27&lt;=IF(param_mode_affichage="mois",EOMONTH(AH$3,0),AH$3+6)),"◆",""))</f>
      </c>
      <c r="AI27" s="26">
        <f>IF(OR($A27="",AI$3=""),"",IF(AND($J27&lt;&gt;"",$K27&lt;&gt;"",$J27=$K27,$J27&gt;=AI$3,$J27&lt;=IF(param_mode_affichage="mois",EOMONTH(AI$3,0),AI$3+6)),"◆",""))</f>
      </c>
      <c r="AJ27" s="26">
        <f>IF(OR($A27="",AJ$3=""),"",IF(AND($J27&lt;&gt;"",$K27&lt;&gt;"",$J27=$K27,$J27&gt;=AJ$3,$J27&lt;=IF(param_mode_affichage="mois",EOMONTH(AJ$3,0),AJ$3+6)),"◆",""))</f>
      </c>
      <c r="AK27" s="26">
        <f>IF(OR($A27="",AK$3=""),"",IF(AND($J27&lt;&gt;"",$K27&lt;&gt;"",$J27=$K27,$J27&gt;=AK$3,$J27&lt;=IF(param_mode_affichage="mois",EOMONTH(AK$3,0),AK$3+6)),"◆",""))</f>
      </c>
      <c r="AL27" s="26">
        <f>IF(OR($A27="",AL$3=""),"",IF(AND($J27&lt;&gt;"",$K27&lt;&gt;"",$J27=$K27,$J27&gt;=AL$3,$J27&lt;=IF(param_mode_affichage="mois",EOMONTH(AL$3,0),AL$3+6)),"◆",""))</f>
      </c>
      <c r="AM27" s="26">
        <f>IF(OR($A27="",AM$3=""),"",IF(AND($J27&lt;&gt;"",$K27&lt;&gt;"",$J27=$K27,$J27&gt;=AM$3,$J27&lt;=IF(param_mode_affichage="mois",EOMONTH(AM$3,0),AM$3+6)),"◆",""))</f>
      </c>
      <c r="AN27" s="26">
        <f>IF(OR($A27="",AN$3=""),"",IF(AND($J27&lt;&gt;"",$K27&lt;&gt;"",$J27=$K27,$J27&gt;=AN$3,$J27&lt;=IF(param_mode_affichage="mois",EOMONTH(AN$3,0),AN$3+6)),"◆",""))</f>
      </c>
      <c r="AO27" s="26">
        <f>IF(OR($A27="",AO$3=""),"",IF(AND($J27&lt;&gt;"",$K27&lt;&gt;"",$J27=$K27,$J27&gt;=AO$3,$J27&lt;=IF(param_mode_affichage="mois",EOMONTH(AO$3,0),AO$3+6)),"◆",""))</f>
      </c>
      <c r="AP27" s="26">
        <f>IF(OR($A27="",AP$3=""),"",IF(AND($J27&lt;&gt;"",$K27&lt;&gt;"",$J27=$K27,$J27&gt;=AP$3,$J27&lt;=IF(param_mode_affichage="mois",EOMONTH(AP$3,0),AP$3+6)),"◆",""))</f>
      </c>
      <c r="AQ27" s="26">
        <f>IF(OR($A27="",AQ$3=""),"",IF(AND($J27&lt;&gt;"",$K27&lt;&gt;"",$J27=$K27,$J27&gt;=AQ$3,$J27&lt;=IF(param_mode_affichage="mois",EOMONTH(AQ$3,0),AQ$3+6)),"◆",""))</f>
      </c>
      <c r="AR27" s="26">
        <f>IF(OR($A27="",AR$3=""),"",IF(AND($J27&lt;&gt;"",$K27&lt;&gt;"",$J27=$K27,$J27&gt;=AR$3,$J27&lt;=IF(param_mode_affichage="mois",EOMONTH(AR$3,0),AR$3+6)),"◆",""))</f>
      </c>
      <c r="AS27" s="26">
        <f>IF(OR($A27="",AS$3=""),"",IF(AND($J27&lt;&gt;"",$K27&lt;&gt;"",$J27=$K27,$J27&gt;=AS$3,$J27&lt;=IF(param_mode_affichage="mois",EOMONTH(AS$3,0),AS$3+6)),"◆",""))</f>
      </c>
      <c r="AT27" s="26">
        <f>IF(OR($A27="",AT$3=""),"",IF(AND($J27&lt;&gt;"",$K27&lt;&gt;"",$J27=$K27,$J27&gt;=AT$3,$J27&lt;=IF(param_mode_affichage="mois",EOMONTH(AT$3,0),AT$3+6)),"◆",""))</f>
      </c>
      <c r="AU27" s="26">
        <f>IF(OR($A27="",AU$3=""),"",IF(AND($J27&lt;&gt;"",$K27&lt;&gt;"",$J27=$K27,$J27&gt;=AU$3,$J27&lt;=IF(param_mode_affichage="mois",EOMONTH(AU$3,0),AU$3+6)),"◆",""))</f>
      </c>
      <c r="AV27" s="26">
        <f>IF(OR($A27="",AV$3=""),"",IF(AND($J27&lt;&gt;"",$K27&lt;&gt;"",$J27=$K27,$J27&gt;=AV$3,$J27&lt;=IF(param_mode_affichage="mois",EOMONTH(AV$3,0),AV$3+6)),"◆",""))</f>
      </c>
      <c r="AW27" s="26">
        <f>IF(OR($A27="",AW$3=""),"",IF(AND($J27&lt;&gt;"",$K27&lt;&gt;"",$J27=$K27,$J27&gt;=AW$3,$J27&lt;=IF(param_mode_affichage="mois",EOMONTH(AW$3,0),AW$3+6)),"◆",""))</f>
      </c>
      <c r="AX27" s="26">
        <f>IF(OR($A27="",AX$3=""),"",IF(AND($J27&lt;&gt;"",$K27&lt;&gt;"",$J27=$K27,$J27&gt;=AX$3,$J27&lt;=IF(param_mode_affichage="mois",EOMONTH(AX$3,0),AX$3+6)),"◆",""))</f>
      </c>
      <c r="AY27" s="26">
        <f>IF(OR($A27="",AY$3=""),"",IF(AND($J27&lt;&gt;"",$K27&lt;&gt;"",$J27=$K27,$J27&gt;=AY$3,$J27&lt;=IF(param_mode_affichage="mois",EOMONTH(AY$3,0),AY$3+6)),"◆",""))</f>
      </c>
      <c r="AZ27" s="26">
        <f>IF(OR($A27="",AZ$3=""),"",IF(AND($J27&lt;&gt;"",$K27&lt;&gt;"",$J27=$K27,$J27&gt;=AZ$3,$J27&lt;=IF(param_mode_affichage="mois",EOMONTH(AZ$3,0),AZ$3+6)),"◆",""))</f>
      </c>
      <c r="BA27" s="26">
        <f>IF(OR($A27="",BA$3=""),"",IF(AND($J27&lt;&gt;"",$K27&lt;&gt;"",$J27=$K27,$J27&gt;=BA$3,$J27&lt;=IF(param_mode_affichage="mois",EOMONTH(BA$3,0),BA$3+6)),"◆",""))</f>
      </c>
      <c r="BB27" s="26">
        <f>IF(OR($A27="",BB$3=""),"",IF(AND($J27&lt;&gt;"",$K27&lt;&gt;"",$J27=$K27,$J27&gt;=BB$3,$J27&lt;=IF(param_mode_affichage="mois",EOMONTH(BB$3,0),BB$3+6)),"◆",""))</f>
      </c>
      <c r="BC27" s="26">
        <f>IF(OR($A27="",BC$3=""),"",IF(AND($J27&lt;&gt;"",$K27&lt;&gt;"",$J27=$K27,$J27&gt;=BC$3,$J27&lt;=IF(param_mode_affichage="mois",EOMONTH(BC$3,0),BC$3+6)),"◆",""))</f>
      </c>
      <c r="BD27" s="26">
        <f>IF(OR($A27="",BD$3=""),"",IF(AND($J27&lt;&gt;"",$K27&lt;&gt;"",$J27=$K27,$J27&gt;=BD$3,$J27&lt;=IF(param_mode_affichage="mois",EOMONTH(BD$3,0),BD$3+6)),"◆",""))</f>
      </c>
      <c r="BE27" s="26">
        <f>IF(OR($A27="",BE$3=""),"",IF(AND($J27&lt;&gt;"",$K27&lt;&gt;"",$J27=$K27,$J27&gt;=BE$3,$J27&lt;=IF(param_mode_affichage="mois",EOMONTH(BE$3,0),BE$3+6)),"◆",""))</f>
      </c>
      <c r="BF27" s="26">
        <f>IF(OR($A27="",BF$3=""),"",IF(AND($J27&lt;&gt;"",$K27&lt;&gt;"",$J27=$K27,$J27&gt;=BF$3,$J27&lt;=IF(param_mode_affichage="mois",EOMONTH(BF$3,0),BF$3+6)),"◆",""))</f>
      </c>
      <c r="BG27" s="26">
        <f>IF(OR($A27="",BG$3=""),"",IF(AND($J27&lt;&gt;"",$K27&lt;&gt;"",$J27=$K27,$J27&gt;=BG$3,$J27&lt;=IF(param_mode_affichage="mois",EOMONTH(BG$3,0),BG$3+6)),"◆",""))</f>
      </c>
      <c r="BH27" s="26">
        <f>IF(OR($A27="",BH$3=""),"",IF(AND($J27&lt;&gt;"",$K27&lt;&gt;"",$J27=$K27,$J27&gt;=BH$3,$J27&lt;=IF(param_mode_affichage="mois",EOMONTH(BH$3,0),BH$3+6)),"◆",""))</f>
      </c>
      <c r="BI27" s="26">
        <f>IF(OR($A27="",BI$3=""),"",IF(AND($J27&lt;&gt;"",$K27&lt;&gt;"",$J27=$K27,$J27&gt;=BI$3,$J27&lt;=IF(param_mode_affichage="mois",EOMONTH(BI$3,0),BI$3+6)),"◆",""))</f>
      </c>
      <c r="BJ27" s="26">
        <f>IF(OR($A27="",BJ$3=""),"",IF(AND($J27&lt;&gt;"",$K27&lt;&gt;"",$J27=$K27,$J27&gt;=BJ$3,$J27&lt;=IF(param_mode_affichage="mois",EOMONTH(BJ$3,0),BJ$3+6)),"◆",""))</f>
      </c>
      <c r="BK27" s="26">
        <f>IF(OR($A27="",BK$3=""),"",IF(AND($J27&lt;&gt;"",$K27&lt;&gt;"",$J27=$K27,$J27&gt;=BK$3,$J27&lt;=IF(param_mode_affichage="mois",EOMONTH(BK$3,0),BK$3+6)),"◆",""))</f>
      </c>
      <c r="BL27" s="26">
        <f>IF(OR($A27="",BL$3=""),"",IF(AND($J27&lt;&gt;"",$K27&lt;&gt;"",$J27=$K27,$J27&gt;=BL$3,$J27&lt;=IF(param_mode_affichage="mois",EOMONTH(BL$3,0),BL$3+6)),"◆",""))</f>
      </c>
    </row>
    <row r="28" spans="1:64" x14ac:dyDescent="0.25">
      <c r="A28" s="23">
        <f>IFERROR(INDEX(tblTasks[ID],ROW()-4),"")</f>
      </c>
      <c r="B28" s="24">
        <f>IF($A28="","",INDEX(tblTasks[Sujet],ROW()-4))</f>
      </c>
      <c r="C28" s="23">
        <f>IF($A28="","",INDEX(tblTasks[Responsable],ROW()-4))</f>
      </c>
      <c r="D28" s="23">
        <f>IF($A28="","",INDEX(tblTasks[Statut],ROW()-4))</f>
      </c>
      <c r="E28" s="23">
        <f>IF($A28="","",INDEX(tblTasks[Depend_de],ROW()-4))</f>
      </c>
      <c r="F28" s="23">
        <f>IF($A28="","",INDEX(tblTasks[Blocage],ROW()-4))</f>
      </c>
      <c r="G28" s="23">
        <f>IF($A28="","",INDEX(tblTasks[Niveau_criticite],ROW()-4))</f>
      </c>
      <c r="H28" s="23">
        <f>IF($A28="","",INDEX(tblTasks[Goulot],ROW()-4))</f>
      </c>
      <c r="I28" s="23">
        <f>IF($A28="","",IF(LOWER($F28)="oui","non",IF($E28="","oui",IFERROR(IF(LOWER(INDEX(tblTasks[Statut],MATCH($E28,tblTasks[ID],0)))="clos","oui","non"),"non"))))</f>
      </c>
      <c r="J28" s="25">
        <f>IF($A28="","",INDEX(tblTasks[Date_debut_prevue],ROW()-4))</f>
      </c>
      <c r="K28" s="25">
        <f>IF($A28="","",INDEX(tblTasks[Date_fin_prevue],ROW()-4))</f>
      </c>
      <c r="L28" s="23">
        <f>IF($A28="","",INDEX(tblTasks[Irreversibilite],ROW()-4))</f>
      </c>
      <c r="M28" s="26">
        <f>IF(OR($A28="",M$3=""),"",IF(AND($J28&lt;&gt;"",$K28&lt;&gt;"",$J28=$K28,$J28&gt;=M$3,$J28&lt;=IF(param_mode_affichage="mois",EOMONTH(M$3,0),M$3+6)),"◆",""))</f>
      </c>
      <c r="N28" s="26">
        <f>IF(OR($A28="",N$3=""),"",IF(AND($J28&lt;&gt;"",$K28&lt;&gt;"",$J28=$K28,$J28&gt;=N$3,$J28&lt;=IF(param_mode_affichage="mois",EOMONTH(N$3,0),N$3+6)),"◆",""))</f>
      </c>
      <c r="O28" s="26">
        <f>IF(OR($A28="",O$3=""),"",IF(AND($J28&lt;&gt;"",$K28&lt;&gt;"",$J28=$K28,$J28&gt;=O$3,$J28&lt;=IF(param_mode_affichage="mois",EOMONTH(O$3,0),O$3+6)),"◆",""))</f>
      </c>
      <c r="P28" s="26">
        <f>IF(OR($A28="",P$3=""),"",IF(AND($J28&lt;&gt;"",$K28&lt;&gt;"",$J28=$K28,$J28&gt;=P$3,$J28&lt;=IF(param_mode_affichage="mois",EOMONTH(P$3,0),P$3+6)),"◆",""))</f>
      </c>
      <c r="Q28" s="26">
        <f>IF(OR($A28="",Q$3=""),"",IF(AND($J28&lt;&gt;"",$K28&lt;&gt;"",$J28=$K28,$J28&gt;=Q$3,$J28&lt;=IF(param_mode_affichage="mois",EOMONTH(Q$3,0),Q$3+6)),"◆",""))</f>
      </c>
      <c r="R28" s="26">
        <f>IF(OR($A28="",R$3=""),"",IF(AND($J28&lt;&gt;"",$K28&lt;&gt;"",$J28=$K28,$J28&gt;=R$3,$J28&lt;=IF(param_mode_affichage="mois",EOMONTH(R$3,0),R$3+6)),"◆",""))</f>
      </c>
      <c r="S28" s="26">
        <f>IF(OR($A28="",S$3=""),"",IF(AND($J28&lt;&gt;"",$K28&lt;&gt;"",$J28=$K28,$J28&gt;=S$3,$J28&lt;=IF(param_mode_affichage="mois",EOMONTH(S$3,0),S$3+6)),"◆",""))</f>
      </c>
      <c r="T28" s="26">
        <f>IF(OR($A28="",T$3=""),"",IF(AND($J28&lt;&gt;"",$K28&lt;&gt;"",$J28=$K28,$J28&gt;=T$3,$J28&lt;=IF(param_mode_affichage="mois",EOMONTH(T$3,0),T$3+6)),"◆",""))</f>
      </c>
      <c r="U28" s="26">
        <f>IF(OR($A28="",U$3=""),"",IF(AND($J28&lt;&gt;"",$K28&lt;&gt;"",$J28=$K28,$J28&gt;=U$3,$J28&lt;=IF(param_mode_affichage="mois",EOMONTH(U$3,0),U$3+6)),"◆",""))</f>
      </c>
      <c r="V28" s="26">
        <f>IF(OR($A28="",V$3=""),"",IF(AND($J28&lt;&gt;"",$K28&lt;&gt;"",$J28=$K28,$J28&gt;=V$3,$J28&lt;=IF(param_mode_affichage="mois",EOMONTH(V$3,0),V$3+6)),"◆",""))</f>
      </c>
      <c r="W28" s="26">
        <f>IF(OR($A28="",W$3=""),"",IF(AND($J28&lt;&gt;"",$K28&lt;&gt;"",$J28=$K28,$J28&gt;=W$3,$J28&lt;=IF(param_mode_affichage="mois",EOMONTH(W$3,0),W$3+6)),"◆",""))</f>
      </c>
      <c r="X28" s="26">
        <f>IF(OR($A28="",X$3=""),"",IF(AND($J28&lt;&gt;"",$K28&lt;&gt;"",$J28=$K28,$J28&gt;=X$3,$J28&lt;=IF(param_mode_affichage="mois",EOMONTH(X$3,0),X$3+6)),"◆",""))</f>
      </c>
      <c r="Y28" s="26">
        <f>IF(OR($A28="",Y$3=""),"",IF(AND($J28&lt;&gt;"",$K28&lt;&gt;"",$J28=$K28,$J28&gt;=Y$3,$J28&lt;=IF(param_mode_affichage="mois",EOMONTH(Y$3,0),Y$3+6)),"◆",""))</f>
      </c>
      <c r="Z28" s="26">
        <f>IF(OR($A28="",Z$3=""),"",IF(AND($J28&lt;&gt;"",$K28&lt;&gt;"",$J28=$K28,$J28&gt;=Z$3,$J28&lt;=IF(param_mode_affichage="mois",EOMONTH(Z$3,0),Z$3+6)),"◆",""))</f>
      </c>
      <c r="AA28" s="26">
        <f>IF(OR($A28="",AA$3=""),"",IF(AND($J28&lt;&gt;"",$K28&lt;&gt;"",$J28=$K28,$J28&gt;=AA$3,$J28&lt;=IF(param_mode_affichage="mois",EOMONTH(AA$3,0),AA$3+6)),"◆",""))</f>
      </c>
      <c r="AB28" s="26">
        <f>IF(OR($A28="",AB$3=""),"",IF(AND($J28&lt;&gt;"",$K28&lt;&gt;"",$J28=$K28,$J28&gt;=AB$3,$J28&lt;=IF(param_mode_affichage="mois",EOMONTH(AB$3,0),AB$3+6)),"◆",""))</f>
      </c>
      <c r="AC28" s="26">
        <f>IF(OR($A28="",AC$3=""),"",IF(AND($J28&lt;&gt;"",$K28&lt;&gt;"",$J28=$K28,$J28&gt;=AC$3,$J28&lt;=IF(param_mode_affichage="mois",EOMONTH(AC$3,0),AC$3+6)),"◆",""))</f>
      </c>
      <c r="AD28" s="26">
        <f>IF(OR($A28="",AD$3=""),"",IF(AND($J28&lt;&gt;"",$K28&lt;&gt;"",$J28=$K28,$J28&gt;=AD$3,$J28&lt;=IF(param_mode_affichage="mois",EOMONTH(AD$3,0),AD$3+6)),"◆",""))</f>
      </c>
      <c r="AE28" s="26">
        <f>IF(OR($A28="",AE$3=""),"",IF(AND($J28&lt;&gt;"",$K28&lt;&gt;"",$J28=$K28,$J28&gt;=AE$3,$J28&lt;=IF(param_mode_affichage="mois",EOMONTH(AE$3,0),AE$3+6)),"◆",""))</f>
      </c>
      <c r="AF28" s="26">
        <f>IF(OR($A28="",AF$3=""),"",IF(AND($J28&lt;&gt;"",$K28&lt;&gt;"",$J28=$K28,$J28&gt;=AF$3,$J28&lt;=IF(param_mode_affichage="mois",EOMONTH(AF$3,0),AF$3+6)),"◆",""))</f>
      </c>
      <c r="AG28" s="26">
        <f>IF(OR($A28="",AG$3=""),"",IF(AND($J28&lt;&gt;"",$K28&lt;&gt;"",$J28=$K28,$J28&gt;=AG$3,$J28&lt;=IF(param_mode_affichage="mois",EOMONTH(AG$3,0),AG$3+6)),"◆",""))</f>
      </c>
      <c r="AH28" s="26">
        <f>IF(OR($A28="",AH$3=""),"",IF(AND($J28&lt;&gt;"",$K28&lt;&gt;"",$J28=$K28,$J28&gt;=AH$3,$J28&lt;=IF(param_mode_affichage="mois",EOMONTH(AH$3,0),AH$3+6)),"◆",""))</f>
      </c>
      <c r="AI28" s="26">
        <f>IF(OR($A28="",AI$3=""),"",IF(AND($J28&lt;&gt;"",$K28&lt;&gt;"",$J28=$K28,$J28&gt;=AI$3,$J28&lt;=IF(param_mode_affichage="mois",EOMONTH(AI$3,0),AI$3+6)),"◆",""))</f>
      </c>
      <c r="AJ28" s="26">
        <f>IF(OR($A28="",AJ$3=""),"",IF(AND($J28&lt;&gt;"",$K28&lt;&gt;"",$J28=$K28,$J28&gt;=AJ$3,$J28&lt;=IF(param_mode_affichage="mois",EOMONTH(AJ$3,0),AJ$3+6)),"◆",""))</f>
      </c>
      <c r="AK28" s="26">
        <f>IF(OR($A28="",AK$3=""),"",IF(AND($J28&lt;&gt;"",$K28&lt;&gt;"",$J28=$K28,$J28&gt;=AK$3,$J28&lt;=IF(param_mode_affichage="mois",EOMONTH(AK$3,0),AK$3+6)),"◆",""))</f>
      </c>
      <c r="AL28" s="26">
        <f>IF(OR($A28="",AL$3=""),"",IF(AND($J28&lt;&gt;"",$K28&lt;&gt;"",$J28=$K28,$J28&gt;=AL$3,$J28&lt;=IF(param_mode_affichage="mois",EOMONTH(AL$3,0),AL$3+6)),"◆",""))</f>
      </c>
      <c r="AM28" s="26">
        <f>IF(OR($A28="",AM$3=""),"",IF(AND($J28&lt;&gt;"",$K28&lt;&gt;"",$J28=$K28,$J28&gt;=AM$3,$J28&lt;=IF(param_mode_affichage="mois",EOMONTH(AM$3,0),AM$3+6)),"◆",""))</f>
      </c>
      <c r="AN28" s="26">
        <f>IF(OR($A28="",AN$3=""),"",IF(AND($J28&lt;&gt;"",$K28&lt;&gt;"",$J28=$K28,$J28&gt;=AN$3,$J28&lt;=IF(param_mode_affichage="mois",EOMONTH(AN$3,0),AN$3+6)),"◆",""))</f>
      </c>
      <c r="AO28" s="26">
        <f>IF(OR($A28="",AO$3=""),"",IF(AND($J28&lt;&gt;"",$K28&lt;&gt;"",$J28=$K28,$J28&gt;=AO$3,$J28&lt;=IF(param_mode_affichage="mois",EOMONTH(AO$3,0),AO$3+6)),"◆",""))</f>
      </c>
      <c r="AP28" s="26">
        <f>IF(OR($A28="",AP$3=""),"",IF(AND($J28&lt;&gt;"",$K28&lt;&gt;"",$J28=$K28,$J28&gt;=AP$3,$J28&lt;=IF(param_mode_affichage="mois",EOMONTH(AP$3,0),AP$3+6)),"◆",""))</f>
      </c>
      <c r="AQ28" s="26">
        <f>IF(OR($A28="",AQ$3=""),"",IF(AND($J28&lt;&gt;"",$K28&lt;&gt;"",$J28=$K28,$J28&gt;=AQ$3,$J28&lt;=IF(param_mode_affichage="mois",EOMONTH(AQ$3,0),AQ$3+6)),"◆",""))</f>
      </c>
      <c r="AR28" s="26">
        <f>IF(OR($A28="",AR$3=""),"",IF(AND($J28&lt;&gt;"",$K28&lt;&gt;"",$J28=$K28,$J28&gt;=AR$3,$J28&lt;=IF(param_mode_affichage="mois",EOMONTH(AR$3,0),AR$3+6)),"◆",""))</f>
      </c>
      <c r="AS28" s="26">
        <f>IF(OR($A28="",AS$3=""),"",IF(AND($J28&lt;&gt;"",$K28&lt;&gt;"",$J28=$K28,$J28&gt;=AS$3,$J28&lt;=IF(param_mode_affichage="mois",EOMONTH(AS$3,0),AS$3+6)),"◆",""))</f>
      </c>
      <c r="AT28" s="26">
        <f>IF(OR($A28="",AT$3=""),"",IF(AND($J28&lt;&gt;"",$K28&lt;&gt;"",$J28=$K28,$J28&gt;=AT$3,$J28&lt;=IF(param_mode_affichage="mois",EOMONTH(AT$3,0),AT$3+6)),"◆",""))</f>
      </c>
      <c r="AU28" s="26">
        <f>IF(OR($A28="",AU$3=""),"",IF(AND($J28&lt;&gt;"",$K28&lt;&gt;"",$J28=$K28,$J28&gt;=AU$3,$J28&lt;=IF(param_mode_affichage="mois",EOMONTH(AU$3,0),AU$3+6)),"◆",""))</f>
      </c>
      <c r="AV28" s="26">
        <f>IF(OR($A28="",AV$3=""),"",IF(AND($J28&lt;&gt;"",$K28&lt;&gt;"",$J28=$K28,$J28&gt;=AV$3,$J28&lt;=IF(param_mode_affichage="mois",EOMONTH(AV$3,0),AV$3+6)),"◆",""))</f>
      </c>
      <c r="AW28" s="26">
        <f>IF(OR($A28="",AW$3=""),"",IF(AND($J28&lt;&gt;"",$K28&lt;&gt;"",$J28=$K28,$J28&gt;=AW$3,$J28&lt;=IF(param_mode_affichage="mois",EOMONTH(AW$3,0),AW$3+6)),"◆",""))</f>
      </c>
      <c r="AX28" s="26">
        <f>IF(OR($A28="",AX$3=""),"",IF(AND($J28&lt;&gt;"",$K28&lt;&gt;"",$J28=$K28,$J28&gt;=AX$3,$J28&lt;=IF(param_mode_affichage="mois",EOMONTH(AX$3,0),AX$3+6)),"◆",""))</f>
      </c>
      <c r="AY28" s="26">
        <f>IF(OR($A28="",AY$3=""),"",IF(AND($J28&lt;&gt;"",$K28&lt;&gt;"",$J28=$K28,$J28&gt;=AY$3,$J28&lt;=IF(param_mode_affichage="mois",EOMONTH(AY$3,0),AY$3+6)),"◆",""))</f>
      </c>
      <c r="AZ28" s="26">
        <f>IF(OR($A28="",AZ$3=""),"",IF(AND($J28&lt;&gt;"",$K28&lt;&gt;"",$J28=$K28,$J28&gt;=AZ$3,$J28&lt;=IF(param_mode_affichage="mois",EOMONTH(AZ$3,0),AZ$3+6)),"◆",""))</f>
      </c>
      <c r="BA28" s="26">
        <f>IF(OR($A28="",BA$3=""),"",IF(AND($J28&lt;&gt;"",$K28&lt;&gt;"",$J28=$K28,$J28&gt;=BA$3,$J28&lt;=IF(param_mode_affichage="mois",EOMONTH(BA$3,0),BA$3+6)),"◆",""))</f>
      </c>
      <c r="BB28" s="26">
        <f>IF(OR($A28="",BB$3=""),"",IF(AND($J28&lt;&gt;"",$K28&lt;&gt;"",$J28=$K28,$J28&gt;=BB$3,$J28&lt;=IF(param_mode_affichage="mois",EOMONTH(BB$3,0),BB$3+6)),"◆",""))</f>
      </c>
      <c r="BC28" s="26">
        <f>IF(OR($A28="",BC$3=""),"",IF(AND($J28&lt;&gt;"",$K28&lt;&gt;"",$J28=$K28,$J28&gt;=BC$3,$J28&lt;=IF(param_mode_affichage="mois",EOMONTH(BC$3,0),BC$3+6)),"◆",""))</f>
      </c>
      <c r="BD28" s="26">
        <f>IF(OR($A28="",BD$3=""),"",IF(AND($J28&lt;&gt;"",$K28&lt;&gt;"",$J28=$K28,$J28&gt;=BD$3,$J28&lt;=IF(param_mode_affichage="mois",EOMONTH(BD$3,0),BD$3+6)),"◆",""))</f>
      </c>
      <c r="BE28" s="26">
        <f>IF(OR($A28="",BE$3=""),"",IF(AND($J28&lt;&gt;"",$K28&lt;&gt;"",$J28=$K28,$J28&gt;=BE$3,$J28&lt;=IF(param_mode_affichage="mois",EOMONTH(BE$3,0),BE$3+6)),"◆",""))</f>
      </c>
      <c r="BF28" s="26">
        <f>IF(OR($A28="",BF$3=""),"",IF(AND($J28&lt;&gt;"",$K28&lt;&gt;"",$J28=$K28,$J28&gt;=BF$3,$J28&lt;=IF(param_mode_affichage="mois",EOMONTH(BF$3,0),BF$3+6)),"◆",""))</f>
      </c>
      <c r="BG28" s="26">
        <f>IF(OR($A28="",BG$3=""),"",IF(AND($J28&lt;&gt;"",$K28&lt;&gt;"",$J28=$K28,$J28&gt;=BG$3,$J28&lt;=IF(param_mode_affichage="mois",EOMONTH(BG$3,0),BG$3+6)),"◆",""))</f>
      </c>
      <c r="BH28" s="26">
        <f>IF(OR($A28="",BH$3=""),"",IF(AND($J28&lt;&gt;"",$K28&lt;&gt;"",$J28=$K28,$J28&gt;=BH$3,$J28&lt;=IF(param_mode_affichage="mois",EOMONTH(BH$3,0),BH$3+6)),"◆",""))</f>
      </c>
      <c r="BI28" s="26">
        <f>IF(OR($A28="",BI$3=""),"",IF(AND($J28&lt;&gt;"",$K28&lt;&gt;"",$J28=$K28,$J28&gt;=BI$3,$J28&lt;=IF(param_mode_affichage="mois",EOMONTH(BI$3,0),BI$3+6)),"◆",""))</f>
      </c>
      <c r="BJ28" s="26">
        <f>IF(OR($A28="",BJ$3=""),"",IF(AND($J28&lt;&gt;"",$K28&lt;&gt;"",$J28=$K28,$J28&gt;=BJ$3,$J28&lt;=IF(param_mode_affichage="mois",EOMONTH(BJ$3,0),BJ$3+6)),"◆",""))</f>
      </c>
      <c r="BK28" s="26">
        <f>IF(OR($A28="",BK$3=""),"",IF(AND($J28&lt;&gt;"",$K28&lt;&gt;"",$J28=$K28,$J28&gt;=BK$3,$J28&lt;=IF(param_mode_affichage="mois",EOMONTH(BK$3,0),BK$3+6)),"◆",""))</f>
      </c>
      <c r="BL28" s="26">
        <f>IF(OR($A28="",BL$3=""),"",IF(AND($J28&lt;&gt;"",$K28&lt;&gt;"",$J28=$K28,$J28&gt;=BL$3,$J28&lt;=IF(param_mode_affichage="mois",EOMONTH(BL$3,0),BL$3+6)),"◆",""))</f>
      </c>
    </row>
    <row r="29" spans="1:64" x14ac:dyDescent="0.25">
      <c r="A29" s="23">
        <f>IFERROR(INDEX(tblTasks[ID],ROW()-4),"")</f>
      </c>
      <c r="B29" s="24">
        <f>IF($A29="","",INDEX(tblTasks[Sujet],ROW()-4))</f>
      </c>
      <c r="C29" s="23">
        <f>IF($A29="","",INDEX(tblTasks[Responsable],ROW()-4))</f>
      </c>
      <c r="D29" s="23">
        <f>IF($A29="","",INDEX(tblTasks[Statut],ROW()-4))</f>
      </c>
      <c r="E29" s="23">
        <f>IF($A29="","",INDEX(tblTasks[Depend_de],ROW()-4))</f>
      </c>
      <c r="F29" s="23">
        <f>IF($A29="","",INDEX(tblTasks[Blocage],ROW()-4))</f>
      </c>
      <c r="G29" s="23">
        <f>IF($A29="","",INDEX(tblTasks[Niveau_criticite],ROW()-4))</f>
      </c>
      <c r="H29" s="23">
        <f>IF($A29="","",INDEX(tblTasks[Goulot],ROW()-4))</f>
      </c>
      <c r="I29" s="23">
        <f>IF($A29="","",IF(LOWER($F29)="oui","non",IF($E29="","oui",IFERROR(IF(LOWER(INDEX(tblTasks[Statut],MATCH($E29,tblTasks[ID],0)))="clos","oui","non"),"non"))))</f>
      </c>
      <c r="J29" s="25">
        <f>IF($A29="","",INDEX(tblTasks[Date_debut_prevue],ROW()-4))</f>
      </c>
      <c r="K29" s="25">
        <f>IF($A29="","",INDEX(tblTasks[Date_fin_prevue],ROW()-4))</f>
      </c>
      <c r="L29" s="23">
        <f>IF($A29="","",INDEX(tblTasks[Irreversibilite],ROW()-4))</f>
      </c>
      <c r="M29" s="26">
        <f>IF(OR($A29="",M$3=""),"",IF(AND($J29&lt;&gt;"",$K29&lt;&gt;"",$J29=$K29,$J29&gt;=M$3,$J29&lt;=IF(param_mode_affichage="mois",EOMONTH(M$3,0),M$3+6)),"◆",""))</f>
      </c>
      <c r="N29" s="26">
        <f>IF(OR($A29="",N$3=""),"",IF(AND($J29&lt;&gt;"",$K29&lt;&gt;"",$J29=$K29,$J29&gt;=N$3,$J29&lt;=IF(param_mode_affichage="mois",EOMONTH(N$3,0),N$3+6)),"◆",""))</f>
      </c>
      <c r="O29" s="26">
        <f>IF(OR($A29="",O$3=""),"",IF(AND($J29&lt;&gt;"",$K29&lt;&gt;"",$J29=$K29,$J29&gt;=O$3,$J29&lt;=IF(param_mode_affichage="mois",EOMONTH(O$3,0),O$3+6)),"◆",""))</f>
      </c>
      <c r="P29" s="26">
        <f>IF(OR($A29="",P$3=""),"",IF(AND($J29&lt;&gt;"",$K29&lt;&gt;"",$J29=$K29,$J29&gt;=P$3,$J29&lt;=IF(param_mode_affichage="mois",EOMONTH(P$3,0),P$3+6)),"◆",""))</f>
      </c>
      <c r="Q29" s="26">
        <f>IF(OR($A29="",Q$3=""),"",IF(AND($J29&lt;&gt;"",$K29&lt;&gt;"",$J29=$K29,$J29&gt;=Q$3,$J29&lt;=IF(param_mode_affichage="mois",EOMONTH(Q$3,0),Q$3+6)),"◆",""))</f>
      </c>
      <c r="R29" s="26">
        <f>IF(OR($A29="",R$3=""),"",IF(AND($J29&lt;&gt;"",$K29&lt;&gt;"",$J29=$K29,$J29&gt;=R$3,$J29&lt;=IF(param_mode_affichage="mois",EOMONTH(R$3,0),R$3+6)),"◆",""))</f>
      </c>
      <c r="S29" s="26">
        <f>IF(OR($A29="",S$3=""),"",IF(AND($J29&lt;&gt;"",$K29&lt;&gt;"",$J29=$K29,$J29&gt;=S$3,$J29&lt;=IF(param_mode_affichage="mois",EOMONTH(S$3,0),S$3+6)),"◆",""))</f>
      </c>
      <c r="T29" s="26">
        <f>IF(OR($A29="",T$3=""),"",IF(AND($J29&lt;&gt;"",$K29&lt;&gt;"",$J29=$K29,$J29&gt;=T$3,$J29&lt;=IF(param_mode_affichage="mois",EOMONTH(T$3,0),T$3+6)),"◆",""))</f>
      </c>
      <c r="U29" s="26">
        <f>IF(OR($A29="",U$3=""),"",IF(AND($J29&lt;&gt;"",$K29&lt;&gt;"",$J29=$K29,$J29&gt;=U$3,$J29&lt;=IF(param_mode_affichage="mois",EOMONTH(U$3,0),U$3+6)),"◆",""))</f>
      </c>
      <c r="V29" s="26">
        <f>IF(OR($A29="",V$3=""),"",IF(AND($J29&lt;&gt;"",$K29&lt;&gt;"",$J29=$K29,$J29&gt;=V$3,$J29&lt;=IF(param_mode_affichage="mois",EOMONTH(V$3,0),V$3+6)),"◆",""))</f>
      </c>
      <c r="W29" s="26">
        <f>IF(OR($A29="",W$3=""),"",IF(AND($J29&lt;&gt;"",$K29&lt;&gt;"",$J29=$K29,$J29&gt;=W$3,$J29&lt;=IF(param_mode_affichage="mois",EOMONTH(W$3,0),W$3+6)),"◆",""))</f>
      </c>
      <c r="X29" s="26">
        <f>IF(OR($A29="",X$3=""),"",IF(AND($J29&lt;&gt;"",$K29&lt;&gt;"",$J29=$K29,$J29&gt;=X$3,$J29&lt;=IF(param_mode_affichage="mois",EOMONTH(X$3,0),X$3+6)),"◆",""))</f>
      </c>
      <c r="Y29" s="26">
        <f>IF(OR($A29="",Y$3=""),"",IF(AND($J29&lt;&gt;"",$K29&lt;&gt;"",$J29=$K29,$J29&gt;=Y$3,$J29&lt;=IF(param_mode_affichage="mois",EOMONTH(Y$3,0),Y$3+6)),"◆",""))</f>
      </c>
      <c r="Z29" s="26">
        <f>IF(OR($A29="",Z$3=""),"",IF(AND($J29&lt;&gt;"",$K29&lt;&gt;"",$J29=$K29,$J29&gt;=Z$3,$J29&lt;=IF(param_mode_affichage="mois",EOMONTH(Z$3,0),Z$3+6)),"◆",""))</f>
      </c>
      <c r="AA29" s="26">
        <f>IF(OR($A29="",AA$3=""),"",IF(AND($J29&lt;&gt;"",$K29&lt;&gt;"",$J29=$K29,$J29&gt;=AA$3,$J29&lt;=IF(param_mode_affichage="mois",EOMONTH(AA$3,0),AA$3+6)),"◆",""))</f>
      </c>
      <c r="AB29" s="26">
        <f>IF(OR($A29="",AB$3=""),"",IF(AND($J29&lt;&gt;"",$K29&lt;&gt;"",$J29=$K29,$J29&gt;=AB$3,$J29&lt;=IF(param_mode_affichage="mois",EOMONTH(AB$3,0),AB$3+6)),"◆",""))</f>
      </c>
      <c r="AC29" s="26">
        <f>IF(OR($A29="",AC$3=""),"",IF(AND($J29&lt;&gt;"",$K29&lt;&gt;"",$J29=$K29,$J29&gt;=AC$3,$J29&lt;=IF(param_mode_affichage="mois",EOMONTH(AC$3,0),AC$3+6)),"◆",""))</f>
      </c>
      <c r="AD29" s="26">
        <f>IF(OR($A29="",AD$3=""),"",IF(AND($J29&lt;&gt;"",$K29&lt;&gt;"",$J29=$K29,$J29&gt;=AD$3,$J29&lt;=IF(param_mode_affichage="mois",EOMONTH(AD$3,0),AD$3+6)),"◆",""))</f>
      </c>
      <c r="AE29" s="26">
        <f>IF(OR($A29="",AE$3=""),"",IF(AND($J29&lt;&gt;"",$K29&lt;&gt;"",$J29=$K29,$J29&gt;=AE$3,$J29&lt;=IF(param_mode_affichage="mois",EOMONTH(AE$3,0),AE$3+6)),"◆",""))</f>
      </c>
      <c r="AF29" s="26">
        <f>IF(OR($A29="",AF$3=""),"",IF(AND($J29&lt;&gt;"",$K29&lt;&gt;"",$J29=$K29,$J29&gt;=AF$3,$J29&lt;=IF(param_mode_affichage="mois",EOMONTH(AF$3,0),AF$3+6)),"◆",""))</f>
      </c>
      <c r="AG29" s="26">
        <f>IF(OR($A29="",AG$3=""),"",IF(AND($J29&lt;&gt;"",$K29&lt;&gt;"",$J29=$K29,$J29&gt;=AG$3,$J29&lt;=IF(param_mode_affichage="mois",EOMONTH(AG$3,0),AG$3+6)),"◆",""))</f>
      </c>
      <c r="AH29" s="26">
        <f>IF(OR($A29="",AH$3=""),"",IF(AND($J29&lt;&gt;"",$K29&lt;&gt;"",$J29=$K29,$J29&gt;=AH$3,$J29&lt;=IF(param_mode_affichage="mois",EOMONTH(AH$3,0),AH$3+6)),"◆",""))</f>
      </c>
      <c r="AI29" s="26">
        <f>IF(OR($A29="",AI$3=""),"",IF(AND($J29&lt;&gt;"",$K29&lt;&gt;"",$J29=$K29,$J29&gt;=AI$3,$J29&lt;=IF(param_mode_affichage="mois",EOMONTH(AI$3,0),AI$3+6)),"◆",""))</f>
      </c>
      <c r="AJ29" s="26">
        <f>IF(OR($A29="",AJ$3=""),"",IF(AND($J29&lt;&gt;"",$K29&lt;&gt;"",$J29=$K29,$J29&gt;=AJ$3,$J29&lt;=IF(param_mode_affichage="mois",EOMONTH(AJ$3,0),AJ$3+6)),"◆",""))</f>
      </c>
      <c r="AK29" s="26">
        <f>IF(OR($A29="",AK$3=""),"",IF(AND($J29&lt;&gt;"",$K29&lt;&gt;"",$J29=$K29,$J29&gt;=AK$3,$J29&lt;=IF(param_mode_affichage="mois",EOMONTH(AK$3,0),AK$3+6)),"◆",""))</f>
      </c>
      <c r="AL29" s="26">
        <f>IF(OR($A29="",AL$3=""),"",IF(AND($J29&lt;&gt;"",$K29&lt;&gt;"",$J29=$K29,$J29&gt;=AL$3,$J29&lt;=IF(param_mode_affichage="mois",EOMONTH(AL$3,0),AL$3+6)),"◆",""))</f>
      </c>
      <c r="AM29" s="26">
        <f>IF(OR($A29="",AM$3=""),"",IF(AND($J29&lt;&gt;"",$K29&lt;&gt;"",$J29=$K29,$J29&gt;=AM$3,$J29&lt;=IF(param_mode_affichage="mois",EOMONTH(AM$3,0),AM$3+6)),"◆",""))</f>
      </c>
      <c r="AN29" s="26">
        <f>IF(OR($A29="",AN$3=""),"",IF(AND($J29&lt;&gt;"",$K29&lt;&gt;"",$J29=$K29,$J29&gt;=AN$3,$J29&lt;=IF(param_mode_affichage="mois",EOMONTH(AN$3,0),AN$3+6)),"◆",""))</f>
      </c>
      <c r="AO29" s="26">
        <f>IF(OR($A29="",AO$3=""),"",IF(AND($J29&lt;&gt;"",$K29&lt;&gt;"",$J29=$K29,$J29&gt;=AO$3,$J29&lt;=IF(param_mode_affichage="mois",EOMONTH(AO$3,0),AO$3+6)),"◆",""))</f>
      </c>
      <c r="AP29" s="26">
        <f>IF(OR($A29="",AP$3=""),"",IF(AND($J29&lt;&gt;"",$K29&lt;&gt;"",$J29=$K29,$J29&gt;=AP$3,$J29&lt;=IF(param_mode_affichage="mois",EOMONTH(AP$3,0),AP$3+6)),"◆",""))</f>
      </c>
      <c r="AQ29" s="26">
        <f>IF(OR($A29="",AQ$3=""),"",IF(AND($J29&lt;&gt;"",$K29&lt;&gt;"",$J29=$K29,$J29&gt;=AQ$3,$J29&lt;=IF(param_mode_affichage="mois",EOMONTH(AQ$3,0),AQ$3+6)),"◆",""))</f>
      </c>
      <c r="AR29" s="26">
        <f>IF(OR($A29="",AR$3=""),"",IF(AND($J29&lt;&gt;"",$K29&lt;&gt;"",$J29=$K29,$J29&gt;=AR$3,$J29&lt;=IF(param_mode_affichage="mois",EOMONTH(AR$3,0),AR$3+6)),"◆",""))</f>
      </c>
      <c r="AS29" s="26">
        <f>IF(OR($A29="",AS$3=""),"",IF(AND($J29&lt;&gt;"",$K29&lt;&gt;"",$J29=$K29,$J29&gt;=AS$3,$J29&lt;=IF(param_mode_affichage="mois",EOMONTH(AS$3,0),AS$3+6)),"◆",""))</f>
      </c>
      <c r="AT29" s="26">
        <f>IF(OR($A29="",AT$3=""),"",IF(AND($J29&lt;&gt;"",$K29&lt;&gt;"",$J29=$K29,$J29&gt;=AT$3,$J29&lt;=IF(param_mode_affichage="mois",EOMONTH(AT$3,0),AT$3+6)),"◆",""))</f>
      </c>
      <c r="AU29" s="26">
        <f>IF(OR($A29="",AU$3=""),"",IF(AND($J29&lt;&gt;"",$K29&lt;&gt;"",$J29=$K29,$J29&gt;=AU$3,$J29&lt;=IF(param_mode_affichage="mois",EOMONTH(AU$3,0),AU$3+6)),"◆",""))</f>
      </c>
      <c r="AV29" s="26">
        <f>IF(OR($A29="",AV$3=""),"",IF(AND($J29&lt;&gt;"",$K29&lt;&gt;"",$J29=$K29,$J29&gt;=AV$3,$J29&lt;=IF(param_mode_affichage="mois",EOMONTH(AV$3,0),AV$3+6)),"◆",""))</f>
      </c>
      <c r="AW29" s="26">
        <f>IF(OR($A29="",AW$3=""),"",IF(AND($J29&lt;&gt;"",$K29&lt;&gt;"",$J29=$K29,$J29&gt;=AW$3,$J29&lt;=IF(param_mode_affichage="mois",EOMONTH(AW$3,0),AW$3+6)),"◆",""))</f>
      </c>
      <c r="AX29" s="26">
        <f>IF(OR($A29="",AX$3=""),"",IF(AND($J29&lt;&gt;"",$K29&lt;&gt;"",$J29=$K29,$J29&gt;=AX$3,$J29&lt;=IF(param_mode_affichage="mois",EOMONTH(AX$3,0),AX$3+6)),"◆",""))</f>
      </c>
      <c r="AY29" s="26">
        <f>IF(OR($A29="",AY$3=""),"",IF(AND($J29&lt;&gt;"",$K29&lt;&gt;"",$J29=$K29,$J29&gt;=AY$3,$J29&lt;=IF(param_mode_affichage="mois",EOMONTH(AY$3,0),AY$3+6)),"◆",""))</f>
      </c>
      <c r="AZ29" s="26">
        <f>IF(OR($A29="",AZ$3=""),"",IF(AND($J29&lt;&gt;"",$K29&lt;&gt;"",$J29=$K29,$J29&gt;=AZ$3,$J29&lt;=IF(param_mode_affichage="mois",EOMONTH(AZ$3,0),AZ$3+6)),"◆",""))</f>
      </c>
      <c r="BA29" s="26">
        <f>IF(OR($A29="",BA$3=""),"",IF(AND($J29&lt;&gt;"",$K29&lt;&gt;"",$J29=$K29,$J29&gt;=BA$3,$J29&lt;=IF(param_mode_affichage="mois",EOMONTH(BA$3,0),BA$3+6)),"◆",""))</f>
      </c>
      <c r="BB29" s="26">
        <f>IF(OR($A29="",BB$3=""),"",IF(AND($J29&lt;&gt;"",$K29&lt;&gt;"",$J29=$K29,$J29&gt;=BB$3,$J29&lt;=IF(param_mode_affichage="mois",EOMONTH(BB$3,0),BB$3+6)),"◆",""))</f>
      </c>
      <c r="BC29" s="26">
        <f>IF(OR($A29="",BC$3=""),"",IF(AND($J29&lt;&gt;"",$K29&lt;&gt;"",$J29=$K29,$J29&gt;=BC$3,$J29&lt;=IF(param_mode_affichage="mois",EOMONTH(BC$3,0),BC$3+6)),"◆",""))</f>
      </c>
      <c r="BD29" s="26">
        <f>IF(OR($A29="",BD$3=""),"",IF(AND($J29&lt;&gt;"",$K29&lt;&gt;"",$J29=$K29,$J29&gt;=BD$3,$J29&lt;=IF(param_mode_affichage="mois",EOMONTH(BD$3,0),BD$3+6)),"◆",""))</f>
      </c>
      <c r="BE29" s="26">
        <f>IF(OR($A29="",BE$3=""),"",IF(AND($J29&lt;&gt;"",$K29&lt;&gt;"",$J29=$K29,$J29&gt;=BE$3,$J29&lt;=IF(param_mode_affichage="mois",EOMONTH(BE$3,0),BE$3+6)),"◆",""))</f>
      </c>
      <c r="BF29" s="26">
        <f>IF(OR($A29="",BF$3=""),"",IF(AND($J29&lt;&gt;"",$K29&lt;&gt;"",$J29=$K29,$J29&gt;=BF$3,$J29&lt;=IF(param_mode_affichage="mois",EOMONTH(BF$3,0),BF$3+6)),"◆",""))</f>
      </c>
      <c r="BG29" s="26">
        <f>IF(OR($A29="",BG$3=""),"",IF(AND($J29&lt;&gt;"",$K29&lt;&gt;"",$J29=$K29,$J29&gt;=BG$3,$J29&lt;=IF(param_mode_affichage="mois",EOMONTH(BG$3,0),BG$3+6)),"◆",""))</f>
      </c>
      <c r="BH29" s="26">
        <f>IF(OR($A29="",BH$3=""),"",IF(AND($J29&lt;&gt;"",$K29&lt;&gt;"",$J29=$K29,$J29&gt;=BH$3,$J29&lt;=IF(param_mode_affichage="mois",EOMONTH(BH$3,0),BH$3+6)),"◆",""))</f>
      </c>
      <c r="BI29" s="26">
        <f>IF(OR($A29="",BI$3=""),"",IF(AND($J29&lt;&gt;"",$K29&lt;&gt;"",$J29=$K29,$J29&gt;=BI$3,$J29&lt;=IF(param_mode_affichage="mois",EOMONTH(BI$3,0),BI$3+6)),"◆",""))</f>
      </c>
      <c r="BJ29" s="26">
        <f>IF(OR($A29="",BJ$3=""),"",IF(AND($J29&lt;&gt;"",$K29&lt;&gt;"",$J29=$K29,$J29&gt;=BJ$3,$J29&lt;=IF(param_mode_affichage="mois",EOMONTH(BJ$3,0),BJ$3+6)),"◆",""))</f>
      </c>
      <c r="BK29" s="26">
        <f>IF(OR($A29="",BK$3=""),"",IF(AND($J29&lt;&gt;"",$K29&lt;&gt;"",$J29=$K29,$J29&gt;=BK$3,$J29&lt;=IF(param_mode_affichage="mois",EOMONTH(BK$3,0),BK$3+6)),"◆",""))</f>
      </c>
      <c r="BL29" s="26">
        <f>IF(OR($A29="",BL$3=""),"",IF(AND($J29&lt;&gt;"",$K29&lt;&gt;"",$J29=$K29,$J29&gt;=BL$3,$J29&lt;=IF(param_mode_affichage="mois",EOMONTH(BL$3,0),BL$3+6)),"◆",""))</f>
      </c>
    </row>
    <row r="30" spans="1:64" x14ac:dyDescent="0.25">
      <c r="A30" s="23">
        <f>IFERROR(INDEX(tblTasks[ID],ROW()-4),"")</f>
      </c>
      <c r="B30" s="24">
        <f>IF($A30="","",INDEX(tblTasks[Sujet],ROW()-4))</f>
      </c>
      <c r="C30" s="23">
        <f>IF($A30="","",INDEX(tblTasks[Responsable],ROW()-4))</f>
      </c>
      <c r="D30" s="23">
        <f>IF($A30="","",INDEX(tblTasks[Statut],ROW()-4))</f>
      </c>
      <c r="E30" s="23">
        <f>IF($A30="","",INDEX(tblTasks[Depend_de],ROW()-4))</f>
      </c>
      <c r="F30" s="23">
        <f>IF($A30="","",INDEX(tblTasks[Blocage],ROW()-4))</f>
      </c>
      <c r="G30" s="23">
        <f>IF($A30="","",INDEX(tblTasks[Niveau_criticite],ROW()-4))</f>
      </c>
      <c r="H30" s="23">
        <f>IF($A30="","",INDEX(tblTasks[Goulot],ROW()-4))</f>
      </c>
      <c r="I30" s="23">
        <f>IF($A30="","",IF(LOWER($F30)="oui","non",IF($E30="","oui",IFERROR(IF(LOWER(INDEX(tblTasks[Statut],MATCH($E30,tblTasks[ID],0)))="clos","oui","non"),"non"))))</f>
      </c>
      <c r="J30" s="25">
        <f>IF($A30="","",INDEX(tblTasks[Date_debut_prevue],ROW()-4))</f>
      </c>
      <c r="K30" s="25">
        <f>IF($A30="","",INDEX(tblTasks[Date_fin_prevue],ROW()-4))</f>
      </c>
      <c r="L30" s="23">
        <f>IF($A30="","",INDEX(tblTasks[Irreversibilite],ROW()-4))</f>
      </c>
      <c r="M30" s="26">
        <f>IF(OR($A30="",M$3=""),"",IF(AND($J30&lt;&gt;"",$K30&lt;&gt;"",$J30=$K30,$J30&gt;=M$3,$J30&lt;=IF(param_mode_affichage="mois",EOMONTH(M$3,0),M$3+6)),"◆",""))</f>
      </c>
      <c r="N30" s="26">
        <f>IF(OR($A30="",N$3=""),"",IF(AND($J30&lt;&gt;"",$K30&lt;&gt;"",$J30=$K30,$J30&gt;=N$3,$J30&lt;=IF(param_mode_affichage="mois",EOMONTH(N$3,0),N$3+6)),"◆",""))</f>
      </c>
      <c r="O30" s="26">
        <f>IF(OR($A30="",O$3=""),"",IF(AND($J30&lt;&gt;"",$K30&lt;&gt;"",$J30=$K30,$J30&gt;=O$3,$J30&lt;=IF(param_mode_affichage="mois",EOMONTH(O$3,0),O$3+6)),"◆",""))</f>
      </c>
      <c r="P30" s="26">
        <f>IF(OR($A30="",P$3=""),"",IF(AND($J30&lt;&gt;"",$K30&lt;&gt;"",$J30=$K30,$J30&gt;=P$3,$J30&lt;=IF(param_mode_affichage="mois",EOMONTH(P$3,0),P$3+6)),"◆",""))</f>
      </c>
      <c r="Q30" s="26">
        <f>IF(OR($A30="",Q$3=""),"",IF(AND($J30&lt;&gt;"",$K30&lt;&gt;"",$J30=$K30,$J30&gt;=Q$3,$J30&lt;=IF(param_mode_affichage="mois",EOMONTH(Q$3,0),Q$3+6)),"◆",""))</f>
      </c>
      <c r="R30" s="26">
        <f>IF(OR($A30="",R$3=""),"",IF(AND($J30&lt;&gt;"",$K30&lt;&gt;"",$J30=$K30,$J30&gt;=R$3,$J30&lt;=IF(param_mode_affichage="mois",EOMONTH(R$3,0),R$3+6)),"◆",""))</f>
      </c>
      <c r="S30" s="26">
        <f>IF(OR($A30="",S$3=""),"",IF(AND($J30&lt;&gt;"",$K30&lt;&gt;"",$J30=$K30,$J30&gt;=S$3,$J30&lt;=IF(param_mode_affichage="mois",EOMONTH(S$3,0),S$3+6)),"◆",""))</f>
      </c>
      <c r="T30" s="26">
        <f>IF(OR($A30="",T$3=""),"",IF(AND($J30&lt;&gt;"",$K30&lt;&gt;"",$J30=$K30,$J30&gt;=T$3,$J30&lt;=IF(param_mode_affichage="mois",EOMONTH(T$3,0),T$3+6)),"◆",""))</f>
      </c>
      <c r="U30" s="26">
        <f>IF(OR($A30="",U$3=""),"",IF(AND($J30&lt;&gt;"",$K30&lt;&gt;"",$J30=$K30,$J30&gt;=U$3,$J30&lt;=IF(param_mode_affichage="mois",EOMONTH(U$3,0),U$3+6)),"◆",""))</f>
      </c>
      <c r="V30" s="26">
        <f>IF(OR($A30="",V$3=""),"",IF(AND($J30&lt;&gt;"",$K30&lt;&gt;"",$J30=$K30,$J30&gt;=V$3,$J30&lt;=IF(param_mode_affichage="mois",EOMONTH(V$3,0),V$3+6)),"◆",""))</f>
      </c>
      <c r="W30" s="26">
        <f>IF(OR($A30="",W$3=""),"",IF(AND($J30&lt;&gt;"",$K30&lt;&gt;"",$J30=$K30,$J30&gt;=W$3,$J30&lt;=IF(param_mode_affichage="mois",EOMONTH(W$3,0),W$3+6)),"◆",""))</f>
      </c>
      <c r="X30" s="26">
        <f>IF(OR($A30="",X$3=""),"",IF(AND($J30&lt;&gt;"",$K30&lt;&gt;"",$J30=$K30,$J30&gt;=X$3,$J30&lt;=IF(param_mode_affichage="mois",EOMONTH(X$3,0),X$3+6)),"◆",""))</f>
      </c>
      <c r="Y30" s="26">
        <f>IF(OR($A30="",Y$3=""),"",IF(AND($J30&lt;&gt;"",$K30&lt;&gt;"",$J30=$K30,$J30&gt;=Y$3,$J30&lt;=IF(param_mode_affichage="mois",EOMONTH(Y$3,0),Y$3+6)),"◆",""))</f>
      </c>
      <c r="Z30" s="26">
        <f>IF(OR($A30="",Z$3=""),"",IF(AND($J30&lt;&gt;"",$K30&lt;&gt;"",$J30=$K30,$J30&gt;=Z$3,$J30&lt;=IF(param_mode_affichage="mois",EOMONTH(Z$3,0),Z$3+6)),"◆",""))</f>
      </c>
      <c r="AA30" s="26">
        <f>IF(OR($A30="",AA$3=""),"",IF(AND($J30&lt;&gt;"",$K30&lt;&gt;"",$J30=$K30,$J30&gt;=AA$3,$J30&lt;=IF(param_mode_affichage="mois",EOMONTH(AA$3,0),AA$3+6)),"◆",""))</f>
      </c>
      <c r="AB30" s="26">
        <f>IF(OR($A30="",AB$3=""),"",IF(AND($J30&lt;&gt;"",$K30&lt;&gt;"",$J30=$K30,$J30&gt;=AB$3,$J30&lt;=IF(param_mode_affichage="mois",EOMONTH(AB$3,0),AB$3+6)),"◆",""))</f>
      </c>
      <c r="AC30" s="26">
        <f>IF(OR($A30="",AC$3=""),"",IF(AND($J30&lt;&gt;"",$K30&lt;&gt;"",$J30=$K30,$J30&gt;=AC$3,$J30&lt;=IF(param_mode_affichage="mois",EOMONTH(AC$3,0),AC$3+6)),"◆",""))</f>
      </c>
      <c r="AD30" s="26">
        <f>IF(OR($A30="",AD$3=""),"",IF(AND($J30&lt;&gt;"",$K30&lt;&gt;"",$J30=$K30,$J30&gt;=AD$3,$J30&lt;=IF(param_mode_affichage="mois",EOMONTH(AD$3,0),AD$3+6)),"◆",""))</f>
      </c>
      <c r="AE30" s="26">
        <f>IF(OR($A30="",AE$3=""),"",IF(AND($J30&lt;&gt;"",$K30&lt;&gt;"",$J30=$K30,$J30&gt;=AE$3,$J30&lt;=IF(param_mode_affichage="mois",EOMONTH(AE$3,0),AE$3+6)),"◆",""))</f>
      </c>
      <c r="AF30" s="26">
        <f>IF(OR($A30="",AF$3=""),"",IF(AND($J30&lt;&gt;"",$K30&lt;&gt;"",$J30=$K30,$J30&gt;=AF$3,$J30&lt;=IF(param_mode_affichage="mois",EOMONTH(AF$3,0),AF$3+6)),"◆",""))</f>
      </c>
      <c r="AG30" s="26">
        <f>IF(OR($A30="",AG$3=""),"",IF(AND($J30&lt;&gt;"",$K30&lt;&gt;"",$J30=$K30,$J30&gt;=AG$3,$J30&lt;=IF(param_mode_affichage="mois",EOMONTH(AG$3,0),AG$3+6)),"◆",""))</f>
      </c>
      <c r="AH30" s="26">
        <f>IF(OR($A30="",AH$3=""),"",IF(AND($J30&lt;&gt;"",$K30&lt;&gt;"",$J30=$K30,$J30&gt;=AH$3,$J30&lt;=IF(param_mode_affichage="mois",EOMONTH(AH$3,0),AH$3+6)),"◆",""))</f>
      </c>
      <c r="AI30" s="26">
        <f>IF(OR($A30="",AI$3=""),"",IF(AND($J30&lt;&gt;"",$K30&lt;&gt;"",$J30=$K30,$J30&gt;=AI$3,$J30&lt;=IF(param_mode_affichage="mois",EOMONTH(AI$3,0),AI$3+6)),"◆",""))</f>
      </c>
      <c r="AJ30" s="26">
        <f>IF(OR($A30="",AJ$3=""),"",IF(AND($J30&lt;&gt;"",$K30&lt;&gt;"",$J30=$K30,$J30&gt;=AJ$3,$J30&lt;=IF(param_mode_affichage="mois",EOMONTH(AJ$3,0),AJ$3+6)),"◆",""))</f>
      </c>
      <c r="AK30" s="26">
        <f>IF(OR($A30="",AK$3=""),"",IF(AND($J30&lt;&gt;"",$K30&lt;&gt;"",$J30=$K30,$J30&gt;=AK$3,$J30&lt;=IF(param_mode_affichage="mois",EOMONTH(AK$3,0),AK$3+6)),"◆",""))</f>
      </c>
      <c r="AL30" s="26">
        <f>IF(OR($A30="",AL$3=""),"",IF(AND($J30&lt;&gt;"",$K30&lt;&gt;"",$J30=$K30,$J30&gt;=AL$3,$J30&lt;=IF(param_mode_affichage="mois",EOMONTH(AL$3,0),AL$3+6)),"◆",""))</f>
      </c>
      <c r="AM30" s="26">
        <f>IF(OR($A30="",AM$3=""),"",IF(AND($J30&lt;&gt;"",$K30&lt;&gt;"",$J30=$K30,$J30&gt;=AM$3,$J30&lt;=IF(param_mode_affichage="mois",EOMONTH(AM$3,0),AM$3+6)),"◆",""))</f>
      </c>
      <c r="AN30" s="26">
        <f>IF(OR($A30="",AN$3=""),"",IF(AND($J30&lt;&gt;"",$K30&lt;&gt;"",$J30=$K30,$J30&gt;=AN$3,$J30&lt;=IF(param_mode_affichage="mois",EOMONTH(AN$3,0),AN$3+6)),"◆",""))</f>
      </c>
      <c r="AO30" s="26">
        <f>IF(OR($A30="",AO$3=""),"",IF(AND($J30&lt;&gt;"",$K30&lt;&gt;"",$J30=$K30,$J30&gt;=AO$3,$J30&lt;=IF(param_mode_affichage="mois",EOMONTH(AO$3,0),AO$3+6)),"◆",""))</f>
      </c>
      <c r="AP30" s="26">
        <f>IF(OR($A30="",AP$3=""),"",IF(AND($J30&lt;&gt;"",$K30&lt;&gt;"",$J30=$K30,$J30&gt;=AP$3,$J30&lt;=IF(param_mode_affichage="mois",EOMONTH(AP$3,0),AP$3+6)),"◆",""))</f>
      </c>
      <c r="AQ30" s="26">
        <f>IF(OR($A30="",AQ$3=""),"",IF(AND($J30&lt;&gt;"",$K30&lt;&gt;"",$J30=$K30,$J30&gt;=AQ$3,$J30&lt;=IF(param_mode_affichage="mois",EOMONTH(AQ$3,0),AQ$3+6)),"◆",""))</f>
      </c>
      <c r="AR30" s="26">
        <f>IF(OR($A30="",AR$3=""),"",IF(AND($J30&lt;&gt;"",$K30&lt;&gt;"",$J30=$K30,$J30&gt;=AR$3,$J30&lt;=IF(param_mode_affichage="mois",EOMONTH(AR$3,0),AR$3+6)),"◆",""))</f>
      </c>
      <c r="AS30" s="26">
        <f>IF(OR($A30="",AS$3=""),"",IF(AND($J30&lt;&gt;"",$K30&lt;&gt;"",$J30=$K30,$J30&gt;=AS$3,$J30&lt;=IF(param_mode_affichage="mois",EOMONTH(AS$3,0),AS$3+6)),"◆",""))</f>
      </c>
      <c r="AT30" s="26">
        <f>IF(OR($A30="",AT$3=""),"",IF(AND($J30&lt;&gt;"",$K30&lt;&gt;"",$J30=$K30,$J30&gt;=AT$3,$J30&lt;=IF(param_mode_affichage="mois",EOMONTH(AT$3,0),AT$3+6)),"◆",""))</f>
      </c>
      <c r="AU30" s="26">
        <f>IF(OR($A30="",AU$3=""),"",IF(AND($J30&lt;&gt;"",$K30&lt;&gt;"",$J30=$K30,$J30&gt;=AU$3,$J30&lt;=IF(param_mode_affichage="mois",EOMONTH(AU$3,0),AU$3+6)),"◆",""))</f>
      </c>
      <c r="AV30" s="26">
        <f>IF(OR($A30="",AV$3=""),"",IF(AND($J30&lt;&gt;"",$K30&lt;&gt;"",$J30=$K30,$J30&gt;=AV$3,$J30&lt;=IF(param_mode_affichage="mois",EOMONTH(AV$3,0),AV$3+6)),"◆",""))</f>
      </c>
      <c r="AW30" s="26">
        <f>IF(OR($A30="",AW$3=""),"",IF(AND($J30&lt;&gt;"",$K30&lt;&gt;"",$J30=$K30,$J30&gt;=AW$3,$J30&lt;=IF(param_mode_affichage="mois",EOMONTH(AW$3,0),AW$3+6)),"◆",""))</f>
      </c>
      <c r="AX30" s="26">
        <f>IF(OR($A30="",AX$3=""),"",IF(AND($J30&lt;&gt;"",$K30&lt;&gt;"",$J30=$K30,$J30&gt;=AX$3,$J30&lt;=IF(param_mode_affichage="mois",EOMONTH(AX$3,0),AX$3+6)),"◆",""))</f>
      </c>
      <c r="AY30" s="26">
        <f>IF(OR($A30="",AY$3=""),"",IF(AND($J30&lt;&gt;"",$K30&lt;&gt;"",$J30=$K30,$J30&gt;=AY$3,$J30&lt;=IF(param_mode_affichage="mois",EOMONTH(AY$3,0),AY$3+6)),"◆",""))</f>
      </c>
      <c r="AZ30" s="26">
        <f>IF(OR($A30="",AZ$3=""),"",IF(AND($J30&lt;&gt;"",$K30&lt;&gt;"",$J30=$K30,$J30&gt;=AZ$3,$J30&lt;=IF(param_mode_affichage="mois",EOMONTH(AZ$3,0),AZ$3+6)),"◆",""))</f>
      </c>
      <c r="BA30" s="26">
        <f>IF(OR($A30="",BA$3=""),"",IF(AND($J30&lt;&gt;"",$K30&lt;&gt;"",$J30=$K30,$J30&gt;=BA$3,$J30&lt;=IF(param_mode_affichage="mois",EOMONTH(BA$3,0),BA$3+6)),"◆",""))</f>
      </c>
      <c r="BB30" s="26">
        <f>IF(OR($A30="",BB$3=""),"",IF(AND($J30&lt;&gt;"",$K30&lt;&gt;"",$J30=$K30,$J30&gt;=BB$3,$J30&lt;=IF(param_mode_affichage="mois",EOMONTH(BB$3,0),BB$3+6)),"◆",""))</f>
      </c>
      <c r="BC30" s="26">
        <f>IF(OR($A30="",BC$3=""),"",IF(AND($J30&lt;&gt;"",$K30&lt;&gt;"",$J30=$K30,$J30&gt;=BC$3,$J30&lt;=IF(param_mode_affichage="mois",EOMONTH(BC$3,0),BC$3+6)),"◆",""))</f>
      </c>
      <c r="BD30" s="26">
        <f>IF(OR($A30="",BD$3=""),"",IF(AND($J30&lt;&gt;"",$K30&lt;&gt;"",$J30=$K30,$J30&gt;=BD$3,$J30&lt;=IF(param_mode_affichage="mois",EOMONTH(BD$3,0),BD$3+6)),"◆",""))</f>
      </c>
      <c r="BE30" s="26">
        <f>IF(OR($A30="",BE$3=""),"",IF(AND($J30&lt;&gt;"",$K30&lt;&gt;"",$J30=$K30,$J30&gt;=BE$3,$J30&lt;=IF(param_mode_affichage="mois",EOMONTH(BE$3,0),BE$3+6)),"◆",""))</f>
      </c>
      <c r="BF30" s="26">
        <f>IF(OR($A30="",BF$3=""),"",IF(AND($J30&lt;&gt;"",$K30&lt;&gt;"",$J30=$K30,$J30&gt;=BF$3,$J30&lt;=IF(param_mode_affichage="mois",EOMONTH(BF$3,0),BF$3+6)),"◆",""))</f>
      </c>
      <c r="BG30" s="26">
        <f>IF(OR($A30="",BG$3=""),"",IF(AND($J30&lt;&gt;"",$K30&lt;&gt;"",$J30=$K30,$J30&gt;=BG$3,$J30&lt;=IF(param_mode_affichage="mois",EOMONTH(BG$3,0),BG$3+6)),"◆",""))</f>
      </c>
      <c r="BH30" s="26">
        <f>IF(OR($A30="",BH$3=""),"",IF(AND($J30&lt;&gt;"",$K30&lt;&gt;"",$J30=$K30,$J30&gt;=BH$3,$J30&lt;=IF(param_mode_affichage="mois",EOMONTH(BH$3,0),BH$3+6)),"◆",""))</f>
      </c>
      <c r="BI30" s="26">
        <f>IF(OR($A30="",BI$3=""),"",IF(AND($J30&lt;&gt;"",$K30&lt;&gt;"",$J30=$K30,$J30&gt;=BI$3,$J30&lt;=IF(param_mode_affichage="mois",EOMONTH(BI$3,0),BI$3+6)),"◆",""))</f>
      </c>
      <c r="BJ30" s="26">
        <f>IF(OR($A30="",BJ$3=""),"",IF(AND($J30&lt;&gt;"",$K30&lt;&gt;"",$J30=$K30,$J30&gt;=BJ$3,$J30&lt;=IF(param_mode_affichage="mois",EOMONTH(BJ$3,0),BJ$3+6)),"◆",""))</f>
      </c>
      <c r="BK30" s="26">
        <f>IF(OR($A30="",BK$3=""),"",IF(AND($J30&lt;&gt;"",$K30&lt;&gt;"",$J30=$K30,$J30&gt;=BK$3,$J30&lt;=IF(param_mode_affichage="mois",EOMONTH(BK$3,0),BK$3+6)),"◆",""))</f>
      </c>
      <c r="BL30" s="26">
        <f>IF(OR($A30="",BL$3=""),"",IF(AND($J30&lt;&gt;"",$K30&lt;&gt;"",$J30=$K30,$J30&gt;=BL$3,$J30&lt;=IF(param_mode_affichage="mois",EOMONTH(BL$3,0),BL$3+6)),"◆",""))</f>
      </c>
    </row>
    <row r="31" spans="1:64" x14ac:dyDescent="0.25">
      <c r="A31" s="23">
        <f>IFERROR(INDEX(tblTasks[ID],ROW()-4),"")</f>
      </c>
      <c r="B31" s="24">
        <f>IF($A31="","",INDEX(tblTasks[Sujet],ROW()-4))</f>
      </c>
      <c r="C31" s="23">
        <f>IF($A31="","",INDEX(tblTasks[Responsable],ROW()-4))</f>
      </c>
      <c r="D31" s="23">
        <f>IF($A31="","",INDEX(tblTasks[Statut],ROW()-4))</f>
      </c>
      <c r="E31" s="23">
        <f>IF($A31="","",INDEX(tblTasks[Depend_de],ROW()-4))</f>
      </c>
      <c r="F31" s="23">
        <f>IF($A31="","",INDEX(tblTasks[Blocage],ROW()-4))</f>
      </c>
      <c r="G31" s="23">
        <f>IF($A31="","",INDEX(tblTasks[Niveau_criticite],ROW()-4))</f>
      </c>
      <c r="H31" s="23">
        <f>IF($A31="","",INDEX(tblTasks[Goulot],ROW()-4))</f>
      </c>
      <c r="I31" s="23">
        <f>IF($A31="","",IF(LOWER($F31)="oui","non",IF($E31="","oui",IFERROR(IF(LOWER(INDEX(tblTasks[Statut],MATCH($E31,tblTasks[ID],0)))="clos","oui","non"),"non"))))</f>
      </c>
      <c r="J31" s="25">
        <f>IF($A31="","",INDEX(tblTasks[Date_debut_prevue],ROW()-4))</f>
      </c>
      <c r="K31" s="25">
        <f>IF($A31="","",INDEX(tblTasks[Date_fin_prevue],ROW()-4))</f>
      </c>
      <c r="L31" s="23">
        <f>IF($A31="","",INDEX(tblTasks[Irreversibilite],ROW()-4))</f>
      </c>
      <c r="M31" s="26">
        <f>IF(OR($A31="",M$3=""),"",IF(AND($J31&lt;&gt;"",$K31&lt;&gt;"",$J31=$K31,$J31&gt;=M$3,$J31&lt;=IF(param_mode_affichage="mois",EOMONTH(M$3,0),M$3+6)),"◆",""))</f>
      </c>
      <c r="N31" s="26">
        <f>IF(OR($A31="",N$3=""),"",IF(AND($J31&lt;&gt;"",$K31&lt;&gt;"",$J31=$K31,$J31&gt;=N$3,$J31&lt;=IF(param_mode_affichage="mois",EOMONTH(N$3,0),N$3+6)),"◆",""))</f>
      </c>
      <c r="O31" s="26">
        <f>IF(OR($A31="",O$3=""),"",IF(AND($J31&lt;&gt;"",$K31&lt;&gt;"",$J31=$K31,$J31&gt;=O$3,$J31&lt;=IF(param_mode_affichage="mois",EOMONTH(O$3,0),O$3+6)),"◆",""))</f>
      </c>
      <c r="P31" s="26">
        <f>IF(OR($A31="",P$3=""),"",IF(AND($J31&lt;&gt;"",$K31&lt;&gt;"",$J31=$K31,$J31&gt;=P$3,$J31&lt;=IF(param_mode_affichage="mois",EOMONTH(P$3,0),P$3+6)),"◆",""))</f>
      </c>
      <c r="Q31" s="26">
        <f>IF(OR($A31="",Q$3=""),"",IF(AND($J31&lt;&gt;"",$K31&lt;&gt;"",$J31=$K31,$J31&gt;=Q$3,$J31&lt;=IF(param_mode_affichage="mois",EOMONTH(Q$3,0),Q$3+6)),"◆",""))</f>
      </c>
      <c r="R31" s="26">
        <f>IF(OR($A31="",R$3=""),"",IF(AND($J31&lt;&gt;"",$K31&lt;&gt;"",$J31=$K31,$J31&gt;=R$3,$J31&lt;=IF(param_mode_affichage="mois",EOMONTH(R$3,0),R$3+6)),"◆",""))</f>
      </c>
      <c r="S31" s="26">
        <f>IF(OR($A31="",S$3=""),"",IF(AND($J31&lt;&gt;"",$K31&lt;&gt;"",$J31=$K31,$J31&gt;=S$3,$J31&lt;=IF(param_mode_affichage="mois",EOMONTH(S$3,0),S$3+6)),"◆",""))</f>
      </c>
      <c r="T31" s="26">
        <f>IF(OR($A31="",T$3=""),"",IF(AND($J31&lt;&gt;"",$K31&lt;&gt;"",$J31=$K31,$J31&gt;=T$3,$J31&lt;=IF(param_mode_affichage="mois",EOMONTH(T$3,0),T$3+6)),"◆",""))</f>
      </c>
      <c r="U31" s="26">
        <f>IF(OR($A31="",U$3=""),"",IF(AND($J31&lt;&gt;"",$K31&lt;&gt;"",$J31=$K31,$J31&gt;=U$3,$J31&lt;=IF(param_mode_affichage="mois",EOMONTH(U$3,0),U$3+6)),"◆",""))</f>
      </c>
      <c r="V31" s="26">
        <f>IF(OR($A31="",V$3=""),"",IF(AND($J31&lt;&gt;"",$K31&lt;&gt;"",$J31=$K31,$J31&gt;=V$3,$J31&lt;=IF(param_mode_affichage="mois",EOMONTH(V$3,0),V$3+6)),"◆",""))</f>
      </c>
      <c r="W31" s="26">
        <f>IF(OR($A31="",W$3=""),"",IF(AND($J31&lt;&gt;"",$K31&lt;&gt;"",$J31=$K31,$J31&gt;=W$3,$J31&lt;=IF(param_mode_affichage="mois",EOMONTH(W$3,0),W$3+6)),"◆",""))</f>
      </c>
      <c r="X31" s="26">
        <f>IF(OR($A31="",X$3=""),"",IF(AND($J31&lt;&gt;"",$K31&lt;&gt;"",$J31=$K31,$J31&gt;=X$3,$J31&lt;=IF(param_mode_affichage="mois",EOMONTH(X$3,0),X$3+6)),"◆",""))</f>
      </c>
      <c r="Y31" s="26">
        <f>IF(OR($A31="",Y$3=""),"",IF(AND($J31&lt;&gt;"",$K31&lt;&gt;"",$J31=$K31,$J31&gt;=Y$3,$J31&lt;=IF(param_mode_affichage="mois",EOMONTH(Y$3,0),Y$3+6)),"◆",""))</f>
      </c>
      <c r="Z31" s="26">
        <f>IF(OR($A31="",Z$3=""),"",IF(AND($J31&lt;&gt;"",$K31&lt;&gt;"",$J31=$K31,$J31&gt;=Z$3,$J31&lt;=IF(param_mode_affichage="mois",EOMONTH(Z$3,0),Z$3+6)),"◆",""))</f>
      </c>
      <c r="AA31" s="26">
        <f>IF(OR($A31="",AA$3=""),"",IF(AND($J31&lt;&gt;"",$K31&lt;&gt;"",$J31=$K31,$J31&gt;=AA$3,$J31&lt;=IF(param_mode_affichage="mois",EOMONTH(AA$3,0),AA$3+6)),"◆",""))</f>
      </c>
      <c r="AB31" s="26">
        <f>IF(OR($A31="",AB$3=""),"",IF(AND($J31&lt;&gt;"",$K31&lt;&gt;"",$J31=$K31,$J31&gt;=AB$3,$J31&lt;=IF(param_mode_affichage="mois",EOMONTH(AB$3,0),AB$3+6)),"◆",""))</f>
      </c>
      <c r="AC31" s="26">
        <f>IF(OR($A31="",AC$3=""),"",IF(AND($J31&lt;&gt;"",$K31&lt;&gt;"",$J31=$K31,$J31&gt;=AC$3,$J31&lt;=IF(param_mode_affichage="mois",EOMONTH(AC$3,0),AC$3+6)),"◆",""))</f>
      </c>
      <c r="AD31" s="26">
        <f>IF(OR($A31="",AD$3=""),"",IF(AND($J31&lt;&gt;"",$K31&lt;&gt;"",$J31=$K31,$J31&gt;=AD$3,$J31&lt;=IF(param_mode_affichage="mois",EOMONTH(AD$3,0),AD$3+6)),"◆",""))</f>
      </c>
      <c r="AE31" s="26">
        <f>IF(OR($A31="",AE$3=""),"",IF(AND($J31&lt;&gt;"",$K31&lt;&gt;"",$J31=$K31,$J31&gt;=AE$3,$J31&lt;=IF(param_mode_affichage="mois",EOMONTH(AE$3,0),AE$3+6)),"◆",""))</f>
      </c>
      <c r="AF31" s="26">
        <f>IF(OR($A31="",AF$3=""),"",IF(AND($J31&lt;&gt;"",$K31&lt;&gt;"",$J31=$K31,$J31&gt;=AF$3,$J31&lt;=IF(param_mode_affichage="mois",EOMONTH(AF$3,0),AF$3+6)),"◆",""))</f>
      </c>
      <c r="AG31" s="26">
        <f>IF(OR($A31="",AG$3=""),"",IF(AND($J31&lt;&gt;"",$K31&lt;&gt;"",$J31=$K31,$J31&gt;=AG$3,$J31&lt;=IF(param_mode_affichage="mois",EOMONTH(AG$3,0),AG$3+6)),"◆",""))</f>
      </c>
      <c r="AH31" s="26">
        <f>IF(OR($A31="",AH$3=""),"",IF(AND($J31&lt;&gt;"",$K31&lt;&gt;"",$J31=$K31,$J31&gt;=AH$3,$J31&lt;=IF(param_mode_affichage="mois",EOMONTH(AH$3,0),AH$3+6)),"◆",""))</f>
      </c>
      <c r="AI31" s="26">
        <f>IF(OR($A31="",AI$3=""),"",IF(AND($J31&lt;&gt;"",$K31&lt;&gt;"",$J31=$K31,$J31&gt;=AI$3,$J31&lt;=IF(param_mode_affichage="mois",EOMONTH(AI$3,0),AI$3+6)),"◆",""))</f>
      </c>
      <c r="AJ31" s="26">
        <f>IF(OR($A31="",AJ$3=""),"",IF(AND($J31&lt;&gt;"",$K31&lt;&gt;"",$J31=$K31,$J31&gt;=AJ$3,$J31&lt;=IF(param_mode_affichage="mois",EOMONTH(AJ$3,0),AJ$3+6)),"◆",""))</f>
      </c>
      <c r="AK31" s="26">
        <f>IF(OR($A31="",AK$3=""),"",IF(AND($J31&lt;&gt;"",$K31&lt;&gt;"",$J31=$K31,$J31&gt;=AK$3,$J31&lt;=IF(param_mode_affichage="mois",EOMONTH(AK$3,0),AK$3+6)),"◆",""))</f>
      </c>
      <c r="AL31" s="26">
        <f>IF(OR($A31="",AL$3=""),"",IF(AND($J31&lt;&gt;"",$K31&lt;&gt;"",$J31=$K31,$J31&gt;=AL$3,$J31&lt;=IF(param_mode_affichage="mois",EOMONTH(AL$3,0),AL$3+6)),"◆",""))</f>
      </c>
      <c r="AM31" s="26">
        <f>IF(OR($A31="",AM$3=""),"",IF(AND($J31&lt;&gt;"",$K31&lt;&gt;"",$J31=$K31,$J31&gt;=AM$3,$J31&lt;=IF(param_mode_affichage="mois",EOMONTH(AM$3,0),AM$3+6)),"◆",""))</f>
      </c>
      <c r="AN31" s="26">
        <f>IF(OR($A31="",AN$3=""),"",IF(AND($J31&lt;&gt;"",$K31&lt;&gt;"",$J31=$K31,$J31&gt;=AN$3,$J31&lt;=IF(param_mode_affichage="mois",EOMONTH(AN$3,0),AN$3+6)),"◆",""))</f>
      </c>
      <c r="AO31" s="26">
        <f>IF(OR($A31="",AO$3=""),"",IF(AND($J31&lt;&gt;"",$K31&lt;&gt;"",$J31=$K31,$J31&gt;=AO$3,$J31&lt;=IF(param_mode_affichage="mois",EOMONTH(AO$3,0),AO$3+6)),"◆",""))</f>
      </c>
      <c r="AP31" s="26">
        <f>IF(OR($A31="",AP$3=""),"",IF(AND($J31&lt;&gt;"",$K31&lt;&gt;"",$J31=$K31,$J31&gt;=AP$3,$J31&lt;=IF(param_mode_affichage="mois",EOMONTH(AP$3,0),AP$3+6)),"◆",""))</f>
      </c>
      <c r="AQ31" s="26">
        <f>IF(OR($A31="",AQ$3=""),"",IF(AND($J31&lt;&gt;"",$K31&lt;&gt;"",$J31=$K31,$J31&gt;=AQ$3,$J31&lt;=IF(param_mode_affichage="mois",EOMONTH(AQ$3,0),AQ$3+6)),"◆",""))</f>
      </c>
      <c r="AR31" s="26">
        <f>IF(OR($A31="",AR$3=""),"",IF(AND($J31&lt;&gt;"",$K31&lt;&gt;"",$J31=$K31,$J31&gt;=AR$3,$J31&lt;=IF(param_mode_affichage="mois",EOMONTH(AR$3,0),AR$3+6)),"◆",""))</f>
      </c>
      <c r="AS31" s="26">
        <f>IF(OR($A31="",AS$3=""),"",IF(AND($J31&lt;&gt;"",$K31&lt;&gt;"",$J31=$K31,$J31&gt;=AS$3,$J31&lt;=IF(param_mode_affichage="mois",EOMONTH(AS$3,0),AS$3+6)),"◆",""))</f>
      </c>
      <c r="AT31" s="26">
        <f>IF(OR($A31="",AT$3=""),"",IF(AND($J31&lt;&gt;"",$K31&lt;&gt;"",$J31=$K31,$J31&gt;=AT$3,$J31&lt;=IF(param_mode_affichage="mois",EOMONTH(AT$3,0),AT$3+6)),"◆",""))</f>
      </c>
      <c r="AU31" s="26">
        <f>IF(OR($A31="",AU$3=""),"",IF(AND($J31&lt;&gt;"",$K31&lt;&gt;"",$J31=$K31,$J31&gt;=AU$3,$J31&lt;=IF(param_mode_affichage="mois",EOMONTH(AU$3,0),AU$3+6)),"◆",""))</f>
      </c>
      <c r="AV31" s="26">
        <f>IF(OR($A31="",AV$3=""),"",IF(AND($J31&lt;&gt;"",$K31&lt;&gt;"",$J31=$K31,$J31&gt;=AV$3,$J31&lt;=IF(param_mode_affichage="mois",EOMONTH(AV$3,0),AV$3+6)),"◆",""))</f>
      </c>
      <c r="AW31" s="26">
        <f>IF(OR($A31="",AW$3=""),"",IF(AND($J31&lt;&gt;"",$K31&lt;&gt;"",$J31=$K31,$J31&gt;=AW$3,$J31&lt;=IF(param_mode_affichage="mois",EOMONTH(AW$3,0),AW$3+6)),"◆",""))</f>
      </c>
      <c r="AX31" s="26">
        <f>IF(OR($A31="",AX$3=""),"",IF(AND($J31&lt;&gt;"",$K31&lt;&gt;"",$J31=$K31,$J31&gt;=AX$3,$J31&lt;=IF(param_mode_affichage="mois",EOMONTH(AX$3,0),AX$3+6)),"◆",""))</f>
      </c>
      <c r="AY31" s="26">
        <f>IF(OR($A31="",AY$3=""),"",IF(AND($J31&lt;&gt;"",$K31&lt;&gt;"",$J31=$K31,$J31&gt;=AY$3,$J31&lt;=IF(param_mode_affichage="mois",EOMONTH(AY$3,0),AY$3+6)),"◆",""))</f>
      </c>
      <c r="AZ31" s="26">
        <f>IF(OR($A31="",AZ$3=""),"",IF(AND($J31&lt;&gt;"",$K31&lt;&gt;"",$J31=$K31,$J31&gt;=AZ$3,$J31&lt;=IF(param_mode_affichage="mois",EOMONTH(AZ$3,0),AZ$3+6)),"◆",""))</f>
      </c>
      <c r="BA31" s="26">
        <f>IF(OR($A31="",BA$3=""),"",IF(AND($J31&lt;&gt;"",$K31&lt;&gt;"",$J31=$K31,$J31&gt;=BA$3,$J31&lt;=IF(param_mode_affichage="mois",EOMONTH(BA$3,0),BA$3+6)),"◆",""))</f>
      </c>
      <c r="BB31" s="26">
        <f>IF(OR($A31="",BB$3=""),"",IF(AND($J31&lt;&gt;"",$K31&lt;&gt;"",$J31=$K31,$J31&gt;=BB$3,$J31&lt;=IF(param_mode_affichage="mois",EOMONTH(BB$3,0),BB$3+6)),"◆",""))</f>
      </c>
      <c r="BC31" s="26">
        <f>IF(OR($A31="",BC$3=""),"",IF(AND($J31&lt;&gt;"",$K31&lt;&gt;"",$J31=$K31,$J31&gt;=BC$3,$J31&lt;=IF(param_mode_affichage="mois",EOMONTH(BC$3,0),BC$3+6)),"◆",""))</f>
      </c>
      <c r="BD31" s="26">
        <f>IF(OR($A31="",BD$3=""),"",IF(AND($J31&lt;&gt;"",$K31&lt;&gt;"",$J31=$K31,$J31&gt;=BD$3,$J31&lt;=IF(param_mode_affichage="mois",EOMONTH(BD$3,0),BD$3+6)),"◆",""))</f>
      </c>
      <c r="BE31" s="26">
        <f>IF(OR($A31="",BE$3=""),"",IF(AND($J31&lt;&gt;"",$K31&lt;&gt;"",$J31=$K31,$J31&gt;=BE$3,$J31&lt;=IF(param_mode_affichage="mois",EOMONTH(BE$3,0),BE$3+6)),"◆",""))</f>
      </c>
      <c r="BF31" s="26">
        <f>IF(OR($A31="",BF$3=""),"",IF(AND($J31&lt;&gt;"",$K31&lt;&gt;"",$J31=$K31,$J31&gt;=BF$3,$J31&lt;=IF(param_mode_affichage="mois",EOMONTH(BF$3,0),BF$3+6)),"◆",""))</f>
      </c>
      <c r="BG31" s="26">
        <f>IF(OR($A31="",BG$3=""),"",IF(AND($J31&lt;&gt;"",$K31&lt;&gt;"",$J31=$K31,$J31&gt;=BG$3,$J31&lt;=IF(param_mode_affichage="mois",EOMONTH(BG$3,0),BG$3+6)),"◆",""))</f>
      </c>
      <c r="BH31" s="26">
        <f>IF(OR($A31="",BH$3=""),"",IF(AND($J31&lt;&gt;"",$K31&lt;&gt;"",$J31=$K31,$J31&gt;=BH$3,$J31&lt;=IF(param_mode_affichage="mois",EOMONTH(BH$3,0),BH$3+6)),"◆",""))</f>
      </c>
      <c r="BI31" s="26">
        <f>IF(OR($A31="",BI$3=""),"",IF(AND($J31&lt;&gt;"",$K31&lt;&gt;"",$J31=$K31,$J31&gt;=BI$3,$J31&lt;=IF(param_mode_affichage="mois",EOMONTH(BI$3,0),BI$3+6)),"◆",""))</f>
      </c>
      <c r="BJ31" s="26">
        <f>IF(OR($A31="",BJ$3=""),"",IF(AND($J31&lt;&gt;"",$K31&lt;&gt;"",$J31=$K31,$J31&gt;=BJ$3,$J31&lt;=IF(param_mode_affichage="mois",EOMONTH(BJ$3,0),BJ$3+6)),"◆",""))</f>
      </c>
      <c r="BK31" s="26">
        <f>IF(OR($A31="",BK$3=""),"",IF(AND($J31&lt;&gt;"",$K31&lt;&gt;"",$J31=$K31,$J31&gt;=BK$3,$J31&lt;=IF(param_mode_affichage="mois",EOMONTH(BK$3,0),BK$3+6)),"◆",""))</f>
      </c>
      <c r="BL31" s="26">
        <f>IF(OR($A31="",BL$3=""),"",IF(AND($J31&lt;&gt;"",$K31&lt;&gt;"",$J31=$K31,$J31&gt;=BL$3,$J31&lt;=IF(param_mode_affichage="mois",EOMONTH(BL$3,0),BL$3+6)),"◆",""))</f>
      </c>
    </row>
    <row r="32" spans="1:64" x14ac:dyDescent="0.25">
      <c r="A32" s="23">
        <f>IFERROR(INDEX(tblTasks[ID],ROW()-4),"")</f>
      </c>
      <c r="B32" s="24">
        <f>IF($A32="","",INDEX(tblTasks[Sujet],ROW()-4))</f>
      </c>
      <c r="C32" s="23">
        <f>IF($A32="","",INDEX(tblTasks[Responsable],ROW()-4))</f>
      </c>
      <c r="D32" s="23">
        <f>IF($A32="","",INDEX(tblTasks[Statut],ROW()-4))</f>
      </c>
      <c r="E32" s="23">
        <f>IF($A32="","",INDEX(tblTasks[Depend_de],ROW()-4))</f>
      </c>
      <c r="F32" s="23">
        <f>IF($A32="","",INDEX(tblTasks[Blocage],ROW()-4))</f>
      </c>
      <c r="G32" s="23">
        <f>IF($A32="","",INDEX(tblTasks[Niveau_criticite],ROW()-4))</f>
      </c>
      <c r="H32" s="23">
        <f>IF($A32="","",INDEX(tblTasks[Goulot],ROW()-4))</f>
      </c>
      <c r="I32" s="23">
        <f>IF($A32="","",IF(LOWER($F32)="oui","non",IF($E32="","oui",IFERROR(IF(LOWER(INDEX(tblTasks[Statut],MATCH($E32,tblTasks[ID],0)))="clos","oui","non"),"non"))))</f>
      </c>
      <c r="J32" s="25">
        <f>IF($A32="","",INDEX(tblTasks[Date_debut_prevue],ROW()-4))</f>
      </c>
      <c r="K32" s="25">
        <f>IF($A32="","",INDEX(tblTasks[Date_fin_prevue],ROW()-4))</f>
      </c>
      <c r="L32" s="23">
        <f>IF($A32="","",INDEX(tblTasks[Irreversibilite],ROW()-4))</f>
      </c>
      <c r="M32" s="26">
        <f>IF(OR($A32="",M$3=""),"",IF(AND($J32&lt;&gt;"",$K32&lt;&gt;"",$J32=$K32,$J32&gt;=M$3,$J32&lt;=IF(param_mode_affichage="mois",EOMONTH(M$3,0),M$3+6)),"◆",""))</f>
      </c>
      <c r="N32" s="26">
        <f>IF(OR($A32="",N$3=""),"",IF(AND($J32&lt;&gt;"",$K32&lt;&gt;"",$J32=$K32,$J32&gt;=N$3,$J32&lt;=IF(param_mode_affichage="mois",EOMONTH(N$3,0),N$3+6)),"◆",""))</f>
      </c>
      <c r="O32" s="26">
        <f>IF(OR($A32="",O$3=""),"",IF(AND($J32&lt;&gt;"",$K32&lt;&gt;"",$J32=$K32,$J32&gt;=O$3,$J32&lt;=IF(param_mode_affichage="mois",EOMONTH(O$3,0),O$3+6)),"◆",""))</f>
      </c>
      <c r="P32" s="26">
        <f>IF(OR($A32="",P$3=""),"",IF(AND($J32&lt;&gt;"",$K32&lt;&gt;"",$J32=$K32,$J32&gt;=P$3,$J32&lt;=IF(param_mode_affichage="mois",EOMONTH(P$3,0),P$3+6)),"◆",""))</f>
      </c>
      <c r="Q32" s="26">
        <f>IF(OR($A32="",Q$3=""),"",IF(AND($J32&lt;&gt;"",$K32&lt;&gt;"",$J32=$K32,$J32&gt;=Q$3,$J32&lt;=IF(param_mode_affichage="mois",EOMONTH(Q$3,0),Q$3+6)),"◆",""))</f>
      </c>
      <c r="R32" s="26">
        <f>IF(OR($A32="",R$3=""),"",IF(AND($J32&lt;&gt;"",$K32&lt;&gt;"",$J32=$K32,$J32&gt;=R$3,$J32&lt;=IF(param_mode_affichage="mois",EOMONTH(R$3,0),R$3+6)),"◆",""))</f>
      </c>
      <c r="S32" s="26">
        <f>IF(OR($A32="",S$3=""),"",IF(AND($J32&lt;&gt;"",$K32&lt;&gt;"",$J32=$K32,$J32&gt;=S$3,$J32&lt;=IF(param_mode_affichage="mois",EOMONTH(S$3,0),S$3+6)),"◆",""))</f>
      </c>
      <c r="T32" s="26">
        <f>IF(OR($A32="",T$3=""),"",IF(AND($J32&lt;&gt;"",$K32&lt;&gt;"",$J32=$K32,$J32&gt;=T$3,$J32&lt;=IF(param_mode_affichage="mois",EOMONTH(T$3,0),T$3+6)),"◆",""))</f>
      </c>
      <c r="U32" s="26">
        <f>IF(OR($A32="",U$3=""),"",IF(AND($J32&lt;&gt;"",$K32&lt;&gt;"",$J32=$K32,$J32&gt;=U$3,$J32&lt;=IF(param_mode_affichage="mois",EOMONTH(U$3,0),U$3+6)),"◆",""))</f>
      </c>
      <c r="V32" s="26">
        <f>IF(OR($A32="",V$3=""),"",IF(AND($J32&lt;&gt;"",$K32&lt;&gt;"",$J32=$K32,$J32&gt;=V$3,$J32&lt;=IF(param_mode_affichage="mois",EOMONTH(V$3,0),V$3+6)),"◆",""))</f>
      </c>
      <c r="W32" s="26">
        <f>IF(OR($A32="",W$3=""),"",IF(AND($J32&lt;&gt;"",$K32&lt;&gt;"",$J32=$K32,$J32&gt;=W$3,$J32&lt;=IF(param_mode_affichage="mois",EOMONTH(W$3,0),W$3+6)),"◆",""))</f>
      </c>
      <c r="X32" s="26">
        <f>IF(OR($A32="",X$3=""),"",IF(AND($J32&lt;&gt;"",$K32&lt;&gt;"",$J32=$K32,$J32&gt;=X$3,$J32&lt;=IF(param_mode_affichage="mois",EOMONTH(X$3,0),X$3+6)),"◆",""))</f>
      </c>
      <c r="Y32" s="26">
        <f>IF(OR($A32="",Y$3=""),"",IF(AND($J32&lt;&gt;"",$K32&lt;&gt;"",$J32=$K32,$J32&gt;=Y$3,$J32&lt;=IF(param_mode_affichage="mois",EOMONTH(Y$3,0),Y$3+6)),"◆",""))</f>
      </c>
      <c r="Z32" s="26">
        <f>IF(OR($A32="",Z$3=""),"",IF(AND($J32&lt;&gt;"",$K32&lt;&gt;"",$J32=$K32,$J32&gt;=Z$3,$J32&lt;=IF(param_mode_affichage="mois",EOMONTH(Z$3,0),Z$3+6)),"◆",""))</f>
      </c>
      <c r="AA32" s="26">
        <f>IF(OR($A32="",AA$3=""),"",IF(AND($J32&lt;&gt;"",$K32&lt;&gt;"",$J32=$K32,$J32&gt;=AA$3,$J32&lt;=IF(param_mode_affichage="mois",EOMONTH(AA$3,0),AA$3+6)),"◆",""))</f>
      </c>
      <c r="AB32" s="26">
        <f>IF(OR($A32="",AB$3=""),"",IF(AND($J32&lt;&gt;"",$K32&lt;&gt;"",$J32=$K32,$J32&gt;=AB$3,$J32&lt;=IF(param_mode_affichage="mois",EOMONTH(AB$3,0),AB$3+6)),"◆",""))</f>
      </c>
      <c r="AC32" s="26">
        <f>IF(OR($A32="",AC$3=""),"",IF(AND($J32&lt;&gt;"",$K32&lt;&gt;"",$J32=$K32,$J32&gt;=AC$3,$J32&lt;=IF(param_mode_affichage="mois",EOMONTH(AC$3,0),AC$3+6)),"◆",""))</f>
      </c>
      <c r="AD32" s="26">
        <f>IF(OR($A32="",AD$3=""),"",IF(AND($J32&lt;&gt;"",$K32&lt;&gt;"",$J32=$K32,$J32&gt;=AD$3,$J32&lt;=IF(param_mode_affichage="mois",EOMONTH(AD$3,0),AD$3+6)),"◆",""))</f>
      </c>
      <c r="AE32" s="26">
        <f>IF(OR($A32="",AE$3=""),"",IF(AND($J32&lt;&gt;"",$K32&lt;&gt;"",$J32=$K32,$J32&gt;=AE$3,$J32&lt;=IF(param_mode_affichage="mois",EOMONTH(AE$3,0),AE$3+6)),"◆",""))</f>
      </c>
      <c r="AF32" s="26">
        <f>IF(OR($A32="",AF$3=""),"",IF(AND($J32&lt;&gt;"",$K32&lt;&gt;"",$J32=$K32,$J32&gt;=AF$3,$J32&lt;=IF(param_mode_affichage="mois",EOMONTH(AF$3,0),AF$3+6)),"◆",""))</f>
      </c>
      <c r="AG32" s="26">
        <f>IF(OR($A32="",AG$3=""),"",IF(AND($J32&lt;&gt;"",$K32&lt;&gt;"",$J32=$K32,$J32&gt;=AG$3,$J32&lt;=IF(param_mode_affichage="mois",EOMONTH(AG$3,0),AG$3+6)),"◆",""))</f>
      </c>
      <c r="AH32" s="26">
        <f>IF(OR($A32="",AH$3=""),"",IF(AND($J32&lt;&gt;"",$K32&lt;&gt;"",$J32=$K32,$J32&gt;=AH$3,$J32&lt;=IF(param_mode_affichage="mois",EOMONTH(AH$3,0),AH$3+6)),"◆",""))</f>
      </c>
      <c r="AI32" s="26">
        <f>IF(OR($A32="",AI$3=""),"",IF(AND($J32&lt;&gt;"",$K32&lt;&gt;"",$J32=$K32,$J32&gt;=AI$3,$J32&lt;=IF(param_mode_affichage="mois",EOMONTH(AI$3,0),AI$3+6)),"◆",""))</f>
      </c>
      <c r="AJ32" s="26">
        <f>IF(OR($A32="",AJ$3=""),"",IF(AND($J32&lt;&gt;"",$K32&lt;&gt;"",$J32=$K32,$J32&gt;=AJ$3,$J32&lt;=IF(param_mode_affichage="mois",EOMONTH(AJ$3,0),AJ$3+6)),"◆",""))</f>
      </c>
      <c r="AK32" s="26">
        <f>IF(OR($A32="",AK$3=""),"",IF(AND($J32&lt;&gt;"",$K32&lt;&gt;"",$J32=$K32,$J32&gt;=AK$3,$J32&lt;=IF(param_mode_affichage="mois",EOMONTH(AK$3,0),AK$3+6)),"◆",""))</f>
      </c>
      <c r="AL32" s="26">
        <f>IF(OR($A32="",AL$3=""),"",IF(AND($J32&lt;&gt;"",$K32&lt;&gt;"",$J32=$K32,$J32&gt;=AL$3,$J32&lt;=IF(param_mode_affichage="mois",EOMONTH(AL$3,0),AL$3+6)),"◆",""))</f>
      </c>
      <c r="AM32" s="26">
        <f>IF(OR($A32="",AM$3=""),"",IF(AND($J32&lt;&gt;"",$K32&lt;&gt;"",$J32=$K32,$J32&gt;=AM$3,$J32&lt;=IF(param_mode_affichage="mois",EOMONTH(AM$3,0),AM$3+6)),"◆",""))</f>
      </c>
      <c r="AN32" s="26">
        <f>IF(OR($A32="",AN$3=""),"",IF(AND($J32&lt;&gt;"",$K32&lt;&gt;"",$J32=$K32,$J32&gt;=AN$3,$J32&lt;=IF(param_mode_affichage="mois",EOMONTH(AN$3,0),AN$3+6)),"◆",""))</f>
      </c>
      <c r="AO32" s="26">
        <f>IF(OR($A32="",AO$3=""),"",IF(AND($J32&lt;&gt;"",$K32&lt;&gt;"",$J32=$K32,$J32&gt;=AO$3,$J32&lt;=IF(param_mode_affichage="mois",EOMONTH(AO$3,0),AO$3+6)),"◆",""))</f>
      </c>
      <c r="AP32" s="26">
        <f>IF(OR($A32="",AP$3=""),"",IF(AND($J32&lt;&gt;"",$K32&lt;&gt;"",$J32=$K32,$J32&gt;=AP$3,$J32&lt;=IF(param_mode_affichage="mois",EOMONTH(AP$3,0),AP$3+6)),"◆",""))</f>
      </c>
      <c r="AQ32" s="26">
        <f>IF(OR($A32="",AQ$3=""),"",IF(AND($J32&lt;&gt;"",$K32&lt;&gt;"",$J32=$K32,$J32&gt;=AQ$3,$J32&lt;=IF(param_mode_affichage="mois",EOMONTH(AQ$3,0),AQ$3+6)),"◆",""))</f>
      </c>
      <c r="AR32" s="26">
        <f>IF(OR($A32="",AR$3=""),"",IF(AND($J32&lt;&gt;"",$K32&lt;&gt;"",$J32=$K32,$J32&gt;=AR$3,$J32&lt;=IF(param_mode_affichage="mois",EOMONTH(AR$3,0),AR$3+6)),"◆",""))</f>
      </c>
      <c r="AS32" s="26">
        <f>IF(OR($A32="",AS$3=""),"",IF(AND($J32&lt;&gt;"",$K32&lt;&gt;"",$J32=$K32,$J32&gt;=AS$3,$J32&lt;=IF(param_mode_affichage="mois",EOMONTH(AS$3,0),AS$3+6)),"◆",""))</f>
      </c>
      <c r="AT32" s="26">
        <f>IF(OR($A32="",AT$3=""),"",IF(AND($J32&lt;&gt;"",$K32&lt;&gt;"",$J32=$K32,$J32&gt;=AT$3,$J32&lt;=IF(param_mode_affichage="mois",EOMONTH(AT$3,0),AT$3+6)),"◆",""))</f>
      </c>
      <c r="AU32" s="26">
        <f>IF(OR($A32="",AU$3=""),"",IF(AND($J32&lt;&gt;"",$K32&lt;&gt;"",$J32=$K32,$J32&gt;=AU$3,$J32&lt;=IF(param_mode_affichage="mois",EOMONTH(AU$3,0),AU$3+6)),"◆",""))</f>
      </c>
      <c r="AV32" s="26">
        <f>IF(OR($A32="",AV$3=""),"",IF(AND($J32&lt;&gt;"",$K32&lt;&gt;"",$J32=$K32,$J32&gt;=AV$3,$J32&lt;=IF(param_mode_affichage="mois",EOMONTH(AV$3,0),AV$3+6)),"◆",""))</f>
      </c>
      <c r="AW32" s="26">
        <f>IF(OR($A32="",AW$3=""),"",IF(AND($J32&lt;&gt;"",$K32&lt;&gt;"",$J32=$K32,$J32&gt;=AW$3,$J32&lt;=IF(param_mode_affichage="mois",EOMONTH(AW$3,0),AW$3+6)),"◆",""))</f>
      </c>
      <c r="AX32" s="26">
        <f>IF(OR($A32="",AX$3=""),"",IF(AND($J32&lt;&gt;"",$K32&lt;&gt;"",$J32=$K32,$J32&gt;=AX$3,$J32&lt;=IF(param_mode_affichage="mois",EOMONTH(AX$3,0),AX$3+6)),"◆",""))</f>
      </c>
      <c r="AY32" s="26">
        <f>IF(OR($A32="",AY$3=""),"",IF(AND($J32&lt;&gt;"",$K32&lt;&gt;"",$J32=$K32,$J32&gt;=AY$3,$J32&lt;=IF(param_mode_affichage="mois",EOMONTH(AY$3,0),AY$3+6)),"◆",""))</f>
      </c>
      <c r="AZ32" s="26">
        <f>IF(OR($A32="",AZ$3=""),"",IF(AND($J32&lt;&gt;"",$K32&lt;&gt;"",$J32=$K32,$J32&gt;=AZ$3,$J32&lt;=IF(param_mode_affichage="mois",EOMONTH(AZ$3,0),AZ$3+6)),"◆",""))</f>
      </c>
      <c r="BA32" s="26">
        <f>IF(OR($A32="",BA$3=""),"",IF(AND($J32&lt;&gt;"",$K32&lt;&gt;"",$J32=$K32,$J32&gt;=BA$3,$J32&lt;=IF(param_mode_affichage="mois",EOMONTH(BA$3,0),BA$3+6)),"◆",""))</f>
      </c>
      <c r="BB32" s="26">
        <f>IF(OR($A32="",BB$3=""),"",IF(AND($J32&lt;&gt;"",$K32&lt;&gt;"",$J32=$K32,$J32&gt;=BB$3,$J32&lt;=IF(param_mode_affichage="mois",EOMONTH(BB$3,0),BB$3+6)),"◆",""))</f>
      </c>
      <c r="BC32" s="26">
        <f>IF(OR($A32="",BC$3=""),"",IF(AND($J32&lt;&gt;"",$K32&lt;&gt;"",$J32=$K32,$J32&gt;=BC$3,$J32&lt;=IF(param_mode_affichage="mois",EOMONTH(BC$3,0),BC$3+6)),"◆",""))</f>
      </c>
      <c r="BD32" s="26">
        <f>IF(OR($A32="",BD$3=""),"",IF(AND($J32&lt;&gt;"",$K32&lt;&gt;"",$J32=$K32,$J32&gt;=BD$3,$J32&lt;=IF(param_mode_affichage="mois",EOMONTH(BD$3,0),BD$3+6)),"◆",""))</f>
      </c>
      <c r="BE32" s="26">
        <f>IF(OR($A32="",BE$3=""),"",IF(AND($J32&lt;&gt;"",$K32&lt;&gt;"",$J32=$K32,$J32&gt;=BE$3,$J32&lt;=IF(param_mode_affichage="mois",EOMONTH(BE$3,0),BE$3+6)),"◆",""))</f>
      </c>
      <c r="BF32" s="26">
        <f>IF(OR($A32="",BF$3=""),"",IF(AND($J32&lt;&gt;"",$K32&lt;&gt;"",$J32=$K32,$J32&gt;=BF$3,$J32&lt;=IF(param_mode_affichage="mois",EOMONTH(BF$3,0),BF$3+6)),"◆",""))</f>
      </c>
      <c r="BG32" s="26">
        <f>IF(OR($A32="",BG$3=""),"",IF(AND($J32&lt;&gt;"",$K32&lt;&gt;"",$J32=$K32,$J32&gt;=BG$3,$J32&lt;=IF(param_mode_affichage="mois",EOMONTH(BG$3,0),BG$3+6)),"◆",""))</f>
      </c>
      <c r="BH32" s="26">
        <f>IF(OR($A32="",BH$3=""),"",IF(AND($J32&lt;&gt;"",$K32&lt;&gt;"",$J32=$K32,$J32&gt;=BH$3,$J32&lt;=IF(param_mode_affichage="mois",EOMONTH(BH$3,0),BH$3+6)),"◆",""))</f>
      </c>
      <c r="BI32" s="26">
        <f>IF(OR($A32="",BI$3=""),"",IF(AND($J32&lt;&gt;"",$K32&lt;&gt;"",$J32=$K32,$J32&gt;=BI$3,$J32&lt;=IF(param_mode_affichage="mois",EOMONTH(BI$3,0),BI$3+6)),"◆",""))</f>
      </c>
      <c r="BJ32" s="26">
        <f>IF(OR($A32="",BJ$3=""),"",IF(AND($J32&lt;&gt;"",$K32&lt;&gt;"",$J32=$K32,$J32&gt;=BJ$3,$J32&lt;=IF(param_mode_affichage="mois",EOMONTH(BJ$3,0),BJ$3+6)),"◆",""))</f>
      </c>
      <c r="BK32" s="26">
        <f>IF(OR($A32="",BK$3=""),"",IF(AND($J32&lt;&gt;"",$K32&lt;&gt;"",$J32=$K32,$J32&gt;=BK$3,$J32&lt;=IF(param_mode_affichage="mois",EOMONTH(BK$3,0),BK$3+6)),"◆",""))</f>
      </c>
      <c r="BL32" s="26">
        <f>IF(OR($A32="",BL$3=""),"",IF(AND($J32&lt;&gt;"",$K32&lt;&gt;"",$J32=$K32,$J32&gt;=BL$3,$J32&lt;=IF(param_mode_affichage="mois",EOMONTH(BL$3,0),BL$3+6)),"◆",""))</f>
      </c>
    </row>
    <row r="33" spans="1:64" x14ac:dyDescent="0.25">
      <c r="A33" s="23">
        <f>IFERROR(INDEX(tblTasks[ID],ROW()-4),"")</f>
      </c>
      <c r="B33" s="24">
        <f>IF($A33="","",INDEX(tblTasks[Sujet],ROW()-4))</f>
      </c>
      <c r="C33" s="23">
        <f>IF($A33="","",INDEX(tblTasks[Responsable],ROW()-4))</f>
      </c>
      <c r="D33" s="23">
        <f>IF($A33="","",INDEX(tblTasks[Statut],ROW()-4))</f>
      </c>
      <c r="E33" s="23">
        <f>IF($A33="","",INDEX(tblTasks[Depend_de],ROW()-4))</f>
      </c>
      <c r="F33" s="23">
        <f>IF($A33="","",INDEX(tblTasks[Blocage],ROW()-4))</f>
      </c>
      <c r="G33" s="23">
        <f>IF($A33="","",INDEX(tblTasks[Niveau_criticite],ROW()-4))</f>
      </c>
      <c r="H33" s="23">
        <f>IF($A33="","",INDEX(tblTasks[Goulot],ROW()-4))</f>
      </c>
      <c r="I33" s="23">
        <f>IF($A33="","",IF(LOWER($F33)="oui","non",IF($E33="","oui",IFERROR(IF(LOWER(INDEX(tblTasks[Statut],MATCH($E33,tblTasks[ID],0)))="clos","oui","non"),"non"))))</f>
      </c>
      <c r="J33" s="25">
        <f>IF($A33="","",INDEX(tblTasks[Date_debut_prevue],ROW()-4))</f>
      </c>
      <c r="K33" s="25">
        <f>IF($A33="","",INDEX(tblTasks[Date_fin_prevue],ROW()-4))</f>
      </c>
      <c r="L33" s="23">
        <f>IF($A33="","",INDEX(tblTasks[Irreversibilite],ROW()-4))</f>
      </c>
      <c r="M33" s="26">
        <f>IF(OR($A33="",M$3=""),"",IF(AND($J33&lt;&gt;"",$K33&lt;&gt;"",$J33=$K33,$J33&gt;=M$3,$J33&lt;=IF(param_mode_affichage="mois",EOMONTH(M$3,0),M$3+6)),"◆",""))</f>
      </c>
      <c r="N33" s="26">
        <f>IF(OR($A33="",N$3=""),"",IF(AND($J33&lt;&gt;"",$K33&lt;&gt;"",$J33=$K33,$J33&gt;=N$3,$J33&lt;=IF(param_mode_affichage="mois",EOMONTH(N$3,0),N$3+6)),"◆",""))</f>
      </c>
      <c r="O33" s="26">
        <f>IF(OR($A33="",O$3=""),"",IF(AND($J33&lt;&gt;"",$K33&lt;&gt;"",$J33=$K33,$J33&gt;=O$3,$J33&lt;=IF(param_mode_affichage="mois",EOMONTH(O$3,0),O$3+6)),"◆",""))</f>
      </c>
      <c r="P33" s="26">
        <f>IF(OR($A33="",P$3=""),"",IF(AND($J33&lt;&gt;"",$K33&lt;&gt;"",$J33=$K33,$J33&gt;=P$3,$J33&lt;=IF(param_mode_affichage="mois",EOMONTH(P$3,0),P$3+6)),"◆",""))</f>
      </c>
      <c r="Q33" s="26">
        <f>IF(OR($A33="",Q$3=""),"",IF(AND($J33&lt;&gt;"",$K33&lt;&gt;"",$J33=$K33,$J33&gt;=Q$3,$J33&lt;=IF(param_mode_affichage="mois",EOMONTH(Q$3,0),Q$3+6)),"◆",""))</f>
      </c>
      <c r="R33" s="26">
        <f>IF(OR($A33="",R$3=""),"",IF(AND($J33&lt;&gt;"",$K33&lt;&gt;"",$J33=$K33,$J33&gt;=R$3,$J33&lt;=IF(param_mode_affichage="mois",EOMONTH(R$3,0),R$3+6)),"◆",""))</f>
      </c>
      <c r="S33" s="26">
        <f>IF(OR($A33="",S$3=""),"",IF(AND($J33&lt;&gt;"",$K33&lt;&gt;"",$J33=$K33,$J33&gt;=S$3,$J33&lt;=IF(param_mode_affichage="mois",EOMONTH(S$3,0),S$3+6)),"◆",""))</f>
      </c>
      <c r="T33" s="26">
        <f>IF(OR($A33="",T$3=""),"",IF(AND($J33&lt;&gt;"",$K33&lt;&gt;"",$J33=$K33,$J33&gt;=T$3,$J33&lt;=IF(param_mode_affichage="mois",EOMONTH(T$3,0),T$3+6)),"◆",""))</f>
      </c>
      <c r="U33" s="26">
        <f>IF(OR($A33="",U$3=""),"",IF(AND($J33&lt;&gt;"",$K33&lt;&gt;"",$J33=$K33,$J33&gt;=U$3,$J33&lt;=IF(param_mode_affichage="mois",EOMONTH(U$3,0),U$3+6)),"◆",""))</f>
      </c>
      <c r="V33" s="26">
        <f>IF(OR($A33="",V$3=""),"",IF(AND($J33&lt;&gt;"",$K33&lt;&gt;"",$J33=$K33,$J33&gt;=V$3,$J33&lt;=IF(param_mode_affichage="mois",EOMONTH(V$3,0),V$3+6)),"◆",""))</f>
      </c>
      <c r="W33" s="26">
        <f>IF(OR($A33="",W$3=""),"",IF(AND($J33&lt;&gt;"",$K33&lt;&gt;"",$J33=$K33,$J33&gt;=W$3,$J33&lt;=IF(param_mode_affichage="mois",EOMONTH(W$3,0),W$3+6)),"◆",""))</f>
      </c>
      <c r="X33" s="26">
        <f>IF(OR($A33="",X$3=""),"",IF(AND($J33&lt;&gt;"",$K33&lt;&gt;"",$J33=$K33,$J33&gt;=X$3,$J33&lt;=IF(param_mode_affichage="mois",EOMONTH(X$3,0),X$3+6)),"◆",""))</f>
      </c>
      <c r="Y33" s="26">
        <f>IF(OR($A33="",Y$3=""),"",IF(AND($J33&lt;&gt;"",$K33&lt;&gt;"",$J33=$K33,$J33&gt;=Y$3,$J33&lt;=IF(param_mode_affichage="mois",EOMONTH(Y$3,0),Y$3+6)),"◆",""))</f>
      </c>
      <c r="Z33" s="26">
        <f>IF(OR($A33="",Z$3=""),"",IF(AND($J33&lt;&gt;"",$K33&lt;&gt;"",$J33=$K33,$J33&gt;=Z$3,$J33&lt;=IF(param_mode_affichage="mois",EOMONTH(Z$3,0),Z$3+6)),"◆",""))</f>
      </c>
      <c r="AA33" s="26">
        <f>IF(OR($A33="",AA$3=""),"",IF(AND($J33&lt;&gt;"",$K33&lt;&gt;"",$J33=$K33,$J33&gt;=AA$3,$J33&lt;=IF(param_mode_affichage="mois",EOMONTH(AA$3,0),AA$3+6)),"◆",""))</f>
      </c>
      <c r="AB33" s="26">
        <f>IF(OR($A33="",AB$3=""),"",IF(AND($J33&lt;&gt;"",$K33&lt;&gt;"",$J33=$K33,$J33&gt;=AB$3,$J33&lt;=IF(param_mode_affichage="mois",EOMONTH(AB$3,0),AB$3+6)),"◆",""))</f>
      </c>
      <c r="AC33" s="26">
        <f>IF(OR($A33="",AC$3=""),"",IF(AND($J33&lt;&gt;"",$K33&lt;&gt;"",$J33=$K33,$J33&gt;=AC$3,$J33&lt;=IF(param_mode_affichage="mois",EOMONTH(AC$3,0),AC$3+6)),"◆",""))</f>
      </c>
      <c r="AD33" s="26">
        <f>IF(OR($A33="",AD$3=""),"",IF(AND($J33&lt;&gt;"",$K33&lt;&gt;"",$J33=$K33,$J33&gt;=AD$3,$J33&lt;=IF(param_mode_affichage="mois",EOMONTH(AD$3,0),AD$3+6)),"◆",""))</f>
      </c>
      <c r="AE33" s="26">
        <f>IF(OR($A33="",AE$3=""),"",IF(AND($J33&lt;&gt;"",$K33&lt;&gt;"",$J33=$K33,$J33&gt;=AE$3,$J33&lt;=IF(param_mode_affichage="mois",EOMONTH(AE$3,0),AE$3+6)),"◆",""))</f>
      </c>
      <c r="AF33" s="26">
        <f>IF(OR($A33="",AF$3=""),"",IF(AND($J33&lt;&gt;"",$K33&lt;&gt;"",$J33=$K33,$J33&gt;=AF$3,$J33&lt;=IF(param_mode_affichage="mois",EOMONTH(AF$3,0),AF$3+6)),"◆",""))</f>
      </c>
      <c r="AG33" s="26">
        <f>IF(OR($A33="",AG$3=""),"",IF(AND($J33&lt;&gt;"",$K33&lt;&gt;"",$J33=$K33,$J33&gt;=AG$3,$J33&lt;=IF(param_mode_affichage="mois",EOMONTH(AG$3,0),AG$3+6)),"◆",""))</f>
      </c>
      <c r="AH33" s="26">
        <f>IF(OR($A33="",AH$3=""),"",IF(AND($J33&lt;&gt;"",$K33&lt;&gt;"",$J33=$K33,$J33&gt;=AH$3,$J33&lt;=IF(param_mode_affichage="mois",EOMONTH(AH$3,0),AH$3+6)),"◆",""))</f>
      </c>
      <c r="AI33" s="26">
        <f>IF(OR($A33="",AI$3=""),"",IF(AND($J33&lt;&gt;"",$K33&lt;&gt;"",$J33=$K33,$J33&gt;=AI$3,$J33&lt;=IF(param_mode_affichage="mois",EOMONTH(AI$3,0),AI$3+6)),"◆",""))</f>
      </c>
      <c r="AJ33" s="26">
        <f>IF(OR($A33="",AJ$3=""),"",IF(AND($J33&lt;&gt;"",$K33&lt;&gt;"",$J33=$K33,$J33&gt;=AJ$3,$J33&lt;=IF(param_mode_affichage="mois",EOMONTH(AJ$3,0),AJ$3+6)),"◆",""))</f>
      </c>
      <c r="AK33" s="26">
        <f>IF(OR($A33="",AK$3=""),"",IF(AND($J33&lt;&gt;"",$K33&lt;&gt;"",$J33=$K33,$J33&gt;=AK$3,$J33&lt;=IF(param_mode_affichage="mois",EOMONTH(AK$3,0),AK$3+6)),"◆",""))</f>
      </c>
      <c r="AL33" s="26">
        <f>IF(OR($A33="",AL$3=""),"",IF(AND($J33&lt;&gt;"",$K33&lt;&gt;"",$J33=$K33,$J33&gt;=AL$3,$J33&lt;=IF(param_mode_affichage="mois",EOMONTH(AL$3,0),AL$3+6)),"◆",""))</f>
      </c>
      <c r="AM33" s="26">
        <f>IF(OR($A33="",AM$3=""),"",IF(AND($J33&lt;&gt;"",$K33&lt;&gt;"",$J33=$K33,$J33&gt;=AM$3,$J33&lt;=IF(param_mode_affichage="mois",EOMONTH(AM$3,0),AM$3+6)),"◆",""))</f>
      </c>
      <c r="AN33" s="26">
        <f>IF(OR($A33="",AN$3=""),"",IF(AND($J33&lt;&gt;"",$K33&lt;&gt;"",$J33=$K33,$J33&gt;=AN$3,$J33&lt;=IF(param_mode_affichage="mois",EOMONTH(AN$3,0),AN$3+6)),"◆",""))</f>
      </c>
      <c r="AO33" s="26">
        <f>IF(OR($A33="",AO$3=""),"",IF(AND($J33&lt;&gt;"",$K33&lt;&gt;"",$J33=$K33,$J33&gt;=AO$3,$J33&lt;=IF(param_mode_affichage="mois",EOMONTH(AO$3,0),AO$3+6)),"◆",""))</f>
      </c>
      <c r="AP33" s="26">
        <f>IF(OR($A33="",AP$3=""),"",IF(AND($J33&lt;&gt;"",$K33&lt;&gt;"",$J33=$K33,$J33&gt;=AP$3,$J33&lt;=IF(param_mode_affichage="mois",EOMONTH(AP$3,0),AP$3+6)),"◆",""))</f>
      </c>
      <c r="AQ33" s="26">
        <f>IF(OR($A33="",AQ$3=""),"",IF(AND($J33&lt;&gt;"",$K33&lt;&gt;"",$J33=$K33,$J33&gt;=AQ$3,$J33&lt;=IF(param_mode_affichage="mois",EOMONTH(AQ$3,0),AQ$3+6)),"◆",""))</f>
      </c>
      <c r="AR33" s="26">
        <f>IF(OR($A33="",AR$3=""),"",IF(AND($J33&lt;&gt;"",$K33&lt;&gt;"",$J33=$K33,$J33&gt;=AR$3,$J33&lt;=IF(param_mode_affichage="mois",EOMONTH(AR$3,0),AR$3+6)),"◆",""))</f>
      </c>
      <c r="AS33" s="26">
        <f>IF(OR($A33="",AS$3=""),"",IF(AND($J33&lt;&gt;"",$K33&lt;&gt;"",$J33=$K33,$J33&gt;=AS$3,$J33&lt;=IF(param_mode_affichage="mois",EOMONTH(AS$3,0),AS$3+6)),"◆",""))</f>
      </c>
      <c r="AT33" s="26">
        <f>IF(OR($A33="",AT$3=""),"",IF(AND($J33&lt;&gt;"",$K33&lt;&gt;"",$J33=$K33,$J33&gt;=AT$3,$J33&lt;=IF(param_mode_affichage="mois",EOMONTH(AT$3,0),AT$3+6)),"◆",""))</f>
      </c>
      <c r="AU33" s="26">
        <f>IF(OR($A33="",AU$3=""),"",IF(AND($J33&lt;&gt;"",$K33&lt;&gt;"",$J33=$K33,$J33&gt;=AU$3,$J33&lt;=IF(param_mode_affichage="mois",EOMONTH(AU$3,0),AU$3+6)),"◆",""))</f>
      </c>
      <c r="AV33" s="26">
        <f>IF(OR($A33="",AV$3=""),"",IF(AND($J33&lt;&gt;"",$K33&lt;&gt;"",$J33=$K33,$J33&gt;=AV$3,$J33&lt;=IF(param_mode_affichage="mois",EOMONTH(AV$3,0),AV$3+6)),"◆",""))</f>
      </c>
      <c r="AW33" s="26">
        <f>IF(OR($A33="",AW$3=""),"",IF(AND($J33&lt;&gt;"",$K33&lt;&gt;"",$J33=$K33,$J33&gt;=AW$3,$J33&lt;=IF(param_mode_affichage="mois",EOMONTH(AW$3,0),AW$3+6)),"◆",""))</f>
      </c>
      <c r="AX33" s="26">
        <f>IF(OR($A33="",AX$3=""),"",IF(AND($J33&lt;&gt;"",$K33&lt;&gt;"",$J33=$K33,$J33&gt;=AX$3,$J33&lt;=IF(param_mode_affichage="mois",EOMONTH(AX$3,0),AX$3+6)),"◆",""))</f>
      </c>
      <c r="AY33" s="26">
        <f>IF(OR($A33="",AY$3=""),"",IF(AND($J33&lt;&gt;"",$K33&lt;&gt;"",$J33=$K33,$J33&gt;=AY$3,$J33&lt;=IF(param_mode_affichage="mois",EOMONTH(AY$3,0),AY$3+6)),"◆",""))</f>
      </c>
      <c r="AZ33" s="26">
        <f>IF(OR($A33="",AZ$3=""),"",IF(AND($J33&lt;&gt;"",$K33&lt;&gt;"",$J33=$K33,$J33&gt;=AZ$3,$J33&lt;=IF(param_mode_affichage="mois",EOMONTH(AZ$3,0),AZ$3+6)),"◆",""))</f>
      </c>
      <c r="BA33" s="26">
        <f>IF(OR($A33="",BA$3=""),"",IF(AND($J33&lt;&gt;"",$K33&lt;&gt;"",$J33=$K33,$J33&gt;=BA$3,$J33&lt;=IF(param_mode_affichage="mois",EOMONTH(BA$3,0),BA$3+6)),"◆",""))</f>
      </c>
      <c r="BB33" s="26">
        <f>IF(OR($A33="",BB$3=""),"",IF(AND($J33&lt;&gt;"",$K33&lt;&gt;"",$J33=$K33,$J33&gt;=BB$3,$J33&lt;=IF(param_mode_affichage="mois",EOMONTH(BB$3,0),BB$3+6)),"◆",""))</f>
      </c>
      <c r="BC33" s="26">
        <f>IF(OR($A33="",BC$3=""),"",IF(AND($J33&lt;&gt;"",$K33&lt;&gt;"",$J33=$K33,$J33&gt;=BC$3,$J33&lt;=IF(param_mode_affichage="mois",EOMONTH(BC$3,0),BC$3+6)),"◆",""))</f>
      </c>
      <c r="BD33" s="26">
        <f>IF(OR($A33="",BD$3=""),"",IF(AND($J33&lt;&gt;"",$K33&lt;&gt;"",$J33=$K33,$J33&gt;=BD$3,$J33&lt;=IF(param_mode_affichage="mois",EOMONTH(BD$3,0),BD$3+6)),"◆",""))</f>
      </c>
      <c r="BE33" s="26">
        <f>IF(OR($A33="",BE$3=""),"",IF(AND($J33&lt;&gt;"",$K33&lt;&gt;"",$J33=$K33,$J33&gt;=BE$3,$J33&lt;=IF(param_mode_affichage="mois",EOMONTH(BE$3,0),BE$3+6)),"◆",""))</f>
      </c>
      <c r="BF33" s="26">
        <f>IF(OR($A33="",BF$3=""),"",IF(AND($J33&lt;&gt;"",$K33&lt;&gt;"",$J33=$K33,$J33&gt;=BF$3,$J33&lt;=IF(param_mode_affichage="mois",EOMONTH(BF$3,0),BF$3+6)),"◆",""))</f>
      </c>
      <c r="BG33" s="26">
        <f>IF(OR($A33="",BG$3=""),"",IF(AND($J33&lt;&gt;"",$K33&lt;&gt;"",$J33=$K33,$J33&gt;=BG$3,$J33&lt;=IF(param_mode_affichage="mois",EOMONTH(BG$3,0),BG$3+6)),"◆",""))</f>
      </c>
      <c r="BH33" s="26">
        <f>IF(OR($A33="",BH$3=""),"",IF(AND($J33&lt;&gt;"",$K33&lt;&gt;"",$J33=$K33,$J33&gt;=BH$3,$J33&lt;=IF(param_mode_affichage="mois",EOMONTH(BH$3,0),BH$3+6)),"◆",""))</f>
      </c>
      <c r="BI33" s="26">
        <f>IF(OR($A33="",BI$3=""),"",IF(AND($J33&lt;&gt;"",$K33&lt;&gt;"",$J33=$K33,$J33&gt;=BI$3,$J33&lt;=IF(param_mode_affichage="mois",EOMONTH(BI$3,0),BI$3+6)),"◆",""))</f>
      </c>
      <c r="BJ33" s="26">
        <f>IF(OR($A33="",BJ$3=""),"",IF(AND($J33&lt;&gt;"",$K33&lt;&gt;"",$J33=$K33,$J33&gt;=BJ$3,$J33&lt;=IF(param_mode_affichage="mois",EOMONTH(BJ$3,0),BJ$3+6)),"◆",""))</f>
      </c>
      <c r="BK33" s="26">
        <f>IF(OR($A33="",BK$3=""),"",IF(AND($J33&lt;&gt;"",$K33&lt;&gt;"",$J33=$K33,$J33&gt;=BK$3,$J33&lt;=IF(param_mode_affichage="mois",EOMONTH(BK$3,0),BK$3+6)),"◆",""))</f>
      </c>
      <c r="BL33" s="26">
        <f>IF(OR($A33="",BL$3=""),"",IF(AND($J33&lt;&gt;"",$K33&lt;&gt;"",$J33=$K33,$J33&gt;=BL$3,$J33&lt;=IF(param_mode_affichage="mois",EOMONTH(BL$3,0),BL$3+6)),"◆",""))</f>
      </c>
    </row>
    <row r="34" spans="1:64" x14ac:dyDescent="0.25">
      <c r="A34" s="23">
        <f>IFERROR(INDEX(tblTasks[ID],ROW()-4),"")</f>
      </c>
      <c r="B34" s="24">
        <f>IF($A34="","",INDEX(tblTasks[Sujet],ROW()-4))</f>
      </c>
      <c r="C34" s="23">
        <f>IF($A34="","",INDEX(tblTasks[Responsable],ROW()-4))</f>
      </c>
      <c r="D34" s="23">
        <f>IF($A34="","",INDEX(tblTasks[Statut],ROW()-4))</f>
      </c>
      <c r="E34" s="23">
        <f>IF($A34="","",INDEX(tblTasks[Depend_de],ROW()-4))</f>
      </c>
      <c r="F34" s="23">
        <f>IF($A34="","",INDEX(tblTasks[Blocage],ROW()-4))</f>
      </c>
      <c r="G34" s="23">
        <f>IF($A34="","",INDEX(tblTasks[Niveau_criticite],ROW()-4))</f>
      </c>
      <c r="H34" s="23">
        <f>IF($A34="","",INDEX(tblTasks[Goulot],ROW()-4))</f>
      </c>
      <c r="I34" s="23">
        <f>IF($A34="","",IF(LOWER($F34)="oui","non",IF($E34="","oui",IFERROR(IF(LOWER(INDEX(tblTasks[Statut],MATCH($E34,tblTasks[ID],0)))="clos","oui","non"),"non"))))</f>
      </c>
      <c r="J34" s="25">
        <f>IF($A34="","",INDEX(tblTasks[Date_debut_prevue],ROW()-4))</f>
      </c>
      <c r="K34" s="25">
        <f>IF($A34="","",INDEX(tblTasks[Date_fin_prevue],ROW()-4))</f>
      </c>
      <c r="L34" s="23">
        <f>IF($A34="","",INDEX(tblTasks[Irreversibilite],ROW()-4))</f>
      </c>
      <c r="M34" s="26">
        <f>IF(OR($A34="",M$3=""),"",IF(AND($J34&lt;&gt;"",$K34&lt;&gt;"",$J34=$K34,$J34&gt;=M$3,$J34&lt;=IF(param_mode_affichage="mois",EOMONTH(M$3,0),M$3+6)),"◆",""))</f>
      </c>
      <c r="N34" s="26">
        <f>IF(OR($A34="",N$3=""),"",IF(AND($J34&lt;&gt;"",$K34&lt;&gt;"",$J34=$K34,$J34&gt;=N$3,$J34&lt;=IF(param_mode_affichage="mois",EOMONTH(N$3,0),N$3+6)),"◆",""))</f>
      </c>
      <c r="O34" s="26">
        <f>IF(OR($A34="",O$3=""),"",IF(AND($J34&lt;&gt;"",$K34&lt;&gt;"",$J34=$K34,$J34&gt;=O$3,$J34&lt;=IF(param_mode_affichage="mois",EOMONTH(O$3,0),O$3+6)),"◆",""))</f>
      </c>
      <c r="P34" s="26">
        <f>IF(OR($A34="",P$3=""),"",IF(AND($J34&lt;&gt;"",$K34&lt;&gt;"",$J34=$K34,$J34&gt;=P$3,$J34&lt;=IF(param_mode_affichage="mois",EOMONTH(P$3,0),P$3+6)),"◆",""))</f>
      </c>
      <c r="Q34" s="26">
        <f>IF(OR($A34="",Q$3=""),"",IF(AND($J34&lt;&gt;"",$K34&lt;&gt;"",$J34=$K34,$J34&gt;=Q$3,$J34&lt;=IF(param_mode_affichage="mois",EOMONTH(Q$3,0),Q$3+6)),"◆",""))</f>
      </c>
      <c r="R34" s="26">
        <f>IF(OR($A34="",R$3=""),"",IF(AND($J34&lt;&gt;"",$K34&lt;&gt;"",$J34=$K34,$J34&gt;=R$3,$J34&lt;=IF(param_mode_affichage="mois",EOMONTH(R$3,0),R$3+6)),"◆",""))</f>
      </c>
      <c r="S34" s="26">
        <f>IF(OR($A34="",S$3=""),"",IF(AND($J34&lt;&gt;"",$K34&lt;&gt;"",$J34=$K34,$J34&gt;=S$3,$J34&lt;=IF(param_mode_affichage="mois",EOMONTH(S$3,0),S$3+6)),"◆",""))</f>
      </c>
      <c r="T34" s="26">
        <f>IF(OR($A34="",T$3=""),"",IF(AND($J34&lt;&gt;"",$K34&lt;&gt;"",$J34=$K34,$J34&gt;=T$3,$J34&lt;=IF(param_mode_affichage="mois",EOMONTH(T$3,0),T$3+6)),"◆",""))</f>
      </c>
      <c r="U34" s="26">
        <f>IF(OR($A34="",U$3=""),"",IF(AND($J34&lt;&gt;"",$K34&lt;&gt;"",$J34=$K34,$J34&gt;=U$3,$J34&lt;=IF(param_mode_affichage="mois",EOMONTH(U$3,0),U$3+6)),"◆",""))</f>
      </c>
      <c r="V34" s="26">
        <f>IF(OR($A34="",V$3=""),"",IF(AND($J34&lt;&gt;"",$K34&lt;&gt;"",$J34=$K34,$J34&gt;=V$3,$J34&lt;=IF(param_mode_affichage="mois",EOMONTH(V$3,0),V$3+6)),"◆",""))</f>
      </c>
      <c r="W34" s="26">
        <f>IF(OR($A34="",W$3=""),"",IF(AND($J34&lt;&gt;"",$K34&lt;&gt;"",$J34=$K34,$J34&gt;=W$3,$J34&lt;=IF(param_mode_affichage="mois",EOMONTH(W$3,0),W$3+6)),"◆",""))</f>
      </c>
      <c r="X34" s="26">
        <f>IF(OR($A34="",X$3=""),"",IF(AND($J34&lt;&gt;"",$K34&lt;&gt;"",$J34=$K34,$J34&gt;=X$3,$J34&lt;=IF(param_mode_affichage="mois",EOMONTH(X$3,0),X$3+6)),"◆",""))</f>
      </c>
      <c r="Y34" s="26">
        <f>IF(OR($A34="",Y$3=""),"",IF(AND($J34&lt;&gt;"",$K34&lt;&gt;"",$J34=$K34,$J34&gt;=Y$3,$J34&lt;=IF(param_mode_affichage="mois",EOMONTH(Y$3,0),Y$3+6)),"◆",""))</f>
      </c>
      <c r="Z34" s="26">
        <f>IF(OR($A34="",Z$3=""),"",IF(AND($J34&lt;&gt;"",$K34&lt;&gt;"",$J34=$K34,$J34&gt;=Z$3,$J34&lt;=IF(param_mode_affichage="mois",EOMONTH(Z$3,0),Z$3+6)),"◆",""))</f>
      </c>
      <c r="AA34" s="26">
        <f>IF(OR($A34="",AA$3=""),"",IF(AND($J34&lt;&gt;"",$K34&lt;&gt;"",$J34=$K34,$J34&gt;=AA$3,$J34&lt;=IF(param_mode_affichage="mois",EOMONTH(AA$3,0),AA$3+6)),"◆",""))</f>
      </c>
      <c r="AB34" s="26">
        <f>IF(OR($A34="",AB$3=""),"",IF(AND($J34&lt;&gt;"",$K34&lt;&gt;"",$J34=$K34,$J34&gt;=AB$3,$J34&lt;=IF(param_mode_affichage="mois",EOMONTH(AB$3,0),AB$3+6)),"◆",""))</f>
      </c>
      <c r="AC34" s="26">
        <f>IF(OR($A34="",AC$3=""),"",IF(AND($J34&lt;&gt;"",$K34&lt;&gt;"",$J34=$K34,$J34&gt;=AC$3,$J34&lt;=IF(param_mode_affichage="mois",EOMONTH(AC$3,0),AC$3+6)),"◆",""))</f>
      </c>
      <c r="AD34" s="26">
        <f>IF(OR($A34="",AD$3=""),"",IF(AND($J34&lt;&gt;"",$K34&lt;&gt;"",$J34=$K34,$J34&gt;=AD$3,$J34&lt;=IF(param_mode_affichage="mois",EOMONTH(AD$3,0),AD$3+6)),"◆",""))</f>
      </c>
      <c r="AE34" s="26">
        <f>IF(OR($A34="",AE$3=""),"",IF(AND($J34&lt;&gt;"",$K34&lt;&gt;"",$J34=$K34,$J34&gt;=AE$3,$J34&lt;=IF(param_mode_affichage="mois",EOMONTH(AE$3,0),AE$3+6)),"◆",""))</f>
      </c>
      <c r="AF34" s="26">
        <f>IF(OR($A34="",AF$3=""),"",IF(AND($J34&lt;&gt;"",$K34&lt;&gt;"",$J34=$K34,$J34&gt;=AF$3,$J34&lt;=IF(param_mode_affichage="mois",EOMONTH(AF$3,0),AF$3+6)),"◆",""))</f>
      </c>
      <c r="AG34" s="26">
        <f>IF(OR($A34="",AG$3=""),"",IF(AND($J34&lt;&gt;"",$K34&lt;&gt;"",$J34=$K34,$J34&gt;=AG$3,$J34&lt;=IF(param_mode_affichage="mois",EOMONTH(AG$3,0),AG$3+6)),"◆",""))</f>
      </c>
      <c r="AH34" s="26">
        <f>IF(OR($A34="",AH$3=""),"",IF(AND($J34&lt;&gt;"",$K34&lt;&gt;"",$J34=$K34,$J34&gt;=AH$3,$J34&lt;=IF(param_mode_affichage="mois",EOMONTH(AH$3,0),AH$3+6)),"◆",""))</f>
      </c>
      <c r="AI34" s="26">
        <f>IF(OR($A34="",AI$3=""),"",IF(AND($J34&lt;&gt;"",$K34&lt;&gt;"",$J34=$K34,$J34&gt;=AI$3,$J34&lt;=IF(param_mode_affichage="mois",EOMONTH(AI$3,0),AI$3+6)),"◆",""))</f>
      </c>
      <c r="AJ34" s="26">
        <f>IF(OR($A34="",AJ$3=""),"",IF(AND($J34&lt;&gt;"",$K34&lt;&gt;"",$J34=$K34,$J34&gt;=AJ$3,$J34&lt;=IF(param_mode_affichage="mois",EOMONTH(AJ$3,0),AJ$3+6)),"◆",""))</f>
      </c>
      <c r="AK34" s="26">
        <f>IF(OR($A34="",AK$3=""),"",IF(AND($J34&lt;&gt;"",$K34&lt;&gt;"",$J34=$K34,$J34&gt;=AK$3,$J34&lt;=IF(param_mode_affichage="mois",EOMONTH(AK$3,0),AK$3+6)),"◆",""))</f>
      </c>
      <c r="AL34" s="26">
        <f>IF(OR($A34="",AL$3=""),"",IF(AND($J34&lt;&gt;"",$K34&lt;&gt;"",$J34=$K34,$J34&gt;=AL$3,$J34&lt;=IF(param_mode_affichage="mois",EOMONTH(AL$3,0),AL$3+6)),"◆",""))</f>
      </c>
      <c r="AM34" s="26">
        <f>IF(OR($A34="",AM$3=""),"",IF(AND($J34&lt;&gt;"",$K34&lt;&gt;"",$J34=$K34,$J34&gt;=AM$3,$J34&lt;=IF(param_mode_affichage="mois",EOMONTH(AM$3,0),AM$3+6)),"◆",""))</f>
      </c>
      <c r="AN34" s="26">
        <f>IF(OR($A34="",AN$3=""),"",IF(AND($J34&lt;&gt;"",$K34&lt;&gt;"",$J34=$K34,$J34&gt;=AN$3,$J34&lt;=IF(param_mode_affichage="mois",EOMONTH(AN$3,0),AN$3+6)),"◆",""))</f>
      </c>
      <c r="AO34" s="26">
        <f>IF(OR($A34="",AO$3=""),"",IF(AND($J34&lt;&gt;"",$K34&lt;&gt;"",$J34=$K34,$J34&gt;=AO$3,$J34&lt;=IF(param_mode_affichage="mois",EOMONTH(AO$3,0),AO$3+6)),"◆",""))</f>
      </c>
      <c r="AP34" s="26">
        <f>IF(OR($A34="",AP$3=""),"",IF(AND($J34&lt;&gt;"",$K34&lt;&gt;"",$J34=$K34,$J34&gt;=AP$3,$J34&lt;=IF(param_mode_affichage="mois",EOMONTH(AP$3,0),AP$3+6)),"◆",""))</f>
      </c>
      <c r="AQ34" s="26">
        <f>IF(OR($A34="",AQ$3=""),"",IF(AND($J34&lt;&gt;"",$K34&lt;&gt;"",$J34=$K34,$J34&gt;=AQ$3,$J34&lt;=IF(param_mode_affichage="mois",EOMONTH(AQ$3,0),AQ$3+6)),"◆",""))</f>
      </c>
      <c r="AR34" s="26">
        <f>IF(OR($A34="",AR$3=""),"",IF(AND($J34&lt;&gt;"",$K34&lt;&gt;"",$J34=$K34,$J34&gt;=AR$3,$J34&lt;=IF(param_mode_affichage="mois",EOMONTH(AR$3,0),AR$3+6)),"◆",""))</f>
      </c>
      <c r="AS34" s="26">
        <f>IF(OR($A34="",AS$3=""),"",IF(AND($J34&lt;&gt;"",$K34&lt;&gt;"",$J34=$K34,$J34&gt;=AS$3,$J34&lt;=IF(param_mode_affichage="mois",EOMONTH(AS$3,0),AS$3+6)),"◆",""))</f>
      </c>
      <c r="AT34" s="26">
        <f>IF(OR($A34="",AT$3=""),"",IF(AND($J34&lt;&gt;"",$K34&lt;&gt;"",$J34=$K34,$J34&gt;=AT$3,$J34&lt;=IF(param_mode_affichage="mois",EOMONTH(AT$3,0),AT$3+6)),"◆",""))</f>
      </c>
      <c r="AU34" s="26">
        <f>IF(OR($A34="",AU$3=""),"",IF(AND($J34&lt;&gt;"",$K34&lt;&gt;"",$J34=$K34,$J34&gt;=AU$3,$J34&lt;=IF(param_mode_affichage="mois",EOMONTH(AU$3,0),AU$3+6)),"◆",""))</f>
      </c>
      <c r="AV34" s="26">
        <f>IF(OR($A34="",AV$3=""),"",IF(AND($J34&lt;&gt;"",$K34&lt;&gt;"",$J34=$K34,$J34&gt;=AV$3,$J34&lt;=IF(param_mode_affichage="mois",EOMONTH(AV$3,0),AV$3+6)),"◆",""))</f>
      </c>
      <c r="AW34" s="26">
        <f>IF(OR($A34="",AW$3=""),"",IF(AND($J34&lt;&gt;"",$K34&lt;&gt;"",$J34=$K34,$J34&gt;=AW$3,$J34&lt;=IF(param_mode_affichage="mois",EOMONTH(AW$3,0),AW$3+6)),"◆",""))</f>
      </c>
      <c r="AX34" s="26">
        <f>IF(OR($A34="",AX$3=""),"",IF(AND($J34&lt;&gt;"",$K34&lt;&gt;"",$J34=$K34,$J34&gt;=AX$3,$J34&lt;=IF(param_mode_affichage="mois",EOMONTH(AX$3,0),AX$3+6)),"◆",""))</f>
      </c>
      <c r="AY34" s="26">
        <f>IF(OR($A34="",AY$3=""),"",IF(AND($J34&lt;&gt;"",$K34&lt;&gt;"",$J34=$K34,$J34&gt;=AY$3,$J34&lt;=IF(param_mode_affichage="mois",EOMONTH(AY$3,0),AY$3+6)),"◆",""))</f>
      </c>
      <c r="AZ34" s="26">
        <f>IF(OR($A34="",AZ$3=""),"",IF(AND($J34&lt;&gt;"",$K34&lt;&gt;"",$J34=$K34,$J34&gt;=AZ$3,$J34&lt;=IF(param_mode_affichage="mois",EOMONTH(AZ$3,0),AZ$3+6)),"◆",""))</f>
      </c>
      <c r="BA34" s="26">
        <f>IF(OR($A34="",BA$3=""),"",IF(AND($J34&lt;&gt;"",$K34&lt;&gt;"",$J34=$K34,$J34&gt;=BA$3,$J34&lt;=IF(param_mode_affichage="mois",EOMONTH(BA$3,0),BA$3+6)),"◆",""))</f>
      </c>
      <c r="BB34" s="26">
        <f>IF(OR($A34="",BB$3=""),"",IF(AND($J34&lt;&gt;"",$K34&lt;&gt;"",$J34=$K34,$J34&gt;=BB$3,$J34&lt;=IF(param_mode_affichage="mois",EOMONTH(BB$3,0),BB$3+6)),"◆",""))</f>
      </c>
      <c r="BC34" s="26">
        <f>IF(OR($A34="",BC$3=""),"",IF(AND($J34&lt;&gt;"",$K34&lt;&gt;"",$J34=$K34,$J34&gt;=BC$3,$J34&lt;=IF(param_mode_affichage="mois",EOMONTH(BC$3,0),BC$3+6)),"◆",""))</f>
      </c>
      <c r="BD34" s="26">
        <f>IF(OR($A34="",BD$3=""),"",IF(AND($J34&lt;&gt;"",$K34&lt;&gt;"",$J34=$K34,$J34&gt;=BD$3,$J34&lt;=IF(param_mode_affichage="mois",EOMONTH(BD$3,0),BD$3+6)),"◆",""))</f>
      </c>
      <c r="BE34" s="26">
        <f>IF(OR($A34="",BE$3=""),"",IF(AND($J34&lt;&gt;"",$K34&lt;&gt;"",$J34=$K34,$J34&gt;=BE$3,$J34&lt;=IF(param_mode_affichage="mois",EOMONTH(BE$3,0),BE$3+6)),"◆",""))</f>
      </c>
      <c r="BF34" s="26">
        <f>IF(OR($A34="",BF$3=""),"",IF(AND($J34&lt;&gt;"",$K34&lt;&gt;"",$J34=$K34,$J34&gt;=BF$3,$J34&lt;=IF(param_mode_affichage="mois",EOMONTH(BF$3,0),BF$3+6)),"◆",""))</f>
      </c>
      <c r="BG34" s="26">
        <f>IF(OR($A34="",BG$3=""),"",IF(AND($J34&lt;&gt;"",$K34&lt;&gt;"",$J34=$K34,$J34&gt;=BG$3,$J34&lt;=IF(param_mode_affichage="mois",EOMONTH(BG$3,0),BG$3+6)),"◆",""))</f>
      </c>
      <c r="BH34" s="26">
        <f>IF(OR($A34="",BH$3=""),"",IF(AND($J34&lt;&gt;"",$K34&lt;&gt;"",$J34=$K34,$J34&gt;=BH$3,$J34&lt;=IF(param_mode_affichage="mois",EOMONTH(BH$3,0),BH$3+6)),"◆",""))</f>
      </c>
      <c r="BI34" s="26">
        <f>IF(OR($A34="",BI$3=""),"",IF(AND($J34&lt;&gt;"",$K34&lt;&gt;"",$J34=$K34,$J34&gt;=BI$3,$J34&lt;=IF(param_mode_affichage="mois",EOMONTH(BI$3,0),BI$3+6)),"◆",""))</f>
      </c>
      <c r="BJ34" s="26">
        <f>IF(OR($A34="",BJ$3=""),"",IF(AND($J34&lt;&gt;"",$K34&lt;&gt;"",$J34=$K34,$J34&gt;=BJ$3,$J34&lt;=IF(param_mode_affichage="mois",EOMONTH(BJ$3,0),BJ$3+6)),"◆",""))</f>
      </c>
      <c r="BK34" s="26">
        <f>IF(OR($A34="",BK$3=""),"",IF(AND($J34&lt;&gt;"",$K34&lt;&gt;"",$J34=$K34,$J34&gt;=BK$3,$J34&lt;=IF(param_mode_affichage="mois",EOMONTH(BK$3,0),BK$3+6)),"◆",""))</f>
      </c>
      <c r="BL34" s="26">
        <f>IF(OR($A34="",BL$3=""),"",IF(AND($J34&lt;&gt;"",$K34&lt;&gt;"",$J34=$K34,$J34&gt;=BL$3,$J34&lt;=IF(param_mode_affichage="mois",EOMONTH(BL$3,0),BL$3+6)),"◆",""))</f>
      </c>
    </row>
    <row r="35" spans="1:64" x14ac:dyDescent="0.25">
      <c r="A35" s="23">
        <f>IFERROR(INDEX(tblTasks[ID],ROW()-4),"")</f>
      </c>
      <c r="B35" s="24">
        <f>IF($A35="","",INDEX(tblTasks[Sujet],ROW()-4))</f>
      </c>
      <c r="C35" s="23">
        <f>IF($A35="","",INDEX(tblTasks[Responsable],ROW()-4))</f>
      </c>
      <c r="D35" s="23">
        <f>IF($A35="","",INDEX(tblTasks[Statut],ROW()-4))</f>
      </c>
      <c r="E35" s="23">
        <f>IF($A35="","",INDEX(tblTasks[Depend_de],ROW()-4))</f>
      </c>
      <c r="F35" s="23">
        <f>IF($A35="","",INDEX(tblTasks[Blocage],ROW()-4))</f>
      </c>
      <c r="G35" s="23">
        <f>IF($A35="","",INDEX(tblTasks[Niveau_criticite],ROW()-4))</f>
      </c>
      <c r="H35" s="23">
        <f>IF($A35="","",INDEX(tblTasks[Goulot],ROW()-4))</f>
      </c>
      <c r="I35" s="23">
        <f>IF($A35="","",IF(LOWER($F35)="oui","non",IF($E35="","oui",IFERROR(IF(LOWER(INDEX(tblTasks[Statut],MATCH($E35,tblTasks[ID],0)))="clos","oui","non"),"non"))))</f>
      </c>
      <c r="J35" s="25">
        <f>IF($A35="","",INDEX(tblTasks[Date_debut_prevue],ROW()-4))</f>
      </c>
      <c r="K35" s="25">
        <f>IF($A35="","",INDEX(tblTasks[Date_fin_prevue],ROW()-4))</f>
      </c>
      <c r="L35" s="23">
        <f>IF($A35="","",INDEX(tblTasks[Irreversibilite],ROW()-4))</f>
      </c>
      <c r="M35" s="26">
        <f>IF(OR($A35="",M$3=""),"",IF(AND($J35&lt;&gt;"",$K35&lt;&gt;"",$J35=$K35,$J35&gt;=M$3,$J35&lt;=IF(param_mode_affichage="mois",EOMONTH(M$3,0),M$3+6)),"◆",""))</f>
      </c>
      <c r="N35" s="26">
        <f>IF(OR($A35="",N$3=""),"",IF(AND($J35&lt;&gt;"",$K35&lt;&gt;"",$J35=$K35,$J35&gt;=N$3,$J35&lt;=IF(param_mode_affichage="mois",EOMONTH(N$3,0),N$3+6)),"◆",""))</f>
      </c>
      <c r="O35" s="26">
        <f>IF(OR($A35="",O$3=""),"",IF(AND($J35&lt;&gt;"",$K35&lt;&gt;"",$J35=$K35,$J35&gt;=O$3,$J35&lt;=IF(param_mode_affichage="mois",EOMONTH(O$3,0),O$3+6)),"◆",""))</f>
      </c>
      <c r="P35" s="26">
        <f>IF(OR($A35="",P$3=""),"",IF(AND($J35&lt;&gt;"",$K35&lt;&gt;"",$J35=$K35,$J35&gt;=P$3,$J35&lt;=IF(param_mode_affichage="mois",EOMONTH(P$3,0),P$3+6)),"◆",""))</f>
      </c>
      <c r="Q35" s="26">
        <f>IF(OR($A35="",Q$3=""),"",IF(AND($J35&lt;&gt;"",$K35&lt;&gt;"",$J35=$K35,$J35&gt;=Q$3,$J35&lt;=IF(param_mode_affichage="mois",EOMONTH(Q$3,0),Q$3+6)),"◆",""))</f>
      </c>
      <c r="R35" s="26">
        <f>IF(OR($A35="",R$3=""),"",IF(AND($J35&lt;&gt;"",$K35&lt;&gt;"",$J35=$K35,$J35&gt;=R$3,$J35&lt;=IF(param_mode_affichage="mois",EOMONTH(R$3,0),R$3+6)),"◆",""))</f>
      </c>
      <c r="S35" s="26">
        <f>IF(OR($A35="",S$3=""),"",IF(AND($J35&lt;&gt;"",$K35&lt;&gt;"",$J35=$K35,$J35&gt;=S$3,$J35&lt;=IF(param_mode_affichage="mois",EOMONTH(S$3,0),S$3+6)),"◆",""))</f>
      </c>
      <c r="T35" s="26">
        <f>IF(OR($A35="",T$3=""),"",IF(AND($J35&lt;&gt;"",$K35&lt;&gt;"",$J35=$K35,$J35&gt;=T$3,$J35&lt;=IF(param_mode_affichage="mois",EOMONTH(T$3,0),T$3+6)),"◆",""))</f>
      </c>
      <c r="U35" s="26">
        <f>IF(OR($A35="",U$3=""),"",IF(AND($J35&lt;&gt;"",$K35&lt;&gt;"",$J35=$K35,$J35&gt;=U$3,$J35&lt;=IF(param_mode_affichage="mois",EOMONTH(U$3,0),U$3+6)),"◆",""))</f>
      </c>
      <c r="V35" s="26">
        <f>IF(OR($A35="",V$3=""),"",IF(AND($J35&lt;&gt;"",$K35&lt;&gt;"",$J35=$K35,$J35&gt;=V$3,$J35&lt;=IF(param_mode_affichage="mois",EOMONTH(V$3,0),V$3+6)),"◆",""))</f>
      </c>
      <c r="W35" s="26">
        <f>IF(OR($A35="",W$3=""),"",IF(AND($J35&lt;&gt;"",$K35&lt;&gt;"",$J35=$K35,$J35&gt;=W$3,$J35&lt;=IF(param_mode_affichage="mois",EOMONTH(W$3,0),W$3+6)),"◆",""))</f>
      </c>
      <c r="X35" s="26">
        <f>IF(OR($A35="",X$3=""),"",IF(AND($J35&lt;&gt;"",$K35&lt;&gt;"",$J35=$K35,$J35&gt;=X$3,$J35&lt;=IF(param_mode_affichage="mois",EOMONTH(X$3,0),X$3+6)),"◆",""))</f>
      </c>
      <c r="Y35" s="26">
        <f>IF(OR($A35="",Y$3=""),"",IF(AND($J35&lt;&gt;"",$K35&lt;&gt;"",$J35=$K35,$J35&gt;=Y$3,$J35&lt;=IF(param_mode_affichage="mois",EOMONTH(Y$3,0),Y$3+6)),"◆",""))</f>
      </c>
      <c r="Z35" s="26">
        <f>IF(OR($A35="",Z$3=""),"",IF(AND($J35&lt;&gt;"",$K35&lt;&gt;"",$J35=$K35,$J35&gt;=Z$3,$J35&lt;=IF(param_mode_affichage="mois",EOMONTH(Z$3,0),Z$3+6)),"◆",""))</f>
      </c>
      <c r="AA35" s="26">
        <f>IF(OR($A35="",AA$3=""),"",IF(AND($J35&lt;&gt;"",$K35&lt;&gt;"",$J35=$K35,$J35&gt;=AA$3,$J35&lt;=IF(param_mode_affichage="mois",EOMONTH(AA$3,0),AA$3+6)),"◆",""))</f>
      </c>
      <c r="AB35" s="26">
        <f>IF(OR($A35="",AB$3=""),"",IF(AND($J35&lt;&gt;"",$K35&lt;&gt;"",$J35=$K35,$J35&gt;=AB$3,$J35&lt;=IF(param_mode_affichage="mois",EOMONTH(AB$3,0),AB$3+6)),"◆",""))</f>
      </c>
      <c r="AC35" s="26">
        <f>IF(OR($A35="",AC$3=""),"",IF(AND($J35&lt;&gt;"",$K35&lt;&gt;"",$J35=$K35,$J35&gt;=AC$3,$J35&lt;=IF(param_mode_affichage="mois",EOMONTH(AC$3,0),AC$3+6)),"◆",""))</f>
      </c>
      <c r="AD35" s="26">
        <f>IF(OR($A35="",AD$3=""),"",IF(AND($J35&lt;&gt;"",$K35&lt;&gt;"",$J35=$K35,$J35&gt;=AD$3,$J35&lt;=IF(param_mode_affichage="mois",EOMONTH(AD$3,0),AD$3+6)),"◆",""))</f>
      </c>
      <c r="AE35" s="26">
        <f>IF(OR($A35="",AE$3=""),"",IF(AND($J35&lt;&gt;"",$K35&lt;&gt;"",$J35=$K35,$J35&gt;=AE$3,$J35&lt;=IF(param_mode_affichage="mois",EOMONTH(AE$3,0),AE$3+6)),"◆",""))</f>
      </c>
      <c r="AF35" s="26">
        <f>IF(OR($A35="",AF$3=""),"",IF(AND($J35&lt;&gt;"",$K35&lt;&gt;"",$J35=$K35,$J35&gt;=AF$3,$J35&lt;=IF(param_mode_affichage="mois",EOMONTH(AF$3,0),AF$3+6)),"◆",""))</f>
      </c>
      <c r="AG35" s="26">
        <f>IF(OR($A35="",AG$3=""),"",IF(AND($J35&lt;&gt;"",$K35&lt;&gt;"",$J35=$K35,$J35&gt;=AG$3,$J35&lt;=IF(param_mode_affichage="mois",EOMONTH(AG$3,0),AG$3+6)),"◆",""))</f>
      </c>
      <c r="AH35" s="26">
        <f>IF(OR($A35="",AH$3=""),"",IF(AND($J35&lt;&gt;"",$K35&lt;&gt;"",$J35=$K35,$J35&gt;=AH$3,$J35&lt;=IF(param_mode_affichage="mois",EOMONTH(AH$3,0),AH$3+6)),"◆",""))</f>
      </c>
      <c r="AI35" s="26">
        <f>IF(OR($A35="",AI$3=""),"",IF(AND($J35&lt;&gt;"",$K35&lt;&gt;"",$J35=$K35,$J35&gt;=AI$3,$J35&lt;=IF(param_mode_affichage="mois",EOMONTH(AI$3,0),AI$3+6)),"◆",""))</f>
      </c>
      <c r="AJ35" s="26">
        <f>IF(OR($A35="",AJ$3=""),"",IF(AND($J35&lt;&gt;"",$K35&lt;&gt;"",$J35=$K35,$J35&gt;=AJ$3,$J35&lt;=IF(param_mode_affichage="mois",EOMONTH(AJ$3,0),AJ$3+6)),"◆",""))</f>
      </c>
      <c r="AK35" s="26">
        <f>IF(OR($A35="",AK$3=""),"",IF(AND($J35&lt;&gt;"",$K35&lt;&gt;"",$J35=$K35,$J35&gt;=AK$3,$J35&lt;=IF(param_mode_affichage="mois",EOMONTH(AK$3,0),AK$3+6)),"◆",""))</f>
      </c>
      <c r="AL35" s="26">
        <f>IF(OR($A35="",AL$3=""),"",IF(AND($J35&lt;&gt;"",$K35&lt;&gt;"",$J35=$K35,$J35&gt;=AL$3,$J35&lt;=IF(param_mode_affichage="mois",EOMONTH(AL$3,0),AL$3+6)),"◆",""))</f>
      </c>
      <c r="AM35" s="26">
        <f>IF(OR($A35="",AM$3=""),"",IF(AND($J35&lt;&gt;"",$K35&lt;&gt;"",$J35=$K35,$J35&gt;=AM$3,$J35&lt;=IF(param_mode_affichage="mois",EOMONTH(AM$3,0),AM$3+6)),"◆",""))</f>
      </c>
      <c r="AN35" s="26">
        <f>IF(OR($A35="",AN$3=""),"",IF(AND($J35&lt;&gt;"",$K35&lt;&gt;"",$J35=$K35,$J35&gt;=AN$3,$J35&lt;=IF(param_mode_affichage="mois",EOMONTH(AN$3,0),AN$3+6)),"◆",""))</f>
      </c>
      <c r="AO35" s="26">
        <f>IF(OR($A35="",AO$3=""),"",IF(AND($J35&lt;&gt;"",$K35&lt;&gt;"",$J35=$K35,$J35&gt;=AO$3,$J35&lt;=IF(param_mode_affichage="mois",EOMONTH(AO$3,0),AO$3+6)),"◆",""))</f>
      </c>
      <c r="AP35" s="26">
        <f>IF(OR($A35="",AP$3=""),"",IF(AND($J35&lt;&gt;"",$K35&lt;&gt;"",$J35=$K35,$J35&gt;=AP$3,$J35&lt;=IF(param_mode_affichage="mois",EOMONTH(AP$3,0),AP$3+6)),"◆",""))</f>
      </c>
      <c r="AQ35" s="26">
        <f>IF(OR($A35="",AQ$3=""),"",IF(AND($J35&lt;&gt;"",$K35&lt;&gt;"",$J35=$K35,$J35&gt;=AQ$3,$J35&lt;=IF(param_mode_affichage="mois",EOMONTH(AQ$3,0),AQ$3+6)),"◆",""))</f>
      </c>
      <c r="AR35" s="26">
        <f>IF(OR($A35="",AR$3=""),"",IF(AND($J35&lt;&gt;"",$K35&lt;&gt;"",$J35=$K35,$J35&gt;=AR$3,$J35&lt;=IF(param_mode_affichage="mois",EOMONTH(AR$3,0),AR$3+6)),"◆",""))</f>
      </c>
      <c r="AS35" s="26">
        <f>IF(OR($A35="",AS$3=""),"",IF(AND($J35&lt;&gt;"",$K35&lt;&gt;"",$J35=$K35,$J35&gt;=AS$3,$J35&lt;=IF(param_mode_affichage="mois",EOMONTH(AS$3,0),AS$3+6)),"◆",""))</f>
      </c>
      <c r="AT35" s="26">
        <f>IF(OR($A35="",AT$3=""),"",IF(AND($J35&lt;&gt;"",$K35&lt;&gt;"",$J35=$K35,$J35&gt;=AT$3,$J35&lt;=IF(param_mode_affichage="mois",EOMONTH(AT$3,0),AT$3+6)),"◆",""))</f>
      </c>
      <c r="AU35" s="26">
        <f>IF(OR($A35="",AU$3=""),"",IF(AND($J35&lt;&gt;"",$K35&lt;&gt;"",$J35=$K35,$J35&gt;=AU$3,$J35&lt;=IF(param_mode_affichage="mois",EOMONTH(AU$3,0),AU$3+6)),"◆",""))</f>
      </c>
      <c r="AV35" s="26">
        <f>IF(OR($A35="",AV$3=""),"",IF(AND($J35&lt;&gt;"",$K35&lt;&gt;"",$J35=$K35,$J35&gt;=AV$3,$J35&lt;=IF(param_mode_affichage="mois",EOMONTH(AV$3,0),AV$3+6)),"◆",""))</f>
      </c>
      <c r="AW35" s="26">
        <f>IF(OR($A35="",AW$3=""),"",IF(AND($J35&lt;&gt;"",$K35&lt;&gt;"",$J35=$K35,$J35&gt;=AW$3,$J35&lt;=IF(param_mode_affichage="mois",EOMONTH(AW$3,0),AW$3+6)),"◆",""))</f>
      </c>
      <c r="AX35" s="26">
        <f>IF(OR($A35="",AX$3=""),"",IF(AND($J35&lt;&gt;"",$K35&lt;&gt;"",$J35=$K35,$J35&gt;=AX$3,$J35&lt;=IF(param_mode_affichage="mois",EOMONTH(AX$3,0),AX$3+6)),"◆",""))</f>
      </c>
      <c r="AY35" s="26">
        <f>IF(OR($A35="",AY$3=""),"",IF(AND($J35&lt;&gt;"",$K35&lt;&gt;"",$J35=$K35,$J35&gt;=AY$3,$J35&lt;=IF(param_mode_affichage="mois",EOMONTH(AY$3,0),AY$3+6)),"◆",""))</f>
      </c>
      <c r="AZ35" s="26">
        <f>IF(OR($A35="",AZ$3=""),"",IF(AND($J35&lt;&gt;"",$K35&lt;&gt;"",$J35=$K35,$J35&gt;=AZ$3,$J35&lt;=IF(param_mode_affichage="mois",EOMONTH(AZ$3,0),AZ$3+6)),"◆",""))</f>
      </c>
      <c r="BA35" s="26">
        <f>IF(OR($A35="",BA$3=""),"",IF(AND($J35&lt;&gt;"",$K35&lt;&gt;"",$J35=$K35,$J35&gt;=BA$3,$J35&lt;=IF(param_mode_affichage="mois",EOMONTH(BA$3,0),BA$3+6)),"◆",""))</f>
      </c>
      <c r="BB35" s="26">
        <f>IF(OR($A35="",BB$3=""),"",IF(AND($J35&lt;&gt;"",$K35&lt;&gt;"",$J35=$K35,$J35&gt;=BB$3,$J35&lt;=IF(param_mode_affichage="mois",EOMONTH(BB$3,0),BB$3+6)),"◆",""))</f>
      </c>
      <c r="BC35" s="26">
        <f>IF(OR($A35="",BC$3=""),"",IF(AND($J35&lt;&gt;"",$K35&lt;&gt;"",$J35=$K35,$J35&gt;=BC$3,$J35&lt;=IF(param_mode_affichage="mois",EOMONTH(BC$3,0),BC$3+6)),"◆",""))</f>
      </c>
      <c r="BD35" s="26">
        <f>IF(OR($A35="",BD$3=""),"",IF(AND($J35&lt;&gt;"",$K35&lt;&gt;"",$J35=$K35,$J35&gt;=BD$3,$J35&lt;=IF(param_mode_affichage="mois",EOMONTH(BD$3,0),BD$3+6)),"◆",""))</f>
      </c>
      <c r="BE35" s="26">
        <f>IF(OR($A35="",BE$3=""),"",IF(AND($J35&lt;&gt;"",$K35&lt;&gt;"",$J35=$K35,$J35&gt;=BE$3,$J35&lt;=IF(param_mode_affichage="mois",EOMONTH(BE$3,0),BE$3+6)),"◆",""))</f>
      </c>
      <c r="BF35" s="26">
        <f>IF(OR($A35="",BF$3=""),"",IF(AND($J35&lt;&gt;"",$K35&lt;&gt;"",$J35=$K35,$J35&gt;=BF$3,$J35&lt;=IF(param_mode_affichage="mois",EOMONTH(BF$3,0),BF$3+6)),"◆",""))</f>
      </c>
      <c r="BG35" s="26">
        <f>IF(OR($A35="",BG$3=""),"",IF(AND($J35&lt;&gt;"",$K35&lt;&gt;"",$J35=$K35,$J35&gt;=BG$3,$J35&lt;=IF(param_mode_affichage="mois",EOMONTH(BG$3,0),BG$3+6)),"◆",""))</f>
      </c>
      <c r="BH35" s="26">
        <f>IF(OR($A35="",BH$3=""),"",IF(AND($J35&lt;&gt;"",$K35&lt;&gt;"",$J35=$K35,$J35&gt;=BH$3,$J35&lt;=IF(param_mode_affichage="mois",EOMONTH(BH$3,0),BH$3+6)),"◆",""))</f>
      </c>
      <c r="BI35" s="26">
        <f>IF(OR($A35="",BI$3=""),"",IF(AND($J35&lt;&gt;"",$K35&lt;&gt;"",$J35=$K35,$J35&gt;=BI$3,$J35&lt;=IF(param_mode_affichage="mois",EOMONTH(BI$3,0),BI$3+6)),"◆",""))</f>
      </c>
      <c r="BJ35" s="26">
        <f>IF(OR($A35="",BJ$3=""),"",IF(AND($J35&lt;&gt;"",$K35&lt;&gt;"",$J35=$K35,$J35&gt;=BJ$3,$J35&lt;=IF(param_mode_affichage="mois",EOMONTH(BJ$3,0),BJ$3+6)),"◆",""))</f>
      </c>
      <c r="BK35" s="26">
        <f>IF(OR($A35="",BK$3=""),"",IF(AND($J35&lt;&gt;"",$K35&lt;&gt;"",$J35=$K35,$J35&gt;=BK$3,$J35&lt;=IF(param_mode_affichage="mois",EOMONTH(BK$3,0),BK$3+6)),"◆",""))</f>
      </c>
      <c r="BL35" s="26">
        <f>IF(OR($A35="",BL$3=""),"",IF(AND($J35&lt;&gt;"",$K35&lt;&gt;"",$J35=$K35,$J35&gt;=BL$3,$J35&lt;=IF(param_mode_affichage="mois",EOMONTH(BL$3,0),BL$3+6)),"◆",""))</f>
      </c>
    </row>
    <row r="36" spans="1:64" x14ac:dyDescent="0.25">
      <c r="A36" s="23">
        <f>IFERROR(INDEX(tblTasks[ID],ROW()-4),"")</f>
      </c>
      <c r="B36" s="24">
        <f>IF($A36="","",INDEX(tblTasks[Sujet],ROW()-4))</f>
      </c>
      <c r="C36" s="23">
        <f>IF($A36="","",INDEX(tblTasks[Responsable],ROW()-4))</f>
      </c>
      <c r="D36" s="23">
        <f>IF($A36="","",INDEX(tblTasks[Statut],ROW()-4))</f>
      </c>
      <c r="E36" s="23">
        <f>IF($A36="","",INDEX(tblTasks[Depend_de],ROW()-4))</f>
      </c>
      <c r="F36" s="23">
        <f>IF($A36="","",INDEX(tblTasks[Blocage],ROW()-4))</f>
      </c>
      <c r="G36" s="23">
        <f>IF($A36="","",INDEX(tblTasks[Niveau_criticite],ROW()-4))</f>
      </c>
      <c r="H36" s="23">
        <f>IF($A36="","",INDEX(tblTasks[Goulot],ROW()-4))</f>
      </c>
      <c r="I36" s="23">
        <f>IF($A36="","",IF(LOWER($F36)="oui","non",IF($E36="","oui",IFERROR(IF(LOWER(INDEX(tblTasks[Statut],MATCH($E36,tblTasks[ID],0)))="clos","oui","non"),"non"))))</f>
      </c>
      <c r="J36" s="25">
        <f>IF($A36="","",INDEX(tblTasks[Date_debut_prevue],ROW()-4))</f>
      </c>
      <c r="K36" s="25">
        <f>IF($A36="","",INDEX(tblTasks[Date_fin_prevue],ROW()-4))</f>
      </c>
      <c r="L36" s="23">
        <f>IF($A36="","",INDEX(tblTasks[Irreversibilite],ROW()-4))</f>
      </c>
      <c r="M36" s="26">
        <f>IF(OR($A36="",M$3=""),"",IF(AND($J36&lt;&gt;"",$K36&lt;&gt;"",$J36=$K36,$J36&gt;=M$3,$J36&lt;=IF(param_mode_affichage="mois",EOMONTH(M$3,0),M$3+6)),"◆",""))</f>
      </c>
      <c r="N36" s="26">
        <f>IF(OR($A36="",N$3=""),"",IF(AND($J36&lt;&gt;"",$K36&lt;&gt;"",$J36=$K36,$J36&gt;=N$3,$J36&lt;=IF(param_mode_affichage="mois",EOMONTH(N$3,0),N$3+6)),"◆",""))</f>
      </c>
      <c r="O36" s="26">
        <f>IF(OR($A36="",O$3=""),"",IF(AND($J36&lt;&gt;"",$K36&lt;&gt;"",$J36=$K36,$J36&gt;=O$3,$J36&lt;=IF(param_mode_affichage="mois",EOMONTH(O$3,0),O$3+6)),"◆",""))</f>
      </c>
      <c r="P36" s="26">
        <f>IF(OR($A36="",P$3=""),"",IF(AND($J36&lt;&gt;"",$K36&lt;&gt;"",$J36=$K36,$J36&gt;=P$3,$J36&lt;=IF(param_mode_affichage="mois",EOMONTH(P$3,0),P$3+6)),"◆",""))</f>
      </c>
      <c r="Q36" s="26">
        <f>IF(OR($A36="",Q$3=""),"",IF(AND($J36&lt;&gt;"",$K36&lt;&gt;"",$J36=$K36,$J36&gt;=Q$3,$J36&lt;=IF(param_mode_affichage="mois",EOMONTH(Q$3,0),Q$3+6)),"◆",""))</f>
      </c>
      <c r="R36" s="26">
        <f>IF(OR($A36="",R$3=""),"",IF(AND($J36&lt;&gt;"",$K36&lt;&gt;"",$J36=$K36,$J36&gt;=R$3,$J36&lt;=IF(param_mode_affichage="mois",EOMONTH(R$3,0),R$3+6)),"◆",""))</f>
      </c>
      <c r="S36" s="26">
        <f>IF(OR($A36="",S$3=""),"",IF(AND($J36&lt;&gt;"",$K36&lt;&gt;"",$J36=$K36,$J36&gt;=S$3,$J36&lt;=IF(param_mode_affichage="mois",EOMONTH(S$3,0),S$3+6)),"◆",""))</f>
      </c>
      <c r="T36" s="26">
        <f>IF(OR($A36="",T$3=""),"",IF(AND($J36&lt;&gt;"",$K36&lt;&gt;"",$J36=$K36,$J36&gt;=T$3,$J36&lt;=IF(param_mode_affichage="mois",EOMONTH(T$3,0),T$3+6)),"◆",""))</f>
      </c>
      <c r="U36" s="26">
        <f>IF(OR($A36="",U$3=""),"",IF(AND($J36&lt;&gt;"",$K36&lt;&gt;"",$J36=$K36,$J36&gt;=U$3,$J36&lt;=IF(param_mode_affichage="mois",EOMONTH(U$3,0),U$3+6)),"◆",""))</f>
      </c>
      <c r="V36" s="26">
        <f>IF(OR($A36="",V$3=""),"",IF(AND($J36&lt;&gt;"",$K36&lt;&gt;"",$J36=$K36,$J36&gt;=V$3,$J36&lt;=IF(param_mode_affichage="mois",EOMONTH(V$3,0),V$3+6)),"◆",""))</f>
      </c>
      <c r="W36" s="26">
        <f>IF(OR($A36="",W$3=""),"",IF(AND($J36&lt;&gt;"",$K36&lt;&gt;"",$J36=$K36,$J36&gt;=W$3,$J36&lt;=IF(param_mode_affichage="mois",EOMONTH(W$3,0),W$3+6)),"◆",""))</f>
      </c>
      <c r="X36" s="26">
        <f>IF(OR($A36="",X$3=""),"",IF(AND($J36&lt;&gt;"",$K36&lt;&gt;"",$J36=$K36,$J36&gt;=X$3,$J36&lt;=IF(param_mode_affichage="mois",EOMONTH(X$3,0),X$3+6)),"◆",""))</f>
      </c>
      <c r="Y36" s="26">
        <f>IF(OR($A36="",Y$3=""),"",IF(AND($J36&lt;&gt;"",$K36&lt;&gt;"",$J36=$K36,$J36&gt;=Y$3,$J36&lt;=IF(param_mode_affichage="mois",EOMONTH(Y$3,0),Y$3+6)),"◆",""))</f>
      </c>
      <c r="Z36" s="26">
        <f>IF(OR($A36="",Z$3=""),"",IF(AND($J36&lt;&gt;"",$K36&lt;&gt;"",$J36=$K36,$J36&gt;=Z$3,$J36&lt;=IF(param_mode_affichage="mois",EOMONTH(Z$3,0),Z$3+6)),"◆",""))</f>
      </c>
      <c r="AA36" s="26">
        <f>IF(OR($A36="",AA$3=""),"",IF(AND($J36&lt;&gt;"",$K36&lt;&gt;"",$J36=$K36,$J36&gt;=AA$3,$J36&lt;=IF(param_mode_affichage="mois",EOMONTH(AA$3,0),AA$3+6)),"◆",""))</f>
      </c>
      <c r="AB36" s="26">
        <f>IF(OR($A36="",AB$3=""),"",IF(AND($J36&lt;&gt;"",$K36&lt;&gt;"",$J36=$K36,$J36&gt;=AB$3,$J36&lt;=IF(param_mode_affichage="mois",EOMONTH(AB$3,0),AB$3+6)),"◆",""))</f>
      </c>
      <c r="AC36" s="26">
        <f>IF(OR($A36="",AC$3=""),"",IF(AND($J36&lt;&gt;"",$K36&lt;&gt;"",$J36=$K36,$J36&gt;=AC$3,$J36&lt;=IF(param_mode_affichage="mois",EOMONTH(AC$3,0),AC$3+6)),"◆",""))</f>
      </c>
      <c r="AD36" s="26">
        <f>IF(OR($A36="",AD$3=""),"",IF(AND($J36&lt;&gt;"",$K36&lt;&gt;"",$J36=$K36,$J36&gt;=AD$3,$J36&lt;=IF(param_mode_affichage="mois",EOMONTH(AD$3,0),AD$3+6)),"◆",""))</f>
      </c>
      <c r="AE36" s="26">
        <f>IF(OR($A36="",AE$3=""),"",IF(AND($J36&lt;&gt;"",$K36&lt;&gt;"",$J36=$K36,$J36&gt;=AE$3,$J36&lt;=IF(param_mode_affichage="mois",EOMONTH(AE$3,0),AE$3+6)),"◆",""))</f>
      </c>
      <c r="AF36" s="26">
        <f>IF(OR($A36="",AF$3=""),"",IF(AND($J36&lt;&gt;"",$K36&lt;&gt;"",$J36=$K36,$J36&gt;=AF$3,$J36&lt;=IF(param_mode_affichage="mois",EOMONTH(AF$3,0),AF$3+6)),"◆",""))</f>
      </c>
      <c r="AG36" s="26">
        <f>IF(OR($A36="",AG$3=""),"",IF(AND($J36&lt;&gt;"",$K36&lt;&gt;"",$J36=$K36,$J36&gt;=AG$3,$J36&lt;=IF(param_mode_affichage="mois",EOMONTH(AG$3,0),AG$3+6)),"◆",""))</f>
      </c>
      <c r="AH36" s="26">
        <f>IF(OR($A36="",AH$3=""),"",IF(AND($J36&lt;&gt;"",$K36&lt;&gt;"",$J36=$K36,$J36&gt;=AH$3,$J36&lt;=IF(param_mode_affichage="mois",EOMONTH(AH$3,0),AH$3+6)),"◆",""))</f>
      </c>
      <c r="AI36" s="26">
        <f>IF(OR($A36="",AI$3=""),"",IF(AND($J36&lt;&gt;"",$K36&lt;&gt;"",$J36=$K36,$J36&gt;=AI$3,$J36&lt;=IF(param_mode_affichage="mois",EOMONTH(AI$3,0),AI$3+6)),"◆",""))</f>
      </c>
      <c r="AJ36" s="26">
        <f>IF(OR($A36="",AJ$3=""),"",IF(AND($J36&lt;&gt;"",$K36&lt;&gt;"",$J36=$K36,$J36&gt;=AJ$3,$J36&lt;=IF(param_mode_affichage="mois",EOMONTH(AJ$3,0),AJ$3+6)),"◆",""))</f>
      </c>
      <c r="AK36" s="26">
        <f>IF(OR($A36="",AK$3=""),"",IF(AND($J36&lt;&gt;"",$K36&lt;&gt;"",$J36=$K36,$J36&gt;=AK$3,$J36&lt;=IF(param_mode_affichage="mois",EOMONTH(AK$3,0),AK$3+6)),"◆",""))</f>
      </c>
      <c r="AL36" s="26">
        <f>IF(OR($A36="",AL$3=""),"",IF(AND($J36&lt;&gt;"",$K36&lt;&gt;"",$J36=$K36,$J36&gt;=AL$3,$J36&lt;=IF(param_mode_affichage="mois",EOMONTH(AL$3,0),AL$3+6)),"◆",""))</f>
      </c>
      <c r="AM36" s="26">
        <f>IF(OR($A36="",AM$3=""),"",IF(AND($J36&lt;&gt;"",$K36&lt;&gt;"",$J36=$K36,$J36&gt;=AM$3,$J36&lt;=IF(param_mode_affichage="mois",EOMONTH(AM$3,0),AM$3+6)),"◆",""))</f>
      </c>
      <c r="AN36" s="26">
        <f>IF(OR($A36="",AN$3=""),"",IF(AND($J36&lt;&gt;"",$K36&lt;&gt;"",$J36=$K36,$J36&gt;=AN$3,$J36&lt;=IF(param_mode_affichage="mois",EOMONTH(AN$3,0),AN$3+6)),"◆",""))</f>
      </c>
      <c r="AO36" s="26">
        <f>IF(OR($A36="",AO$3=""),"",IF(AND($J36&lt;&gt;"",$K36&lt;&gt;"",$J36=$K36,$J36&gt;=AO$3,$J36&lt;=IF(param_mode_affichage="mois",EOMONTH(AO$3,0),AO$3+6)),"◆",""))</f>
      </c>
      <c r="AP36" s="26">
        <f>IF(OR($A36="",AP$3=""),"",IF(AND($J36&lt;&gt;"",$K36&lt;&gt;"",$J36=$K36,$J36&gt;=AP$3,$J36&lt;=IF(param_mode_affichage="mois",EOMONTH(AP$3,0),AP$3+6)),"◆",""))</f>
      </c>
      <c r="AQ36" s="26">
        <f>IF(OR($A36="",AQ$3=""),"",IF(AND($J36&lt;&gt;"",$K36&lt;&gt;"",$J36=$K36,$J36&gt;=AQ$3,$J36&lt;=IF(param_mode_affichage="mois",EOMONTH(AQ$3,0),AQ$3+6)),"◆",""))</f>
      </c>
      <c r="AR36" s="26">
        <f>IF(OR($A36="",AR$3=""),"",IF(AND($J36&lt;&gt;"",$K36&lt;&gt;"",$J36=$K36,$J36&gt;=AR$3,$J36&lt;=IF(param_mode_affichage="mois",EOMONTH(AR$3,0),AR$3+6)),"◆",""))</f>
      </c>
      <c r="AS36" s="26">
        <f>IF(OR($A36="",AS$3=""),"",IF(AND($J36&lt;&gt;"",$K36&lt;&gt;"",$J36=$K36,$J36&gt;=AS$3,$J36&lt;=IF(param_mode_affichage="mois",EOMONTH(AS$3,0),AS$3+6)),"◆",""))</f>
      </c>
      <c r="AT36" s="26">
        <f>IF(OR($A36="",AT$3=""),"",IF(AND($J36&lt;&gt;"",$K36&lt;&gt;"",$J36=$K36,$J36&gt;=AT$3,$J36&lt;=IF(param_mode_affichage="mois",EOMONTH(AT$3,0),AT$3+6)),"◆",""))</f>
      </c>
      <c r="AU36" s="26">
        <f>IF(OR($A36="",AU$3=""),"",IF(AND($J36&lt;&gt;"",$K36&lt;&gt;"",$J36=$K36,$J36&gt;=AU$3,$J36&lt;=IF(param_mode_affichage="mois",EOMONTH(AU$3,0),AU$3+6)),"◆",""))</f>
      </c>
      <c r="AV36" s="26">
        <f>IF(OR($A36="",AV$3=""),"",IF(AND($J36&lt;&gt;"",$K36&lt;&gt;"",$J36=$K36,$J36&gt;=AV$3,$J36&lt;=IF(param_mode_affichage="mois",EOMONTH(AV$3,0),AV$3+6)),"◆",""))</f>
      </c>
      <c r="AW36" s="26">
        <f>IF(OR($A36="",AW$3=""),"",IF(AND($J36&lt;&gt;"",$K36&lt;&gt;"",$J36=$K36,$J36&gt;=AW$3,$J36&lt;=IF(param_mode_affichage="mois",EOMONTH(AW$3,0),AW$3+6)),"◆",""))</f>
      </c>
      <c r="AX36" s="26">
        <f>IF(OR($A36="",AX$3=""),"",IF(AND($J36&lt;&gt;"",$K36&lt;&gt;"",$J36=$K36,$J36&gt;=AX$3,$J36&lt;=IF(param_mode_affichage="mois",EOMONTH(AX$3,0),AX$3+6)),"◆",""))</f>
      </c>
      <c r="AY36" s="26">
        <f>IF(OR($A36="",AY$3=""),"",IF(AND($J36&lt;&gt;"",$K36&lt;&gt;"",$J36=$K36,$J36&gt;=AY$3,$J36&lt;=IF(param_mode_affichage="mois",EOMONTH(AY$3,0),AY$3+6)),"◆",""))</f>
      </c>
      <c r="AZ36" s="26">
        <f>IF(OR($A36="",AZ$3=""),"",IF(AND($J36&lt;&gt;"",$K36&lt;&gt;"",$J36=$K36,$J36&gt;=AZ$3,$J36&lt;=IF(param_mode_affichage="mois",EOMONTH(AZ$3,0),AZ$3+6)),"◆",""))</f>
      </c>
      <c r="BA36" s="26">
        <f>IF(OR($A36="",BA$3=""),"",IF(AND($J36&lt;&gt;"",$K36&lt;&gt;"",$J36=$K36,$J36&gt;=BA$3,$J36&lt;=IF(param_mode_affichage="mois",EOMONTH(BA$3,0),BA$3+6)),"◆",""))</f>
      </c>
      <c r="BB36" s="26">
        <f>IF(OR($A36="",BB$3=""),"",IF(AND($J36&lt;&gt;"",$K36&lt;&gt;"",$J36=$K36,$J36&gt;=BB$3,$J36&lt;=IF(param_mode_affichage="mois",EOMONTH(BB$3,0),BB$3+6)),"◆",""))</f>
      </c>
      <c r="BC36" s="26">
        <f>IF(OR($A36="",BC$3=""),"",IF(AND($J36&lt;&gt;"",$K36&lt;&gt;"",$J36=$K36,$J36&gt;=BC$3,$J36&lt;=IF(param_mode_affichage="mois",EOMONTH(BC$3,0),BC$3+6)),"◆",""))</f>
      </c>
      <c r="BD36" s="26">
        <f>IF(OR($A36="",BD$3=""),"",IF(AND($J36&lt;&gt;"",$K36&lt;&gt;"",$J36=$K36,$J36&gt;=BD$3,$J36&lt;=IF(param_mode_affichage="mois",EOMONTH(BD$3,0),BD$3+6)),"◆",""))</f>
      </c>
      <c r="BE36" s="26">
        <f>IF(OR($A36="",BE$3=""),"",IF(AND($J36&lt;&gt;"",$K36&lt;&gt;"",$J36=$K36,$J36&gt;=BE$3,$J36&lt;=IF(param_mode_affichage="mois",EOMONTH(BE$3,0),BE$3+6)),"◆",""))</f>
      </c>
      <c r="BF36" s="26">
        <f>IF(OR($A36="",BF$3=""),"",IF(AND($J36&lt;&gt;"",$K36&lt;&gt;"",$J36=$K36,$J36&gt;=BF$3,$J36&lt;=IF(param_mode_affichage="mois",EOMONTH(BF$3,0),BF$3+6)),"◆",""))</f>
      </c>
      <c r="BG36" s="26">
        <f>IF(OR($A36="",BG$3=""),"",IF(AND($J36&lt;&gt;"",$K36&lt;&gt;"",$J36=$K36,$J36&gt;=BG$3,$J36&lt;=IF(param_mode_affichage="mois",EOMONTH(BG$3,0),BG$3+6)),"◆",""))</f>
      </c>
      <c r="BH36" s="26">
        <f>IF(OR($A36="",BH$3=""),"",IF(AND($J36&lt;&gt;"",$K36&lt;&gt;"",$J36=$K36,$J36&gt;=BH$3,$J36&lt;=IF(param_mode_affichage="mois",EOMONTH(BH$3,0),BH$3+6)),"◆",""))</f>
      </c>
      <c r="BI36" s="26">
        <f>IF(OR($A36="",BI$3=""),"",IF(AND($J36&lt;&gt;"",$K36&lt;&gt;"",$J36=$K36,$J36&gt;=BI$3,$J36&lt;=IF(param_mode_affichage="mois",EOMONTH(BI$3,0),BI$3+6)),"◆",""))</f>
      </c>
      <c r="BJ36" s="26">
        <f>IF(OR($A36="",BJ$3=""),"",IF(AND($J36&lt;&gt;"",$K36&lt;&gt;"",$J36=$K36,$J36&gt;=BJ$3,$J36&lt;=IF(param_mode_affichage="mois",EOMONTH(BJ$3,0),BJ$3+6)),"◆",""))</f>
      </c>
      <c r="BK36" s="26">
        <f>IF(OR($A36="",BK$3=""),"",IF(AND($J36&lt;&gt;"",$K36&lt;&gt;"",$J36=$K36,$J36&gt;=BK$3,$J36&lt;=IF(param_mode_affichage="mois",EOMONTH(BK$3,0),BK$3+6)),"◆",""))</f>
      </c>
      <c r="BL36" s="26">
        <f>IF(OR($A36="",BL$3=""),"",IF(AND($J36&lt;&gt;"",$K36&lt;&gt;"",$J36=$K36,$J36&gt;=BL$3,$J36&lt;=IF(param_mode_affichage="mois",EOMONTH(BL$3,0),BL$3+6)),"◆",""))</f>
      </c>
    </row>
    <row r="37" spans="1:64" x14ac:dyDescent="0.25">
      <c r="A37" s="23">
        <f>IFERROR(INDEX(tblTasks[ID],ROW()-4),"")</f>
      </c>
      <c r="B37" s="24">
        <f>IF($A37="","",INDEX(tblTasks[Sujet],ROW()-4))</f>
      </c>
      <c r="C37" s="23">
        <f>IF($A37="","",INDEX(tblTasks[Responsable],ROW()-4))</f>
      </c>
      <c r="D37" s="23">
        <f>IF($A37="","",INDEX(tblTasks[Statut],ROW()-4))</f>
      </c>
      <c r="E37" s="23">
        <f>IF($A37="","",INDEX(tblTasks[Depend_de],ROW()-4))</f>
      </c>
      <c r="F37" s="23">
        <f>IF($A37="","",INDEX(tblTasks[Blocage],ROW()-4))</f>
      </c>
      <c r="G37" s="23">
        <f>IF($A37="","",INDEX(tblTasks[Niveau_criticite],ROW()-4))</f>
      </c>
      <c r="H37" s="23">
        <f>IF($A37="","",INDEX(tblTasks[Goulot],ROW()-4))</f>
      </c>
      <c r="I37" s="23">
        <f>IF($A37="","",IF(LOWER($F37)="oui","non",IF($E37="","oui",IFERROR(IF(LOWER(INDEX(tblTasks[Statut],MATCH($E37,tblTasks[ID],0)))="clos","oui","non"),"non"))))</f>
      </c>
      <c r="J37" s="25">
        <f>IF($A37="","",INDEX(tblTasks[Date_debut_prevue],ROW()-4))</f>
      </c>
      <c r="K37" s="25">
        <f>IF($A37="","",INDEX(tblTasks[Date_fin_prevue],ROW()-4))</f>
      </c>
      <c r="L37" s="23">
        <f>IF($A37="","",INDEX(tblTasks[Irreversibilite],ROW()-4))</f>
      </c>
      <c r="M37" s="26">
        <f>IF(OR($A37="",M$3=""),"",IF(AND($J37&lt;&gt;"",$K37&lt;&gt;"",$J37=$K37,$J37&gt;=M$3,$J37&lt;=IF(param_mode_affichage="mois",EOMONTH(M$3,0),M$3+6)),"◆",""))</f>
      </c>
      <c r="N37" s="26">
        <f>IF(OR($A37="",N$3=""),"",IF(AND($J37&lt;&gt;"",$K37&lt;&gt;"",$J37=$K37,$J37&gt;=N$3,$J37&lt;=IF(param_mode_affichage="mois",EOMONTH(N$3,0),N$3+6)),"◆",""))</f>
      </c>
      <c r="O37" s="26">
        <f>IF(OR($A37="",O$3=""),"",IF(AND($J37&lt;&gt;"",$K37&lt;&gt;"",$J37=$K37,$J37&gt;=O$3,$J37&lt;=IF(param_mode_affichage="mois",EOMONTH(O$3,0),O$3+6)),"◆",""))</f>
      </c>
      <c r="P37" s="26">
        <f>IF(OR($A37="",P$3=""),"",IF(AND($J37&lt;&gt;"",$K37&lt;&gt;"",$J37=$K37,$J37&gt;=P$3,$J37&lt;=IF(param_mode_affichage="mois",EOMONTH(P$3,0),P$3+6)),"◆",""))</f>
      </c>
      <c r="Q37" s="26">
        <f>IF(OR($A37="",Q$3=""),"",IF(AND($J37&lt;&gt;"",$K37&lt;&gt;"",$J37=$K37,$J37&gt;=Q$3,$J37&lt;=IF(param_mode_affichage="mois",EOMONTH(Q$3,0),Q$3+6)),"◆",""))</f>
      </c>
      <c r="R37" s="26">
        <f>IF(OR($A37="",R$3=""),"",IF(AND($J37&lt;&gt;"",$K37&lt;&gt;"",$J37=$K37,$J37&gt;=R$3,$J37&lt;=IF(param_mode_affichage="mois",EOMONTH(R$3,0),R$3+6)),"◆",""))</f>
      </c>
      <c r="S37" s="26">
        <f>IF(OR($A37="",S$3=""),"",IF(AND($J37&lt;&gt;"",$K37&lt;&gt;"",$J37=$K37,$J37&gt;=S$3,$J37&lt;=IF(param_mode_affichage="mois",EOMONTH(S$3,0),S$3+6)),"◆",""))</f>
      </c>
      <c r="T37" s="26">
        <f>IF(OR($A37="",T$3=""),"",IF(AND($J37&lt;&gt;"",$K37&lt;&gt;"",$J37=$K37,$J37&gt;=T$3,$J37&lt;=IF(param_mode_affichage="mois",EOMONTH(T$3,0),T$3+6)),"◆",""))</f>
      </c>
      <c r="U37" s="26">
        <f>IF(OR($A37="",U$3=""),"",IF(AND($J37&lt;&gt;"",$K37&lt;&gt;"",$J37=$K37,$J37&gt;=U$3,$J37&lt;=IF(param_mode_affichage="mois",EOMONTH(U$3,0),U$3+6)),"◆",""))</f>
      </c>
      <c r="V37" s="26">
        <f>IF(OR($A37="",V$3=""),"",IF(AND($J37&lt;&gt;"",$K37&lt;&gt;"",$J37=$K37,$J37&gt;=V$3,$J37&lt;=IF(param_mode_affichage="mois",EOMONTH(V$3,0),V$3+6)),"◆",""))</f>
      </c>
      <c r="W37" s="26">
        <f>IF(OR($A37="",W$3=""),"",IF(AND($J37&lt;&gt;"",$K37&lt;&gt;"",$J37=$K37,$J37&gt;=W$3,$J37&lt;=IF(param_mode_affichage="mois",EOMONTH(W$3,0),W$3+6)),"◆",""))</f>
      </c>
      <c r="X37" s="26">
        <f>IF(OR($A37="",X$3=""),"",IF(AND($J37&lt;&gt;"",$K37&lt;&gt;"",$J37=$K37,$J37&gt;=X$3,$J37&lt;=IF(param_mode_affichage="mois",EOMONTH(X$3,0),X$3+6)),"◆",""))</f>
      </c>
      <c r="Y37" s="26">
        <f>IF(OR($A37="",Y$3=""),"",IF(AND($J37&lt;&gt;"",$K37&lt;&gt;"",$J37=$K37,$J37&gt;=Y$3,$J37&lt;=IF(param_mode_affichage="mois",EOMONTH(Y$3,0),Y$3+6)),"◆",""))</f>
      </c>
      <c r="Z37" s="26">
        <f>IF(OR($A37="",Z$3=""),"",IF(AND($J37&lt;&gt;"",$K37&lt;&gt;"",$J37=$K37,$J37&gt;=Z$3,$J37&lt;=IF(param_mode_affichage="mois",EOMONTH(Z$3,0),Z$3+6)),"◆",""))</f>
      </c>
      <c r="AA37" s="26">
        <f>IF(OR($A37="",AA$3=""),"",IF(AND($J37&lt;&gt;"",$K37&lt;&gt;"",$J37=$K37,$J37&gt;=AA$3,$J37&lt;=IF(param_mode_affichage="mois",EOMONTH(AA$3,0),AA$3+6)),"◆",""))</f>
      </c>
      <c r="AB37" s="26">
        <f>IF(OR($A37="",AB$3=""),"",IF(AND($J37&lt;&gt;"",$K37&lt;&gt;"",$J37=$K37,$J37&gt;=AB$3,$J37&lt;=IF(param_mode_affichage="mois",EOMONTH(AB$3,0),AB$3+6)),"◆",""))</f>
      </c>
      <c r="AC37" s="26">
        <f>IF(OR($A37="",AC$3=""),"",IF(AND($J37&lt;&gt;"",$K37&lt;&gt;"",$J37=$K37,$J37&gt;=AC$3,$J37&lt;=IF(param_mode_affichage="mois",EOMONTH(AC$3,0),AC$3+6)),"◆",""))</f>
      </c>
      <c r="AD37" s="26">
        <f>IF(OR($A37="",AD$3=""),"",IF(AND($J37&lt;&gt;"",$K37&lt;&gt;"",$J37=$K37,$J37&gt;=AD$3,$J37&lt;=IF(param_mode_affichage="mois",EOMONTH(AD$3,0),AD$3+6)),"◆",""))</f>
      </c>
      <c r="AE37" s="26">
        <f>IF(OR($A37="",AE$3=""),"",IF(AND($J37&lt;&gt;"",$K37&lt;&gt;"",$J37=$K37,$J37&gt;=AE$3,$J37&lt;=IF(param_mode_affichage="mois",EOMONTH(AE$3,0),AE$3+6)),"◆",""))</f>
      </c>
      <c r="AF37" s="26">
        <f>IF(OR($A37="",AF$3=""),"",IF(AND($J37&lt;&gt;"",$K37&lt;&gt;"",$J37=$K37,$J37&gt;=AF$3,$J37&lt;=IF(param_mode_affichage="mois",EOMONTH(AF$3,0),AF$3+6)),"◆",""))</f>
      </c>
      <c r="AG37" s="26">
        <f>IF(OR($A37="",AG$3=""),"",IF(AND($J37&lt;&gt;"",$K37&lt;&gt;"",$J37=$K37,$J37&gt;=AG$3,$J37&lt;=IF(param_mode_affichage="mois",EOMONTH(AG$3,0),AG$3+6)),"◆",""))</f>
      </c>
      <c r="AH37" s="26">
        <f>IF(OR($A37="",AH$3=""),"",IF(AND($J37&lt;&gt;"",$K37&lt;&gt;"",$J37=$K37,$J37&gt;=AH$3,$J37&lt;=IF(param_mode_affichage="mois",EOMONTH(AH$3,0),AH$3+6)),"◆",""))</f>
      </c>
      <c r="AI37" s="26">
        <f>IF(OR($A37="",AI$3=""),"",IF(AND($J37&lt;&gt;"",$K37&lt;&gt;"",$J37=$K37,$J37&gt;=AI$3,$J37&lt;=IF(param_mode_affichage="mois",EOMONTH(AI$3,0),AI$3+6)),"◆",""))</f>
      </c>
      <c r="AJ37" s="26">
        <f>IF(OR($A37="",AJ$3=""),"",IF(AND($J37&lt;&gt;"",$K37&lt;&gt;"",$J37=$K37,$J37&gt;=AJ$3,$J37&lt;=IF(param_mode_affichage="mois",EOMONTH(AJ$3,0),AJ$3+6)),"◆",""))</f>
      </c>
      <c r="AK37" s="26">
        <f>IF(OR($A37="",AK$3=""),"",IF(AND($J37&lt;&gt;"",$K37&lt;&gt;"",$J37=$K37,$J37&gt;=AK$3,$J37&lt;=IF(param_mode_affichage="mois",EOMONTH(AK$3,0),AK$3+6)),"◆",""))</f>
      </c>
      <c r="AL37" s="26">
        <f>IF(OR($A37="",AL$3=""),"",IF(AND($J37&lt;&gt;"",$K37&lt;&gt;"",$J37=$K37,$J37&gt;=AL$3,$J37&lt;=IF(param_mode_affichage="mois",EOMONTH(AL$3,0),AL$3+6)),"◆",""))</f>
      </c>
      <c r="AM37" s="26">
        <f>IF(OR($A37="",AM$3=""),"",IF(AND($J37&lt;&gt;"",$K37&lt;&gt;"",$J37=$K37,$J37&gt;=AM$3,$J37&lt;=IF(param_mode_affichage="mois",EOMONTH(AM$3,0),AM$3+6)),"◆",""))</f>
      </c>
      <c r="AN37" s="26">
        <f>IF(OR($A37="",AN$3=""),"",IF(AND($J37&lt;&gt;"",$K37&lt;&gt;"",$J37=$K37,$J37&gt;=AN$3,$J37&lt;=IF(param_mode_affichage="mois",EOMONTH(AN$3,0),AN$3+6)),"◆",""))</f>
      </c>
      <c r="AO37" s="26">
        <f>IF(OR($A37="",AO$3=""),"",IF(AND($J37&lt;&gt;"",$K37&lt;&gt;"",$J37=$K37,$J37&gt;=AO$3,$J37&lt;=IF(param_mode_affichage="mois",EOMONTH(AO$3,0),AO$3+6)),"◆",""))</f>
      </c>
      <c r="AP37" s="26">
        <f>IF(OR($A37="",AP$3=""),"",IF(AND($J37&lt;&gt;"",$K37&lt;&gt;"",$J37=$K37,$J37&gt;=AP$3,$J37&lt;=IF(param_mode_affichage="mois",EOMONTH(AP$3,0),AP$3+6)),"◆",""))</f>
      </c>
      <c r="AQ37" s="26">
        <f>IF(OR($A37="",AQ$3=""),"",IF(AND($J37&lt;&gt;"",$K37&lt;&gt;"",$J37=$K37,$J37&gt;=AQ$3,$J37&lt;=IF(param_mode_affichage="mois",EOMONTH(AQ$3,0),AQ$3+6)),"◆",""))</f>
      </c>
      <c r="AR37" s="26">
        <f>IF(OR($A37="",AR$3=""),"",IF(AND($J37&lt;&gt;"",$K37&lt;&gt;"",$J37=$K37,$J37&gt;=AR$3,$J37&lt;=IF(param_mode_affichage="mois",EOMONTH(AR$3,0),AR$3+6)),"◆",""))</f>
      </c>
      <c r="AS37" s="26">
        <f>IF(OR($A37="",AS$3=""),"",IF(AND($J37&lt;&gt;"",$K37&lt;&gt;"",$J37=$K37,$J37&gt;=AS$3,$J37&lt;=IF(param_mode_affichage="mois",EOMONTH(AS$3,0),AS$3+6)),"◆",""))</f>
      </c>
      <c r="AT37" s="26">
        <f>IF(OR($A37="",AT$3=""),"",IF(AND($J37&lt;&gt;"",$K37&lt;&gt;"",$J37=$K37,$J37&gt;=AT$3,$J37&lt;=IF(param_mode_affichage="mois",EOMONTH(AT$3,0),AT$3+6)),"◆",""))</f>
      </c>
      <c r="AU37" s="26">
        <f>IF(OR($A37="",AU$3=""),"",IF(AND($J37&lt;&gt;"",$K37&lt;&gt;"",$J37=$K37,$J37&gt;=AU$3,$J37&lt;=IF(param_mode_affichage="mois",EOMONTH(AU$3,0),AU$3+6)),"◆",""))</f>
      </c>
      <c r="AV37" s="26">
        <f>IF(OR($A37="",AV$3=""),"",IF(AND($J37&lt;&gt;"",$K37&lt;&gt;"",$J37=$K37,$J37&gt;=AV$3,$J37&lt;=IF(param_mode_affichage="mois",EOMONTH(AV$3,0),AV$3+6)),"◆",""))</f>
      </c>
      <c r="AW37" s="26">
        <f>IF(OR($A37="",AW$3=""),"",IF(AND($J37&lt;&gt;"",$K37&lt;&gt;"",$J37=$K37,$J37&gt;=AW$3,$J37&lt;=IF(param_mode_affichage="mois",EOMONTH(AW$3,0),AW$3+6)),"◆",""))</f>
      </c>
      <c r="AX37" s="26">
        <f>IF(OR($A37="",AX$3=""),"",IF(AND($J37&lt;&gt;"",$K37&lt;&gt;"",$J37=$K37,$J37&gt;=AX$3,$J37&lt;=IF(param_mode_affichage="mois",EOMONTH(AX$3,0),AX$3+6)),"◆",""))</f>
      </c>
      <c r="AY37" s="26">
        <f>IF(OR($A37="",AY$3=""),"",IF(AND($J37&lt;&gt;"",$K37&lt;&gt;"",$J37=$K37,$J37&gt;=AY$3,$J37&lt;=IF(param_mode_affichage="mois",EOMONTH(AY$3,0),AY$3+6)),"◆",""))</f>
      </c>
      <c r="AZ37" s="26">
        <f>IF(OR($A37="",AZ$3=""),"",IF(AND($J37&lt;&gt;"",$K37&lt;&gt;"",$J37=$K37,$J37&gt;=AZ$3,$J37&lt;=IF(param_mode_affichage="mois",EOMONTH(AZ$3,0),AZ$3+6)),"◆",""))</f>
      </c>
      <c r="BA37" s="26">
        <f>IF(OR($A37="",BA$3=""),"",IF(AND($J37&lt;&gt;"",$K37&lt;&gt;"",$J37=$K37,$J37&gt;=BA$3,$J37&lt;=IF(param_mode_affichage="mois",EOMONTH(BA$3,0),BA$3+6)),"◆",""))</f>
      </c>
      <c r="BB37" s="26">
        <f>IF(OR($A37="",BB$3=""),"",IF(AND($J37&lt;&gt;"",$K37&lt;&gt;"",$J37=$K37,$J37&gt;=BB$3,$J37&lt;=IF(param_mode_affichage="mois",EOMONTH(BB$3,0),BB$3+6)),"◆",""))</f>
      </c>
      <c r="BC37" s="26">
        <f>IF(OR($A37="",BC$3=""),"",IF(AND($J37&lt;&gt;"",$K37&lt;&gt;"",$J37=$K37,$J37&gt;=BC$3,$J37&lt;=IF(param_mode_affichage="mois",EOMONTH(BC$3,0),BC$3+6)),"◆",""))</f>
      </c>
      <c r="BD37" s="26">
        <f>IF(OR($A37="",BD$3=""),"",IF(AND($J37&lt;&gt;"",$K37&lt;&gt;"",$J37=$K37,$J37&gt;=BD$3,$J37&lt;=IF(param_mode_affichage="mois",EOMONTH(BD$3,0),BD$3+6)),"◆",""))</f>
      </c>
      <c r="BE37" s="26">
        <f>IF(OR($A37="",BE$3=""),"",IF(AND($J37&lt;&gt;"",$K37&lt;&gt;"",$J37=$K37,$J37&gt;=BE$3,$J37&lt;=IF(param_mode_affichage="mois",EOMONTH(BE$3,0),BE$3+6)),"◆",""))</f>
      </c>
      <c r="BF37" s="26">
        <f>IF(OR($A37="",BF$3=""),"",IF(AND($J37&lt;&gt;"",$K37&lt;&gt;"",$J37=$K37,$J37&gt;=BF$3,$J37&lt;=IF(param_mode_affichage="mois",EOMONTH(BF$3,0),BF$3+6)),"◆",""))</f>
      </c>
      <c r="BG37" s="26">
        <f>IF(OR($A37="",BG$3=""),"",IF(AND($J37&lt;&gt;"",$K37&lt;&gt;"",$J37=$K37,$J37&gt;=BG$3,$J37&lt;=IF(param_mode_affichage="mois",EOMONTH(BG$3,0),BG$3+6)),"◆",""))</f>
      </c>
      <c r="BH37" s="26">
        <f>IF(OR($A37="",BH$3=""),"",IF(AND($J37&lt;&gt;"",$K37&lt;&gt;"",$J37=$K37,$J37&gt;=BH$3,$J37&lt;=IF(param_mode_affichage="mois",EOMONTH(BH$3,0),BH$3+6)),"◆",""))</f>
      </c>
      <c r="BI37" s="26">
        <f>IF(OR($A37="",BI$3=""),"",IF(AND($J37&lt;&gt;"",$K37&lt;&gt;"",$J37=$K37,$J37&gt;=BI$3,$J37&lt;=IF(param_mode_affichage="mois",EOMONTH(BI$3,0),BI$3+6)),"◆",""))</f>
      </c>
      <c r="BJ37" s="26">
        <f>IF(OR($A37="",BJ$3=""),"",IF(AND($J37&lt;&gt;"",$K37&lt;&gt;"",$J37=$K37,$J37&gt;=BJ$3,$J37&lt;=IF(param_mode_affichage="mois",EOMONTH(BJ$3,0),BJ$3+6)),"◆",""))</f>
      </c>
      <c r="BK37" s="26">
        <f>IF(OR($A37="",BK$3=""),"",IF(AND($J37&lt;&gt;"",$K37&lt;&gt;"",$J37=$K37,$J37&gt;=BK$3,$J37&lt;=IF(param_mode_affichage="mois",EOMONTH(BK$3,0),BK$3+6)),"◆",""))</f>
      </c>
      <c r="BL37" s="26">
        <f>IF(OR($A37="",BL$3=""),"",IF(AND($J37&lt;&gt;"",$K37&lt;&gt;"",$J37=$K37,$J37&gt;=BL$3,$J37&lt;=IF(param_mode_affichage="mois",EOMONTH(BL$3,0),BL$3+6)),"◆",""))</f>
      </c>
    </row>
    <row r="38" spans="1:64" x14ac:dyDescent="0.25">
      <c r="A38" s="23">
        <f>IFERROR(INDEX(tblTasks[ID],ROW()-4),"")</f>
      </c>
      <c r="B38" s="24">
        <f>IF($A38="","",INDEX(tblTasks[Sujet],ROW()-4))</f>
      </c>
      <c r="C38" s="23">
        <f>IF($A38="","",INDEX(tblTasks[Responsable],ROW()-4))</f>
      </c>
      <c r="D38" s="23">
        <f>IF($A38="","",INDEX(tblTasks[Statut],ROW()-4))</f>
      </c>
      <c r="E38" s="23">
        <f>IF($A38="","",INDEX(tblTasks[Depend_de],ROW()-4))</f>
      </c>
      <c r="F38" s="23">
        <f>IF($A38="","",INDEX(tblTasks[Blocage],ROW()-4))</f>
      </c>
      <c r="G38" s="23">
        <f>IF($A38="","",INDEX(tblTasks[Niveau_criticite],ROW()-4))</f>
      </c>
      <c r="H38" s="23">
        <f>IF($A38="","",INDEX(tblTasks[Goulot],ROW()-4))</f>
      </c>
      <c r="I38" s="23">
        <f>IF($A38="","",IF(LOWER($F38)="oui","non",IF($E38="","oui",IFERROR(IF(LOWER(INDEX(tblTasks[Statut],MATCH($E38,tblTasks[ID],0)))="clos","oui","non"),"non"))))</f>
      </c>
      <c r="J38" s="25">
        <f>IF($A38="","",INDEX(tblTasks[Date_debut_prevue],ROW()-4))</f>
      </c>
      <c r="K38" s="25">
        <f>IF($A38="","",INDEX(tblTasks[Date_fin_prevue],ROW()-4))</f>
      </c>
      <c r="L38" s="23">
        <f>IF($A38="","",INDEX(tblTasks[Irreversibilite],ROW()-4))</f>
      </c>
      <c r="M38" s="26">
        <f>IF(OR($A38="",M$3=""),"",IF(AND($J38&lt;&gt;"",$K38&lt;&gt;"",$J38=$K38,$J38&gt;=M$3,$J38&lt;=IF(param_mode_affichage="mois",EOMONTH(M$3,0),M$3+6)),"◆",""))</f>
      </c>
      <c r="N38" s="26">
        <f>IF(OR($A38="",N$3=""),"",IF(AND($J38&lt;&gt;"",$K38&lt;&gt;"",$J38=$K38,$J38&gt;=N$3,$J38&lt;=IF(param_mode_affichage="mois",EOMONTH(N$3,0),N$3+6)),"◆",""))</f>
      </c>
      <c r="O38" s="26">
        <f>IF(OR($A38="",O$3=""),"",IF(AND($J38&lt;&gt;"",$K38&lt;&gt;"",$J38=$K38,$J38&gt;=O$3,$J38&lt;=IF(param_mode_affichage="mois",EOMONTH(O$3,0),O$3+6)),"◆",""))</f>
      </c>
      <c r="P38" s="26">
        <f>IF(OR($A38="",P$3=""),"",IF(AND($J38&lt;&gt;"",$K38&lt;&gt;"",$J38=$K38,$J38&gt;=P$3,$J38&lt;=IF(param_mode_affichage="mois",EOMONTH(P$3,0),P$3+6)),"◆",""))</f>
      </c>
      <c r="Q38" s="26">
        <f>IF(OR($A38="",Q$3=""),"",IF(AND($J38&lt;&gt;"",$K38&lt;&gt;"",$J38=$K38,$J38&gt;=Q$3,$J38&lt;=IF(param_mode_affichage="mois",EOMONTH(Q$3,0),Q$3+6)),"◆",""))</f>
      </c>
      <c r="R38" s="26">
        <f>IF(OR($A38="",R$3=""),"",IF(AND($J38&lt;&gt;"",$K38&lt;&gt;"",$J38=$K38,$J38&gt;=R$3,$J38&lt;=IF(param_mode_affichage="mois",EOMONTH(R$3,0),R$3+6)),"◆",""))</f>
      </c>
      <c r="S38" s="26">
        <f>IF(OR($A38="",S$3=""),"",IF(AND($J38&lt;&gt;"",$K38&lt;&gt;"",$J38=$K38,$J38&gt;=S$3,$J38&lt;=IF(param_mode_affichage="mois",EOMONTH(S$3,0),S$3+6)),"◆",""))</f>
      </c>
      <c r="T38" s="26">
        <f>IF(OR($A38="",T$3=""),"",IF(AND($J38&lt;&gt;"",$K38&lt;&gt;"",$J38=$K38,$J38&gt;=T$3,$J38&lt;=IF(param_mode_affichage="mois",EOMONTH(T$3,0),T$3+6)),"◆",""))</f>
      </c>
      <c r="U38" s="26">
        <f>IF(OR($A38="",U$3=""),"",IF(AND($J38&lt;&gt;"",$K38&lt;&gt;"",$J38=$K38,$J38&gt;=U$3,$J38&lt;=IF(param_mode_affichage="mois",EOMONTH(U$3,0),U$3+6)),"◆",""))</f>
      </c>
      <c r="V38" s="26">
        <f>IF(OR($A38="",V$3=""),"",IF(AND($J38&lt;&gt;"",$K38&lt;&gt;"",$J38=$K38,$J38&gt;=V$3,$J38&lt;=IF(param_mode_affichage="mois",EOMONTH(V$3,0),V$3+6)),"◆",""))</f>
      </c>
      <c r="W38" s="26">
        <f>IF(OR($A38="",W$3=""),"",IF(AND($J38&lt;&gt;"",$K38&lt;&gt;"",$J38=$K38,$J38&gt;=W$3,$J38&lt;=IF(param_mode_affichage="mois",EOMONTH(W$3,0),W$3+6)),"◆",""))</f>
      </c>
      <c r="X38" s="26">
        <f>IF(OR($A38="",X$3=""),"",IF(AND($J38&lt;&gt;"",$K38&lt;&gt;"",$J38=$K38,$J38&gt;=X$3,$J38&lt;=IF(param_mode_affichage="mois",EOMONTH(X$3,0),X$3+6)),"◆",""))</f>
      </c>
      <c r="Y38" s="26">
        <f>IF(OR($A38="",Y$3=""),"",IF(AND($J38&lt;&gt;"",$K38&lt;&gt;"",$J38=$K38,$J38&gt;=Y$3,$J38&lt;=IF(param_mode_affichage="mois",EOMONTH(Y$3,0),Y$3+6)),"◆",""))</f>
      </c>
      <c r="Z38" s="26">
        <f>IF(OR($A38="",Z$3=""),"",IF(AND($J38&lt;&gt;"",$K38&lt;&gt;"",$J38=$K38,$J38&gt;=Z$3,$J38&lt;=IF(param_mode_affichage="mois",EOMONTH(Z$3,0),Z$3+6)),"◆",""))</f>
      </c>
      <c r="AA38" s="26">
        <f>IF(OR($A38="",AA$3=""),"",IF(AND($J38&lt;&gt;"",$K38&lt;&gt;"",$J38=$K38,$J38&gt;=AA$3,$J38&lt;=IF(param_mode_affichage="mois",EOMONTH(AA$3,0),AA$3+6)),"◆",""))</f>
      </c>
      <c r="AB38" s="26">
        <f>IF(OR($A38="",AB$3=""),"",IF(AND($J38&lt;&gt;"",$K38&lt;&gt;"",$J38=$K38,$J38&gt;=AB$3,$J38&lt;=IF(param_mode_affichage="mois",EOMONTH(AB$3,0),AB$3+6)),"◆",""))</f>
      </c>
      <c r="AC38" s="26">
        <f>IF(OR($A38="",AC$3=""),"",IF(AND($J38&lt;&gt;"",$K38&lt;&gt;"",$J38=$K38,$J38&gt;=AC$3,$J38&lt;=IF(param_mode_affichage="mois",EOMONTH(AC$3,0),AC$3+6)),"◆",""))</f>
      </c>
      <c r="AD38" s="26">
        <f>IF(OR($A38="",AD$3=""),"",IF(AND($J38&lt;&gt;"",$K38&lt;&gt;"",$J38=$K38,$J38&gt;=AD$3,$J38&lt;=IF(param_mode_affichage="mois",EOMONTH(AD$3,0),AD$3+6)),"◆",""))</f>
      </c>
      <c r="AE38" s="26">
        <f>IF(OR($A38="",AE$3=""),"",IF(AND($J38&lt;&gt;"",$K38&lt;&gt;"",$J38=$K38,$J38&gt;=AE$3,$J38&lt;=IF(param_mode_affichage="mois",EOMONTH(AE$3,0),AE$3+6)),"◆",""))</f>
      </c>
      <c r="AF38" s="26">
        <f>IF(OR($A38="",AF$3=""),"",IF(AND($J38&lt;&gt;"",$K38&lt;&gt;"",$J38=$K38,$J38&gt;=AF$3,$J38&lt;=IF(param_mode_affichage="mois",EOMONTH(AF$3,0),AF$3+6)),"◆",""))</f>
      </c>
      <c r="AG38" s="26">
        <f>IF(OR($A38="",AG$3=""),"",IF(AND($J38&lt;&gt;"",$K38&lt;&gt;"",$J38=$K38,$J38&gt;=AG$3,$J38&lt;=IF(param_mode_affichage="mois",EOMONTH(AG$3,0),AG$3+6)),"◆",""))</f>
      </c>
      <c r="AH38" s="26">
        <f>IF(OR($A38="",AH$3=""),"",IF(AND($J38&lt;&gt;"",$K38&lt;&gt;"",$J38=$K38,$J38&gt;=AH$3,$J38&lt;=IF(param_mode_affichage="mois",EOMONTH(AH$3,0),AH$3+6)),"◆",""))</f>
      </c>
      <c r="AI38" s="26">
        <f>IF(OR($A38="",AI$3=""),"",IF(AND($J38&lt;&gt;"",$K38&lt;&gt;"",$J38=$K38,$J38&gt;=AI$3,$J38&lt;=IF(param_mode_affichage="mois",EOMONTH(AI$3,0),AI$3+6)),"◆",""))</f>
      </c>
      <c r="AJ38" s="26">
        <f>IF(OR($A38="",AJ$3=""),"",IF(AND($J38&lt;&gt;"",$K38&lt;&gt;"",$J38=$K38,$J38&gt;=AJ$3,$J38&lt;=IF(param_mode_affichage="mois",EOMONTH(AJ$3,0),AJ$3+6)),"◆",""))</f>
      </c>
      <c r="AK38" s="26">
        <f>IF(OR($A38="",AK$3=""),"",IF(AND($J38&lt;&gt;"",$K38&lt;&gt;"",$J38=$K38,$J38&gt;=AK$3,$J38&lt;=IF(param_mode_affichage="mois",EOMONTH(AK$3,0),AK$3+6)),"◆",""))</f>
      </c>
      <c r="AL38" s="26">
        <f>IF(OR($A38="",AL$3=""),"",IF(AND($J38&lt;&gt;"",$K38&lt;&gt;"",$J38=$K38,$J38&gt;=AL$3,$J38&lt;=IF(param_mode_affichage="mois",EOMONTH(AL$3,0),AL$3+6)),"◆",""))</f>
      </c>
      <c r="AM38" s="26">
        <f>IF(OR($A38="",AM$3=""),"",IF(AND($J38&lt;&gt;"",$K38&lt;&gt;"",$J38=$K38,$J38&gt;=AM$3,$J38&lt;=IF(param_mode_affichage="mois",EOMONTH(AM$3,0),AM$3+6)),"◆",""))</f>
      </c>
      <c r="AN38" s="26">
        <f>IF(OR($A38="",AN$3=""),"",IF(AND($J38&lt;&gt;"",$K38&lt;&gt;"",$J38=$K38,$J38&gt;=AN$3,$J38&lt;=IF(param_mode_affichage="mois",EOMONTH(AN$3,0),AN$3+6)),"◆",""))</f>
      </c>
      <c r="AO38" s="26">
        <f>IF(OR($A38="",AO$3=""),"",IF(AND($J38&lt;&gt;"",$K38&lt;&gt;"",$J38=$K38,$J38&gt;=AO$3,$J38&lt;=IF(param_mode_affichage="mois",EOMONTH(AO$3,0),AO$3+6)),"◆",""))</f>
      </c>
      <c r="AP38" s="26">
        <f>IF(OR($A38="",AP$3=""),"",IF(AND($J38&lt;&gt;"",$K38&lt;&gt;"",$J38=$K38,$J38&gt;=AP$3,$J38&lt;=IF(param_mode_affichage="mois",EOMONTH(AP$3,0),AP$3+6)),"◆",""))</f>
      </c>
      <c r="AQ38" s="26">
        <f>IF(OR($A38="",AQ$3=""),"",IF(AND($J38&lt;&gt;"",$K38&lt;&gt;"",$J38=$K38,$J38&gt;=AQ$3,$J38&lt;=IF(param_mode_affichage="mois",EOMONTH(AQ$3,0),AQ$3+6)),"◆",""))</f>
      </c>
      <c r="AR38" s="26">
        <f>IF(OR($A38="",AR$3=""),"",IF(AND($J38&lt;&gt;"",$K38&lt;&gt;"",$J38=$K38,$J38&gt;=AR$3,$J38&lt;=IF(param_mode_affichage="mois",EOMONTH(AR$3,0),AR$3+6)),"◆",""))</f>
      </c>
      <c r="AS38" s="26">
        <f>IF(OR($A38="",AS$3=""),"",IF(AND($J38&lt;&gt;"",$K38&lt;&gt;"",$J38=$K38,$J38&gt;=AS$3,$J38&lt;=IF(param_mode_affichage="mois",EOMONTH(AS$3,0),AS$3+6)),"◆",""))</f>
      </c>
      <c r="AT38" s="26">
        <f>IF(OR($A38="",AT$3=""),"",IF(AND($J38&lt;&gt;"",$K38&lt;&gt;"",$J38=$K38,$J38&gt;=AT$3,$J38&lt;=IF(param_mode_affichage="mois",EOMONTH(AT$3,0),AT$3+6)),"◆",""))</f>
      </c>
      <c r="AU38" s="26">
        <f>IF(OR($A38="",AU$3=""),"",IF(AND($J38&lt;&gt;"",$K38&lt;&gt;"",$J38=$K38,$J38&gt;=AU$3,$J38&lt;=IF(param_mode_affichage="mois",EOMONTH(AU$3,0),AU$3+6)),"◆",""))</f>
      </c>
      <c r="AV38" s="26">
        <f>IF(OR($A38="",AV$3=""),"",IF(AND($J38&lt;&gt;"",$K38&lt;&gt;"",$J38=$K38,$J38&gt;=AV$3,$J38&lt;=IF(param_mode_affichage="mois",EOMONTH(AV$3,0),AV$3+6)),"◆",""))</f>
      </c>
      <c r="AW38" s="26">
        <f>IF(OR($A38="",AW$3=""),"",IF(AND($J38&lt;&gt;"",$K38&lt;&gt;"",$J38=$K38,$J38&gt;=AW$3,$J38&lt;=IF(param_mode_affichage="mois",EOMONTH(AW$3,0),AW$3+6)),"◆",""))</f>
      </c>
      <c r="AX38" s="26">
        <f>IF(OR($A38="",AX$3=""),"",IF(AND($J38&lt;&gt;"",$K38&lt;&gt;"",$J38=$K38,$J38&gt;=AX$3,$J38&lt;=IF(param_mode_affichage="mois",EOMONTH(AX$3,0),AX$3+6)),"◆",""))</f>
      </c>
      <c r="AY38" s="26">
        <f>IF(OR($A38="",AY$3=""),"",IF(AND($J38&lt;&gt;"",$K38&lt;&gt;"",$J38=$K38,$J38&gt;=AY$3,$J38&lt;=IF(param_mode_affichage="mois",EOMONTH(AY$3,0),AY$3+6)),"◆",""))</f>
      </c>
      <c r="AZ38" s="26">
        <f>IF(OR($A38="",AZ$3=""),"",IF(AND($J38&lt;&gt;"",$K38&lt;&gt;"",$J38=$K38,$J38&gt;=AZ$3,$J38&lt;=IF(param_mode_affichage="mois",EOMONTH(AZ$3,0),AZ$3+6)),"◆",""))</f>
      </c>
      <c r="BA38" s="26">
        <f>IF(OR($A38="",BA$3=""),"",IF(AND($J38&lt;&gt;"",$K38&lt;&gt;"",$J38=$K38,$J38&gt;=BA$3,$J38&lt;=IF(param_mode_affichage="mois",EOMONTH(BA$3,0),BA$3+6)),"◆",""))</f>
      </c>
      <c r="BB38" s="26">
        <f>IF(OR($A38="",BB$3=""),"",IF(AND($J38&lt;&gt;"",$K38&lt;&gt;"",$J38=$K38,$J38&gt;=BB$3,$J38&lt;=IF(param_mode_affichage="mois",EOMONTH(BB$3,0),BB$3+6)),"◆",""))</f>
      </c>
      <c r="BC38" s="26">
        <f>IF(OR($A38="",BC$3=""),"",IF(AND($J38&lt;&gt;"",$K38&lt;&gt;"",$J38=$K38,$J38&gt;=BC$3,$J38&lt;=IF(param_mode_affichage="mois",EOMONTH(BC$3,0),BC$3+6)),"◆",""))</f>
      </c>
      <c r="BD38" s="26">
        <f>IF(OR($A38="",BD$3=""),"",IF(AND($J38&lt;&gt;"",$K38&lt;&gt;"",$J38=$K38,$J38&gt;=BD$3,$J38&lt;=IF(param_mode_affichage="mois",EOMONTH(BD$3,0),BD$3+6)),"◆",""))</f>
      </c>
      <c r="BE38" s="26">
        <f>IF(OR($A38="",BE$3=""),"",IF(AND($J38&lt;&gt;"",$K38&lt;&gt;"",$J38=$K38,$J38&gt;=BE$3,$J38&lt;=IF(param_mode_affichage="mois",EOMONTH(BE$3,0),BE$3+6)),"◆",""))</f>
      </c>
      <c r="BF38" s="26">
        <f>IF(OR($A38="",BF$3=""),"",IF(AND($J38&lt;&gt;"",$K38&lt;&gt;"",$J38=$K38,$J38&gt;=BF$3,$J38&lt;=IF(param_mode_affichage="mois",EOMONTH(BF$3,0),BF$3+6)),"◆",""))</f>
      </c>
      <c r="BG38" s="26">
        <f>IF(OR($A38="",BG$3=""),"",IF(AND($J38&lt;&gt;"",$K38&lt;&gt;"",$J38=$K38,$J38&gt;=BG$3,$J38&lt;=IF(param_mode_affichage="mois",EOMONTH(BG$3,0),BG$3+6)),"◆",""))</f>
      </c>
      <c r="BH38" s="26">
        <f>IF(OR($A38="",BH$3=""),"",IF(AND($J38&lt;&gt;"",$K38&lt;&gt;"",$J38=$K38,$J38&gt;=BH$3,$J38&lt;=IF(param_mode_affichage="mois",EOMONTH(BH$3,0),BH$3+6)),"◆",""))</f>
      </c>
      <c r="BI38" s="26">
        <f>IF(OR($A38="",BI$3=""),"",IF(AND($J38&lt;&gt;"",$K38&lt;&gt;"",$J38=$K38,$J38&gt;=BI$3,$J38&lt;=IF(param_mode_affichage="mois",EOMONTH(BI$3,0),BI$3+6)),"◆",""))</f>
      </c>
      <c r="BJ38" s="26">
        <f>IF(OR($A38="",BJ$3=""),"",IF(AND($J38&lt;&gt;"",$K38&lt;&gt;"",$J38=$K38,$J38&gt;=BJ$3,$J38&lt;=IF(param_mode_affichage="mois",EOMONTH(BJ$3,0),BJ$3+6)),"◆",""))</f>
      </c>
      <c r="BK38" s="26">
        <f>IF(OR($A38="",BK$3=""),"",IF(AND($J38&lt;&gt;"",$K38&lt;&gt;"",$J38=$K38,$J38&gt;=BK$3,$J38&lt;=IF(param_mode_affichage="mois",EOMONTH(BK$3,0),BK$3+6)),"◆",""))</f>
      </c>
      <c r="BL38" s="26">
        <f>IF(OR($A38="",BL$3=""),"",IF(AND($J38&lt;&gt;"",$K38&lt;&gt;"",$J38=$K38,$J38&gt;=BL$3,$J38&lt;=IF(param_mode_affichage="mois",EOMONTH(BL$3,0),BL$3+6)),"◆",""))</f>
      </c>
    </row>
    <row r="39" spans="1:64" x14ac:dyDescent="0.25">
      <c r="A39" s="23">
        <f>IFERROR(INDEX(tblTasks[ID],ROW()-4),"")</f>
      </c>
      <c r="B39" s="24">
        <f>IF($A39="","",INDEX(tblTasks[Sujet],ROW()-4))</f>
      </c>
      <c r="C39" s="23">
        <f>IF($A39="","",INDEX(tblTasks[Responsable],ROW()-4))</f>
      </c>
      <c r="D39" s="23">
        <f>IF($A39="","",INDEX(tblTasks[Statut],ROW()-4))</f>
      </c>
      <c r="E39" s="23">
        <f>IF($A39="","",INDEX(tblTasks[Depend_de],ROW()-4))</f>
      </c>
      <c r="F39" s="23">
        <f>IF($A39="","",INDEX(tblTasks[Blocage],ROW()-4))</f>
      </c>
      <c r="G39" s="23">
        <f>IF($A39="","",INDEX(tblTasks[Niveau_criticite],ROW()-4))</f>
      </c>
      <c r="H39" s="23">
        <f>IF($A39="","",INDEX(tblTasks[Goulot],ROW()-4))</f>
      </c>
      <c r="I39" s="23">
        <f>IF($A39="","",IF(LOWER($F39)="oui","non",IF($E39="","oui",IFERROR(IF(LOWER(INDEX(tblTasks[Statut],MATCH($E39,tblTasks[ID],0)))="clos","oui","non"),"non"))))</f>
      </c>
      <c r="J39" s="25">
        <f>IF($A39="","",INDEX(tblTasks[Date_debut_prevue],ROW()-4))</f>
      </c>
      <c r="K39" s="25">
        <f>IF($A39="","",INDEX(tblTasks[Date_fin_prevue],ROW()-4))</f>
      </c>
      <c r="L39" s="23">
        <f>IF($A39="","",INDEX(tblTasks[Irreversibilite],ROW()-4))</f>
      </c>
      <c r="M39" s="26">
        <f>IF(OR($A39="",M$3=""),"",IF(AND($J39&lt;&gt;"",$K39&lt;&gt;"",$J39=$K39,$J39&gt;=M$3,$J39&lt;=IF(param_mode_affichage="mois",EOMONTH(M$3,0),M$3+6)),"◆",""))</f>
      </c>
      <c r="N39" s="26">
        <f>IF(OR($A39="",N$3=""),"",IF(AND($J39&lt;&gt;"",$K39&lt;&gt;"",$J39=$K39,$J39&gt;=N$3,$J39&lt;=IF(param_mode_affichage="mois",EOMONTH(N$3,0),N$3+6)),"◆",""))</f>
      </c>
      <c r="O39" s="26">
        <f>IF(OR($A39="",O$3=""),"",IF(AND($J39&lt;&gt;"",$K39&lt;&gt;"",$J39=$K39,$J39&gt;=O$3,$J39&lt;=IF(param_mode_affichage="mois",EOMONTH(O$3,0),O$3+6)),"◆",""))</f>
      </c>
      <c r="P39" s="26">
        <f>IF(OR($A39="",P$3=""),"",IF(AND($J39&lt;&gt;"",$K39&lt;&gt;"",$J39=$K39,$J39&gt;=P$3,$J39&lt;=IF(param_mode_affichage="mois",EOMONTH(P$3,0),P$3+6)),"◆",""))</f>
      </c>
      <c r="Q39" s="26">
        <f>IF(OR($A39="",Q$3=""),"",IF(AND($J39&lt;&gt;"",$K39&lt;&gt;"",$J39=$K39,$J39&gt;=Q$3,$J39&lt;=IF(param_mode_affichage="mois",EOMONTH(Q$3,0),Q$3+6)),"◆",""))</f>
      </c>
      <c r="R39" s="26">
        <f>IF(OR($A39="",R$3=""),"",IF(AND($J39&lt;&gt;"",$K39&lt;&gt;"",$J39=$K39,$J39&gt;=R$3,$J39&lt;=IF(param_mode_affichage="mois",EOMONTH(R$3,0),R$3+6)),"◆",""))</f>
      </c>
      <c r="S39" s="26">
        <f>IF(OR($A39="",S$3=""),"",IF(AND($J39&lt;&gt;"",$K39&lt;&gt;"",$J39=$K39,$J39&gt;=S$3,$J39&lt;=IF(param_mode_affichage="mois",EOMONTH(S$3,0),S$3+6)),"◆",""))</f>
      </c>
      <c r="T39" s="26">
        <f>IF(OR($A39="",T$3=""),"",IF(AND($J39&lt;&gt;"",$K39&lt;&gt;"",$J39=$K39,$J39&gt;=T$3,$J39&lt;=IF(param_mode_affichage="mois",EOMONTH(T$3,0),T$3+6)),"◆",""))</f>
      </c>
      <c r="U39" s="26">
        <f>IF(OR($A39="",U$3=""),"",IF(AND($J39&lt;&gt;"",$K39&lt;&gt;"",$J39=$K39,$J39&gt;=U$3,$J39&lt;=IF(param_mode_affichage="mois",EOMONTH(U$3,0),U$3+6)),"◆",""))</f>
      </c>
      <c r="V39" s="26">
        <f>IF(OR($A39="",V$3=""),"",IF(AND($J39&lt;&gt;"",$K39&lt;&gt;"",$J39=$K39,$J39&gt;=V$3,$J39&lt;=IF(param_mode_affichage="mois",EOMONTH(V$3,0),V$3+6)),"◆",""))</f>
      </c>
      <c r="W39" s="26">
        <f>IF(OR($A39="",W$3=""),"",IF(AND($J39&lt;&gt;"",$K39&lt;&gt;"",$J39=$K39,$J39&gt;=W$3,$J39&lt;=IF(param_mode_affichage="mois",EOMONTH(W$3,0),W$3+6)),"◆",""))</f>
      </c>
      <c r="X39" s="26">
        <f>IF(OR($A39="",X$3=""),"",IF(AND($J39&lt;&gt;"",$K39&lt;&gt;"",$J39=$K39,$J39&gt;=X$3,$J39&lt;=IF(param_mode_affichage="mois",EOMONTH(X$3,0),X$3+6)),"◆",""))</f>
      </c>
      <c r="Y39" s="26">
        <f>IF(OR($A39="",Y$3=""),"",IF(AND($J39&lt;&gt;"",$K39&lt;&gt;"",$J39=$K39,$J39&gt;=Y$3,$J39&lt;=IF(param_mode_affichage="mois",EOMONTH(Y$3,0),Y$3+6)),"◆",""))</f>
      </c>
      <c r="Z39" s="26">
        <f>IF(OR($A39="",Z$3=""),"",IF(AND($J39&lt;&gt;"",$K39&lt;&gt;"",$J39=$K39,$J39&gt;=Z$3,$J39&lt;=IF(param_mode_affichage="mois",EOMONTH(Z$3,0),Z$3+6)),"◆",""))</f>
      </c>
      <c r="AA39" s="26">
        <f>IF(OR($A39="",AA$3=""),"",IF(AND($J39&lt;&gt;"",$K39&lt;&gt;"",$J39=$K39,$J39&gt;=AA$3,$J39&lt;=IF(param_mode_affichage="mois",EOMONTH(AA$3,0),AA$3+6)),"◆",""))</f>
      </c>
      <c r="AB39" s="26">
        <f>IF(OR($A39="",AB$3=""),"",IF(AND($J39&lt;&gt;"",$K39&lt;&gt;"",$J39=$K39,$J39&gt;=AB$3,$J39&lt;=IF(param_mode_affichage="mois",EOMONTH(AB$3,0),AB$3+6)),"◆",""))</f>
      </c>
      <c r="AC39" s="26">
        <f>IF(OR($A39="",AC$3=""),"",IF(AND($J39&lt;&gt;"",$K39&lt;&gt;"",$J39=$K39,$J39&gt;=AC$3,$J39&lt;=IF(param_mode_affichage="mois",EOMONTH(AC$3,0),AC$3+6)),"◆",""))</f>
      </c>
      <c r="AD39" s="26">
        <f>IF(OR($A39="",AD$3=""),"",IF(AND($J39&lt;&gt;"",$K39&lt;&gt;"",$J39=$K39,$J39&gt;=AD$3,$J39&lt;=IF(param_mode_affichage="mois",EOMONTH(AD$3,0),AD$3+6)),"◆",""))</f>
      </c>
      <c r="AE39" s="26">
        <f>IF(OR($A39="",AE$3=""),"",IF(AND($J39&lt;&gt;"",$K39&lt;&gt;"",$J39=$K39,$J39&gt;=AE$3,$J39&lt;=IF(param_mode_affichage="mois",EOMONTH(AE$3,0),AE$3+6)),"◆",""))</f>
      </c>
      <c r="AF39" s="26">
        <f>IF(OR($A39="",AF$3=""),"",IF(AND($J39&lt;&gt;"",$K39&lt;&gt;"",$J39=$K39,$J39&gt;=AF$3,$J39&lt;=IF(param_mode_affichage="mois",EOMONTH(AF$3,0),AF$3+6)),"◆",""))</f>
      </c>
      <c r="AG39" s="26">
        <f>IF(OR($A39="",AG$3=""),"",IF(AND($J39&lt;&gt;"",$K39&lt;&gt;"",$J39=$K39,$J39&gt;=AG$3,$J39&lt;=IF(param_mode_affichage="mois",EOMONTH(AG$3,0),AG$3+6)),"◆",""))</f>
      </c>
      <c r="AH39" s="26">
        <f>IF(OR($A39="",AH$3=""),"",IF(AND($J39&lt;&gt;"",$K39&lt;&gt;"",$J39=$K39,$J39&gt;=AH$3,$J39&lt;=IF(param_mode_affichage="mois",EOMONTH(AH$3,0),AH$3+6)),"◆",""))</f>
      </c>
      <c r="AI39" s="26">
        <f>IF(OR($A39="",AI$3=""),"",IF(AND($J39&lt;&gt;"",$K39&lt;&gt;"",$J39=$K39,$J39&gt;=AI$3,$J39&lt;=IF(param_mode_affichage="mois",EOMONTH(AI$3,0),AI$3+6)),"◆",""))</f>
      </c>
      <c r="AJ39" s="26">
        <f>IF(OR($A39="",AJ$3=""),"",IF(AND($J39&lt;&gt;"",$K39&lt;&gt;"",$J39=$K39,$J39&gt;=AJ$3,$J39&lt;=IF(param_mode_affichage="mois",EOMONTH(AJ$3,0),AJ$3+6)),"◆",""))</f>
      </c>
      <c r="AK39" s="26">
        <f>IF(OR($A39="",AK$3=""),"",IF(AND($J39&lt;&gt;"",$K39&lt;&gt;"",$J39=$K39,$J39&gt;=AK$3,$J39&lt;=IF(param_mode_affichage="mois",EOMONTH(AK$3,0),AK$3+6)),"◆",""))</f>
      </c>
      <c r="AL39" s="26">
        <f>IF(OR($A39="",AL$3=""),"",IF(AND($J39&lt;&gt;"",$K39&lt;&gt;"",$J39=$K39,$J39&gt;=AL$3,$J39&lt;=IF(param_mode_affichage="mois",EOMONTH(AL$3,0),AL$3+6)),"◆",""))</f>
      </c>
      <c r="AM39" s="26">
        <f>IF(OR($A39="",AM$3=""),"",IF(AND($J39&lt;&gt;"",$K39&lt;&gt;"",$J39=$K39,$J39&gt;=AM$3,$J39&lt;=IF(param_mode_affichage="mois",EOMONTH(AM$3,0),AM$3+6)),"◆",""))</f>
      </c>
      <c r="AN39" s="26">
        <f>IF(OR($A39="",AN$3=""),"",IF(AND($J39&lt;&gt;"",$K39&lt;&gt;"",$J39=$K39,$J39&gt;=AN$3,$J39&lt;=IF(param_mode_affichage="mois",EOMONTH(AN$3,0),AN$3+6)),"◆",""))</f>
      </c>
      <c r="AO39" s="26">
        <f>IF(OR($A39="",AO$3=""),"",IF(AND($J39&lt;&gt;"",$K39&lt;&gt;"",$J39=$K39,$J39&gt;=AO$3,$J39&lt;=IF(param_mode_affichage="mois",EOMONTH(AO$3,0),AO$3+6)),"◆",""))</f>
      </c>
      <c r="AP39" s="26">
        <f>IF(OR($A39="",AP$3=""),"",IF(AND($J39&lt;&gt;"",$K39&lt;&gt;"",$J39=$K39,$J39&gt;=AP$3,$J39&lt;=IF(param_mode_affichage="mois",EOMONTH(AP$3,0),AP$3+6)),"◆",""))</f>
      </c>
      <c r="AQ39" s="26">
        <f>IF(OR($A39="",AQ$3=""),"",IF(AND($J39&lt;&gt;"",$K39&lt;&gt;"",$J39=$K39,$J39&gt;=AQ$3,$J39&lt;=IF(param_mode_affichage="mois",EOMONTH(AQ$3,0),AQ$3+6)),"◆",""))</f>
      </c>
      <c r="AR39" s="26">
        <f>IF(OR($A39="",AR$3=""),"",IF(AND($J39&lt;&gt;"",$K39&lt;&gt;"",$J39=$K39,$J39&gt;=AR$3,$J39&lt;=IF(param_mode_affichage="mois",EOMONTH(AR$3,0),AR$3+6)),"◆",""))</f>
      </c>
      <c r="AS39" s="26">
        <f>IF(OR($A39="",AS$3=""),"",IF(AND($J39&lt;&gt;"",$K39&lt;&gt;"",$J39=$K39,$J39&gt;=AS$3,$J39&lt;=IF(param_mode_affichage="mois",EOMONTH(AS$3,0),AS$3+6)),"◆",""))</f>
      </c>
      <c r="AT39" s="26">
        <f>IF(OR($A39="",AT$3=""),"",IF(AND($J39&lt;&gt;"",$K39&lt;&gt;"",$J39=$K39,$J39&gt;=AT$3,$J39&lt;=IF(param_mode_affichage="mois",EOMONTH(AT$3,0),AT$3+6)),"◆",""))</f>
      </c>
      <c r="AU39" s="26">
        <f>IF(OR($A39="",AU$3=""),"",IF(AND($J39&lt;&gt;"",$K39&lt;&gt;"",$J39=$K39,$J39&gt;=AU$3,$J39&lt;=IF(param_mode_affichage="mois",EOMONTH(AU$3,0),AU$3+6)),"◆",""))</f>
      </c>
      <c r="AV39" s="26">
        <f>IF(OR($A39="",AV$3=""),"",IF(AND($J39&lt;&gt;"",$K39&lt;&gt;"",$J39=$K39,$J39&gt;=AV$3,$J39&lt;=IF(param_mode_affichage="mois",EOMONTH(AV$3,0),AV$3+6)),"◆",""))</f>
      </c>
      <c r="AW39" s="26">
        <f>IF(OR($A39="",AW$3=""),"",IF(AND($J39&lt;&gt;"",$K39&lt;&gt;"",$J39=$K39,$J39&gt;=AW$3,$J39&lt;=IF(param_mode_affichage="mois",EOMONTH(AW$3,0),AW$3+6)),"◆",""))</f>
      </c>
      <c r="AX39" s="26">
        <f>IF(OR($A39="",AX$3=""),"",IF(AND($J39&lt;&gt;"",$K39&lt;&gt;"",$J39=$K39,$J39&gt;=AX$3,$J39&lt;=IF(param_mode_affichage="mois",EOMONTH(AX$3,0),AX$3+6)),"◆",""))</f>
      </c>
      <c r="AY39" s="26">
        <f>IF(OR($A39="",AY$3=""),"",IF(AND($J39&lt;&gt;"",$K39&lt;&gt;"",$J39=$K39,$J39&gt;=AY$3,$J39&lt;=IF(param_mode_affichage="mois",EOMONTH(AY$3,0),AY$3+6)),"◆",""))</f>
      </c>
      <c r="AZ39" s="26">
        <f>IF(OR($A39="",AZ$3=""),"",IF(AND($J39&lt;&gt;"",$K39&lt;&gt;"",$J39=$K39,$J39&gt;=AZ$3,$J39&lt;=IF(param_mode_affichage="mois",EOMONTH(AZ$3,0),AZ$3+6)),"◆",""))</f>
      </c>
      <c r="BA39" s="26">
        <f>IF(OR($A39="",BA$3=""),"",IF(AND($J39&lt;&gt;"",$K39&lt;&gt;"",$J39=$K39,$J39&gt;=BA$3,$J39&lt;=IF(param_mode_affichage="mois",EOMONTH(BA$3,0),BA$3+6)),"◆",""))</f>
      </c>
      <c r="BB39" s="26">
        <f>IF(OR($A39="",BB$3=""),"",IF(AND($J39&lt;&gt;"",$K39&lt;&gt;"",$J39=$K39,$J39&gt;=BB$3,$J39&lt;=IF(param_mode_affichage="mois",EOMONTH(BB$3,0),BB$3+6)),"◆",""))</f>
      </c>
      <c r="BC39" s="26">
        <f>IF(OR($A39="",BC$3=""),"",IF(AND($J39&lt;&gt;"",$K39&lt;&gt;"",$J39=$K39,$J39&gt;=BC$3,$J39&lt;=IF(param_mode_affichage="mois",EOMONTH(BC$3,0),BC$3+6)),"◆",""))</f>
      </c>
      <c r="BD39" s="26">
        <f>IF(OR($A39="",BD$3=""),"",IF(AND($J39&lt;&gt;"",$K39&lt;&gt;"",$J39=$K39,$J39&gt;=BD$3,$J39&lt;=IF(param_mode_affichage="mois",EOMONTH(BD$3,0),BD$3+6)),"◆",""))</f>
      </c>
      <c r="BE39" s="26">
        <f>IF(OR($A39="",BE$3=""),"",IF(AND($J39&lt;&gt;"",$K39&lt;&gt;"",$J39=$K39,$J39&gt;=BE$3,$J39&lt;=IF(param_mode_affichage="mois",EOMONTH(BE$3,0),BE$3+6)),"◆",""))</f>
      </c>
      <c r="BF39" s="26">
        <f>IF(OR($A39="",BF$3=""),"",IF(AND($J39&lt;&gt;"",$K39&lt;&gt;"",$J39=$K39,$J39&gt;=BF$3,$J39&lt;=IF(param_mode_affichage="mois",EOMONTH(BF$3,0),BF$3+6)),"◆",""))</f>
      </c>
      <c r="BG39" s="26">
        <f>IF(OR($A39="",BG$3=""),"",IF(AND($J39&lt;&gt;"",$K39&lt;&gt;"",$J39=$K39,$J39&gt;=BG$3,$J39&lt;=IF(param_mode_affichage="mois",EOMONTH(BG$3,0),BG$3+6)),"◆",""))</f>
      </c>
      <c r="BH39" s="26">
        <f>IF(OR($A39="",BH$3=""),"",IF(AND($J39&lt;&gt;"",$K39&lt;&gt;"",$J39=$K39,$J39&gt;=BH$3,$J39&lt;=IF(param_mode_affichage="mois",EOMONTH(BH$3,0),BH$3+6)),"◆",""))</f>
      </c>
      <c r="BI39" s="26">
        <f>IF(OR($A39="",BI$3=""),"",IF(AND($J39&lt;&gt;"",$K39&lt;&gt;"",$J39=$K39,$J39&gt;=BI$3,$J39&lt;=IF(param_mode_affichage="mois",EOMONTH(BI$3,0),BI$3+6)),"◆",""))</f>
      </c>
      <c r="BJ39" s="26">
        <f>IF(OR($A39="",BJ$3=""),"",IF(AND($J39&lt;&gt;"",$K39&lt;&gt;"",$J39=$K39,$J39&gt;=BJ$3,$J39&lt;=IF(param_mode_affichage="mois",EOMONTH(BJ$3,0),BJ$3+6)),"◆",""))</f>
      </c>
      <c r="BK39" s="26">
        <f>IF(OR($A39="",BK$3=""),"",IF(AND($J39&lt;&gt;"",$K39&lt;&gt;"",$J39=$K39,$J39&gt;=BK$3,$J39&lt;=IF(param_mode_affichage="mois",EOMONTH(BK$3,0),BK$3+6)),"◆",""))</f>
      </c>
      <c r="BL39" s="26">
        <f>IF(OR($A39="",BL$3=""),"",IF(AND($J39&lt;&gt;"",$K39&lt;&gt;"",$J39=$K39,$J39&gt;=BL$3,$J39&lt;=IF(param_mode_affichage="mois",EOMONTH(BL$3,0),BL$3+6)),"◆",""))</f>
      </c>
    </row>
    <row r="40" spans="1:64" x14ac:dyDescent="0.25">
      <c r="A40" s="23">
        <f>IFERROR(INDEX(tblTasks[ID],ROW()-4),"")</f>
      </c>
      <c r="B40" s="24">
        <f>IF($A40="","",INDEX(tblTasks[Sujet],ROW()-4))</f>
      </c>
      <c r="C40" s="23">
        <f>IF($A40="","",INDEX(tblTasks[Responsable],ROW()-4))</f>
      </c>
      <c r="D40" s="23">
        <f>IF($A40="","",INDEX(tblTasks[Statut],ROW()-4))</f>
      </c>
      <c r="E40" s="23">
        <f>IF($A40="","",INDEX(tblTasks[Depend_de],ROW()-4))</f>
      </c>
      <c r="F40" s="23">
        <f>IF($A40="","",INDEX(tblTasks[Blocage],ROW()-4))</f>
      </c>
      <c r="G40" s="23">
        <f>IF($A40="","",INDEX(tblTasks[Niveau_criticite],ROW()-4))</f>
      </c>
      <c r="H40" s="23">
        <f>IF($A40="","",INDEX(tblTasks[Goulot],ROW()-4))</f>
      </c>
      <c r="I40" s="23">
        <f>IF($A40="","",IF(LOWER($F40)="oui","non",IF($E40="","oui",IFERROR(IF(LOWER(INDEX(tblTasks[Statut],MATCH($E40,tblTasks[ID],0)))="clos","oui","non"),"non"))))</f>
      </c>
      <c r="J40" s="25">
        <f>IF($A40="","",INDEX(tblTasks[Date_debut_prevue],ROW()-4))</f>
      </c>
      <c r="K40" s="25">
        <f>IF($A40="","",INDEX(tblTasks[Date_fin_prevue],ROW()-4))</f>
      </c>
      <c r="L40" s="23">
        <f>IF($A40="","",INDEX(tblTasks[Irreversibilite],ROW()-4))</f>
      </c>
      <c r="M40" s="26">
        <f>IF(OR($A40="",M$3=""),"",IF(AND($J40&lt;&gt;"",$K40&lt;&gt;"",$J40=$K40,$J40&gt;=M$3,$J40&lt;=IF(param_mode_affichage="mois",EOMONTH(M$3,0),M$3+6)),"◆",""))</f>
      </c>
      <c r="N40" s="26">
        <f>IF(OR($A40="",N$3=""),"",IF(AND($J40&lt;&gt;"",$K40&lt;&gt;"",$J40=$K40,$J40&gt;=N$3,$J40&lt;=IF(param_mode_affichage="mois",EOMONTH(N$3,0),N$3+6)),"◆",""))</f>
      </c>
      <c r="O40" s="26">
        <f>IF(OR($A40="",O$3=""),"",IF(AND($J40&lt;&gt;"",$K40&lt;&gt;"",$J40=$K40,$J40&gt;=O$3,$J40&lt;=IF(param_mode_affichage="mois",EOMONTH(O$3,0),O$3+6)),"◆",""))</f>
      </c>
      <c r="P40" s="26">
        <f>IF(OR($A40="",P$3=""),"",IF(AND($J40&lt;&gt;"",$K40&lt;&gt;"",$J40=$K40,$J40&gt;=P$3,$J40&lt;=IF(param_mode_affichage="mois",EOMONTH(P$3,0),P$3+6)),"◆",""))</f>
      </c>
      <c r="Q40" s="26">
        <f>IF(OR($A40="",Q$3=""),"",IF(AND($J40&lt;&gt;"",$K40&lt;&gt;"",$J40=$K40,$J40&gt;=Q$3,$J40&lt;=IF(param_mode_affichage="mois",EOMONTH(Q$3,0),Q$3+6)),"◆",""))</f>
      </c>
      <c r="R40" s="26">
        <f>IF(OR($A40="",R$3=""),"",IF(AND($J40&lt;&gt;"",$K40&lt;&gt;"",$J40=$K40,$J40&gt;=R$3,$J40&lt;=IF(param_mode_affichage="mois",EOMONTH(R$3,0),R$3+6)),"◆",""))</f>
      </c>
      <c r="S40" s="26">
        <f>IF(OR($A40="",S$3=""),"",IF(AND($J40&lt;&gt;"",$K40&lt;&gt;"",$J40=$K40,$J40&gt;=S$3,$J40&lt;=IF(param_mode_affichage="mois",EOMONTH(S$3,0),S$3+6)),"◆",""))</f>
      </c>
      <c r="T40" s="26">
        <f>IF(OR($A40="",T$3=""),"",IF(AND($J40&lt;&gt;"",$K40&lt;&gt;"",$J40=$K40,$J40&gt;=T$3,$J40&lt;=IF(param_mode_affichage="mois",EOMONTH(T$3,0),T$3+6)),"◆",""))</f>
      </c>
      <c r="U40" s="26">
        <f>IF(OR($A40="",U$3=""),"",IF(AND($J40&lt;&gt;"",$K40&lt;&gt;"",$J40=$K40,$J40&gt;=U$3,$J40&lt;=IF(param_mode_affichage="mois",EOMONTH(U$3,0),U$3+6)),"◆",""))</f>
      </c>
      <c r="V40" s="26">
        <f>IF(OR($A40="",V$3=""),"",IF(AND($J40&lt;&gt;"",$K40&lt;&gt;"",$J40=$K40,$J40&gt;=V$3,$J40&lt;=IF(param_mode_affichage="mois",EOMONTH(V$3,0),V$3+6)),"◆",""))</f>
      </c>
      <c r="W40" s="26">
        <f>IF(OR($A40="",W$3=""),"",IF(AND($J40&lt;&gt;"",$K40&lt;&gt;"",$J40=$K40,$J40&gt;=W$3,$J40&lt;=IF(param_mode_affichage="mois",EOMONTH(W$3,0),W$3+6)),"◆",""))</f>
      </c>
      <c r="X40" s="26">
        <f>IF(OR($A40="",X$3=""),"",IF(AND($J40&lt;&gt;"",$K40&lt;&gt;"",$J40=$K40,$J40&gt;=X$3,$J40&lt;=IF(param_mode_affichage="mois",EOMONTH(X$3,0),X$3+6)),"◆",""))</f>
      </c>
      <c r="Y40" s="26">
        <f>IF(OR($A40="",Y$3=""),"",IF(AND($J40&lt;&gt;"",$K40&lt;&gt;"",$J40=$K40,$J40&gt;=Y$3,$J40&lt;=IF(param_mode_affichage="mois",EOMONTH(Y$3,0),Y$3+6)),"◆",""))</f>
      </c>
      <c r="Z40" s="26">
        <f>IF(OR($A40="",Z$3=""),"",IF(AND($J40&lt;&gt;"",$K40&lt;&gt;"",$J40=$K40,$J40&gt;=Z$3,$J40&lt;=IF(param_mode_affichage="mois",EOMONTH(Z$3,0),Z$3+6)),"◆",""))</f>
      </c>
      <c r="AA40" s="26">
        <f>IF(OR($A40="",AA$3=""),"",IF(AND($J40&lt;&gt;"",$K40&lt;&gt;"",$J40=$K40,$J40&gt;=AA$3,$J40&lt;=IF(param_mode_affichage="mois",EOMONTH(AA$3,0),AA$3+6)),"◆",""))</f>
      </c>
      <c r="AB40" s="26">
        <f>IF(OR($A40="",AB$3=""),"",IF(AND($J40&lt;&gt;"",$K40&lt;&gt;"",$J40=$K40,$J40&gt;=AB$3,$J40&lt;=IF(param_mode_affichage="mois",EOMONTH(AB$3,0),AB$3+6)),"◆",""))</f>
      </c>
      <c r="AC40" s="26">
        <f>IF(OR($A40="",AC$3=""),"",IF(AND($J40&lt;&gt;"",$K40&lt;&gt;"",$J40=$K40,$J40&gt;=AC$3,$J40&lt;=IF(param_mode_affichage="mois",EOMONTH(AC$3,0),AC$3+6)),"◆",""))</f>
      </c>
      <c r="AD40" s="26">
        <f>IF(OR($A40="",AD$3=""),"",IF(AND($J40&lt;&gt;"",$K40&lt;&gt;"",$J40=$K40,$J40&gt;=AD$3,$J40&lt;=IF(param_mode_affichage="mois",EOMONTH(AD$3,0),AD$3+6)),"◆",""))</f>
      </c>
      <c r="AE40" s="26">
        <f>IF(OR($A40="",AE$3=""),"",IF(AND($J40&lt;&gt;"",$K40&lt;&gt;"",$J40=$K40,$J40&gt;=AE$3,$J40&lt;=IF(param_mode_affichage="mois",EOMONTH(AE$3,0),AE$3+6)),"◆",""))</f>
      </c>
      <c r="AF40" s="26">
        <f>IF(OR($A40="",AF$3=""),"",IF(AND($J40&lt;&gt;"",$K40&lt;&gt;"",$J40=$K40,$J40&gt;=AF$3,$J40&lt;=IF(param_mode_affichage="mois",EOMONTH(AF$3,0),AF$3+6)),"◆",""))</f>
      </c>
      <c r="AG40" s="26">
        <f>IF(OR($A40="",AG$3=""),"",IF(AND($J40&lt;&gt;"",$K40&lt;&gt;"",$J40=$K40,$J40&gt;=AG$3,$J40&lt;=IF(param_mode_affichage="mois",EOMONTH(AG$3,0),AG$3+6)),"◆",""))</f>
      </c>
      <c r="AH40" s="26">
        <f>IF(OR($A40="",AH$3=""),"",IF(AND($J40&lt;&gt;"",$K40&lt;&gt;"",$J40=$K40,$J40&gt;=AH$3,$J40&lt;=IF(param_mode_affichage="mois",EOMONTH(AH$3,0),AH$3+6)),"◆",""))</f>
      </c>
      <c r="AI40" s="26">
        <f>IF(OR($A40="",AI$3=""),"",IF(AND($J40&lt;&gt;"",$K40&lt;&gt;"",$J40=$K40,$J40&gt;=AI$3,$J40&lt;=IF(param_mode_affichage="mois",EOMONTH(AI$3,0),AI$3+6)),"◆",""))</f>
      </c>
      <c r="AJ40" s="26">
        <f>IF(OR($A40="",AJ$3=""),"",IF(AND($J40&lt;&gt;"",$K40&lt;&gt;"",$J40=$K40,$J40&gt;=AJ$3,$J40&lt;=IF(param_mode_affichage="mois",EOMONTH(AJ$3,0),AJ$3+6)),"◆",""))</f>
      </c>
      <c r="AK40" s="26">
        <f>IF(OR($A40="",AK$3=""),"",IF(AND($J40&lt;&gt;"",$K40&lt;&gt;"",$J40=$K40,$J40&gt;=AK$3,$J40&lt;=IF(param_mode_affichage="mois",EOMONTH(AK$3,0),AK$3+6)),"◆",""))</f>
      </c>
      <c r="AL40" s="26">
        <f>IF(OR($A40="",AL$3=""),"",IF(AND($J40&lt;&gt;"",$K40&lt;&gt;"",$J40=$K40,$J40&gt;=AL$3,$J40&lt;=IF(param_mode_affichage="mois",EOMONTH(AL$3,0),AL$3+6)),"◆",""))</f>
      </c>
      <c r="AM40" s="26">
        <f>IF(OR($A40="",AM$3=""),"",IF(AND($J40&lt;&gt;"",$K40&lt;&gt;"",$J40=$K40,$J40&gt;=AM$3,$J40&lt;=IF(param_mode_affichage="mois",EOMONTH(AM$3,0),AM$3+6)),"◆",""))</f>
      </c>
      <c r="AN40" s="26">
        <f>IF(OR($A40="",AN$3=""),"",IF(AND($J40&lt;&gt;"",$K40&lt;&gt;"",$J40=$K40,$J40&gt;=AN$3,$J40&lt;=IF(param_mode_affichage="mois",EOMONTH(AN$3,0),AN$3+6)),"◆",""))</f>
      </c>
      <c r="AO40" s="26">
        <f>IF(OR($A40="",AO$3=""),"",IF(AND($J40&lt;&gt;"",$K40&lt;&gt;"",$J40=$K40,$J40&gt;=AO$3,$J40&lt;=IF(param_mode_affichage="mois",EOMONTH(AO$3,0),AO$3+6)),"◆",""))</f>
      </c>
      <c r="AP40" s="26">
        <f>IF(OR($A40="",AP$3=""),"",IF(AND($J40&lt;&gt;"",$K40&lt;&gt;"",$J40=$K40,$J40&gt;=AP$3,$J40&lt;=IF(param_mode_affichage="mois",EOMONTH(AP$3,0),AP$3+6)),"◆",""))</f>
      </c>
      <c r="AQ40" s="26">
        <f>IF(OR($A40="",AQ$3=""),"",IF(AND($J40&lt;&gt;"",$K40&lt;&gt;"",$J40=$K40,$J40&gt;=AQ$3,$J40&lt;=IF(param_mode_affichage="mois",EOMONTH(AQ$3,0),AQ$3+6)),"◆",""))</f>
      </c>
      <c r="AR40" s="26">
        <f>IF(OR($A40="",AR$3=""),"",IF(AND($J40&lt;&gt;"",$K40&lt;&gt;"",$J40=$K40,$J40&gt;=AR$3,$J40&lt;=IF(param_mode_affichage="mois",EOMONTH(AR$3,0),AR$3+6)),"◆",""))</f>
      </c>
      <c r="AS40" s="26">
        <f>IF(OR($A40="",AS$3=""),"",IF(AND($J40&lt;&gt;"",$K40&lt;&gt;"",$J40=$K40,$J40&gt;=AS$3,$J40&lt;=IF(param_mode_affichage="mois",EOMONTH(AS$3,0),AS$3+6)),"◆",""))</f>
      </c>
      <c r="AT40" s="26">
        <f>IF(OR($A40="",AT$3=""),"",IF(AND($J40&lt;&gt;"",$K40&lt;&gt;"",$J40=$K40,$J40&gt;=AT$3,$J40&lt;=IF(param_mode_affichage="mois",EOMONTH(AT$3,0),AT$3+6)),"◆",""))</f>
      </c>
      <c r="AU40" s="26">
        <f>IF(OR($A40="",AU$3=""),"",IF(AND($J40&lt;&gt;"",$K40&lt;&gt;"",$J40=$K40,$J40&gt;=AU$3,$J40&lt;=IF(param_mode_affichage="mois",EOMONTH(AU$3,0),AU$3+6)),"◆",""))</f>
      </c>
      <c r="AV40" s="26">
        <f>IF(OR($A40="",AV$3=""),"",IF(AND($J40&lt;&gt;"",$K40&lt;&gt;"",$J40=$K40,$J40&gt;=AV$3,$J40&lt;=IF(param_mode_affichage="mois",EOMONTH(AV$3,0),AV$3+6)),"◆",""))</f>
      </c>
      <c r="AW40" s="26">
        <f>IF(OR($A40="",AW$3=""),"",IF(AND($J40&lt;&gt;"",$K40&lt;&gt;"",$J40=$K40,$J40&gt;=AW$3,$J40&lt;=IF(param_mode_affichage="mois",EOMONTH(AW$3,0),AW$3+6)),"◆",""))</f>
      </c>
      <c r="AX40" s="26">
        <f>IF(OR($A40="",AX$3=""),"",IF(AND($J40&lt;&gt;"",$K40&lt;&gt;"",$J40=$K40,$J40&gt;=AX$3,$J40&lt;=IF(param_mode_affichage="mois",EOMONTH(AX$3,0),AX$3+6)),"◆",""))</f>
      </c>
      <c r="AY40" s="26">
        <f>IF(OR($A40="",AY$3=""),"",IF(AND($J40&lt;&gt;"",$K40&lt;&gt;"",$J40=$K40,$J40&gt;=AY$3,$J40&lt;=IF(param_mode_affichage="mois",EOMONTH(AY$3,0),AY$3+6)),"◆",""))</f>
      </c>
      <c r="AZ40" s="26">
        <f>IF(OR($A40="",AZ$3=""),"",IF(AND($J40&lt;&gt;"",$K40&lt;&gt;"",$J40=$K40,$J40&gt;=AZ$3,$J40&lt;=IF(param_mode_affichage="mois",EOMONTH(AZ$3,0),AZ$3+6)),"◆",""))</f>
      </c>
      <c r="BA40" s="26">
        <f>IF(OR($A40="",BA$3=""),"",IF(AND($J40&lt;&gt;"",$K40&lt;&gt;"",$J40=$K40,$J40&gt;=BA$3,$J40&lt;=IF(param_mode_affichage="mois",EOMONTH(BA$3,0),BA$3+6)),"◆",""))</f>
      </c>
      <c r="BB40" s="26">
        <f>IF(OR($A40="",BB$3=""),"",IF(AND($J40&lt;&gt;"",$K40&lt;&gt;"",$J40=$K40,$J40&gt;=BB$3,$J40&lt;=IF(param_mode_affichage="mois",EOMONTH(BB$3,0),BB$3+6)),"◆",""))</f>
      </c>
      <c r="BC40" s="26">
        <f>IF(OR($A40="",BC$3=""),"",IF(AND($J40&lt;&gt;"",$K40&lt;&gt;"",$J40=$K40,$J40&gt;=BC$3,$J40&lt;=IF(param_mode_affichage="mois",EOMONTH(BC$3,0),BC$3+6)),"◆",""))</f>
      </c>
      <c r="BD40" s="26">
        <f>IF(OR($A40="",BD$3=""),"",IF(AND($J40&lt;&gt;"",$K40&lt;&gt;"",$J40=$K40,$J40&gt;=BD$3,$J40&lt;=IF(param_mode_affichage="mois",EOMONTH(BD$3,0),BD$3+6)),"◆",""))</f>
      </c>
      <c r="BE40" s="26">
        <f>IF(OR($A40="",BE$3=""),"",IF(AND($J40&lt;&gt;"",$K40&lt;&gt;"",$J40=$K40,$J40&gt;=BE$3,$J40&lt;=IF(param_mode_affichage="mois",EOMONTH(BE$3,0),BE$3+6)),"◆",""))</f>
      </c>
      <c r="BF40" s="26">
        <f>IF(OR($A40="",BF$3=""),"",IF(AND($J40&lt;&gt;"",$K40&lt;&gt;"",$J40=$K40,$J40&gt;=BF$3,$J40&lt;=IF(param_mode_affichage="mois",EOMONTH(BF$3,0),BF$3+6)),"◆",""))</f>
      </c>
      <c r="BG40" s="26">
        <f>IF(OR($A40="",BG$3=""),"",IF(AND($J40&lt;&gt;"",$K40&lt;&gt;"",$J40=$K40,$J40&gt;=BG$3,$J40&lt;=IF(param_mode_affichage="mois",EOMONTH(BG$3,0),BG$3+6)),"◆",""))</f>
      </c>
      <c r="BH40" s="26">
        <f>IF(OR($A40="",BH$3=""),"",IF(AND($J40&lt;&gt;"",$K40&lt;&gt;"",$J40=$K40,$J40&gt;=BH$3,$J40&lt;=IF(param_mode_affichage="mois",EOMONTH(BH$3,0),BH$3+6)),"◆",""))</f>
      </c>
      <c r="BI40" s="26">
        <f>IF(OR($A40="",BI$3=""),"",IF(AND($J40&lt;&gt;"",$K40&lt;&gt;"",$J40=$K40,$J40&gt;=BI$3,$J40&lt;=IF(param_mode_affichage="mois",EOMONTH(BI$3,0),BI$3+6)),"◆",""))</f>
      </c>
      <c r="BJ40" s="26">
        <f>IF(OR($A40="",BJ$3=""),"",IF(AND($J40&lt;&gt;"",$K40&lt;&gt;"",$J40=$K40,$J40&gt;=BJ$3,$J40&lt;=IF(param_mode_affichage="mois",EOMONTH(BJ$3,0),BJ$3+6)),"◆",""))</f>
      </c>
      <c r="BK40" s="26">
        <f>IF(OR($A40="",BK$3=""),"",IF(AND($J40&lt;&gt;"",$K40&lt;&gt;"",$J40=$K40,$J40&gt;=BK$3,$J40&lt;=IF(param_mode_affichage="mois",EOMONTH(BK$3,0),BK$3+6)),"◆",""))</f>
      </c>
      <c r="BL40" s="26">
        <f>IF(OR($A40="",BL$3=""),"",IF(AND($J40&lt;&gt;"",$K40&lt;&gt;"",$J40=$K40,$J40&gt;=BL$3,$J40&lt;=IF(param_mode_affichage="mois",EOMONTH(BL$3,0),BL$3+6)),"◆",""))</f>
      </c>
    </row>
    <row r="41" spans="1:64" x14ac:dyDescent="0.25">
      <c r="A41" s="23">
        <f>IFERROR(INDEX(tblTasks[ID],ROW()-4),"")</f>
      </c>
      <c r="B41" s="24">
        <f>IF($A41="","",INDEX(tblTasks[Sujet],ROW()-4))</f>
      </c>
      <c r="C41" s="23">
        <f>IF($A41="","",INDEX(tblTasks[Responsable],ROW()-4))</f>
      </c>
      <c r="D41" s="23">
        <f>IF($A41="","",INDEX(tblTasks[Statut],ROW()-4))</f>
      </c>
      <c r="E41" s="23">
        <f>IF($A41="","",INDEX(tblTasks[Depend_de],ROW()-4))</f>
      </c>
      <c r="F41" s="23">
        <f>IF($A41="","",INDEX(tblTasks[Blocage],ROW()-4))</f>
      </c>
      <c r="G41" s="23">
        <f>IF($A41="","",INDEX(tblTasks[Niveau_criticite],ROW()-4))</f>
      </c>
      <c r="H41" s="23">
        <f>IF($A41="","",INDEX(tblTasks[Goulot],ROW()-4))</f>
      </c>
      <c r="I41" s="23">
        <f>IF($A41="","",IF(LOWER($F41)="oui","non",IF($E41="","oui",IFERROR(IF(LOWER(INDEX(tblTasks[Statut],MATCH($E41,tblTasks[ID],0)))="clos","oui","non"),"non"))))</f>
      </c>
      <c r="J41" s="25">
        <f>IF($A41="","",INDEX(tblTasks[Date_debut_prevue],ROW()-4))</f>
      </c>
      <c r="K41" s="25">
        <f>IF($A41="","",INDEX(tblTasks[Date_fin_prevue],ROW()-4))</f>
      </c>
      <c r="L41" s="23">
        <f>IF($A41="","",INDEX(tblTasks[Irreversibilite],ROW()-4))</f>
      </c>
      <c r="M41" s="26">
        <f>IF(OR($A41="",M$3=""),"",IF(AND($J41&lt;&gt;"",$K41&lt;&gt;"",$J41=$K41,$J41&gt;=M$3,$J41&lt;=IF(param_mode_affichage="mois",EOMONTH(M$3,0),M$3+6)),"◆",""))</f>
      </c>
      <c r="N41" s="26">
        <f>IF(OR($A41="",N$3=""),"",IF(AND($J41&lt;&gt;"",$K41&lt;&gt;"",$J41=$K41,$J41&gt;=N$3,$J41&lt;=IF(param_mode_affichage="mois",EOMONTH(N$3,0),N$3+6)),"◆",""))</f>
      </c>
      <c r="O41" s="26">
        <f>IF(OR($A41="",O$3=""),"",IF(AND($J41&lt;&gt;"",$K41&lt;&gt;"",$J41=$K41,$J41&gt;=O$3,$J41&lt;=IF(param_mode_affichage="mois",EOMONTH(O$3,0),O$3+6)),"◆",""))</f>
      </c>
      <c r="P41" s="26">
        <f>IF(OR($A41="",P$3=""),"",IF(AND($J41&lt;&gt;"",$K41&lt;&gt;"",$J41=$K41,$J41&gt;=P$3,$J41&lt;=IF(param_mode_affichage="mois",EOMONTH(P$3,0),P$3+6)),"◆",""))</f>
      </c>
      <c r="Q41" s="26">
        <f>IF(OR($A41="",Q$3=""),"",IF(AND($J41&lt;&gt;"",$K41&lt;&gt;"",$J41=$K41,$J41&gt;=Q$3,$J41&lt;=IF(param_mode_affichage="mois",EOMONTH(Q$3,0),Q$3+6)),"◆",""))</f>
      </c>
      <c r="R41" s="26">
        <f>IF(OR($A41="",R$3=""),"",IF(AND($J41&lt;&gt;"",$K41&lt;&gt;"",$J41=$K41,$J41&gt;=R$3,$J41&lt;=IF(param_mode_affichage="mois",EOMONTH(R$3,0),R$3+6)),"◆",""))</f>
      </c>
      <c r="S41" s="26">
        <f>IF(OR($A41="",S$3=""),"",IF(AND($J41&lt;&gt;"",$K41&lt;&gt;"",$J41=$K41,$J41&gt;=S$3,$J41&lt;=IF(param_mode_affichage="mois",EOMONTH(S$3,0),S$3+6)),"◆",""))</f>
      </c>
      <c r="T41" s="26">
        <f>IF(OR($A41="",T$3=""),"",IF(AND($J41&lt;&gt;"",$K41&lt;&gt;"",$J41=$K41,$J41&gt;=T$3,$J41&lt;=IF(param_mode_affichage="mois",EOMONTH(T$3,0),T$3+6)),"◆",""))</f>
      </c>
      <c r="U41" s="26">
        <f>IF(OR($A41="",U$3=""),"",IF(AND($J41&lt;&gt;"",$K41&lt;&gt;"",$J41=$K41,$J41&gt;=U$3,$J41&lt;=IF(param_mode_affichage="mois",EOMONTH(U$3,0),U$3+6)),"◆",""))</f>
      </c>
      <c r="V41" s="26">
        <f>IF(OR($A41="",V$3=""),"",IF(AND($J41&lt;&gt;"",$K41&lt;&gt;"",$J41=$K41,$J41&gt;=V$3,$J41&lt;=IF(param_mode_affichage="mois",EOMONTH(V$3,0),V$3+6)),"◆",""))</f>
      </c>
      <c r="W41" s="26">
        <f>IF(OR($A41="",W$3=""),"",IF(AND($J41&lt;&gt;"",$K41&lt;&gt;"",$J41=$K41,$J41&gt;=W$3,$J41&lt;=IF(param_mode_affichage="mois",EOMONTH(W$3,0),W$3+6)),"◆",""))</f>
      </c>
      <c r="X41" s="26">
        <f>IF(OR($A41="",X$3=""),"",IF(AND($J41&lt;&gt;"",$K41&lt;&gt;"",$J41=$K41,$J41&gt;=X$3,$J41&lt;=IF(param_mode_affichage="mois",EOMONTH(X$3,0),X$3+6)),"◆",""))</f>
      </c>
      <c r="Y41" s="26">
        <f>IF(OR($A41="",Y$3=""),"",IF(AND($J41&lt;&gt;"",$K41&lt;&gt;"",$J41=$K41,$J41&gt;=Y$3,$J41&lt;=IF(param_mode_affichage="mois",EOMONTH(Y$3,0),Y$3+6)),"◆",""))</f>
      </c>
      <c r="Z41" s="26">
        <f>IF(OR($A41="",Z$3=""),"",IF(AND($J41&lt;&gt;"",$K41&lt;&gt;"",$J41=$K41,$J41&gt;=Z$3,$J41&lt;=IF(param_mode_affichage="mois",EOMONTH(Z$3,0),Z$3+6)),"◆",""))</f>
      </c>
      <c r="AA41" s="26">
        <f>IF(OR($A41="",AA$3=""),"",IF(AND($J41&lt;&gt;"",$K41&lt;&gt;"",$J41=$K41,$J41&gt;=AA$3,$J41&lt;=IF(param_mode_affichage="mois",EOMONTH(AA$3,0),AA$3+6)),"◆",""))</f>
      </c>
      <c r="AB41" s="26">
        <f>IF(OR($A41="",AB$3=""),"",IF(AND($J41&lt;&gt;"",$K41&lt;&gt;"",$J41=$K41,$J41&gt;=AB$3,$J41&lt;=IF(param_mode_affichage="mois",EOMONTH(AB$3,0),AB$3+6)),"◆",""))</f>
      </c>
      <c r="AC41" s="26">
        <f>IF(OR($A41="",AC$3=""),"",IF(AND($J41&lt;&gt;"",$K41&lt;&gt;"",$J41=$K41,$J41&gt;=AC$3,$J41&lt;=IF(param_mode_affichage="mois",EOMONTH(AC$3,0),AC$3+6)),"◆",""))</f>
      </c>
      <c r="AD41" s="26">
        <f>IF(OR($A41="",AD$3=""),"",IF(AND($J41&lt;&gt;"",$K41&lt;&gt;"",$J41=$K41,$J41&gt;=AD$3,$J41&lt;=IF(param_mode_affichage="mois",EOMONTH(AD$3,0),AD$3+6)),"◆",""))</f>
      </c>
      <c r="AE41" s="26">
        <f>IF(OR($A41="",AE$3=""),"",IF(AND($J41&lt;&gt;"",$K41&lt;&gt;"",$J41=$K41,$J41&gt;=AE$3,$J41&lt;=IF(param_mode_affichage="mois",EOMONTH(AE$3,0),AE$3+6)),"◆",""))</f>
      </c>
      <c r="AF41" s="26">
        <f>IF(OR($A41="",AF$3=""),"",IF(AND($J41&lt;&gt;"",$K41&lt;&gt;"",$J41=$K41,$J41&gt;=AF$3,$J41&lt;=IF(param_mode_affichage="mois",EOMONTH(AF$3,0),AF$3+6)),"◆",""))</f>
      </c>
      <c r="AG41" s="26">
        <f>IF(OR($A41="",AG$3=""),"",IF(AND($J41&lt;&gt;"",$K41&lt;&gt;"",$J41=$K41,$J41&gt;=AG$3,$J41&lt;=IF(param_mode_affichage="mois",EOMONTH(AG$3,0),AG$3+6)),"◆",""))</f>
      </c>
      <c r="AH41" s="26">
        <f>IF(OR($A41="",AH$3=""),"",IF(AND($J41&lt;&gt;"",$K41&lt;&gt;"",$J41=$K41,$J41&gt;=AH$3,$J41&lt;=IF(param_mode_affichage="mois",EOMONTH(AH$3,0),AH$3+6)),"◆",""))</f>
      </c>
      <c r="AI41" s="26">
        <f>IF(OR($A41="",AI$3=""),"",IF(AND($J41&lt;&gt;"",$K41&lt;&gt;"",$J41=$K41,$J41&gt;=AI$3,$J41&lt;=IF(param_mode_affichage="mois",EOMONTH(AI$3,0),AI$3+6)),"◆",""))</f>
      </c>
      <c r="AJ41" s="26">
        <f>IF(OR($A41="",AJ$3=""),"",IF(AND($J41&lt;&gt;"",$K41&lt;&gt;"",$J41=$K41,$J41&gt;=AJ$3,$J41&lt;=IF(param_mode_affichage="mois",EOMONTH(AJ$3,0),AJ$3+6)),"◆",""))</f>
      </c>
      <c r="AK41" s="26">
        <f>IF(OR($A41="",AK$3=""),"",IF(AND($J41&lt;&gt;"",$K41&lt;&gt;"",$J41=$K41,$J41&gt;=AK$3,$J41&lt;=IF(param_mode_affichage="mois",EOMONTH(AK$3,0),AK$3+6)),"◆",""))</f>
      </c>
      <c r="AL41" s="26">
        <f>IF(OR($A41="",AL$3=""),"",IF(AND($J41&lt;&gt;"",$K41&lt;&gt;"",$J41=$K41,$J41&gt;=AL$3,$J41&lt;=IF(param_mode_affichage="mois",EOMONTH(AL$3,0),AL$3+6)),"◆",""))</f>
      </c>
      <c r="AM41" s="26">
        <f>IF(OR($A41="",AM$3=""),"",IF(AND($J41&lt;&gt;"",$K41&lt;&gt;"",$J41=$K41,$J41&gt;=AM$3,$J41&lt;=IF(param_mode_affichage="mois",EOMONTH(AM$3,0),AM$3+6)),"◆",""))</f>
      </c>
      <c r="AN41" s="26">
        <f>IF(OR($A41="",AN$3=""),"",IF(AND($J41&lt;&gt;"",$K41&lt;&gt;"",$J41=$K41,$J41&gt;=AN$3,$J41&lt;=IF(param_mode_affichage="mois",EOMONTH(AN$3,0),AN$3+6)),"◆",""))</f>
      </c>
      <c r="AO41" s="26">
        <f>IF(OR($A41="",AO$3=""),"",IF(AND($J41&lt;&gt;"",$K41&lt;&gt;"",$J41=$K41,$J41&gt;=AO$3,$J41&lt;=IF(param_mode_affichage="mois",EOMONTH(AO$3,0),AO$3+6)),"◆",""))</f>
      </c>
      <c r="AP41" s="26">
        <f>IF(OR($A41="",AP$3=""),"",IF(AND($J41&lt;&gt;"",$K41&lt;&gt;"",$J41=$K41,$J41&gt;=AP$3,$J41&lt;=IF(param_mode_affichage="mois",EOMONTH(AP$3,0),AP$3+6)),"◆",""))</f>
      </c>
      <c r="AQ41" s="26">
        <f>IF(OR($A41="",AQ$3=""),"",IF(AND($J41&lt;&gt;"",$K41&lt;&gt;"",$J41=$K41,$J41&gt;=AQ$3,$J41&lt;=IF(param_mode_affichage="mois",EOMONTH(AQ$3,0),AQ$3+6)),"◆",""))</f>
      </c>
      <c r="AR41" s="26">
        <f>IF(OR($A41="",AR$3=""),"",IF(AND($J41&lt;&gt;"",$K41&lt;&gt;"",$J41=$K41,$J41&gt;=AR$3,$J41&lt;=IF(param_mode_affichage="mois",EOMONTH(AR$3,0),AR$3+6)),"◆",""))</f>
      </c>
      <c r="AS41" s="26">
        <f>IF(OR($A41="",AS$3=""),"",IF(AND($J41&lt;&gt;"",$K41&lt;&gt;"",$J41=$K41,$J41&gt;=AS$3,$J41&lt;=IF(param_mode_affichage="mois",EOMONTH(AS$3,0),AS$3+6)),"◆",""))</f>
      </c>
      <c r="AT41" s="26">
        <f>IF(OR($A41="",AT$3=""),"",IF(AND($J41&lt;&gt;"",$K41&lt;&gt;"",$J41=$K41,$J41&gt;=AT$3,$J41&lt;=IF(param_mode_affichage="mois",EOMONTH(AT$3,0),AT$3+6)),"◆",""))</f>
      </c>
      <c r="AU41" s="26">
        <f>IF(OR($A41="",AU$3=""),"",IF(AND($J41&lt;&gt;"",$K41&lt;&gt;"",$J41=$K41,$J41&gt;=AU$3,$J41&lt;=IF(param_mode_affichage="mois",EOMONTH(AU$3,0),AU$3+6)),"◆",""))</f>
      </c>
      <c r="AV41" s="26">
        <f>IF(OR($A41="",AV$3=""),"",IF(AND($J41&lt;&gt;"",$K41&lt;&gt;"",$J41=$K41,$J41&gt;=AV$3,$J41&lt;=IF(param_mode_affichage="mois",EOMONTH(AV$3,0),AV$3+6)),"◆",""))</f>
      </c>
      <c r="AW41" s="26">
        <f>IF(OR($A41="",AW$3=""),"",IF(AND($J41&lt;&gt;"",$K41&lt;&gt;"",$J41=$K41,$J41&gt;=AW$3,$J41&lt;=IF(param_mode_affichage="mois",EOMONTH(AW$3,0),AW$3+6)),"◆",""))</f>
      </c>
      <c r="AX41" s="26">
        <f>IF(OR($A41="",AX$3=""),"",IF(AND($J41&lt;&gt;"",$K41&lt;&gt;"",$J41=$K41,$J41&gt;=AX$3,$J41&lt;=IF(param_mode_affichage="mois",EOMONTH(AX$3,0),AX$3+6)),"◆",""))</f>
      </c>
      <c r="AY41" s="26">
        <f>IF(OR($A41="",AY$3=""),"",IF(AND($J41&lt;&gt;"",$K41&lt;&gt;"",$J41=$K41,$J41&gt;=AY$3,$J41&lt;=IF(param_mode_affichage="mois",EOMONTH(AY$3,0),AY$3+6)),"◆",""))</f>
      </c>
      <c r="AZ41" s="26">
        <f>IF(OR($A41="",AZ$3=""),"",IF(AND($J41&lt;&gt;"",$K41&lt;&gt;"",$J41=$K41,$J41&gt;=AZ$3,$J41&lt;=IF(param_mode_affichage="mois",EOMONTH(AZ$3,0),AZ$3+6)),"◆",""))</f>
      </c>
      <c r="BA41" s="26">
        <f>IF(OR($A41="",BA$3=""),"",IF(AND($J41&lt;&gt;"",$K41&lt;&gt;"",$J41=$K41,$J41&gt;=BA$3,$J41&lt;=IF(param_mode_affichage="mois",EOMONTH(BA$3,0),BA$3+6)),"◆",""))</f>
      </c>
      <c r="BB41" s="26">
        <f>IF(OR($A41="",BB$3=""),"",IF(AND($J41&lt;&gt;"",$K41&lt;&gt;"",$J41=$K41,$J41&gt;=BB$3,$J41&lt;=IF(param_mode_affichage="mois",EOMONTH(BB$3,0),BB$3+6)),"◆",""))</f>
      </c>
      <c r="BC41" s="26">
        <f>IF(OR($A41="",BC$3=""),"",IF(AND($J41&lt;&gt;"",$K41&lt;&gt;"",$J41=$K41,$J41&gt;=BC$3,$J41&lt;=IF(param_mode_affichage="mois",EOMONTH(BC$3,0),BC$3+6)),"◆",""))</f>
      </c>
      <c r="BD41" s="26">
        <f>IF(OR($A41="",BD$3=""),"",IF(AND($J41&lt;&gt;"",$K41&lt;&gt;"",$J41=$K41,$J41&gt;=BD$3,$J41&lt;=IF(param_mode_affichage="mois",EOMONTH(BD$3,0),BD$3+6)),"◆",""))</f>
      </c>
      <c r="BE41" s="26">
        <f>IF(OR($A41="",BE$3=""),"",IF(AND($J41&lt;&gt;"",$K41&lt;&gt;"",$J41=$K41,$J41&gt;=BE$3,$J41&lt;=IF(param_mode_affichage="mois",EOMONTH(BE$3,0),BE$3+6)),"◆",""))</f>
      </c>
      <c r="BF41" s="26">
        <f>IF(OR($A41="",BF$3=""),"",IF(AND($J41&lt;&gt;"",$K41&lt;&gt;"",$J41=$K41,$J41&gt;=BF$3,$J41&lt;=IF(param_mode_affichage="mois",EOMONTH(BF$3,0),BF$3+6)),"◆",""))</f>
      </c>
      <c r="BG41" s="26">
        <f>IF(OR($A41="",BG$3=""),"",IF(AND($J41&lt;&gt;"",$K41&lt;&gt;"",$J41=$K41,$J41&gt;=BG$3,$J41&lt;=IF(param_mode_affichage="mois",EOMONTH(BG$3,0),BG$3+6)),"◆",""))</f>
      </c>
      <c r="BH41" s="26">
        <f>IF(OR($A41="",BH$3=""),"",IF(AND($J41&lt;&gt;"",$K41&lt;&gt;"",$J41=$K41,$J41&gt;=BH$3,$J41&lt;=IF(param_mode_affichage="mois",EOMONTH(BH$3,0),BH$3+6)),"◆",""))</f>
      </c>
      <c r="BI41" s="26">
        <f>IF(OR($A41="",BI$3=""),"",IF(AND($J41&lt;&gt;"",$K41&lt;&gt;"",$J41=$K41,$J41&gt;=BI$3,$J41&lt;=IF(param_mode_affichage="mois",EOMONTH(BI$3,0),BI$3+6)),"◆",""))</f>
      </c>
      <c r="BJ41" s="26">
        <f>IF(OR($A41="",BJ$3=""),"",IF(AND($J41&lt;&gt;"",$K41&lt;&gt;"",$J41=$K41,$J41&gt;=BJ$3,$J41&lt;=IF(param_mode_affichage="mois",EOMONTH(BJ$3,0),BJ$3+6)),"◆",""))</f>
      </c>
      <c r="BK41" s="26">
        <f>IF(OR($A41="",BK$3=""),"",IF(AND($J41&lt;&gt;"",$K41&lt;&gt;"",$J41=$K41,$J41&gt;=BK$3,$J41&lt;=IF(param_mode_affichage="mois",EOMONTH(BK$3,0),BK$3+6)),"◆",""))</f>
      </c>
      <c r="BL41" s="26">
        <f>IF(OR($A41="",BL$3=""),"",IF(AND($J41&lt;&gt;"",$K41&lt;&gt;"",$J41=$K41,$J41&gt;=BL$3,$J41&lt;=IF(param_mode_affichage="mois",EOMONTH(BL$3,0),BL$3+6)),"◆",""))</f>
      </c>
    </row>
    <row r="42" spans="1:64" x14ac:dyDescent="0.25">
      <c r="A42" s="23">
        <f>IFERROR(INDEX(tblTasks[ID],ROW()-4),"")</f>
      </c>
      <c r="B42" s="24">
        <f>IF($A42="","",INDEX(tblTasks[Sujet],ROW()-4))</f>
      </c>
      <c r="C42" s="23">
        <f>IF($A42="","",INDEX(tblTasks[Responsable],ROW()-4))</f>
      </c>
      <c r="D42" s="23">
        <f>IF($A42="","",INDEX(tblTasks[Statut],ROW()-4))</f>
      </c>
      <c r="E42" s="23">
        <f>IF($A42="","",INDEX(tblTasks[Depend_de],ROW()-4))</f>
      </c>
      <c r="F42" s="23">
        <f>IF($A42="","",INDEX(tblTasks[Blocage],ROW()-4))</f>
      </c>
      <c r="G42" s="23">
        <f>IF($A42="","",INDEX(tblTasks[Niveau_criticite],ROW()-4))</f>
      </c>
      <c r="H42" s="23">
        <f>IF($A42="","",INDEX(tblTasks[Goulot],ROW()-4))</f>
      </c>
      <c r="I42" s="23">
        <f>IF($A42="","",IF(LOWER($F42)="oui","non",IF($E42="","oui",IFERROR(IF(LOWER(INDEX(tblTasks[Statut],MATCH($E42,tblTasks[ID],0)))="clos","oui","non"),"non"))))</f>
      </c>
      <c r="J42" s="25">
        <f>IF($A42="","",INDEX(tblTasks[Date_debut_prevue],ROW()-4))</f>
      </c>
      <c r="K42" s="25">
        <f>IF($A42="","",INDEX(tblTasks[Date_fin_prevue],ROW()-4))</f>
      </c>
      <c r="L42" s="23">
        <f>IF($A42="","",INDEX(tblTasks[Irreversibilite],ROW()-4))</f>
      </c>
      <c r="M42" s="26">
        <f>IF(OR($A42="",M$3=""),"",IF(AND($J42&lt;&gt;"",$K42&lt;&gt;"",$J42=$K42,$J42&gt;=M$3,$J42&lt;=IF(param_mode_affichage="mois",EOMONTH(M$3,0),M$3+6)),"◆",""))</f>
      </c>
      <c r="N42" s="26">
        <f>IF(OR($A42="",N$3=""),"",IF(AND($J42&lt;&gt;"",$K42&lt;&gt;"",$J42=$K42,$J42&gt;=N$3,$J42&lt;=IF(param_mode_affichage="mois",EOMONTH(N$3,0),N$3+6)),"◆",""))</f>
      </c>
      <c r="O42" s="26">
        <f>IF(OR($A42="",O$3=""),"",IF(AND($J42&lt;&gt;"",$K42&lt;&gt;"",$J42=$K42,$J42&gt;=O$3,$J42&lt;=IF(param_mode_affichage="mois",EOMONTH(O$3,0),O$3+6)),"◆",""))</f>
      </c>
      <c r="P42" s="26">
        <f>IF(OR($A42="",P$3=""),"",IF(AND($J42&lt;&gt;"",$K42&lt;&gt;"",$J42=$K42,$J42&gt;=P$3,$J42&lt;=IF(param_mode_affichage="mois",EOMONTH(P$3,0),P$3+6)),"◆",""))</f>
      </c>
      <c r="Q42" s="26">
        <f>IF(OR($A42="",Q$3=""),"",IF(AND($J42&lt;&gt;"",$K42&lt;&gt;"",$J42=$K42,$J42&gt;=Q$3,$J42&lt;=IF(param_mode_affichage="mois",EOMONTH(Q$3,0),Q$3+6)),"◆",""))</f>
      </c>
      <c r="R42" s="26">
        <f>IF(OR($A42="",R$3=""),"",IF(AND($J42&lt;&gt;"",$K42&lt;&gt;"",$J42=$K42,$J42&gt;=R$3,$J42&lt;=IF(param_mode_affichage="mois",EOMONTH(R$3,0),R$3+6)),"◆",""))</f>
      </c>
      <c r="S42" s="26">
        <f>IF(OR($A42="",S$3=""),"",IF(AND($J42&lt;&gt;"",$K42&lt;&gt;"",$J42=$K42,$J42&gt;=S$3,$J42&lt;=IF(param_mode_affichage="mois",EOMONTH(S$3,0),S$3+6)),"◆",""))</f>
      </c>
      <c r="T42" s="26">
        <f>IF(OR($A42="",T$3=""),"",IF(AND($J42&lt;&gt;"",$K42&lt;&gt;"",$J42=$K42,$J42&gt;=T$3,$J42&lt;=IF(param_mode_affichage="mois",EOMONTH(T$3,0),T$3+6)),"◆",""))</f>
      </c>
      <c r="U42" s="26">
        <f>IF(OR($A42="",U$3=""),"",IF(AND($J42&lt;&gt;"",$K42&lt;&gt;"",$J42=$K42,$J42&gt;=U$3,$J42&lt;=IF(param_mode_affichage="mois",EOMONTH(U$3,0),U$3+6)),"◆",""))</f>
      </c>
      <c r="V42" s="26">
        <f>IF(OR($A42="",V$3=""),"",IF(AND($J42&lt;&gt;"",$K42&lt;&gt;"",$J42=$K42,$J42&gt;=V$3,$J42&lt;=IF(param_mode_affichage="mois",EOMONTH(V$3,0),V$3+6)),"◆",""))</f>
      </c>
      <c r="W42" s="26">
        <f>IF(OR($A42="",W$3=""),"",IF(AND($J42&lt;&gt;"",$K42&lt;&gt;"",$J42=$K42,$J42&gt;=W$3,$J42&lt;=IF(param_mode_affichage="mois",EOMONTH(W$3,0),W$3+6)),"◆",""))</f>
      </c>
      <c r="X42" s="26">
        <f>IF(OR($A42="",X$3=""),"",IF(AND($J42&lt;&gt;"",$K42&lt;&gt;"",$J42=$K42,$J42&gt;=X$3,$J42&lt;=IF(param_mode_affichage="mois",EOMONTH(X$3,0),X$3+6)),"◆",""))</f>
      </c>
      <c r="Y42" s="26">
        <f>IF(OR($A42="",Y$3=""),"",IF(AND($J42&lt;&gt;"",$K42&lt;&gt;"",$J42=$K42,$J42&gt;=Y$3,$J42&lt;=IF(param_mode_affichage="mois",EOMONTH(Y$3,0),Y$3+6)),"◆",""))</f>
      </c>
      <c r="Z42" s="26">
        <f>IF(OR($A42="",Z$3=""),"",IF(AND($J42&lt;&gt;"",$K42&lt;&gt;"",$J42=$K42,$J42&gt;=Z$3,$J42&lt;=IF(param_mode_affichage="mois",EOMONTH(Z$3,0),Z$3+6)),"◆",""))</f>
      </c>
      <c r="AA42" s="26">
        <f>IF(OR($A42="",AA$3=""),"",IF(AND($J42&lt;&gt;"",$K42&lt;&gt;"",$J42=$K42,$J42&gt;=AA$3,$J42&lt;=IF(param_mode_affichage="mois",EOMONTH(AA$3,0),AA$3+6)),"◆",""))</f>
      </c>
      <c r="AB42" s="26">
        <f>IF(OR($A42="",AB$3=""),"",IF(AND($J42&lt;&gt;"",$K42&lt;&gt;"",$J42=$K42,$J42&gt;=AB$3,$J42&lt;=IF(param_mode_affichage="mois",EOMONTH(AB$3,0),AB$3+6)),"◆",""))</f>
      </c>
      <c r="AC42" s="26">
        <f>IF(OR($A42="",AC$3=""),"",IF(AND($J42&lt;&gt;"",$K42&lt;&gt;"",$J42=$K42,$J42&gt;=AC$3,$J42&lt;=IF(param_mode_affichage="mois",EOMONTH(AC$3,0),AC$3+6)),"◆",""))</f>
      </c>
      <c r="AD42" s="26">
        <f>IF(OR($A42="",AD$3=""),"",IF(AND($J42&lt;&gt;"",$K42&lt;&gt;"",$J42=$K42,$J42&gt;=AD$3,$J42&lt;=IF(param_mode_affichage="mois",EOMONTH(AD$3,0),AD$3+6)),"◆",""))</f>
      </c>
      <c r="AE42" s="26">
        <f>IF(OR($A42="",AE$3=""),"",IF(AND($J42&lt;&gt;"",$K42&lt;&gt;"",$J42=$K42,$J42&gt;=AE$3,$J42&lt;=IF(param_mode_affichage="mois",EOMONTH(AE$3,0),AE$3+6)),"◆",""))</f>
      </c>
      <c r="AF42" s="26">
        <f>IF(OR($A42="",AF$3=""),"",IF(AND($J42&lt;&gt;"",$K42&lt;&gt;"",$J42=$K42,$J42&gt;=AF$3,$J42&lt;=IF(param_mode_affichage="mois",EOMONTH(AF$3,0),AF$3+6)),"◆",""))</f>
      </c>
      <c r="AG42" s="26">
        <f>IF(OR($A42="",AG$3=""),"",IF(AND($J42&lt;&gt;"",$K42&lt;&gt;"",$J42=$K42,$J42&gt;=AG$3,$J42&lt;=IF(param_mode_affichage="mois",EOMONTH(AG$3,0),AG$3+6)),"◆",""))</f>
      </c>
      <c r="AH42" s="26">
        <f>IF(OR($A42="",AH$3=""),"",IF(AND($J42&lt;&gt;"",$K42&lt;&gt;"",$J42=$K42,$J42&gt;=AH$3,$J42&lt;=IF(param_mode_affichage="mois",EOMONTH(AH$3,0),AH$3+6)),"◆",""))</f>
      </c>
      <c r="AI42" s="26">
        <f>IF(OR($A42="",AI$3=""),"",IF(AND($J42&lt;&gt;"",$K42&lt;&gt;"",$J42=$K42,$J42&gt;=AI$3,$J42&lt;=IF(param_mode_affichage="mois",EOMONTH(AI$3,0),AI$3+6)),"◆",""))</f>
      </c>
      <c r="AJ42" s="26">
        <f>IF(OR($A42="",AJ$3=""),"",IF(AND($J42&lt;&gt;"",$K42&lt;&gt;"",$J42=$K42,$J42&gt;=AJ$3,$J42&lt;=IF(param_mode_affichage="mois",EOMONTH(AJ$3,0),AJ$3+6)),"◆",""))</f>
      </c>
      <c r="AK42" s="26">
        <f>IF(OR($A42="",AK$3=""),"",IF(AND($J42&lt;&gt;"",$K42&lt;&gt;"",$J42=$K42,$J42&gt;=AK$3,$J42&lt;=IF(param_mode_affichage="mois",EOMONTH(AK$3,0),AK$3+6)),"◆",""))</f>
      </c>
      <c r="AL42" s="26">
        <f>IF(OR($A42="",AL$3=""),"",IF(AND($J42&lt;&gt;"",$K42&lt;&gt;"",$J42=$K42,$J42&gt;=AL$3,$J42&lt;=IF(param_mode_affichage="mois",EOMONTH(AL$3,0),AL$3+6)),"◆",""))</f>
      </c>
      <c r="AM42" s="26">
        <f>IF(OR($A42="",AM$3=""),"",IF(AND($J42&lt;&gt;"",$K42&lt;&gt;"",$J42=$K42,$J42&gt;=AM$3,$J42&lt;=IF(param_mode_affichage="mois",EOMONTH(AM$3,0),AM$3+6)),"◆",""))</f>
      </c>
      <c r="AN42" s="26">
        <f>IF(OR($A42="",AN$3=""),"",IF(AND($J42&lt;&gt;"",$K42&lt;&gt;"",$J42=$K42,$J42&gt;=AN$3,$J42&lt;=IF(param_mode_affichage="mois",EOMONTH(AN$3,0),AN$3+6)),"◆",""))</f>
      </c>
      <c r="AO42" s="26">
        <f>IF(OR($A42="",AO$3=""),"",IF(AND($J42&lt;&gt;"",$K42&lt;&gt;"",$J42=$K42,$J42&gt;=AO$3,$J42&lt;=IF(param_mode_affichage="mois",EOMONTH(AO$3,0),AO$3+6)),"◆",""))</f>
      </c>
      <c r="AP42" s="26">
        <f>IF(OR($A42="",AP$3=""),"",IF(AND($J42&lt;&gt;"",$K42&lt;&gt;"",$J42=$K42,$J42&gt;=AP$3,$J42&lt;=IF(param_mode_affichage="mois",EOMONTH(AP$3,0),AP$3+6)),"◆",""))</f>
      </c>
      <c r="AQ42" s="26">
        <f>IF(OR($A42="",AQ$3=""),"",IF(AND($J42&lt;&gt;"",$K42&lt;&gt;"",$J42=$K42,$J42&gt;=AQ$3,$J42&lt;=IF(param_mode_affichage="mois",EOMONTH(AQ$3,0),AQ$3+6)),"◆",""))</f>
      </c>
      <c r="AR42" s="26">
        <f>IF(OR($A42="",AR$3=""),"",IF(AND($J42&lt;&gt;"",$K42&lt;&gt;"",$J42=$K42,$J42&gt;=AR$3,$J42&lt;=IF(param_mode_affichage="mois",EOMONTH(AR$3,0),AR$3+6)),"◆",""))</f>
      </c>
      <c r="AS42" s="26">
        <f>IF(OR($A42="",AS$3=""),"",IF(AND($J42&lt;&gt;"",$K42&lt;&gt;"",$J42=$K42,$J42&gt;=AS$3,$J42&lt;=IF(param_mode_affichage="mois",EOMONTH(AS$3,0),AS$3+6)),"◆",""))</f>
      </c>
      <c r="AT42" s="26">
        <f>IF(OR($A42="",AT$3=""),"",IF(AND($J42&lt;&gt;"",$K42&lt;&gt;"",$J42=$K42,$J42&gt;=AT$3,$J42&lt;=IF(param_mode_affichage="mois",EOMONTH(AT$3,0),AT$3+6)),"◆",""))</f>
      </c>
      <c r="AU42" s="26">
        <f>IF(OR($A42="",AU$3=""),"",IF(AND($J42&lt;&gt;"",$K42&lt;&gt;"",$J42=$K42,$J42&gt;=AU$3,$J42&lt;=IF(param_mode_affichage="mois",EOMONTH(AU$3,0),AU$3+6)),"◆",""))</f>
      </c>
      <c r="AV42" s="26">
        <f>IF(OR($A42="",AV$3=""),"",IF(AND($J42&lt;&gt;"",$K42&lt;&gt;"",$J42=$K42,$J42&gt;=AV$3,$J42&lt;=IF(param_mode_affichage="mois",EOMONTH(AV$3,0),AV$3+6)),"◆",""))</f>
      </c>
      <c r="AW42" s="26">
        <f>IF(OR($A42="",AW$3=""),"",IF(AND($J42&lt;&gt;"",$K42&lt;&gt;"",$J42=$K42,$J42&gt;=AW$3,$J42&lt;=IF(param_mode_affichage="mois",EOMONTH(AW$3,0),AW$3+6)),"◆",""))</f>
      </c>
      <c r="AX42" s="26">
        <f>IF(OR($A42="",AX$3=""),"",IF(AND($J42&lt;&gt;"",$K42&lt;&gt;"",$J42=$K42,$J42&gt;=AX$3,$J42&lt;=IF(param_mode_affichage="mois",EOMONTH(AX$3,0),AX$3+6)),"◆",""))</f>
      </c>
      <c r="AY42" s="26">
        <f>IF(OR($A42="",AY$3=""),"",IF(AND($J42&lt;&gt;"",$K42&lt;&gt;"",$J42=$K42,$J42&gt;=AY$3,$J42&lt;=IF(param_mode_affichage="mois",EOMONTH(AY$3,0),AY$3+6)),"◆",""))</f>
      </c>
      <c r="AZ42" s="26">
        <f>IF(OR($A42="",AZ$3=""),"",IF(AND($J42&lt;&gt;"",$K42&lt;&gt;"",$J42=$K42,$J42&gt;=AZ$3,$J42&lt;=IF(param_mode_affichage="mois",EOMONTH(AZ$3,0),AZ$3+6)),"◆",""))</f>
      </c>
      <c r="BA42" s="26">
        <f>IF(OR($A42="",BA$3=""),"",IF(AND($J42&lt;&gt;"",$K42&lt;&gt;"",$J42=$K42,$J42&gt;=BA$3,$J42&lt;=IF(param_mode_affichage="mois",EOMONTH(BA$3,0),BA$3+6)),"◆",""))</f>
      </c>
      <c r="BB42" s="26">
        <f>IF(OR($A42="",BB$3=""),"",IF(AND($J42&lt;&gt;"",$K42&lt;&gt;"",$J42=$K42,$J42&gt;=BB$3,$J42&lt;=IF(param_mode_affichage="mois",EOMONTH(BB$3,0),BB$3+6)),"◆",""))</f>
      </c>
      <c r="BC42" s="26">
        <f>IF(OR($A42="",BC$3=""),"",IF(AND($J42&lt;&gt;"",$K42&lt;&gt;"",$J42=$K42,$J42&gt;=BC$3,$J42&lt;=IF(param_mode_affichage="mois",EOMONTH(BC$3,0),BC$3+6)),"◆",""))</f>
      </c>
      <c r="BD42" s="26">
        <f>IF(OR($A42="",BD$3=""),"",IF(AND($J42&lt;&gt;"",$K42&lt;&gt;"",$J42=$K42,$J42&gt;=BD$3,$J42&lt;=IF(param_mode_affichage="mois",EOMONTH(BD$3,0),BD$3+6)),"◆",""))</f>
      </c>
      <c r="BE42" s="26">
        <f>IF(OR($A42="",BE$3=""),"",IF(AND($J42&lt;&gt;"",$K42&lt;&gt;"",$J42=$K42,$J42&gt;=BE$3,$J42&lt;=IF(param_mode_affichage="mois",EOMONTH(BE$3,0),BE$3+6)),"◆",""))</f>
      </c>
      <c r="BF42" s="26">
        <f>IF(OR($A42="",BF$3=""),"",IF(AND($J42&lt;&gt;"",$K42&lt;&gt;"",$J42=$K42,$J42&gt;=BF$3,$J42&lt;=IF(param_mode_affichage="mois",EOMONTH(BF$3,0),BF$3+6)),"◆",""))</f>
      </c>
      <c r="BG42" s="26">
        <f>IF(OR($A42="",BG$3=""),"",IF(AND($J42&lt;&gt;"",$K42&lt;&gt;"",$J42=$K42,$J42&gt;=BG$3,$J42&lt;=IF(param_mode_affichage="mois",EOMONTH(BG$3,0),BG$3+6)),"◆",""))</f>
      </c>
      <c r="BH42" s="26">
        <f>IF(OR($A42="",BH$3=""),"",IF(AND($J42&lt;&gt;"",$K42&lt;&gt;"",$J42=$K42,$J42&gt;=BH$3,$J42&lt;=IF(param_mode_affichage="mois",EOMONTH(BH$3,0),BH$3+6)),"◆",""))</f>
      </c>
      <c r="BI42" s="26">
        <f>IF(OR($A42="",BI$3=""),"",IF(AND($J42&lt;&gt;"",$K42&lt;&gt;"",$J42=$K42,$J42&gt;=BI$3,$J42&lt;=IF(param_mode_affichage="mois",EOMONTH(BI$3,0),BI$3+6)),"◆",""))</f>
      </c>
      <c r="BJ42" s="26">
        <f>IF(OR($A42="",BJ$3=""),"",IF(AND($J42&lt;&gt;"",$K42&lt;&gt;"",$J42=$K42,$J42&gt;=BJ$3,$J42&lt;=IF(param_mode_affichage="mois",EOMONTH(BJ$3,0),BJ$3+6)),"◆",""))</f>
      </c>
      <c r="BK42" s="26">
        <f>IF(OR($A42="",BK$3=""),"",IF(AND($J42&lt;&gt;"",$K42&lt;&gt;"",$J42=$K42,$J42&gt;=BK$3,$J42&lt;=IF(param_mode_affichage="mois",EOMONTH(BK$3,0),BK$3+6)),"◆",""))</f>
      </c>
      <c r="BL42" s="26">
        <f>IF(OR($A42="",BL$3=""),"",IF(AND($J42&lt;&gt;"",$K42&lt;&gt;"",$J42=$K42,$J42&gt;=BL$3,$J42&lt;=IF(param_mode_affichage="mois",EOMONTH(BL$3,0),BL$3+6)),"◆",""))</f>
      </c>
    </row>
    <row r="43" spans="1:64" x14ac:dyDescent="0.25">
      <c r="A43" s="23">
        <f>IFERROR(INDEX(tblTasks[ID],ROW()-4),"")</f>
      </c>
      <c r="B43" s="24">
        <f>IF($A43="","",INDEX(tblTasks[Sujet],ROW()-4))</f>
      </c>
      <c r="C43" s="23">
        <f>IF($A43="","",INDEX(tblTasks[Responsable],ROW()-4))</f>
      </c>
      <c r="D43" s="23">
        <f>IF($A43="","",INDEX(tblTasks[Statut],ROW()-4))</f>
      </c>
      <c r="E43" s="23">
        <f>IF($A43="","",INDEX(tblTasks[Depend_de],ROW()-4))</f>
      </c>
      <c r="F43" s="23">
        <f>IF($A43="","",INDEX(tblTasks[Blocage],ROW()-4))</f>
      </c>
      <c r="G43" s="23">
        <f>IF($A43="","",INDEX(tblTasks[Niveau_criticite],ROW()-4))</f>
      </c>
      <c r="H43" s="23">
        <f>IF($A43="","",INDEX(tblTasks[Goulot],ROW()-4))</f>
      </c>
      <c r="I43" s="23">
        <f>IF($A43="","",IF(LOWER($F43)="oui","non",IF($E43="","oui",IFERROR(IF(LOWER(INDEX(tblTasks[Statut],MATCH($E43,tblTasks[ID],0)))="clos","oui","non"),"non"))))</f>
      </c>
      <c r="J43" s="25">
        <f>IF($A43="","",INDEX(tblTasks[Date_debut_prevue],ROW()-4))</f>
      </c>
      <c r="K43" s="25">
        <f>IF($A43="","",INDEX(tblTasks[Date_fin_prevue],ROW()-4))</f>
      </c>
      <c r="L43" s="23">
        <f>IF($A43="","",INDEX(tblTasks[Irreversibilite],ROW()-4))</f>
      </c>
      <c r="M43" s="26">
        <f>IF(OR($A43="",M$3=""),"",IF(AND($J43&lt;&gt;"",$K43&lt;&gt;"",$J43=$K43,$J43&gt;=M$3,$J43&lt;=IF(param_mode_affichage="mois",EOMONTH(M$3,0),M$3+6)),"◆",""))</f>
      </c>
      <c r="N43" s="26">
        <f>IF(OR($A43="",N$3=""),"",IF(AND($J43&lt;&gt;"",$K43&lt;&gt;"",$J43=$K43,$J43&gt;=N$3,$J43&lt;=IF(param_mode_affichage="mois",EOMONTH(N$3,0),N$3+6)),"◆",""))</f>
      </c>
      <c r="O43" s="26">
        <f>IF(OR($A43="",O$3=""),"",IF(AND($J43&lt;&gt;"",$K43&lt;&gt;"",$J43=$K43,$J43&gt;=O$3,$J43&lt;=IF(param_mode_affichage="mois",EOMONTH(O$3,0),O$3+6)),"◆",""))</f>
      </c>
      <c r="P43" s="26">
        <f>IF(OR($A43="",P$3=""),"",IF(AND($J43&lt;&gt;"",$K43&lt;&gt;"",$J43=$K43,$J43&gt;=P$3,$J43&lt;=IF(param_mode_affichage="mois",EOMONTH(P$3,0),P$3+6)),"◆",""))</f>
      </c>
      <c r="Q43" s="26">
        <f>IF(OR($A43="",Q$3=""),"",IF(AND($J43&lt;&gt;"",$K43&lt;&gt;"",$J43=$K43,$J43&gt;=Q$3,$J43&lt;=IF(param_mode_affichage="mois",EOMONTH(Q$3,0),Q$3+6)),"◆",""))</f>
      </c>
      <c r="R43" s="26">
        <f>IF(OR($A43="",R$3=""),"",IF(AND($J43&lt;&gt;"",$K43&lt;&gt;"",$J43=$K43,$J43&gt;=R$3,$J43&lt;=IF(param_mode_affichage="mois",EOMONTH(R$3,0),R$3+6)),"◆",""))</f>
      </c>
      <c r="S43" s="26">
        <f>IF(OR($A43="",S$3=""),"",IF(AND($J43&lt;&gt;"",$K43&lt;&gt;"",$J43=$K43,$J43&gt;=S$3,$J43&lt;=IF(param_mode_affichage="mois",EOMONTH(S$3,0),S$3+6)),"◆",""))</f>
      </c>
      <c r="T43" s="26">
        <f>IF(OR($A43="",T$3=""),"",IF(AND($J43&lt;&gt;"",$K43&lt;&gt;"",$J43=$K43,$J43&gt;=T$3,$J43&lt;=IF(param_mode_affichage="mois",EOMONTH(T$3,0),T$3+6)),"◆",""))</f>
      </c>
      <c r="U43" s="26">
        <f>IF(OR($A43="",U$3=""),"",IF(AND($J43&lt;&gt;"",$K43&lt;&gt;"",$J43=$K43,$J43&gt;=U$3,$J43&lt;=IF(param_mode_affichage="mois",EOMONTH(U$3,0),U$3+6)),"◆",""))</f>
      </c>
      <c r="V43" s="26">
        <f>IF(OR($A43="",V$3=""),"",IF(AND($J43&lt;&gt;"",$K43&lt;&gt;"",$J43=$K43,$J43&gt;=V$3,$J43&lt;=IF(param_mode_affichage="mois",EOMONTH(V$3,0),V$3+6)),"◆",""))</f>
      </c>
      <c r="W43" s="26">
        <f>IF(OR($A43="",W$3=""),"",IF(AND($J43&lt;&gt;"",$K43&lt;&gt;"",$J43=$K43,$J43&gt;=W$3,$J43&lt;=IF(param_mode_affichage="mois",EOMONTH(W$3,0),W$3+6)),"◆",""))</f>
      </c>
      <c r="X43" s="26">
        <f>IF(OR($A43="",X$3=""),"",IF(AND($J43&lt;&gt;"",$K43&lt;&gt;"",$J43=$K43,$J43&gt;=X$3,$J43&lt;=IF(param_mode_affichage="mois",EOMONTH(X$3,0),X$3+6)),"◆",""))</f>
      </c>
      <c r="Y43" s="26">
        <f>IF(OR($A43="",Y$3=""),"",IF(AND($J43&lt;&gt;"",$K43&lt;&gt;"",$J43=$K43,$J43&gt;=Y$3,$J43&lt;=IF(param_mode_affichage="mois",EOMONTH(Y$3,0),Y$3+6)),"◆",""))</f>
      </c>
      <c r="Z43" s="26">
        <f>IF(OR($A43="",Z$3=""),"",IF(AND($J43&lt;&gt;"",$K43&lt;&gt;"",$J43=$K43,$J43&gt;=Z$3,$J43&lt;=IF(param_mode_affichage="mois",EOMONTH(Z$3,0),Z$3+6)),"◆",""))</f>
      </c>
      <c r="AA43" s="26">
        <f>IF(OR($A43="",AA$3=""),"",IF(AND($J43&lt;&gt;"",$K43&lt;&gt;"",$J43=$K43,$J43&gt;=AA$3,$J43&lt;=IF(param_mode_affichage="mois",EOMONTH(AA$3,0),AA$3+6)),"◆",""))</f>
      </c>
      <c r="AB43" s="26">
        <f>IF(OR($A43="",AB$3=""),"",IF(AND($J43&lt;&gt;"",$K43&lt;&gt;"",$J43=$K43,$J43&gt;=AB$3,$J43&lt;=IF(param_mode_affichage="mois",EOMONTH(AB$3,0),AB$3+6)),"◆",""))</f>
      </c>
      <c r="AC43" s="26">
        <f>IF(OR($A43="",AC$3=""),"",IF(AND($J43&lt;&gt;"",$K43&lt;&gt;"",$J43=$K43,$J43&gt;=AC$3,$J43&lt;=IF(param_mode_affichage="mois",EOMONTH(AC$3,0),AC$3+6)),"◆",""))</f>
      </c>
      <c r="AD43" s="26">
        <f>IF(OR($A43="",AD$3=""),"",IF(AND($J43&lt;&gt;"",$K43&lt;&gt;"",$J43=$K43,$J43&gt;=AD$3,$J43&lt;=IF(param_mode_affichage="mois",EOMONTH(AD$3,0),AD$3+6)),"◆",""))</f>
      </c>
      <c r="AE43" s="26">
        <f>IF(OR($A43="",AE$3=""),"",IF(AND($J43&lt;&gt;"",$K43&lt;&gt;"",$J43=$K43,$J43&gt;=AE$3,$J43&lt;=IF(param_mode_affichage="mois",EOMONTH(AE$3,0),AE$3+6)),"◆",""))</f>
      </c>
      <c r="AF43" s="26">
        <f>IF(OR($A43="",AF$3=""),"",IF(AND($J43&lt;&gt;"",$K43&lt;&gt;"",$J43=$K43,$J43&gt;=AF$3,$J43&lt;=IF(param_mode_affichage="mois",EOMONTH(AF$3,0),AF$3+6)),"◆",""))</f>
      </c>
      <c r="AG43" s="26">
        <f>IF(OR($A43="",AG$3=""),"",IF(AND($J43&lt;&gt;"",$K43&lt;&gt;"",$J43=$K43,$J43&gt;=AG$3,$J43&lt;=IF(param_mode_affichage="mois",EOMONTH(AG$3,0),AG$3+6)),"◆",""))</f>
      </c>
      <c r="AH43" s="26">
        <f>IF(OR($A43="",AH$3=""),"",IF(AND($J43&lt;&gt;"",$K43&lt;&gt;"",$J43=$K43,$J43&gt;=AH$3,$J43&lt;=IF(param_mode_affichage="mois",EOMONTH(AH$3,0),AH$3+6)),"◆",""))</f>
      </c>
      <c r="AI43" s="26">
        <f>IF(OR($A43="",AI$3=""),"",IF(AND($J43&lt;&gt;"",$K43&lt;&gt;"",$J43=$K43,$J43&gt;=AI$3,$J43&lt;=IF(param_mode_affichage="mois",EOMONTH(AI$3,0),AI$3+6)),"◆",""))</f>
      </c>
      <c r="AJ43" s="26">
        <f>IF(OR($A43="",AJ$3=""),"",IF(AND($J43&lt;&gt;"",$K43&lt;&gt;"",$J43=$K43,$J43&gt;=AJ$3,$J43&lt;=IF(param_mode_affichage="mois",EOMONTH(AJ$3,0),AJ$3+6)),"◆",""))</f>
      </c>
      <c r="AK43" s="26">
        <f>IF(OR($A43="",AK$3=""),"",IF(AND($J43&lt;&gt;"",$K43&lt;&gt;"",$J43=$K43,$J43&gt;=AK$3,$J43&lt;=IF(param_mode_affichage="mois",EOMONTH(AK$3,0),AK$3+6)),"◆",""))</f>
      </c>
      <c r="AL43" s="26">
        <f>IF(OR($A43="",AL$3=""),"",IF(AND($J43&lt;&gt;"",$K43&lt;&gt;"",$J43=$K43,$J43&gt;=AL$3,$J43&lt;=IF(param_mode_affichage="mois",EOMONTH(AL$3,0),AL$3+6)),"◆",""))</f>
      </c>
      <c r="AM43" s="26">
        <f>IF(OR($A43="",AM$3=""),"",IF(AND($J43&lt;&gt;"",$K43&lt;&gt;"",$J43=$K43,$J43&gt;=AM$3,$J43&lt;=IF(param_mode_affichage="mois",EOMONTH(AM$3,0),AM$3+6)),"◆",""))</f>
      </c>
      <c r="AN43" s="26">
        <f>IF(OR($A43="",AN$3=""),"",IF(AND($J43&lt;&gt;"",$K43&lt;&gt;"",$J43=$K43,$J43&gt;=AN$3,$J43&lt;=IF(param_mode_affichage="mois",EOMONTH(AN$3,0),AN$3+6)),"◆",""))</f>
      </c>
      <c r="AO43" s="26">
        <f>IF(OR($A43="",AO$3=""),"",IF(AND($J43&lt;&gt;"",$K43&lt;&gt;"",$J43=$K43,$J43&gt;=AO$3,$J43&lt;=IF(param_mode_affichage="mois",EOMONTH(AO$3,0),AO$3+6)),"◆",""))</f>
      </c>
      <c r="AP43" s="26">
        <f>IF(OR($A43="",AP$3=""),"",IF(AND($J43&lt;&gt;"",$K43&lt;&gt;"",$J43=$K43,$J43&gt;=AP$3,$J43&lt;=IF(param_mode_affichage="mois",EOMONTH(AP$3,0),AP$3+6)),"◆",""))</f>
      </c>
      <c r="AQ43" s="26">
        <f>IF(OR($A43="",AQ$3=""),"",IF(AND($J43&lt;&gt;"",$K43&lt;&gt;"",$J43=$K43,$J43&gt;=AQ$3,$J43&lt;=IF(param_mode_affichage="mois",EOMONTH(AQ$3,0),AQ$3+6)),"◆",""))</f>
      </c>
      <c r="AR43" s="26">
        <f>IF(OR($A43="",AR$3=""),"",IF(AND($J43&lt;&gt;"",$K43&lt;&gt;"",$J43=$K43,$J43&gt;=AR$3,$J43&lt;=IF(param_mode_affichage="mois",EOMONTH(AR$3,0),AR$3+6)),"◆",""))</f>
      </c>
      <c r="AS43" s="26">
        <f>IF(OR($A43="",AS$3=""),"",IF(AND($J43&lt;&gt;"",$K43&lt;&gt;"",$J43=$K43,$J43&gt;=AS$3,$J43&lt;=IF(param_mode_affichage="mois",EOMONTH(AS$3,0),AS$3+6)),"◆",""))</f>
      </c>
      <c r="AT43" s="26">
        <f>IF(OR($A43="",AT$3=""),"",IF(AND($J43&lt;&gt;"",$K43&lt;&gt;"",$J43=$K43,$J43&gt;=AT$3,$J43&lt;=IF(param_mode_affichage="mois",EOMONTH(AT$3,0),AT$3+6)),"◆",""))</f>
      </c>
      <c r="AU43" s="26">
        <f>IF(OR($A43="",AU$3=""),"",IF(AND($J43&lt;&gt;"",$K43&lt;&gt;"",$J43=$K43,$J43&gt;=AU$3,$J43&lt;=IF(param_mode_affichage="mois",EOMONTH(AU$3,0),AU$3+6)),"◆",""))</f>
      </c>
      <c r="AV43" s="26">
        <f>IF(OR($A43="",AV$3=""),"",IF(AND($J43&lt;&gt;"",$K43&lt;&gt;"",$J43=$K43,$J43&gt;=AV$3,$J43&lt;=IF(param_mode_affichage="mois",EOMONTH(AV$3,0),AV$3+6)),"◆",""))</f>
      </c>
      <c r="AW43" s="26">
        <f>IF(OR($A43="",AW$3=""),"",IF(AND($J43&lt;&gt;"",$K43&lt;&gt;"",$J43=$K43,$J43&gt;=AW$3,$J43&lt;=IF(param_mode_affichage="mois",EOMONTH(AW$3,0),AW$3+6)),"◆",""))</f>
      </c>
      <c r="AX43" s="26">
        <f>IF(OR($A43="",AX$3=""),"",IF(AND($J43&lt;&gt;"",$K43&lt;&gt;"",$J43=$K43,$J43&gt;=AX$3,$J43&lt;=IF(param_mode_affichage="mois",EOMONTH(AX$3,0),AX$3+6)),"◆",""))</f>
      </c>
      <c r="AY43" s="26">
        <f>IF(OR($A43="",AY$3=""),"",IF(AND($J43&lt;&gt;"",$K43&lt;&gt;"",$J43=$K43,$J43&gt;=AY$3,$J43&lt;=IF(param_mode_affichage="mois",EOMONTH(AY$3,0),AY$3+6)),"◆",""))</f>
      </c>
      <c r="AZ43" s="26">
        <f>IF(OR($A43="",AZ$3=""),"",IF(AND($J43&lt;&gt;"",$K43&lt;&gt;"",$J43=$K43,$J43&gt;=AZ$3,$J43&lt;=IF(param_mode_affichage="mois",EOMONTH(AZ$3,0),AZ$3+6)),"◆",""))</f>
      </c>
      <c r="BA43" s="26">
        <f>IF(OR($A43="",BA$3=""),"",IF(AND($J43&lt;&gt;"",$K43&lt;&gt;"",$J43=$K43,$J43&gt;=BA$3,$J43&lt;=IF(param_mode_affichage="mois",EOMONTH(BA$3,0),BA$3+6)),"◆",""))</f>
      </c>
      <c r="BB43" s="26">
        <f>IF(OR($A43="",BB$3=""),"",IF(AND($J43&lt;&gt;"",$K43&lt;&gt;"",$J43=$K43,$J43&gt;=BB$3,$J43&lt;=IF(param_mode_affichage="mois",EOMONTH(BB$3,0),BB$3+6)),"◆",""))</f>
      </c>
      <c r="BC43" s="26">
        <f>IF(OR($A43="",BC$3=""),"",IF(AND($J43&lt;&gt;"",$K43&lt;&gt;"",$J43=$K43,$J43&gt;=BC$3,$J43&lt;=IF(param_mode_affichage="mois",EOMONTH(BC$3,0),BC$3+6)),"◆",""))</f>
      </c>
      <c r="BD43" s="26">
        <f>IF(OR($A43="",BD$3=""),"",IF(AND($J43&lt;&gt;"",$K43&lt;&gt;"",$J43=$K43,$J43&gt;=BD$3,$J43&lt;=IF(param_mode_affichage="mois",EOMONTH(BD$3,0),BD$3+6)),"◆",""))</f>
      </c>
      <c r="BE43" s="26">
        <f>IF(OR($A43="",BE$3=""),"",IF(AND($J43&lt;&gt;"",$K43&lt;&gt;"",$J43=$K43,$J43&gt;=BE$3,$J43&lt;=IF(param_mode_affichage="mois",EOMONTH(BE$3,0),BE$3+6)),"◆",""))</f>
      </c>
      <c r="BF43" s="26">
        <f>IF(OR($A43="",BF$3=""),"",IF(AND($J43&lt;&gt;"",$K43&lt;&gt;"",$J43=$K43,$J43&gt;=BF$3,$J43&lt;=IF(param_mode_affichage="mois",EOMONTH(BF$3,0),BF$3+6)),"◆",""))</f>
      </c>
      <c r="BG43" s="26">
        <f>IF(OR($A43="",BG$3=""),"",IF(AND($J43&lt;&gt;"",$K43&lt;&gt;"",$J43=$K43,$J43&gt;=BG$3,$J43&lt;=IF(param_mode_affichage="mois",EOMONTH(BG$3,0),BG$3+6)),"◆",""))</f>
      </c>
      <c r="BH43" s="26">
        <f>IF(OR($A43="",BH$3=""),"",IF(AND($J43&lt;&gt;"",$K43&lt;&gt;"",$J43=$K43,$J43&gt;=BH$3,$J43&lt;=IF(param_mode_affichage="mois",EOMONTH(BH$3,0),BH$3+6)),"◆",""))</f>
      </c>
      <c r="BI43" s="26">
        <f>IF(OR($A43="",BI$3=""),"",IF(AND($J43&lt;&gt;"",$K43&lt;&gt;"",$J43=$K43,$J43&gt;=BI$3,$J43&lt;=IF(param_mode_affichage="mois",EOMONTH(BI$3,0),BI$3+6)),"◆",""))</f>
      </c>
      <c r="BJ43" s="26">
        <f>IF(OR($A43="",BJ$3=""),"",IF(AND($J43&lt;&gt;"",$K43&lt;&gt;"",$J43=$K43,$J43&gt;=BJ$3,$J43&lt;=IF(param_mode_affichage="mois",EOMONTH(BJ$3,0),BJ$3+6)),"◆",""))</f>
      </c>
      <c r="BK43" s="26">
        <f>IF(OR($A43="",BK$3=""),"",IF(AND($J43&lt;&gt;"",$K43&lt;&gt;"",$J43=$K43,$J43&gt;=BK$3,$J43&lt;=IF(param_mode_affichage="mois",EOMONTH(BK$3,0),BK$3+6)),"◆",""))</f>
      </c>
      <c r="BL43" s="26">
        <f>IF(OR($A43="",BL$3=""),"",IF(AND($J43&lt;&gt;"",$K43&lt;&gt;"",$J43=$K43,$J43&gt;=BL$3,$J43&lt;=IF(param_mode_affichage="mois",EOMONTH(BL$3,0),BL$3+6)),"◆",""))</f>
      </c>
    </row>
    <row r="44" spans="1:64" x14ac:dyDescent="0.25">
      <c r="A44" s="23">
        <f>IFERROR(INDEX(tblTasks[ID],ROW()-4),"")</f>
      </c>
      <c r="B44" s="24">
        <f>IF($A44="","",INDEX(tblTasks[Sujet],ROW()-4))</f>
      </c>
      <c r="C44" s="23">
        <f>IF($A44="","",INDEX(tblTasks[Responsable],ROW()-4))</f>
      </c>
      <c r="D44" s="23">
        <f>IF($A44="","",INDEX(tblTasks[Statut],ROW()-4))</f>
      </c>
      <c r="E44" s="23">
        <f>IF($A44="","",INDEX(tblTasks[Depend_de],ROW()-4))</f>
      </c>
      <c r="F44" s="23">
        <f>IF($A44="","",INDEX(tblTasks[Blocage],ROW()-4))</f>
      </c>
      <c r="G44" s="23">
        <f>IF($A44="","",INDEX(tblTasks[Niveau_criticite],ROW()-4))</f>
      </c>
      <c r="H44" s="23">
        <f>IF($A44="","",INDEX(tblTasks[Goulot],ROW()-4))</f>
      </c>
      <c r="I44" s="23">
        <f>IF($A44="","",IF(LOWER($F44)="oui","non",IF($E44="","oui",IFERROR(IF(LOWER(INDEX(tblTasks[Statut],MATCH($E44,tblTasks[ID],0)))="clos","oui","non"),"non"))))</f>
      </c>
      <c r="J44" s="25">
        <f>IF($A44="","",INDEX(tblTasks[Date_debut_prevue],ROW()-4))</f>
      </c>
      <c r="K44" s="25">
        <f>IF($A44="","",INDEX(tblTasks[Date_fin_prevue],ROW()-4))</f>
      </c>
      <c r="L44" s="23">
        <f>IF($A44="","",INDEX(tblTasks[Irreversibilite],ROW()-4))</f>
      </c>
      <c r="M44" s="26">
        <f>IF(OR($A44="",M$3=""),"",IF(AND($J44&lt;&gt;"",$K44&lt;&gt;"",$J44=$K44,$J44&gt;=M$3,$J44&lt;=IF(param_mode_affichage="mois",EOMONTH(M$3,0),M$3+6)),"◆",""))</f>
      </c>
      <c r="N44" s="26">
        <f>IF(OR($A44="",N$3=""),"",IF(AND($J44&lt;&gt;"",$K44&lt;&gt;"",$J44=$K44,$J44&gt;=N$3,$J44&lt;=IF(param_mode_affichage="mois",EOMONTH(N$3,0),N$3+6)),"◆",""))</f>
      </c>
      <c r="O44" s="26">
        <f>IF(OR($A44="",O$3=""),"",IF(AND($J44&lt;&gt;"",$K44&lt;&gt;"",$J44=$K44,$J44&gt;=O$3,$J44&lt;=IF(param_mode_affichage="mois",EOMONTH(O$3,0),O$3+6)),"◆",""))</f>
      </c>
      <c r="P44" s="26">
        <f>IF(OR($A44="",P$3=""),"",IF(AND($J44&lt;&gt;"",$K44&lt;&gt;"",$J44=$K44,$J44&gt;=P$3,$J44&lt;=IF(param_mode_affichage="mois",EOMONTH(P$3,0),P$3+6)),"◆",""))</f>
      </c>
      <c r="Q44" s="26">
        <f>IF(OR($A44="",Q$3=""),"",IF(AND($J44&lt;&gt;"",$K44&lt;&gt;"",$J44=$K44,$J44&gt;=Q$3,$J44&lt;=IF(param_mode_affichage="mois",EOMONTH(Q$3,0),Q$3+6)),"◆",""))</f>
      </c>
      <c r="R44" s="26">
        <f>IF(OR($A44="",R$3=""),"",IF(AND($J44&lt;&gt;"",$K44&lt;&gt;"",$J44=$K44,$J44&gt;=R$3,$J44&lt;=IF(param_mode_affichage="mois",EOMONTH(R$3,0),R$3+6)),"◆",""))</f>
      </c>
      <c r="S44" s="26">
        <f>IF(OR($A44="",S$3=""),"",IF(AND($J44&lt;&gt;"",$K44&lt;&gt;"",$J44=$K44,$J44&gt;=S$3,$J44&lt;=IF(param_mode_affichage="mois",EOMONTH(S$3,0),S$3+6)),"◆",""))</f>
      </c>
      <c r="T44" s="26">
        <f>IF(OR($A44="",T$3=""),"",IF(AND($J44&lt;&gt;"",$K44&lt;&gt;"",$J44=$K44,$J44&gt;=T$3,$J44&lt;=IF(param_mode_affichage="mois",EOMONTH(T$3,0),T$3+6)),"◆",""))</f>
      </c>
      <c r="U44" s="26">
        <f>IF(OR($A44="",U$3=""),"",IF(AND($J44&lt;&gt;"",$K44&lt;&gt;"",$J44=$K44,$J44&gt;=U$3,$J44&lt;=IF(param_mode_affichage="mois",EOMONTH(U$3,0),U$3+6)),"◆",""))</f>
      </c>
      <c r="V44" s="26">
        <f>IF(OR($A44="",V$3=""),"",IF(AND($J44&lt;&gt;"",$K44&lt;&gt;"",$J44=$K44,$J44&gt;=V$3,$J44&lt;=IF(param_mode_affichage="mois",EOMONTH(V$3,0),V$3+6)),"◆",""))</f>
      </c>
      <c r="W44" s="26">
        <f>IF(OR($A44="",W$3=""),"",IF(AND($J44&lt;&gt;"",$K44&lt;&gt;"",$J44=$K44,$J44&gt;=W$3,$J44&lt;=IF(param_mode_affichage="mois",EOMONTH(W$3,0),W$3+6)),"◆",""))</f>
      </c>
      <c r="X44" s="26">
        <f>IF(OR($A44="",X$3=""),"",IF(AND($J44&lt;&gt;"",$K44&lt;&gt;"",$J44=$K44,$J44&gt;=X$3,$J44&lt;=IF(param_mode_affichage="mois",EOMONTH(X$3,0),X$3+6)),"◆",""))</f>
      </c>
      <c r="Y44" s="26">
        <f>IF(OR($A44="",Y$3=""),"",IF(AND($J44&lt;&gt;"",$K44&lt;&gt;"",$J44=$K44,$J44&gt;=Y$3,$J44&lt;=IF(param_mode_affichage="mois",EOMONTH(Y$3,0),Y$3+6)),"◆",""))</f>
      </c>
      <c r="Z44" s="26">
        <f>IF(OR($A44="",Z$3=""),"",IF(AND($J44&lt;&gt;"",$K44&lt;&gt;"",$J44=$K44,$J44&gt;=Z$3,$J44&lt;=IF(param_mode_affichage="mois",EOMONTH(Z$3,0),Z$3+6)),"◆",""))</f>
      </c>
      <c r="AA44" s="26">
        <f>IF(OR($A44="",AA$3=""),"",IF(AND($J44&lt;&gt;"",$K44&lt;&gt;"",$J44=$K44,$J44&gt;=AA$3,$J44&lt;=IF(param_mode_affichage="mois",EOMONTH(AA$3,0),AA$3+6)),"◆",""))</f>
      </c>
      <c r="AB44" s="26">
        <f>IF(OR($A44="",AB$3=""),"",IF(AND($J44&lt;&gt;"",$K44&lt;&gt;"",$J44=$K44,$J44&gt;=AB$3,$J44&lt;=IF(param_mode_affichage="mois",EOMONTH(AB$3,0),AB$3+6)),"◆",""))</f>
      </c>
      <c r="AC44" s="26">
        <f>IF(OR($A44="",AC$3=""),"",IF(AND($J44&lt;&gt;"",$K44&lt;&gt;"",$J44=$K44,$J44&gt;=AC$3,$J44&lt;=IF(param_mode_affichage="mois",EOMONTH(AC$3,0),AC$3+6)),"◆",""))</f>
      </c>
      <c r="AD44" s="26">
        <f>IF(OR($A44="",AD$3=""),"",IF(AND($J44&lt;&gt;"",$K44&lt;&gt;"",$J44=$K44,$J44&gt;=AD$3,$J44&lt;=IF(param_mode_affichage="mois",EOMONTH(AD$3,0),AD$3+6)),"◆",""))</f>
      </c>
      <c r="AE44" s="26">
        <f>IF(OR($A44="",AE$3=""),"",IF(AND($J44&lt;&gt;"",$K44&lt;&gt;"",$J44=$K44,$J44&gt;=AE$3,$J44&lt;=IF(param_mode_affichage="mois",EOMONTH(AE$3,0),AE$3+6)),"◆",""))</f>
      </c>
      <c r="AF44" s="26">
        <f>IF(OR($A44="",AF$3=""),"",IF(AND($J44&lt;&gt;"",$K44&lt;&gt;"",$J44=$K44,$J44&gt;=AF$3,$J44&lt;=IF(param_mode_affichage="mois",EOMONTH(AF$3,0),AF$3+6)),"◆",""))</f>
      </c>
      <c r="AG44" s="26">
        <f>IF(OR($A44="",AG$3=""),"",IF(AND($J44&lt;&gt;"",$K44&lt;&gt;"",$J44=$K44,$J44&gt;=AG$3,$J44&lt;=IF(param_mode_affichage="mois",EOMONTH(AG$3,0),AG$3+6)),"◆",""))</f>
      </c>
      <c r="AH44" s="26">
        <f>IF(OR($A44="",AH$3=""),"",IF(AND($J44&lt;&gt;"",$K44&lt;&gt;"",$J44=$K44,$J44&gt;=AH$3,$J44&lt;=IF(param_mode_affichage="mois",EOMONTH(AH$3,0),AH$3+6)),"◆",""))</f>
      </c>
      <c r="AI44" s="26">
        <f>IF(OR($A44="",AI$3=""),"",IF(AND($J44&lt;&gt;"",$K44&lt;&gt;"",$J44=$K44,$J44&gt;=AI$3,$J44&lt;=IF(param_mode_affichage="mois",EOMONTH(AI$3,0),AI$3+6)),"◆",""))</f>
      </c>
      <c r="AJ44" s="26">
        <f>IF(OR($A44="",AJ$3=""),"",IF(AND($J44&lt;&gt;"",$K44&lt;&gt;"",$J44=$K44,$J44&gt;=AJ$3,$J44&lt;=IF(param_mode_affichage="mois",EOMONTH(AJ$3,0),AJ$3+6)),"◆",""))</f>
      </c>
      <c r="AK44" s="26">
        <f>IF(OR($A44="",AK$3=""),"",IF(AND($J44&lt;&gt;"",$K44&lt;&gt;"",$J44=$K44,$J44&gt;=AK$3,$J44&lt;=IF(param_mode_affichage="mois",EOMONTH(AK$3,0),AK$3+6)),"◆",""))</f>
      </c>
      <c r="AL44" s="26">
        <f>IF(OR($A44="",AL$3=""),"",IF(AND($J44&lt;&gt;"",$K44&lt;&gt;"",$J44=$K44,$J44&gt;=AL$3,$J44&lt;=IF(param_mode_affichage="mois",EOMONTH(AL$3,0),AL$3+6)),"◆",""))</f>
      </c>
      <c r="AM44" s="26">
        <f>IF(OR($A44="",AM$3=""),"",IF(AND($J44&lt;&gt;"",$K44&lt;&gt;"",$J44=$K44,$J44&gt;=AM$3,$J44&lt;=IF(param_mode_affichage="mois",EOMONTH(AM$3,0),AM$3+6)),"◆",""))</f>
      </c>
      <c r="AN44" s="26">
        <f>IF(OR($A44="",AN$3=""),"",IF(AND($J44&lt;&gt;"",$K44&lt;&gt;"",$J44=$K44,$J44&gt;=AN$3,$J44&lt;=IF(param_mode_affichage="mois",EOMONTH(AN$3,0),AN$3+6)),"◆",""))</f>
      </c>
      <c r="AO44" s="26">
        <f>IF(OR($A44="",AO$3=""),"",IF(AND($J44&lt;&gt;"",$K44&lt;&gt;"",$J44=$K44,$J44&gt;=AO$3,$J44&lt;=IF(param_mode_affichage="mois",EOMONTH(AO$3,0),AO$3+6)),"◆",""))</f>
      </c>
      <c r="AP44" s="26">
        <f>IF(OR($A44="",AP$3=""),"",IF(AND($J44&lt;&gt;"",$K44&lt;&gt;"",$J44=$K44,$J44&gt;=AP$3,$J44&lt;=IF(param_mode_affichage="mois",EOMONTH(AP$3,0),AP$3+6)),"◆",""))</f>
      </c>
      <c r="AQ44" s="26">
        <f>IF(OR($A44="",AQ$3=""),"",IF(AND($J44&lt;&gt;"",$K44&lt;&gt;"",$J44=$K44,$J44&gt;=AQ$3,$J44&lt;=IF(param_mode_affichage="mois",EOMONTH(AQ$3,0),AQ$3+6)),"◆",""))</f>
      </c>
      <c r="AR44" s="26">
        <f>IF(OR($A44="",AR$3=""),"",IF(AND($J44&lt;&gt;"",$K44&lt;&gt;"",$J44=$K44,$J44&gt;=AR$3,$J44&lt;=IF(param_mode_affichage="mois",EOMONTH(AR$3,0),AR$3+6)),"◆",""))</f>
      </c>
      <c r="AS44" s="26">
        <f>IF(OR($A44="",AS$3=""),"",IF(AND($J44&lt;&gt;"",$K44&lt;&gt;"",$J44=$K44,$J44&gt;=AS$3,$J44&lt;=IF(param_mode_affichage="mois",EOMONTH(AS$3,0),AS$3+6)),"◆",""))</f>
      </c>
      <c r="AT44" s="26">
        <f>IF(OR($A44="",AT$3=""),"",IF(AND($J44&lt;&gt;"",$K44&lt;&gt;"",$J44=$K44,$J44&gt;=AT$3,$J44&lt;=IF(param_mode_affichage="mois",EOMONTH(AT$3,0),AT$3+6)),"◆",""))</f>
      </c>
      <c r="AU44" s="26">
        <f>IF(OR($A44="",AU$3=""),"",IF(AND($J44&lt;&gt;"",$K44&lt;&gt;"",$J44=$K44,$J44&gt;=AU$3,$J44&lt;=IF(param_mode_affichage="mois",EOMONTH(AU$3,0),AU$3+6)),"◆",""))</f>
      </c>
      <c r="AV44" s="26">
        <f>IF(OR($A44="",AV$3=""),"",IF(AND($J44&lt;&gt;"",$K44&lt;&gt;"",$J44=$K44,$J44&gt;=AV$3,$J44&lt;=IF(param_mode_affichage="mois",EOMONTH(AV$3,0),AV$3+6)),"◆",""))</f>
      </c>
      <c r="AW44" s="26">
        <f>IF(OR($A44="",AW$3=""),"",IF(AND($J44&lt;&gt;"",$K44&lt;&gt;"",$J44=$K44,$J44&gt;=AW$3,$J44&lt;=IF(param_mode_affichage="mois",EOMONTH(AW$3,0),AW$3+6)),"◆",""))</f>
      </c>
      <c r="AX44" s="26">
        <f>IF(OR($A44="",AX$3=""),"",IF(AND($J44&lt;&gt;"",$K44&lt;&gt;"",$J44=$K44,$J44&gt;=AX$3,$J44&lt;=IF(param_mode_affichage="mois",EOMONTH(AX$3,0),AX$3+6)),"◆",""))</f>
      </c>
      <c r="AY44" s="26">
        <f>IF(OR($A44="",AY$3=""),"",IF(AND($J44&lt;&gt;"",$K44&lt;&gt;"",$J44=$K44,$J44&gt;=AY$3,$J44&lt;=IF(param_mode_affichage="mois",EOMONTH(AY$3,0),AY$3+6)),"◆",""))</f>
      </c>
      <c r="AZ44" s="26">
        <f>IF(OR($A44="",AZ$3=""),"",IF(AND($J44&lt;&gt;"",$K44&lt;&gt;"",$J44=$K44,$J44&gt;=AZ$3,$J44&lt;=IF(param_mode_affichage="mois",EOMONTH(AZ$3,0),AZ$3+6)),"◆",""))</f>
      </c>
      <c r="BA44" s="26">
        <f>IF(OR($A44="",BA$3=""),"",IF(AND($J44&lt;&gt;"",$K44&lt;&gt;"",$J44=$K44,$J44&gt;=BA$3,$J44&lt;=IF(param_mode_affichage="mois",EOMONTH(BA$3,0),BA$3+6)),"◆",""))</f>
      </c>
      <c r="BB44" s="26">
        <f>IF(OR($A44="",BB$3=""),"",IF(AND($J44&lt;&gt;"",$K44&lt;&gt;"",$J44=$K44,$J44&gt;=BB$3,$J44&lt;=IF(param_mode_affichage="mois",EOMONTH(BB$3,0),BB$3+6)),"◆",""))</f>
      </c>
      <c r="BC44" s="26">
        <f>IF(OR($A44="",BC$3=""),"",IF(AND($J44&lt;&gt;"",$K44&lt;&gt;"",$J44=$K44,$J44&gt;=BC$3,$J44&lt;=IF(param_mode_affichage="mois",EOMONTH(BC$3,0),BC$3+6)),"◆",""))</f>
      </c>
      <c r="BD44" s="26">
        <f>IF(OR($A44="",BD$3=""),"",IF(AND($J44&lt;&gt;"",$K44&lt;&gt;"",$J44=$K44,$J44&gt;=BD$3,$J44&lt;=IF(param_mode_affichage="mois",EOMONTH(BD$3,0),BD$3+6)),"◆",""))</f>
      </c>
      <c r="BE44" s="26">
        <f>IF(OR($A44="",BE$3=""),"",IF(AND($J44&lt;&gt;"",$K44&lt;&gt;"",$J44=$K44,$J44&gt;=BE$3,$J44&lt;=IF(param_mode_affichage="mois",EOMONTH(BE$3,0),BE$3+6)),"◆",""))</f>
      </c>
      <c r="BF44" s="26">
        <f>IF(OR($A44="",BF$3=""),"",IF(AND($J44&lt;&gt;"",$K44&lt;&gt;"",$J44=$K44,$J44&gt;=BF$3,$J44&lt;=IF(param_mode_affichage="mois",EOMONTH(BF$3,0),BF$3+6)),"◆",""))</f>
      </c>
      <c r="BG44" s="26">
        <f>IF(OR($A44="",BG$3=""),"",IF(AND($J44&lt;&gt;"",$K44&lt;&gt;"",$J44=$K44,$J44&gt;=BG$3,$J44&lt;=IF(param_mode_affichage="mois",EOMONTH(BG$3,0),BG$3+6)),"◆",""))</f>
      </c>
      <c r="BH44" s="26">
        <f>IF(OR($A44="",BH$3=""),"",IF(AND($J44&lt;&gt;"",$K44&lt;&gt;"",$J44=$K44,$J44&gt;=BH$3,$J44&lt;=IF(param_mode_affichage="mois",EOMONTH(BH$3,0),BH$3+6)),"◆",""))</f>
      </c>
      <c r="BI44" s="26">
        <f>IF(OR($A44="",BI$3=""),"",IF(AND($J44&lt;&gt;"",$K44&lt;&gt;"",$J44=$K44,$J44&gt;=BI$3,$J44&lt;=IF(param_mode_affichage="mois",EOMONTH(BI$3,0),BI$3+6)),"◆",""))</f>
      </c>
      <c r="BJ44" s="26">
        <f>IF(OR($A44="",BJ$3=""),"",IF(AND($J44&lt;&gt;"",$K44&lt;&gt;"",$J44=$K44,$J44&gt;=BJ$3,$J44&lt;=IF(param_mode_affichage="mois",EOMONTH(BJ$3,0),BJ$3+6)),"◆",""))</f>
      </c>
      <c r="BK44" s="26">
        <f>IF(OR($A44="",BK$3=""),"",IF(AND($J44&lt;&gt;"",$K44&lt;&gt;"",$J44=$K44,$J44&gt;=BK$3,$J44&lt;=IF(param_mode_affichage="mois",EOMONTH(BK$3,0),BK$3+6)),"◆",""))</f>
      </c>
      <c r="BL44" s="26">
        <f>IF(OR($A44="",BL$3=""),"",IF(AND($J44&lt;&gt;"",$K44&lt;&gt;"",$J44=$K44,$J44&gt;=BL$3,$J44&lt;=IF(param_mode_affichage="mois",EOMONTH(BL$3,0),BL$3+6)),"◆",""))</f>
      </c>
    </row>
    <row r="45" spans="1:64" x14ac:dyDescent="0.25">
      <c r="A45" s="23">
        <f>IFERROR(INDEX(tblTasks[ID],ROW()-4),"")</f>
      </c>
      <c r="B45" s="24">
        <f>IF($A45="","",INDEX(tblTasks[Sujet],ROW()-4))</f>
      </c>
      <c r="C45" s="23">
        <f>IF($A45="","",INDEX(tblTasks[Responsable],ROW()-4))</f>
      </c>
      <c r="D45" s="23">
        <f>IF($A45="","",INDEX(tblTasks[Statut],ROW()-4))</f>
      </c>
      <c r="E45" s="23">
        <f>IF($A45="","",INDEX(tblTasks[Depend_de],ROW()-4))</f>
      </c>
      <c r="F45" s="23">
        <f>IF($A45="","",INDEX(tblTasks[Blocage],ROW()-4))</f>
      </c>
      <c r="G45" s="23">
        <f>IF($A45="","",INDEX(tblTasks[Niveau_criticite],ROW()-4))</f>
      </c>
      <c r="H45" s="23">
        <f>IF($A45="","",INDEX(tblTasks[Goulot],ROW()-4))</f>
      </c>
      <c r="I45" s="23">
        <f>IF($A45="","",IF(LOWER($F45)="oui","non",IF($E45="","oui",IFERROR(IF(LOWER(INDEX(tblTasks[Statut],MATCH($E45,tblTasks[ID],0)))="clos","oui","non"),"non"))))</f>
      </c>
      <c r="J45" s="25">
        <f>IF($A45="","",INDEX(tblTasks[Date_debut_prevue],ROW()-4))</f>
      </c>
      <c r="K45" s="25">
        <f>IF($A45="","",INDEX(tblTasks[Date_fin_prevue],ROW()-4))</f>
      </c>
      <c r="L45" s="23">
        <f>IF($A45="","",INDEX(tblTasks[Irreversibilite],ROW()-4))</f>
      </c>
      <c r="M45" s="26">
        <f>IF(OR($A45="",M$3=""),"",IF(AND($J45&lt;&gt;"",$K45&lt;&gt;"",$J45=$K45,$J45&gt;=M$3,$J45&lt;=IF(param_mode_affichage="mois",EOMONTH(M$3,0),M$3+6)),"◆",""))</f>
      </c>
      <c r="N45" s="26">
        <f>IF(OR($A45="",N$3=""),"",IF(AND($J45&lt;&gt;"",$K45&lt;&gt;"",$J45=$K45,$J45&gt;=N$3,$J45&lt;=IF(param_mode_affichage="mois",EOMONTH(N$3,0),N$3+6)),"◆",""))</f>
      </c>
      <c r="O45" s="26">
        <f>IF(OR($A45="",O$3=""),"",IF(AND($J45&lt;&gt;"",$K45&lt;&gt;"",$J45=$K45,$J45&gt;=O$3,$J45&lt;=IF(param_mode_affichage="mois",EOMONTH(O$3,0),O$3+6)),"◆",""))</f>
      </c>
      <c r="P45" s="26">
        <f>IF(OR($A45="",P$3=""),"",IF(AND($J45&lt;&gt;"",$K45&lt;&gt;"",$J45=$K45,$J45&gt;=P$3,$J45&lt;=IF(param_mode_affichage="mois",EOMONTH(P$3,0),P$3+6)),"◆",""))</f>
      </c>
      <c r="Q45" s="26">
        <f>IF(OR($A45="",Q$3=""),"",IF(AND($J45&lt;&gt;"",$K45&lt;&gt;"",$J45=$K45,$J45&gt;=Q$3,$J45&lt;=IF(param_mode_affichage="mois",EOMONTH(Q$3,0),Q$3+6)),"◆",""))</f>
      </c>
      <c r="R45" s="26">
        <f>IF(OR($A45="",R$3=""),"",IF(AND($J45&lt;&gt;"",$K45&lt;&gt;"",$J45=$K45,$J45&gt;=R$3,$J45&lt;=IF(param_mode_affichage="mois",EOMONTH(R$3,0),R$3+6)),"◆",""))</f>
      </c>
      <c r="S45" s="26">
        <f>IF(OR($A45="",S$3=""),"",IF(AND($J45&lt;&gt;"",$K45&lt;&gt;"",$J45=$K45,$J45&gt;=S$3,$J45&lt;=IF(param_mode_affichage="mois",EOMONTH(S$3,0),S$3+6)),"◆",""))</f>
      </c>
      <c r="T45" s="26">
        <f>IF(OR($A45="",T$3=""),"",IF(AND($J45&lt;&gt;"",$K45&lt;&gt;"",$J45=$K45,$J45&gt;=T$3,$J45&lt;=IF(param_mode_affichage="mois",EOMONTH(T$3,0),T$3+6)),"◆",""))</f>
      </c>
      <c r="U45" s="26">
        <f>IF(OR($A45="",U$3=""),"",IF(AND($J45&lt;&gt;"",$K45&lt;&gt;"",$J45=$K45,$J45&gt;=U$3,$J45&lt;=IF(param_mode_affichage="mois",EOMONTH(U$3,0),U$3+6)),"◆",""))</f>
      </c>
      <c r="V45" s="26">
        <f>IF(OR($A45="",V$3=""),"",IF(AND($J45&lt;&gt;"",$K45&lt;&gt;"",$J45=$K45,$J45&gt;=V$3,$J45&lt;=IF(param_mode_affichage="mois",EOMONTH(V$3,0),V$3+6)),"◆",""))</f>
      </c>
      <c r="W45" s="26">
        <f>IF(OR($A45="",W$3=""),"",IF(AND($J45&lt;&gt;"",$K45&lt;&gt;"",$J45=$K45,$J45&gt;=W$3,$J45&lt;=IF(param_mode_affichage="mois",EOMONTH(W$3,0),W$3+6)),"◆",""))</f>
      </c>
      <c r="X45" s="26">
        <f>IF(OR($A45="",X$3=""),"",IF(AND($J45&lt;&gt;"",$K45&lt;&gt;"",$J45=$K45,$J45&gt;=X$3,$J45&lt;=IF(param_mode_affichage="mois",EOMONTH(X$3,0),X$3+6)),"◆",""))</f>
      </c>
      <c r="Y45" s="26">
        <f>IF(OR($A45="",Y$3=""),"",IF(AND($J45&lt;&gt;"",$K45&lt;&gt;"",$J45=$K45,$J45&gt;=Y$3,$J45&lt;=IF(param_mode_affichage="mois",EOMONTH(Y$3,0),Y$3+6)),"◆",""))</f>
      </c>
      <c r="Z45" s="26">
        <f>IF(OR($A45="",Z$3=""),"",IF(AND($J45&lt;&gt;"",$K45&lt;&gt;"",$J45=$K45,$J45&gt;=Z$3,$J45&lt;=IF(param_mode_affichage="mois",EOMONTH(Z$3,0),Z$3+6)),"◆",""))</f>
      </c>
      <c r="AA45" s="26">
        <f>IF(OR($A45="",AA$3=""),"",IF(AND($J45&lt;&gt;"",$K45&lt;&gt;"",$J45=$K45,$J45&gt;=AA$3,$J45&lt;=IF(param_mode_affichage="mois",EOMONTH(AA$3,0),AA$3+6)),"◆",""))</f>
      </c>
      <c r="AB45" s="26">
        <f>IF(OR($A45="",AB$3=""),"",IF(AND($J45&lt;&gt;"",$K45&lt;&gt;"",$J45=$K45,$J45&gt;=AB$3,$J45&lt;=IF(param_mode_affichage="mois",EOMONTH(AB$3,0),AB$3+6)),"◆",""))</f>
      </c>
      <c r="AC45" s="26">
        <f>IF(OR($A45="",AC$3=""),"",IF(AND($J45&lt;&gt;"",$K45&lt;&gt;"",$J45=$K45,$J45&gt;=AC$3,$J45&lt;=IF(param_mode_affichage="mois",EOMONTH(AC$3,0),AC$3+6)),"◆",""))</f>
      </c>
      <c r="AD45" s="26">
        <f>IF(OR($A45="",AD$3=""),"",IF(AND($J45&lt;&gt;"",$K45&lt;&gt;"",$J45=$K45,$J45&gt;=AD$3,$J45&lt;=IF(param_mode_affichage="mois",EOMONTH(AD$3,0),AD$3+6)),"◆",""))</f>
      </c>
      <c r="AE45" s="26">
        <f>IF(OR($A45="",AE$3=""),"",IF(AND($J45&lt;&gt;"",$K45&lt;&gt;"",$J45=$K45,$J45&gt;=AE$3,$J45&lt;=IF(param_mode_affichage="mois",EOMONTH(AE$3,0),AE$3+6)),"◆",""))</f>
      </c>
      <c r="AF45" s="26">
        <f>IF(OR($A45="",AF$3=""),"",IF(AND($J45&lt;&gt;"",$K45&lt;&gt;"",$J45=$K45,$J45&gt;=AF$3,$J45&lt;=IF(param_mode_affichage="mois",EOMONTH(AF$3,0),AF$3+6)),"◆",""))</f>
      </c>
      <c r="AG45" s="26">
        <f>IF(OR($A45="",AG$3=""),"",IF(AND($J45&lt;&gt;"",$K45&lt;&gt;"",$J45=$K45,$J45&gt;=AG$3,$J45&lt;=IF(param_mode_affichage="mois",EOMONTH(AG$3,0),AG$3+6)),"◆",""))</f>
      </c>
      <c r="AH45" s="26">
        <f>IF(OR($A45="",AH$3=""),"",IF(AND($J45&lt;&gt;"",$K45&lt;&gt;"",$J45=$K45,$J45&gt;=AH$3,$J45&lt;=IF(param_mode_affichage="mois",EOMONTH(AH$3,0),AH$3+6)),"◆",""))</f>
      </c>
      <c r="AI45" s="26">
        <f>IF(OR($A45="",AI$3=""),"",IF(AND($J45&lt;&gt;"",$K45&lt;&gt;"",$J45=$K45,$J45&gt;=AI$3,$J45&lt;=IF(param_mode_affichage="mois",EOMONTH(AI$3,0),AI$3+6)),"◆",""))</f>
      </c>
      <c r="AJ45" s="26">
        <f>IF(OR($A45="",AJ$3=""),"",IF(AND($J45&lt;&gt;"",$K45&lt;&gt;"",$J45=$K45,$J45&gt;=AJ$3,$J45&lt;=IF(param_mode_affichage="mois",EOMONTH(AJ$3,0),AJ$3+6)),"◆",""))</f>
      </c>
      <c r="AK45" s="26">
        <f>IF(OR($A45="",AK$3=""),"",IF(AND($J45&lt;&gt;"",$K45&lt;&gt;"",$J45=$K45,$J45&gt;=AK$3,$J45&lt;=IF(param_mode_affichage="mois",EOMONTH(AK$3,0),AK$3+6)),"◆",""))</f>
      </c>
      <c r="AL45" s="26">
        <f>IF(OR($A45="",AL$3=""),"",IF(AND($J45&lt;&gt;"",$K45&lt;&gt;"",$J45=$K45,$J45&gt;=AL$3,$J45&lt;=IF(param_mode_affichage="mois",EOMONTH(AL$3,0),AL$3+6)),"◆",""))</f>
      </c>
      <c r="AM45" s="26">
        <f>IF(OR($A45="",AM$3=""),"",IF(AND($J45&lt;&gt;"",$K45&lt;&gt;"",$J45=$K45,$J45&gt;=AM$3,$J45&lt;=IF(param_mode_affichage="mois",EOMONTH(AM$3,0),AM$3+6)),"◆",""))</f>
      </c>
      <c r="AN45" s="26">
        <f>IF(OR($A45="",AN$3=""),"",IF(AND($J45&lt;&gt;"",$K45&lt;&gt;"",$J45=$K45,$J45&gt;=AN$3,$J45&lt;=IF(param_mode_affichage="mois",EOMONTH(AN$3,0),AN$3+6)),"◆",""))</f>
      </c>
      <c r="AO45" s="26">
        <f>IF(OR($A45="",AO$3=""),"",IF(AND($J45&lt;&gt;"",$K45&lt;&gt;"",$J45=$K45,$J45&gt;=AO$3,$J45&lt;=IF(param_mode_affichage="mois",EOMONTH(AO$3,0),AO$3+6)),"◆",""))</f>
      </c>
      <c r="AP45" s="26">
        <f>IF(OR($A45="",AP$3=""),"",IF(AND($J45&lt;&gt;"",$K45&lt;&gt;"",$J45=$K45,$J45&gt;=AP$3,$J45&lt;=IF(param_mode_affichage="mois",EOMONTH(AP$3,0),AP$3+6)),"◆",""))</f>
      </c>
      <c r="AQ45" s="26">
        <f>IF(OR($A45="",AQ$3=""),"",IF(AND($J45&lt;&gt;"",$K45&lt;&gt;"",$J45=$K45,$J45&gt;=AQ$3,$J45&lt;=IF(param_mode_affichage="mois",EOMONTH(AQ$3,0),AQ$3+6)),"◆",""))</f>
      </c>
      <c r="AR45" s="26">
        <f>IF(OR($A45="",AR$3=""),"",IF(AND($J45&lt;&gt;"",$K45&lt;&gt;"",$J45=$K45,$J45&gt;=AR$3,$J45&lt;=IF(param_mode_affichage="mois",EOMONTH(AR$3,0),AR$3+6)),"◆",""))</f>
      </c>
      <c r="AS45" s="26">
        <f>IF(OR($A45="",AS$3=""),"",IF(AND($J45&lt;&gt;"",$K45&lt;&gt;"",$J45=$K45,$J45&gt;=AS$3,$J45&lt;=IF(param_mode_affichage="mois",EOMONTH(AS$3,0),AS$3+6)),"◆",""))</f>
      </c>
      <c r="AT45" s="26">
        <f>IF(OR($A45="",AT$3=""),"",IF(AND($J45&lt;&gt;"",$K45&lt;&gt;"",$J45=$K45,$J45&gt;=AT$3,$J45&lt;=IF(param_mode_affichage="mois",EOMONTH(AT$3,0),AT$3+6)),"◆",""))</f>
      </c>
      <c r="AU45" s="26">
        <f>IF(OR($A45="",AU$3=""),"",IF(AND($J45&lt;&gt;"",$K45&lt;&gt;"",$J45=$K45,$J45&gt;=AU$3,$J45&lt;=IF(param_mode_affichage="mois",EOMONTH(AU$3,0),AU$3+6)),"◆",""))</f>
      </c>
      <c r="AV45" s="26">
        <f>IF(OR($A45="",AV$3=""),"",IF(AND($J45&lt;&gt;"",$K45&lt;&gt;"",$J45=$K45,$J45&gt;=AV$3,$J45&lt;=IF(param_mode_affichage="mois",EOMONTH(AV$3,0),AV$3+6)),"◆",""))</f>
      </c>
      <c r="AW45" s="26">
        <f>IF(OR($A45="",AW$3=""),"",IF(AND($J45&lt;&gt;"",$K45&lt;&gt;"",$J45=$K45,$J45&gt;=AW$3,$J45&lt;=IF(param_mode_affichage="mois",EOMONTH(AW$3,0),AW$3+6)),"◆",""))</f>
      </c>
      <c r="AX45" s="26">
        <f>IF(OR($A45="",AX$3=""),"",IF(AND($J45&lt;&gt;"",$K45&lt;&gt;"",$J45=$K45,$J45&gt;=AX$3,$J45&lt;=IF(param_mode_affichage="mois",EOMONTH(AX$3,0),AX$3+6)),"◆",""))</f>
      </c>
      <c r="AY45" s="26">
        <f>IF(OR($A45="",AY$3=""),"",IF(AND($J45&lt;&gt;"",$K45&lt;&gt;"",$J45=$K45,$J45&gt;=AY$3,$J45&lt;=IF(param_mode_affichage="mois",EOMONTH(AY$3,0),AY$3+6)),"◆",""))</f>
      </c>
      <c r="AZ45" s="26">
        <f>IF(OR($A45="",AZ$3=""),"",IF(AND($J45&lt;&gt;"",$K45&lt;&gt;"",$J45=$K45,$J45&gt;=AZ$3,$J45&lt;=IF(param_mode_affichage="mois",EOMONTH(AZ$3,0),AZ$3+6)),"◆",""))</f>
      </c>
      <c r="BA45" s="26">
        <f>IF(OR($A45="",BA$3=""),"",IF(AND($J45&lt;&gt;"",$K45&lt;&gt;"",$J45=$K45,$J45&gt;=BA$3,$J45&lt;=IF(param_mode_affichage="mois",EOMONTH(BA$3,0),BA$3+6)),"◆",""))</f>
      </c>
      <c r="BB45" s="26">
        <f>IF(OR($A45="",BB$3=""),"",IF(AND($J45&lt;&gt;"",$K45&lt;&gt;"",$J45=$K45,$J45&gt;=BB$3,$J45&lt;=IF(param_mode_affichage="mois",EOMONTH(BB$3,0),BB$3+6)),"◆",""))</f>
      </c>
      <c r="BC45" s="26">
        <f>IF(OR($A45="",BC$3=""),"",IF(AND($J45&lt;&gt;"",$K45&lt;&gt;"",$J45=$K45,$J45&gt;=BC$3,$J45&lt;=IF(param_mode_affichage="mois",EOMONTH(BC$3,0),BC$3+6)),"◆",""))</f>
      </c>
      <c r="BD45" s="26">
        <f>IF(OR($A45="",BD$3=""),"",IF(AND($J45&lt;&gt;"",$K45&lt;&gt;"",$J45=$K45,$J45&gt;=BD$3,$J45&lt;=IF(param_mode_affichage="mois",EOMONTH(BD$3,0),BD$3+6)),"◆",""))</f>
      </c>
      <c r="BE45" s="26">
        <f>IF(OR($A45="",BE$3=""),"",IF(AND($J45&lt;&gt;"",$K45&lt;&gt;"",$J45=$K45,$J45&gt;=BE$3,$J45&lt;=IF(param_mode_affichage="mois",EOMONTH(BE$3,0),BE$3+6)),"◆",""))</f>
      </c>
      <c r="BF45" s="26">
        <f>IF(OR($A45="",BF$3=""),"",IF(AND($J45&lt;&gt;"",$K45&lt;&gt;"",$J45=$K45,$J45&gt;=BF$3,$J45&lt;=IF(param_mode_affichage="mois",EOMONTH(BF$3,0),BF$3+6)),"◆",""))</f>
      </c>
      <c r="BG45" s="26">
        <f>IF(OR($A45="",BG$3=""),"",IF(AND($J45&lt;&gt;"",$K45&lt;&gt;"",$J45=$K45,$J45&gt;=BG$3,$J45&lt;=IF(param_mode_affichage="mois",EOMONTH(BG$3,0),BG$3+6)),"◆",""))</f>
      </c>
      <c r="BH45" s="26">
        <f>IF(OR($A45="",BH$3=""),"",IF(AND($J45&lt;&gt;"",$K45&lt;&gt;"",$J45=$K45,$J45&gt;=BH$3,$J45&lt;=IF(param_mode_affichage="mois",EOMONTH(BH$3,0),BH$3+6)),"◆",""))</f>
      </c>
      <c r="BI45" s="26">
        <f>IF(OR($A45="",BI$3=""),"",IF(AND($J45&lt;&gt;"",$K45&lt;&gt;"",$J45=$K45,$J45&gt;=BI$3,$J45&lt;=IF(param_mode_affichage="mois",EOMONTH(BI$3,0),BI$3+6)),"◆",""))</f>
      </c>
      <c r="BJ45" s="26">
        <f>IF(OR($A45="",BJ$3=""),"",IF(AND($J45&lt;&gt;"",$K45&lt;&gt;"",$J45=$K45,$J45&gt;=BJ$3,$J45&lt;=IF(param_mode_affichage="mois",EOMONTH(BJ$3,0),BJ$3+6)),"◆",""))</f>
      </c>
      <c r="BK45" s="26">
        <f>IF(OR($A45="",BK$3=""),"",IF(AND($J45&lt;&gt;"",$K45&lt;&gt;"",$J45=$K45,$J45&gt;=BK$3,$J45&lt;=IF(param_mode_affichage="mois",EOMONTH(BK$3,0),BK$3+6)),"◆",""))</f>
      </c>
      <c r="BL45" s="26">
        <f>IF(OR($A45="",BL$3=""),"",IF(AND($J45&lt;&gt;"",$K45&lt;&gt;"",$J45=$K45,$J45&gt;=BL$3,$J45&lt;=IF(param_mode_affichage="mois",EOMONTH(BL$3,0),BL$3+6)),"◆",""))</f>
      </c>
    </row>
    <row r="46" spans="1:64" x14ac:dyDescent="0.25">
      <c r="A46" s="23">
        <f>IFERROR(INDEX(tblTasks[ID],ROW()-4),"")</f>
      </c>
      <c r="B46" s="24">
        <f>IF($A46="","",INDEX(tblTasks[Sujet],ROW()-4))</f>
      </c>
      <c r="C46" s="23">
        <f>IF($A46="","",INDEX(tblTasks[Responsable],ROW()-4))</f>
      </c>
      <c r="D46" s="23">
        <f>IF($A46="","",INDEX(tblTasks[Statut],ROW()-4))</f>
      </c>
      <c r="E46" s="23">
        <f>IF($A46="","",INDEX(tblTasks[Depend_de],ROW()-4))</f>
      </c>
      <c r="F46" s="23">
        <f>IF($A46="","",INDEX(tblTasks[Blocage],ROW()-4))</f>
      </c>
      <c r="G46" s="23">
        <f>IF($A46="","",INDEX(tblTasks[Niveau_criticite],ROW()-4))</f>
      </c>
      <c r="H46" s="23">
        <f>IF($A46="","",INDEX(tblTasks[Goulot],ROW()-4))</f>
      </c>
      <c r="I46" s="23">
        <f>IF($A46="","",IF(LOWER($F46)="oui","non",IF($E46="","oui",IFERROR(IF(LOWER(INDEX(tblTasks[Statut],MATCH($E46,tblTasks[ID],0)))="clos","oui","non"),"non"))))</f>
      </c>
      <c r="J46" s="25">
        <f>IF($A46="","",INDEX(tblTasks[Date_debut_prevue],ROW()-4))</f>
      </c>
      <c r="K46" s="25">
        <f>IF($A46="","",INDEX(tblTasks[Date_fin_prevue],ROW()-4))</f>
      </c>
      <c r="L46" s="23">
        <f>IF($A46="","",INDEX(tblTasks[Irreversibilite],ROW()-4))</f>
      </c>
      <c r="M46" s="26">
        <f>IF(OR($A46="",M$3=""),"",IF(AND($J46&lt;&gt;"",$K46&lt;&gt;"",$J46=$K46,$J46&gt;=M$3,$J46&lt;=IF(param_mode_affichage="mois",EOMONTH(M$3,0),M$3+6)),"◆",""))</f>
      </c>
      <c r="N46" s="26">
        <f>IF(OR($A46="",N$3=""),"",IF(AND($J46&lt;&gt;"",$K46&lt;&gt;"",$J46=$K46,$J46&gt;=N$3,$J46&lt;=IF(param_mode_affichage="mois",EOMONTH(N$3,0),N$3+6)),"◆",""))</f>
      </c>
      <c r="O46" s="26">
        <f>IF(OR($A46="",O$3=""),"",IF(AND($J46&lt;&gt;"",$K46&lt;&gt;"",$J46=$K46,$J46&gt;=O$3,$J46&lt;=IF(param_mode_affichage="mois",EOMONTH(O$3,0),O$3+6)),"◆",""))</f>
      </c>
      <c r="P46" s="26">
        <f>IF(OR($A46="",P$3=""),"",IF(AND($J46&lt;&gt;"",$K46&lt;&gt;"",$J46=$K46,$J46&gt;=P$3,$J46&lt;=IF(param_mode_affichage="mois",EOMONTH(P$3,0),P$3+6)),"◆",""))</f>
      </c>
      <c r="Q46" s="26">
        <f>IF(OR($A46="",Q$3=""),"",IF(AND($J46&lt;&gt;"",$K46&lt;&gt;"",$J46=$K46,$J46&gt;=Q$3,$J46&lt;=IF(param_mode_affichage="mois",EOMONTH(Q$3,0),Q$3+6)),"◆",""))</f>
      </c>
      <c r="R46" s="26">
        <f>IF(OR($A46="",R$3=""),"",IF(AND($J46&lt;&gt;"",$K46&lt;&gt;"",$J46=$K46,$J46&gt;=R$3,$J46&lt;=IF(param_mode_affichage="mois",EOMONTH(R$3,0),R$3+6)),"◆",""))</f>
      </c>
      <c r="S46" s="26">
        <f>IF(OR($A46="",S$3=""),"",IF(AND($J46&lt;&gt;"",$K46&lt;&gt;"",$J46=$K46,$J46&gt;=S$3,$J46&lt;=IF(param_mode_affichage="mois",EOMONTH(S$3,0),S$3+6)),"◆",""))</f>
      </c>
      <c r="T46" s="26">
        <f>IF(OR($A46="",T$3=""),"",IF(AND($J46&lt;&gt;"",$K46&lt;&gt;"",$J46=$K46,$J46&gt;=T$3,$J46&lt;=IF(param_mode_affichage="mois",EOMONTH(T$3,0),T$3+6)),"◆",""))</f>
      </c>
      <c r="U46" s="26">
        <f>IF(OR($A46="",U$3=""),"",IF(AND($J46&lt;&gt;"",$K46&lt;&gt;"",$J46=$K46,$J46&gt;=U$3,$J46&lt;=IF(param_mode_affichage="mois",EOMONTH(U$3,0),U$3+6)),"◆",""))</f>
      </c>
      <c r="V46" s="26">
        <f>IF(OR($A46="",V$3=""),"",IF(AND($J46&lt;&gt;"",$K46&lt;&gt;"",$J46=$K46,$J46&gt;=V$3,$J46&lt;=IF(param_mode_affichage="mois",EOMONTH(V$3,0),V$3+6)),"◆",""))</f>
      </c>
      <c r="W46" s="26">
        <f>IF(OR($A46="",W$3=""),"",IF(AND($J46&lt;&gt;"",$K46&lt;&gt;"",$J46=$K46,$J46&gt;=W$3,$J46&lt;=IF(param_mode_affichage="mois",EOMONTH(W$3,0),W$3+6)),"◆",""))</f>
      </c>
      <c r="X46" s="26">
        <f>IF(OR($A46="",X$3=""),"",IF(AND($J46&lt;&gt;"",$K46&lt;&gt;"",$J46=$K46,$J46&gt;=X$3,$J46&lt;=IF(param_mode_affichage="mois",EOMONTH(X$3,0),X$3+6)),"◆",""))</f>
      </c>
      <c r="Y46" s="26">
        <f>IF(OR($A46="",Y$3=""),"",IF(AND($J46&lt;&gt;"",$K46&lt;&gt;"",$J46=$K46,$J46&gt;=Y$3,$J46&lt;=IF(param_mode_affichage="mois",EOMONTH(Y$3,0),Y$3+6)),"◆",""))</f>
      </c>
      <c r="Z46" s="26">
        <f>IF(OR($A46="",Z$3=""),"",IF(AND($J46&lt;&gt;"",$K46&lt;&gt;"",$J46=$K46,$J46&gt;=Z$3,$J46&lt;=IF(param_mode_affichage="mois",EOMONTH(Z$3,0),Z$3+6)),"◆",""))</f>
      </c>
      <c r="AA46" s="26">
        <f>IF(OR($A46="",AA$3=""),"",IF(AND($J46&lt;&gt;"",$K46&lt;&gt;"",$J46=$K46,$J46&gt;=AA$3,$J46&lt;=IF(param_mode_affichage="mois",EOMONTH(AA$3,0),AA$3+6)),"◆",""))</f>
      </c>
      <c r="AB46" s="26">
        <f>IF(OR($A46="",AB$3=""),"",IF(AND($J46&lt;&gt;"",$K46&lt;&gt;"",$J46=$K46,$J46&gt;=AB$3,$J46&lt;=IF(param_mode_affichage="mois",EOMONTH(AB$3,0),AB$3+6)),"◆",""))</f>
      </c>
      <c r="AC46" s="26">
        <f>IF(OR($A46="",AC$3=""),"",IF(AND($J46&lt;&gt;"",$K46&lt;&gt;"",$J46=$K46,$J46&gt;=AC$3,$J46&lt;=IF(param_mode_affichage="mois",EOMONTH(AC$3,0),AC$3+6)),"◆",""))</f>
      </c>
      <c r="AD46" s="26">
        <f>IF(OR($A46="",AD$3=""),"",IF(AND($J46&lt;&gt;"",$K46&lt;&gt;"",$J46=$K46,$J46&gt;=AD$3,$J46&lt;=IF(param_mode_affichage="mois",EOMONTH(AD$3,0),AD$3+6)),"◆",""))</f>
      </c>
      <c r="AE46" s="26">
        <f>IF(OR($A46="",AE$3=""),"",IF(AND($J46&lt;&gt;"",$K46&lt;&gt;"",$J46=$K46,$J46&gt;=AE$3,$J46&lt;=IF(param_mode_affichage="mois",EOMONTH(AE$3,0),AE$3+6)),"◆",""))</f>
      </c>
      <c r="AF46" s="26">
        <f>IF(OR($A46="",AF$3=""),"",IF(AND($J46&lt;&gt;"",$K46&lt;&gt;"",$J46=$K46,$J46&gt;=AF$3,$J46&lt;=IF(param_mode_affichage="mois",EOMONTH(AF$3,0),AF$3+6)),"◆",""))</f>
      </c>
      <c r="AG46" s="26">
        <f>IF(OR($A46="",AG$3=""),"",IF(AND($J46&lt;&gt;"",$K46&lt;&gt;"",$J46=$K46,$J46&gt;=AG$3,$J46&lt;=IF(param_mode_affichage="mois",EOMONTH(AG$3,0),AG$3+6)),"◆",""))</f>
      </c>
      <c r="AH46" s="26">
        <f>IF(OR($A46="",AH$3=""),"",IF(AND($J46&lt;&gt;"",$K46&lt;&gt;"",$J46=$K46,$J46&gt;=AH$3,$J46&lt;=IF(param_mode_affichage="mois",EOMONTH(AH$3,0),AH$3+6)),"◆",""))</f>
      </c>
      <c r="AI46" s="26">
        <f>IF(OR($A46="",AI$3=""),"",IF(AND($J46&lt;&gt;"",$K46&lt;&gt;"",$J46=$K46,$J46&gt;=AI$3,$J46&lt;=IF(param_mode_affichage="mois",EOMONTH(AI$3,0),AI$3+6)),"◆",""))</f>
      </c>
      <c r="AJ46" s="26">
        <f>IF(OR($A46="",AJ$3=""),"",IF(AND($J46&lt;&gt;"",$K46&lt;&gt;"",$J46=$K46,$J46&gt;=AJ$3,$J46&lt;=IF(param_mode_affichage="mois",EOMONTH(AJ$3,0),AJ$3+6)),"◆",""))</f>
      </c>
      <c r="AK46" s="26">
        <f>IF(OR($A46="",AK$3=""),"",IF(AND($J46&lt;&gt;"",$K46&lt;&gt;"",$J46=$K46,$J46&gt;=AK$3,$J46&lt;=IF(param_mode_affichage="mois",EOMONTH(AK$3,0),AK$3+6)),"◆",""))</f>
      </c>
      <c r="AL46" s="26">
        <f>IF(OR($A46="",AL$3=""),"",IF(AND($J46&lt;&gt;"",$K46&lt;&gt;"",$J46=$K46,$J46&gt;=AL$3,$J46&lt;=IF(param_mode_affichage="mois",EOMONTH(AL$3,0),AL$3+6)),"◆",""))</f>
      </c>
      <c r="AM46" s="26">
        <f>IF(OR($A46="",AM$3=""),"",IF(AND($J46&lt;&gt;"",$K46&lt;&gt;"",$J46=$K46,$J46&gt;=AM$3,$J46&lt;=IF(param_mode_affichage="mois",EOMONTH(AM$3,0),AM$3+6)),"◆",""))</f>
      </c>
      <c r="AN46" s="26">
        <f>IF(OR($A46="",AN$3=""),"",IF(AND($J46&lt;&gt;"",$K46&lt;&gt;"",$J46=$K46,$J46&gt;=AN$3,$J46&lt;=IF(param_mode_affichage="mois",EOMONTH(AN$3,0),AN$3+6)),"◆",""))</f>
      </c>
      <c r="AO46" s="26">
        <f>IF(OR($A46="",AO$3=""),"",IF(AND($J46&lt;&gt;"",$K46&lt;&gt;"",$J46=$K46,$J46&gt;=AO$3,$J46&lt;=IF(param_mode_affichage="mois",EOMONTH(AO$3,0),AO$3+6)),"◆",""))</f>
      </c>
      <c r="AP46" s="26">
        <f>IF(OR($A46="",AP$3=""),"",IF(AND($J46&lt;&gt;"",$K46&lt;&gt;"",$J46=$K46,$J46&gt;=AP$3,$J46&lt;=IF(param_mode_affichage="mois",EOMONTH(AP$3,0),AP$3+6)),"◆",""))</f>
      </c>
      <c r="AQ46" s="26">
        <f>IF(OR($A46="",AQ$3=""),"",IF(AND($J46&lt;&gt;"",$K46&lt;&gt;"",$J46=$K46,$J46&gt;=AQ$3,$J46&lt;=IF(param_mode_affichage="mois",EOMONTH(AQ$3,0),AQ$3+6)),"◆",""))</f>
      </c>
      <c r="AR46" s="26">
        <f>IF(OR($A46="",AR$3=""),"",IF(AND($J46&lt;&gt;"",$K46&lt;&gt;"",$J46=$K46,$J46&gt;=AR$3,$J46&lt;=IF(param_mode_affichage="mois",EOMONTH(AR$3,0),AR$3+6)),"◆",""))</f>
      </c>
      <c r="AS46" s="26">
        <f>IF(OR($A46="",AS$3=""),"",IF(AND($J46&lt;&gt;"",$K46&lt;&gt;"",$J46=$K46,$J46&gt;=AS$3,$J46&lt;=IF(param_mode_affichage="mois",EOMONTH(AS$3,0),AS$3+6)),"◆",""))</f>
      </c>
      <c r="AT46" s="26">
        <f>IF(OR($A46="",AT$3=""),"",IF(AND($J46&lt;&gt;"",$K46&lt;&gt;"",$J46=$K46,$J46&gt;=AT$3,$J46&lt;=IF(param_mode_affichage="mois",EOMONTH(AT$3,0),AT$3+6)),"◆",""))</f>
      </c>
      <c r="AU46" s="26">
        <f>IF(OR($A46="",AU$3=""),"",IF(AND($J46&lt;&gt;"",$K46&lt;&gt;"",$J46=$K46,$J46&gt;=AU$3,$J46&lt;=IF(param_mode_affichage="mois",EOMONTH(AU$3,0),AU$3+6)),"◆",""))</f>
      </c>
      <c r="AV46" s="26">
        <f>IF(OR($A46="",AV$3=""),"",IF(AND($J46&lt;&gt;"",$K46&lt;&gt;"",$J46=$K46,$J46&gt;=AV$3,$J46&lt;=IF(param_mode_affichage="mois",EOMONTH(AV$3,0),AV$3+6)),"◆",""))</f>
      </c>
      <c r="AW46" s="26">
        <f>IF(OR($A46="",AW$3=""),"",IF(AND($J46&lt;&gt;"",$K46&lt;&gt;"",$J46=$K46,$J46&gt;=AW$3,$J46&lt;=IF(param_mode_affichage="mois",EOMONTH(AW$3,0),AW$3+6)),"◆",""))</f>
      </c>
      <c r="AX46" s="26">
        <f>IF(OR($A46="",AX$3=""),"",IF(AND($J46&lt;&gt;"",$K46&lt;&gt;"",$J46=$K46,$J46&gt;=AX$3,$J46&lt;=IF(param_mode_affichage="mois",EOMONTH(AX$3,0),AX$3+6)),"◆",""))</f>
      </c>
      <c r="AY46" s="26">
        <f>IF(OR($A46="",AY$3=""),"",IF(AND($J46&lt;&gt;"",$K46&lt;&gt;"",$J46=$K46,$J46&gt;=AY$3,$J46&lt;=IF(param_mode_affichage="mois",EOMONTH(AY$3,0),AY$3+6)),"◆",""))</f>
      </c>
      <c r="AZ46" s="26">
        <f>IF(OR($A46="",AZ$3=""),"",IF(AND($J46&lt;&gt;"",$K46&lt;&gt;"",$J46=$K46,$J46&gt;=AZ$3,$J46&lt;=IF(param_mode_affichage="mois",EOMONTH(AZ$3,0),AZ$3+6)),"◆",""))</f>
      </c>
      <c r="BA46" s="26">
        <f>IF(OR($A46="",BA$3=""),"",IF(AND($J46&lt;&gt;"",$K46&lt;&gt;"",$J46=$K46,$J46&gt;=BA$3,$J46&lt;=IF(param_mode_affichage="mois",EOMONTH(BA$3,0),BA$3+6)),"◆",""))</f>
      </c>
      <c r="BB46" s="26">
        <f>IF(OR($A46="",BB$3=""),"",IF(AND($J46&lt;&gt;"",$K46&lt;&gt;"",$J46=$K46,$J46&gt;=BB$3,$J46&lt;=IF(param_mode_affichage="mois",EOMONTH(BB$3,0),BB$3+6)),"◆",""))</f>
      </c>
      <c r="BC46" s="26">
        <f>IF(OR($A46="",BC$3=""),"",IF(AND($J46&lt;&gt;"",$K46&lt;&gt;"",$J46=$K46,$J46&gt;=BC$3,$J46&lt;=IF(param_mode_affichage="mois",EOMONTH(BC$3,0),BC$3+6)),"◆",""))</f>
      </c>
      <c r="BD46" s="26">
        <f>IF(OR($A46="",BD$3=""),"",IF(AND($J46&lt;&gt;"",$K46&lt;&gt;"",$J46=$K46,$J46&gt;=BD$3,$J46&lt;=IF(param_mode_affichage="mois",EOMONTH(BD$3,0),BD$3+6)),"◆",""))</f>
      </c>
      <c r="BE46" s="26">
        <f>IF(OR($A46="",BE$3=""),"",IF(AND($J46&lt;&gt;"",$K46&lt;&gt;"",$J46=$K46,$J46&gt;=BE$3,$J46&lt;=IF(param_mode_affichage="mois",EOMONTH(BE$3,0),BE$3+6)),"◆",""))</f>
      </c>
      <c r="BF46" s="26">
        <f>IF(OR($A46="",BF$3=""),"",IF(AND($J46&lt;&gt;"",$K46&lt;&gt;"",$J46=$K46,$J46&gt;=BF$3,$J46&lt;=IF(param_mode_affichage="mois",EOMONTH(BF$3,0),BF$3+6)),"◆",""))</f>
      </c>
      <c r="BG46" s="26">
        <f>IF(OR($A46="",BG$3=""),"",IF(AND($J46&lt;&gt;"",$K46&lt;&gt;"",$J46=$K46,$J46&gt;=BG$3,$J46&lt;=IF(param_mode_affichage="mois",EOMONTH(BG$3,0),BG$3+6)),"◆",""))</f>
      </c>
      <c r="BH46" s="26">
        <f>IF(OR($A46="",BH$3=""),"",IF(AND($J46&lt;&gt;"",$K46&lt;&gt;"",$J46=$K46,$J46&gt;=BH$3,$J46&lt;=IF(param_mode_affichage="mois",EOMONTH(BH$3,0),BH$3+6)),"◆",""))</f>
      </c>
      <c r="BI46" s="26">
        <f>IF(OR($A46="",BI$3=""),"",IF(AND($J46&lt;&gt;"",$K46&lt;&gt;"",$J46=$K46,$J46&gt;=BI$3,$J46&lt;=IF(param_mode_affichage="mois",EOMONTH(BI$3,0),BI$3+6)),"◆",""))</f>
      </c>
      <c r="BJ46" s="26">
        <f>IF(OR($A46="",BJ$3=""),"",IF(AND($J46&lt;&gt;"",$K46&lt;&gt;"",$J46=$K46,$J46&gt;=BJ$3,$J46&lt;=IF(param_mode_affichage="mois",EOMONTH(BJ$3,0),BJ$3+6)),"◆",""))</f>
      </c>
      <c r="BK46" s="26">
        <f>IF(OR($A46="",BK$3=""),"",IF(AND($J46&lt;&gt;"",$K46&lt;&gt;"",$J46=$K46,$J46&gt;=BK$3,$J46&lt;=IF(param_mode_affichage="mois",EOMONTH(BK$3,0),BK$3+6)),"◆",""))</f>
      </c>
      <c r="BL46" s="26">
        <f>IF(OR($A46="",BL$3=""),"",IF(AND($J46&lt;&gt;"",$K46&lt;&gt;"",$J46=$K46,$J46&gt;=BL$3,$J46&lt;=IF(param_mode_affichage="mois",EOMONTH(BL$3,0),BL$3+6)),"◆",""))</f>
      </c>
    </row>
    <row r="47" spans="1:64" x14ac:dyDescent="0.25">
      <c r="A47" s="23">
        <f>IFERROR(INDEX(tblTasks[ID],ROW()-4),"")</f>
      </c>
      <c r="B47" s="24">
        <f>IF($A47="","",INDEX(tblTasks[Sujet],ROW()-4))</f>
      </c>
      <c r="C47" s="23">
        <f>IF($A47="","",INDEX(tblTasks[Responsable],ROW()-4))</f>
      </c>
      <c r="D47" s="23">
        <f>IF($A47="","",INDEX(tblTasks[Statut],ROW()-4))</f>
      </c>
      <c r="E47" s="23">
        <f>IF($A47="","",INDEX(tblTasks[Depend_de],ROW()-4))</f>
      </c>
      <c r="F47" s="23">
        <f>IF($A47="","",INDEX(tblTasks[Blocage],ROW()-4))</f>
      </c>
      <c r="G47" s="23">
        <f>IF($A47="","",INDEX(tblTasks[Niveau_criticite],ROW()-4))</f>
      </c>
      <c r="H47" s="23">
        <f>IF($A47="","",INDEX(tblTasks[Goulot],ROW()-4))</f>
      </c>
      <c r="I47" s="23">
        <f>IF($A47="","",IF(LOWER($F47)="oui","non",IF($E47="","oui",IFERROR(IF(LOWER(INDEX(tblTasks[Statut],MATCH($E47,tblTasks[ID],0)))="clos","oui","non"),"non"))))</f>
      </c>
      <c r="J47" s="25">
        <f>IF($A47="","",INDEX(tblTasks[Date_debut_prevue],ROW()-4))</f>
      </c>
      <c r="K47" s="25">
        <f>IF($A47="","",INDEX(tblTasks[Date_fin_prevue],ROW()-4))</f>
      </c>
      <c r="L47" s="23">
        <f>IF($A47="","",INDEX(tblTasks[Irreversibilite],ROW()-4))</f>
      </c>
      <c r="M47" s="26">
        <f>IF(OR($A47="",M$3=""),"",IF(AND($J47&lt;&gt;"",$K47&lt;&gt;"",$J47=$K47,$J47&gt;=M$3,$J47&lt;=IF(param_mode_affichage="mois",EOMONTH(M$3,0),M$3+6)),"◆",""))</f>
      </c>
      <c r="N47" s="26">
        <f>IF(OR($A47="",N$3=""),"",IF(AND($J47&lt;&gt;"",$K47&lt;&gt;"",$J47=$K47,$J47&gt;=N$3,$J47&lt;=IF(param_mode_affichage="mois",EOMONTH(N$3,0),N$3+6)),"◆",""))</f>
      </c>
      <c r="O47" s="26">
        <f>IF(OR($A47="",O$3=""),"",IF(AND($J47&lt;&gt;"",$K47&lt;&gt;"",$J47=$K47,$J47&gt;=O$3,$J47&lt;=IF(param_mode_affichage="mois",EOMONTH(O$3,0),O$3+6)),"◆",""))</f>
      </c>
      <c r="P47" s="26">
        <f>IF(OR($A47="",P$3=""),"",IF(AND($J47&lt;&gt;"",$K47&lt;&gt;"",$J47=$K47,$J47&gt;=P$3,$J47&lt;=IF(param_mode_affichage="mois",EOMONTH(P$3,0),P$3+6)),"◆",""))</f>
      </c>
      <c r="Q47" s="26">
        <f>IF(OR($A47="",Q$3=""),"",IF(AND($J47&lt;&gt;"",$K47&lt;&gt;"",$J47=$K47,$J47&gt;=Q$3,$J47&lt;=IF(param_mode_affichage="mois",EOMONTH(Q$3,0),Q$3+6)),"◆",""))</f>
      </c>
      <c r="R47" s="26">
        <f>IF(OR($A47="",R$3=""),"",IF(AND($J47&lt;&gt;"",$K47&lt;&gt;"",$J47=$K47,$J47&gt;=R$3,$J47&lt;=IF(param_mode_affichage="mois",EOMONTH(R$3,0),R$3+6)),"◆",""))</f>
      </c>
      <c r="S47" s="26">
        <f>IF(OR($A47="",S$3=""),"",IF(AND($J47&lt;&gt;"",$K47&lt;&gt;"",$J47=$K47,$J47&gt;=S$3,$J47&lt;=IF(param_mode_affichage="mois",EOMONTH(S$3,0),S$3+6)),"◆",""))</f>
      </c>
      <c r="T47" s="26">
        <f>IF(OR($A47="",T$3=""),"",IF(AND($J47&lt;&gt;"",$K47&lt;&gt;"",$J47=$K47,$J47&gt;=T$3,$J47&lt;=IF(param_mode_affichage="mois",EOMONTH(T$3,0),T$3+6)),"◆",""))</f>
      </c>
      <c r="U47" s="26">
        <f>IF(OR($A47="",U$3=""),"",IF(AND($J47&lt;&gt;"",$K47&lt;&gt;"",$J47=$K47,$J47&gt;=U$3,$J47&lt;=IF(param_mode_affichage="mois",EOMONTH(U$3,0),U$3+6)),"◆",""))</f>
      </c>
      <c r="V47" s="26">
        <f>IF(OR($A47="",V$3=""),"",IF(AND($J47&lt;&gt;"",$K47&lt;&gt;"",$J47=$K47,$J47&gt;=V$3,$J47&lt;=IF(param_mode_affichage="mois",EOMONTH(V$3,0),V$3+6)),"◆",""))</f>
      </c>
      <c r="W47" s="26">
        <f>IF(OR($A47="",W$3=""),"",IF(AND($J47&lt;&gt;"",$K47&lt;&gt;"",$J47=$K47,$J47&gt;=W$3,$J47&lt;=IF(param_mode_affichage="mois",EOMONTH(W$3,0),W$3+6)),"◆",""))</f>
      </c>
      <c r="X47" s="26">
        <f>IF(OR($A47="",X$3=""),"",IF(AND($J47&lt;&gt;"",$K47&lt;&gt;"",$J47=$K47,$J47&gt;=X$3,$J47&lt;=IF(param_mode_affichage="mois",EOMONTH(X$3,0),X$3+6)),"◆",""))</f>
      </c>
      <c r="Y47" s="26">
        <f>IF(OR($A47="",Y$3=""),"",IF(AND($J47&lt;&gt;"",$K47&lt;&gt;"",$J47=$K47,$J47&gt;=Y$3,$J47&lt;=IF(param_mode_affichage="mois",EOMONTH(Y$3,0),Y$3+6)),"◆",""))</f>
      </c>
      <c r="Z47" s="26">
        <f>IF(OR($A47="",Z$3=""),"",IF(AND($J47&lt;&gt;"",$K47&lt;&gt;"",$J47=$K47,$J47&gt;=Z$3,$J47&lt;=IF(param_mode_affichage="mois",EOMONTH(Z$3,0),Z$3+6)),"◆",""))</f>
      </c>
      <c r="AA47" s="26">
        <f>IF(OR($A47="",AA$3=""),"",IF(AND($J47&lt;&gt;"",$K47&lt;&gt;"",$J47=$K47,$J47&gt;=AA$3,$J47&lt;=IF(param_mode_affichage="mois",EOMONTH(AA$3,0),AA$3+6)),"◆",""))</f>
      </c>
      <c r="AB47" s="26">
        <f>IF(OR($A47="",AB$3=""),"",IF(AND($J47&lt;&gt;"",$K47&lt;&gt;"",$J47=$K47,$J47&gt;=AB$3,$J47&lt;=IF(param_mode_affichage="mois",EOMONTH(AB$3,0),AB$3+6)),"◆",""))</f>
      </c>
      <c r="AC47" s="26">
        <f>IF(OR($A47="",AC$3=""),"",IF(AND($J47&lt;&gt;"",$K47&lt;&gt;"",$J47=$K47,$J47&gt;=AC$3,$J47&lt;=IF(param_mode_affichage="mois",EOMONTH(AC$3,0),AC$3+6)),"◆",""))</f>
      </c>
      <c r="AD47" s="26">
        <f>IF(OR($A47="",AD$3=""),"",IF(AND($J47&lt;&gt;"",$K47&lt;&gt;"",$J47=$K47,$J47&gt;=AD$3,$J47&lt;=IF(param_mode_affichage="mois",EOMONTH(AD$3,0),AD$3+6)),"◆",""))</f>
      </c>
      <c r="AE47" s="26">
        <f>IF(OR($A47="",AE$3=""),"",IF(AND($J47&lt;&gt;"",$K47&lt;&gt;"",$J47=$K47,$J47&gt;=AE$3,$J47&lt;=IF(param_mode_affichage="mois",EOMONTH(AE$3,0),AE$3+6)),"◆",""))</f>
      </c>
      <c r="AF47" s="26">
        <f>IF(OR($A47="",AF$3=""),"",IF(AND($J47&lt;&gt;"",$K47&lt;&gt;"",$J47=$K47,$J47&gt;=AF$3,$J47&lt;=IF(param_mode_affichage="mois",EOMONTH(AF$3,0),AF$3+6)),"◆",""))</f>
      </c>
      <c r="AG47" s="26">
        <f>IF(OR($A47="",AG$3=""),"",IF(AND($J47&lt;&gt;"",$K47&lt;&gt;"",$J47=$K47,$J47&gt;=AG$3,$J47&lt;=IF(param_mode_affichage="mois",EOMONTH(AG$3,0),AG$3+6)),"◆",""))</f>
      </c>
      <c r="AH47" s="26">
        <f>IF(OR($A47="",AH$3=""),"",IF(AND($J47&lt;&gt;"",$K47&lt;&gt;"",$J47=$K47,$J47&gt;=AH$3,$J47&lt;=IF(param_mode_affichage="mois",EOMONTH(AH$3,0),AH$3+6)),"◆",""))</f>
      </c>
      <c r="AI47" s="26">
        <f>IF(OR($A47="",AI$3=""),"",IF(AND($J47&lt;&gt;"",$K47&lt;&gt;"",$J47=$K47,$J47&gt;=AI$3,$J47&lt;=IF(param_mode_affichage="mois",EOMONTH(AI$3,0),AI$3+6)),"◆",""))</f>
      </c>
      <c r="AJ47" s="26">
        <f>IF(OR($A47="",AJ$3=""),"",IF(AND($J47&lt;&gt;"",$K47&lt;&gt;"",$J47=$K47,$J47&gt;=AJ$3,$J47&lt;=IF(param_mode_affichage="mois",EOMONTH(AJ$3,0),AJ$3+6)),"◆",""))</f>
      </c>
      <c r="AK47" s="26">
        <f>IF(OR($A47="",AK$3=""),"",IF(AND($J47&lt;&gt;"",$K47&lt;&gt;"",$J47=$K47,$J47&gt;=AK$3,$J47&lt;=IF(param_mode_affichage="mois",EOMONTH(AK$3,0),AK$3+6)),"◆",""))</f>
      </c>
      <c r="AL47" s="26">
        <f>IF(OR($A47="",AL$3=""),"",IF(AND($J47&lt;&gt;"",$K47&lt;&gt;"",$J47=$K47,$J47&gt;=AL$3,$J47&lt;=IF(param_mode_affichage="mois",EOMONTH(AL$3,0),AL$3+6)),"◆",""))</f>
      </c>
      <c r="AM47" s="26">
        <f>IF(OR($A47="",AM$3=""),"",IF(AND($J47&lt;&gt;"",$K47&lt;&gt;"",$J47=$K47,$J47&gt;=AM$3,$J47&lt;=IF(param_mode_affichage="mois",EOMONTH(AM$3,0),AM$3+6)),"◆",""))</f>
      </c>
      <c r="AN47" s="26">
        <f>IF(OR($A47="",AN$3=""),"",IF(AND($J47&lt;&gt;"",$K47&lt;&gt;"",$J47=$K47,$J47&gt;=AN$3,$J47&lt;=IF(param_mode_affichage="mois",EOMONTH(AN$3,0),AN$3+6)),"◆",""))</f>
      </c>
      <c r="AO47" s="26">
        <f>IF(OR($A47="",AO$3=""),"",IF(AND($J47&lt;&gt;"",$K47&lt;&gt;"",$J47=$K47,$J47&gt;=AO$3,$J47&lt;=IF(param_mode_affichage="mois",EOMONTH(AO$3,0),AO$3+6)),"◆",""))</f>
      </c>
      <c r="AP47" s="26">
        <f>IF(OR($A47="",AP$3=""),"",IF(AND($J47&lt;&gt;"",$K47&lt;&gt;"",$J47=$K47,$J47&gt;=AP$3,$J47&lt;=IF(param_mode_affichage="mois",EOMONTH(AP$3,0),AP$3+6)),"◆",""))</f>
      </c>
      <c r="AQ47" s="26">
        <f>IF(OR($A47="",AQ$3=""),"",IF(AND($J47&lt;&gt;"",$K47&lt;&gt;"",$J47=$K47,$J47&gt;=AQ$3,$J47&lt;=IF(param_mode_affichage="mois",EOMONTH(AQ$3,0),AQ$3+6)),"◆",""))</f>
      </c>
      <c r="AR47" s="26">
        <f>IF(OR($A47="",AR$3=""),"",IF(AND($J47&lt;&gt;"",$K47&lt;&gt;"",$J47=$K47,$J47&gt;=AR$3,$J47&lt;=IF(param_mode_affichage="mois",EOMONTH(AR$3,0),AR$3+6)),"◆",""))</f>
      </c>
      <c r="AS47" s="26">
        <f>IF(OR($A47="",AS$3=""),"",IF(AND($J47&lt;&gt;"",$K47&lt;&gt;"",$J47=$K47,$J47&gt;=AS$3,$J47&lt;=IF(param_mode_affichage="mois",EOMONTH(AS$3,0),AS$3+6)),"◆",""))</f>
      </c>
      <c r="AT47" s="26">
        <f>IF(OR($A47="",AT$3=""),"",IF(AND($J47&lt;&gt;"",$K47&lt;&gt;"",$J47=$K47,$J47&gt;=AT$3,$J47&lt;=IF(param_mode_affichage="mois",EOMONTH(AT$3,0),AT$3+6)),"◆",""))</f>
      </c>
      <c r="AU47" s="26">
        <f>IF(OR($A47="",AU$3=""),"",IF(AND($J47&lt;&gt;"",$K47&lt;&gt;"",$J47=$K47,$J47&gt;=AU$3,$J47&lt;=IF(param_mode_affichage="mois",EOMONTH(AU$3,0),AU$3+6)),"◆",""))</f>
      </c>
      <c r="AV47" s="26">
        <f>IF(OR($A47="",AV$3=""),"",IF(AND($J47&lt;&gt;"",$K47&lt;&gt;"",$J47=$K47,$J47&gt;=AV$3,$J47&lt;=IF(param_mode_affichage="mois",EOMONTH(AV$3,0),AV$3+6)),"◆",""))</f>
      </c>
      <c r="AW47" s="26">
        <f>IF(OR($A47="",AW$3=""),"",IF(AND($J47&lt;&gt;"",$K47&lt;&gt;"",$J47=$K47,$J47&gt;=AW$3,$J47&lt;=IF(param_mode_affichage="mois",EOMONTH(AW$3,0),AW$3+6)),"◆",""))</f>
      </c>
      <c r="AX47" s="26">
        <f>IF(OR($A47="",AX$3=""),"",IF(AND($J47&lt;&gt;"",$K47&lt;&gt;"",$J47=$K47,$J47&gt;=AX$3,$J47&lt;=IF(param_mode_affichage="mois",EOMONTH(AX$3,0),AX$3+6)),"◆",""))</f>
      </c>
      <c r="AY47" s="26">
        <f>IF(OR($A47="",AY$3=""),"",IF(AND($J47&lt;&gt;"",$K47&lt;&gt;"",$J47=$K47,$J47&gt;=AY$3,$J47&lt;=IF(param_mode_affichage="mois",EOMONTH(AY$3,0),AY$3+6)),"◆",""))</f>
      </c>
      <c r="AZ47" s="26">
        <f>IF(OR($A47="",AZ$3=""),"",IF(AND($J47&lt;&gt;"",$K47&lt;&gt;"",$J47=$K47,$J47&gt;=AZ$3,$J47&lt;=IF(param_mode_affichage="mois",EOMONTH(AZ$3,0),AZ$3+6)),"◆",""))</f>
      </c>
      <c r="BA47" s="26">
        <f>IF(OR($A47="",BA$3=""),"",IF(AND($J47&lt;&gt;"",$K47&lt;&gt;"",$J47=$K47,$J47&gt;=BA$3,$J47&lt;=IF(param_mode_affichage="mois",EOMONTH(BA$3,0),BA$3+6)),"◆",""))</f>
      </c>
      <c r="BB47" s="26">
        <f>IF(OR($A47="",BB$3=""),"",IF(AND($J47&lt;&gt;"",$K47&lt;&gt;"",$J47=$K47,$J47&gt;=BB$3,$J47&lt;=IF(param_mode_affichage="mois",EOMONTH(BB$3,0),BB$3+6)),"◆",""))</f>
      </c>
      <c r="BC47" s="26">
        <f>IF(OR($A47="",BC$3=""),"",IF(AND($J47&lt;&gt;"",$K47&lt;&gt;"",$J47=$K47,$J47&gt;=BC$3,$J47&lt;=IF(param_mode_affichage="mois",EOMONTH(BC$3,0),BC$3+6)),"◆",""))</f>
      </c>
      <c r="BD47" s="26">
        <f>IF(OR($A47="",BD$3=""),"",IF(AND($J47&lt;&gt;"",$K47&lt;&gt;"",$J47=$K47,$J47&gt;=BD$3,$J47&lt;=IF(param_mode_affichage="mois",EOMONTH(BD$3,0),BD$3+6)),"◆",""))</f>
      </c>
      <c r="BE47" s="26">
        <f>IF(OR($A47="",BE$3=""),"",IF(AND($J47&lt;&gt;"",$K47&lt;&gt;"",$J47=$K47,$J47&gt;=BE$3,$J47&lt;=IF(param_mode_affichage="mois",EOMONTH(BE$3,0),BE$3+6)),"◆",""))</f>
      </c>
      <c r="BF47" s="26">
        <f>IF(OR($A47="",BF$3=""),"",IF(AND($J47&lt;&gt;"",$K47&lt;&gt;"",$J47=$K47,$J47&gt;=BF$3,$J47&lt;=IF(param_mode_affichage="mois",EOMONTH(BF$3,0),BF$3+6)),"◆",""))</f>
      </c>
      <c r="BG47" s="26">
        <f>IF(OR($A47="",BG$3=""),"",IF(AND($J47&lt;&gt;"",$K47&lt;&gt;"",$J47=$K47,$J47&gt;=BG$3,$J47&lt;=IF(param_mode_affichage="mois",EOMONTH(BG$3,0),BG$3+6)),"◆",""))</f>
      </c>
      <c r="BH47" s="26">
        <f>IF(OR($A47="",BH$3=""),"",IF(AND($J47&lt;&gt;"",$K47&lt;&gt;"",$J47=$K47,$J47&gt;=BH$3,$J47&lt;=IF(param_mode_affichage="mois",EOMONTH(BH$3,0),BH$3+6)),"◆",""))</f>
      </c>
      <c r="BI47" s="26">
        <f>IF(OR($A47="",BI$3=""),"",IF(AND($J47&lt;&gt;"",$K47&lt;&gt;"",$J47=$K47,$J47&gt;=BI$3,$J47&lt;=IF(param_mode_affichage="mois",EOMONTH(BI$3,0),BI$3+6)),"◆",""))</f>
      </c>
      <c r="BJ47" s="26">
        <f>IF(OR($A47="",BJ$3=""),"",IF(AND($J47&lt;&gt;"",$K47&lt;&gt;"",$J47=$K47,$J47&gt;=BJ$3,$J47&lt;=IF(param_mode_affichage="mois",EOMONTH(BJ$3,0),BJ$3+6)),"◆",""))</f>
      </c>
      <c r="BK47" s="26">
        <f>IF(OR($A47="",BK$3=""),"",IF(AND($J47&lt;&gt;"",$K47&lt;&gt;"",$J47=$K47,$J47&gt;=BK$3,$J47&lt;=IF(param_mode_affichage="mois",EOMONTH(BK$3,0),BK$3+6)),"◆",""))</f>
      </c>
      <c r="BL47" s="26">
        <f>IF(OR($A47="",BL$3=""),"",IF(AND($J47&lt;&gt;"",$K47&lt;&gt;"",$J47=$K47,$J47&gt;=BL$3,$J47&lt;=IF(param_mode_affichage="mois",EOMONTH(BL$3,0),BL$3+6)),"◆",""))</f>
      </c>
    </row>
    <row r="48" spans="1:64" x14ac:dyDescent="0.25">
      <c r="A48" s="23">
        <f>IFERROR(INDEX(tblTasks[ID],ROW()-4),"")</f>
      </c>
      <c r="B48" s="24">
        <f>IF($A48="","",INDEX(tblTasks[Sujet],ROW()-4))</f>
      </c>
      <c r="C48" s="23">
        <f>IF($A48="","",INDEX(tblTasks[Responsable],ROW()-4))</f>
      </c>
      <c r="D48" s="23">
        <f>IF($A48="","",INDEX(tblTasks[Statut],ROW()-4))</f>
      </c>
      <c r="E48" s="23">
        <f>IF($A48="","",INDEX(tblTasks[Depend_de],ROW()-4))</f>
      </c>
      <c r="F48" s="23">
        <f>IF($A48="","",INDEX(tblTasks[Blocage],ROW()-4))</f>
      </c>
      <c r="G48" s="23">
        <f>IF($A48="","",INDEX(tblTasks[Niveau_criticite],ROW()-4))</f>
      </c>
      <c r="H48" s="23">
        <f>IF($A48="","",INDEX(tblTasks[Goulot],ROW()-4))</f>
      </c>
      <c r="I48" s="23">
        <f>IF($A48="","",IF(LOWER($F48)="oui","non",IF($E48="","oui",IFERROR(IF(LOWER(INDEX(tblTasks[Statut],MATCH($E48,tblTasks[ID],0)))="clos","oui","non"),"non"))))</f>
      </c>
      <c r="J48" s="25">
        <f>IF($A48="","",INDEX(tblTasks[Date_debut_prevue],ROW()-4))</f>
      </c>
      <c r="K48" s="25">
        <f>IF($A48="","",INDEX(tblTasks[Date_fin_prevue],ROW()-4))</f>
      </c>
      <c r="L48" s="23">
        <f>IF($A48="","",INDEX(tblTasks[Irreversibilite],ROW()-4))</f>
      </c>
      <c r="M48" s="26">
        <f>IF(OR($A48="",M$3=""),"",IF(AND($J48&lt;&gt;"",$K48&lt;&gt;"",$J48=$K48,$J48&gt;=M$3,$J48&lt;=IF(param_mode_affichage="mois",EOMONTH(M$3,0),M$3+6)),"◆",""))</f>
      </c>
      <c r="N48" s="26">
        <f>IF(OR($A48="",N$3=""),"",IF(AND($J48&lt;&gt;"",$K48&lt;&gt;"",$J48=$K48,$J48&gt;=N$3,$J48&lt;=IF(param_mode_affichage="mois",EOMONTH(N$3,0),N$3+6)),"◆",""))</f>
      </c>
      <c r="O48" s="26">
        <f>IF(OR($A48="",O$3=""),"",IF(AND($J48&lt;&gt;"",$K48&lt;&gt;"",$J48=$K48,$J48&gt;=O$3,$J48&lt;=IF(param_mode_affichage="mois",EOMONTH(O$3,0),O$3+6)),"◆",""))</f>
      </c>
      <c r="P48" s="26">
        <f>IF(OR($A48="",P$3=""),"",IF(AND($J48&lt;&gt;"",$K48&lt;&gt;"",$J48=$K48,$J48&gt;=P$3,$J48&lt;=IF(param_mode_affichage="mois",EOMONTH(P$3,0),P$3+6)),"◆",""))</f>
      </c>
      <c r="Q48" s="26">
        <f>IF(OR($A48="",Q$3=""),"",IF(AND($J48&lt;&gt;"",$K48&lt;&gt;"",$J48=$K48,$J48&gt;=Q$3,$J48&lt;=IF(param_mode_affichage="mois",EOMONTH(Q$3,0),Q$3+6)),"◆",""))</f>
      </c>
      <c r="R48" s="26">
        <f>IF(OR($A48="",R$3=""),"",IF(AND($J48&lt;&gt;"",$K48&lt;&gt;"",$J48=$K48,$J48&gt;=R$3,$J48&lt;=IF(param_mode_affichage="mois",EOMONTH(R$3,0),R$3+6)),"◆",""))</f>
      </c>
      <c r="S48" s="26">
        <f>IF(OR($A48="",S$3=""),"",IF(AND($J48&lt;&gt;"",$K48&lt;&gt;"",$J48=$K48,$J48&gt;=S$3,$J48&lt;=IF(param_mode_affichage="mois",EOMONTH(S$3,0),S$3+6)),"◆",""))</f>
      </c>
      <c r="T48" s="26">
        <f>IF(OR($A48="",T$3=""),"",IF(AND($J48&lt;&gt;"",$K48&lt;&gt;"",$J48=$K48,$J48&gt;=T$3,$J48&lt;=IF(param_mode_affichage="mois",EOMONTH(T$3,0),T$3+6)),"◆",""))</f>
      </c>
      <c r="U48" s="26">
        <f>IF(OR($A48="",U$3=""),"",IF(AND($J48&lt;&gt;"",$K48&lt;&gt;"",$J48=$K48,$J48&gt;=U$3,$J48&lt;=IF(param_mode_affichage="mois",EOMONTH(U$3,0),U$3+6)),"◆",""))</f>
      </c>
      <c r="V48" s="26">
        <f>IF(OR($A48="",V$3=""),"",IF(AND($J48&lt;&gt;"",$K48&lt;&gt;"",$J48=$K48,$J48&gt;=V$3,$J48&lt;=IF(param_mode_affichage="mois",EOMONTH(V$3,0),V$3+6)),"◆",""))</f>
      </c>
      <c r="W48" s="26">
        <f>IF(OR($A48="",W$3=""),"",IF(AND($J48&lt;&gt;"",$K48&lt;&gt;"",$J48=$K48,$J48&gt;=W$3,$J48&lt;=IF(param_mode_affichage="mois",EOMONTH(W$3,0),W$3+6)),"◆",""))</f>
      </c>
      <c r="X48" s="26">
        <f>IF(OR($A48="",X$3=""),"",IF(AND($J48&lt;&gt;"",$K48&lt;&gt;"",$J48=$K48,$J48&gt;=X$3,$J48&lt;=IF(param_mode_affichage="mois",EOMONTH(X$3,0),X$3+6)),"◆",""))</f>
      </c>
      <c r="Y48" s="26">
        <f>IF(OR($A48="",Y$3=""),"",IF(AND($J48&lt;&gt;"",$K48&lt;&gt;"",$J48=$K48,$J48&gt;=Y$3,$J48&lt;=IF(param_mode_affichage="mois",EOMONTH(Y$3,0),Y$3+6)),"◆",""))</f>
      </c>
      <c r="Z48" s="26">
        <f>IF(OR($A48="",Z$3=""),"",IF(AND($J48&lt;&gt;"",$K48&lt;&gt;"",$J48=$K48,$J48&gt;=Z$3,$J48&lt;=IF(param_mode_affichage="mois",EOMONTH(Z$3,0),Z$3+6)),"◆",""))</f>
      </c>
      <c r="AA48" s="26">
        <f>IF(OR($A48="",AA$3=""),"",IF(AND($J48&lt;&gt;"",$K48&lt;&gt;"",$J48=$K48,$J48&gt;=AA$3,$J48&lt;=IF(param_mode_affichage="mois",EOMONTH(AA$3,0),AA$3+6)),"◆",""))</f>
      </c>
      <c r="AB48" s="26">
        <f>IF(OR($A48="",AB$3=""),"",IF(AND($J48&lt;&gt;"",$K48&lt;&gt;"",$J48=$K48,$J48&gt;=AB$3,$J48&lt;=IF(param_mode_affichage="mois",EOMONTH(AB$3,0),AB$3+6)),"◆",""))</f>
      </c>
      <c r="AC48" s="26">
        <f>IF(OR($A48="",AC$3=""),"",IF(AND($J48&lt;&gt;"",$K48&lt;&gt;"",$J48=$K48,$J48&gt;=AC$3,$J48&lt;=IF(param_mode_affichage="mois",EOMONTH(AC$3,0),AC$3+6)),"◆",""))</f>
      </c>
      <c r="AD48" s="26">
        <f>IF(OR($A48="",AD$3=""),"",IF(AND($J48&lt;&gt;"",$K48&lt;&gt;"",$J48=$K48,$J48&gt;=AD$3,$J48&lt;=IF(param_mode_affichage="mois",EOMONTH(AD$3,0),AD$3+6)),"◆",""))</f>
      </c>
      <c r="AE48" s="26">
        <f>IF(OR($A48="",AE$3=""),"",IF(AND($J48&lt;&gt;"",$K48&lt;&gt;"",$J48=$K48,$J48&gt;=AE$3,$J48&lt;=IF(param_mode_affichage="mois",EOMONTH(AE$3,0),AE$3+6)),"◆",""))</f>
      </c>
      <c r="AF48" s="26">
        <f>IF(OR($A48="",AF$3=""),"",IF(AND($J48&lt;&gt;"",$K48&lt;&gt;"",$J48=$K48,$J48&gt;=AF$3,$J48&lt;=IF(param_mode_affichage="mois",EOMONTH(AF$3,0),AF$3+6)),"◆",""))</f>
      </c>
      <c r="AG48" s="26">
        <f>IF(OR($A48="",AG$3=""),"",IF(AND($J48&lt;&gt;"",$K48&lt;&gt;"",$J48=$K48,$J48&gt;=AG$3,$J48&lt;=IF(param_mode_affichage="mois",EOMONTH(AG$3,0),AG$3+6)),"◆",""))</f>
      </c>
      <c r="AH48" s="26">
        <f>IF(OR($A48="",AH$3=""),"",IF(AND($J48&lt;&gt;"",$K48&lt;&gt;"",$J48=$K48,$J48&gt;=AH$3,$J48&lt;=IF(param_mode_affichage="mois",EOMONTH(AH$3,0),AH$3+6)),"◆",""))</f>
      </c>
      <c r="AI48" s="26">
        <f>IF(OR($A48="",AI$3=""),"",IF(AND($J48&lt;&gt;"",$K48&lt;&gt;"",$J48=$K48,$J48&gt;=AI$3,$J48&lt;=IF(param_mode_affichage="mois",EOMONTH(AI$3,0),AI$3+6)),"◆",""))</f>
      </c>
      <c r="AJ48" s="26">
        <f>IF(OR($A48="",AJ$3=""),"",IF(AND($J48&lt;&gt;"",$K48&lt;&gt;"",$J48=$K48,$J48&gt;=AJ$3,$J48&lt;=IF(param_mode_affichage="mois",EOMONTH(AJ$3,0),AJ$3+6)),"◆",""))</f>
      </c>
      <c r="AK48" s="26">
        <f>IF(OR($A48="",AK$3=""),"",IF(AND($J48&lt;&gt;"",$K48&lt;&gt;"",$J48=$K48,$J48&gt;=AK$3,$J48&lt;=IF(param_mode_affichage="mois",EOMONTH(AK$3,0),AK$3+6)),"◆",""))</f>
      </c>
      <c r="AL48" s="26">
        <f>IF(OR($A48="",AL$3=""),"",IF(AND($J48&lt;&gt;"",$K48&lt;&gt;"",$J48=$K48,$J48&gt;=AL$3,$J48&lt;=IF(param_mode_affichage="mois",EOMONTH(AL$3,0),AL$3+6)),"◆",""))</f>
      </c>
      <c r="AM48" s="26">
        <f>IF(OR($A48="",AM$3=""),"",IF(AND($J48&lt;&gt;"",$K48&lt;&gt;"",$J48=$K48,$J48&gt;=AM$3,$J48&lt;=IF(param_mode_affichage="mois",EOMONTH(AM$3,0),AM$3+6)),"◆",""))</f>
      </c>
      <c r="AN48" s="26">
        <f>IF(OR($A48="",AN$3=""),"",IF(AND($J48&lt;&gt;"",$K48&lt;&gt;"",$J48=$K48,$J48&gt;=AN$3,$J48&lt;=IF(param_mode_affichage="mois",EOMONTH(AN$3,0),AN$3+6)),"◆",""))</f>
      </c>
      <c r="AO48" s="26">
        <f>IF(OR($A48="",AO$3=""),"",IF(AND($J48&lt;&gt;"",$K48&lt;&gt;"",$J48=$K48,$J48&gt;=AO$3,$J48&lt;=IF(param_mode_affichage="mois",EOMONTH(AO$3,0),AO$3+6)),"◆",""))</f>
      </c>
      <c r="AP48" s="26">
        <f>IF(OR($A48="",AP$3=""),"",IF(AND($J48&lt;&gt;"",$K48&lt;&gt;"",$J48=$K48,$J48&gt;=AP$3,$J48&lt;=IF(param_mode_affichage="mois",EOMONTH(AP$3,0),AP$3+6)),"◆",""))</f>
      </c>
      <c r="AQ48" s="26">
        <f>IF(OR($A48="",AQ$3=""),"",IF(AND($J48&lt;&gt;"",$K48&lt;&gt;"",$J48=$K48,$J48&gt;=AQ$3,$J48&lt;=IF(param_mode_affichage="mois",EOMONTH(AQ$3,0),AQ$3+6)),"◆",""))</f>
      </c>
      <c r="AR48" s="26">
        <f>IF(OR($A48="",AR$3=""),"",IF(AND($J48&lt;&gt;"",$K48&lt;&gt;"",$J48=$K48,$J48&gt;=AR$3,$J48&lt;=IF(param_mode_affichage="mois",EOMONTH(AR$3,0),AR$3+6)),"◆",""))</f>
      </c>
      <c r="AS48" s="26">
        <f>IF(OR($A48="",AS$3=""),"",IF(AND($J48&lt;&gt;"",$K48&lt;&gt;"",$J48=$K48,$J48&gt;=AS$3,$J48&lt;=IF(param_mode_affichage="mois",EOMONTH(AS$3,0),AS$3+6)),"◆",""))</f>
      </c>
      <c r="AT48" s="26">
        <f>IF(OR($A48="",AT$3=""),"",IF(AND($J48&lt;&gt;"",$K48&lt;&gt;"",$J48=$K48,$J48&gt;=AT$3,$J48&lt;=IF(param_mode_affichage="mois",EOMONTH(AT$3,0),AT$3+6)),"◆",""))</f>
      </c>
      <c r="AU48" s="26">
        <f>IF(OR($A48="",AU$3=""),"",IF(AND($J48&lt;&gt;"",$K48&lt;&gt;"",$J48=$K48,$J48&gt;=AU$3,$J48&lt;=IF(param_mode_affichage="mois",EOMONTH(AU$3,0),AU$3+6)),"◆",""))</f>
      </c>
      <c r="AV48" s="26">
        <f>IF(OR($A48="",AV$3=""),"",IF(AND($J48&lt;&gt;"",$K48&lt;&gt;"",$J48=$K48,$J48&gt;=AV$3,$J48&lt;=IF(param_mode_affichage="mois",EOMONTH(AV$3,0),AV$3+6)),"◆",""))</f>
      </c>
      <c r="AW48" s="26">
        <f>IF(OR($A48="",AW$3=""),"",IF(AND($J48&lt;&gt;"",$K48&lt;&gt;"",$J48=$K48,$J48&gt;=AW$3,$J48&lt;=IF(param_mode_affichage="mois",EOMONTH(AW$3,0),AW$3+6)),"◆",""))</f>
      </c>
      <c r="AX48" s="26">
        <f>IF(OR($A48="",AX$3=""),"",IF(AND($J48&lt;&gt;"",$K48&lt;&gt;"",$J48=$K48,$J48&gt;=AX$3,$J48&lt;=IF(param_mode_affichage="mois",EOMONTH(AX$3,0),AX$3+6)),"◆",""))</f>
      </c>
      <c r="AY48" s="26">
        <f>IF(OR($A48="",AY$3=""),"",IF(AND($J48&lt;&gt;"",$K48&lt;&gt;"",$J48=$K48,$J48&gt;=AY$3,$J48&lt;=IF(param_mode_affichage="mois",EOMONTH(AY$3,0),AY$3+6)),"◆",""))</f>
      </c>
      <c r="AZ48" s="26">
        <f>IF(OR($A48="",AZ$3=""),"",IF(AND($J48&lt;&gt;"",$K48&lt;&gt;"",$J48=$K48,$J48&gt;=AZ$3,$J48&lt;=IF(param_mode_affichage="mois",EOMONTH(AZ$3,0),AZ$3+6)),"◆",""))</f>
      </c>
      <c r="BA48" s="26">
        <f>IF(OR($A48="",BA$3=""),"",IF(AND($J48&lt;&gt;"",$K48&lt;&gt;"",$J48=$K48,$J48&gt;=BA$3,$J48&lt;=IF(param_mode_affichage="mois",EOMONTH(BA$3,0),BA$3+6)),"◆",""))</f>
      </c>
      <c r="BB48" s="26">
        <f>IF(OR($A48="",BB$3=""),"",IF(AND($J48&lt;&gt;"",$K48&lt;&gt;"",$J48=$K48,$J48&gt;=BB$3,$J48&lt;=IF(param_mode_affichage="mois",EOMONTH(BB$3,0),BB$3+6)),"◆",""))</f>
      </c>
      <c r="BC48" s="26">
        <f>IF(OR($A48="",BC$3=""),"",IF(AND($J48&lt;&gt;"",$K48&lt;&gt;"",$J48=$K48,$J48&gt;=BC$3,$J48&lt;=IF(param_mode_affichage="mois",EOMONTH(BC$3,0),BC$3+6)),"◆",""))</f>
      </c>
      <c r="BD48" s="26">
        <f>IF(OR($A48="",BD$3=""),"",IF(AND($J48&lt;&gt;"",$K48&lt;&gt;"",$J48=$K48,$J48&gt;=BD$3,$J48&lt;=IF(param_mode_affichage="mois",EOMONTH(BD$3,0),BD$3+6)),"◆",""))</f>
      </c>
      <c r="BE48" s="26">
        <f>IF(OR($A48="",BE$3=""),"",IF(AND($J48&lt;&gt;"",$K48&lt;&gt;"",$J48=$K48,$J48&gt;=BE$3,$J48&lt;=IF(param_mode_affichage="mois",EOMONTH(BE$3,0),BE$3+6)),"◆",""))</f>
      </c>
      <c r="BF48" s="26">
        <f>IF(OR($A48="",BF$3=""),"",IF(AND($J48&lt;&gt;"",$K48&lt;&gt;"",$J48=$K48,$J48&gt;=BF$3,$J48&lt;=IF(param_mode_affichage="mois",EOMONTH(BF$3,0),BF$3+6)),"◆",""))</f>
      </c>
      <c r="BG48" s="26">
        <f>IF(OR($A48="",BG$3=""),"",IF(AND($J48&lt;&gt;"",$K48&lt;&gt;"",$J48=$K48,$J48&gt;=BG$3,$J48&lt;=IF(param_mode_affichage="mois",EOMONTH(BG$3,0),BG$3+6)),"◆",""))</f>
      </c>
      <c r="BH48" s="26">
        <f>IF(OR($A48="",BH$3=""),"",IF(AND($J48&lt;&gt;"",$K48&lt;&gt;"",$J48=$K48,$J48&gt;=BH$3,$J48&lt;=IF(param_mode_affichage="mois",EOMONTH(BH$3,0),BH$3+6)),"◆",""))</f>
      </c>
      <c r="BI48" s="26">
        <f>IF(OR($A48="",BI$3=""),"",IF(AND($J48&lt;&gt;"",$K48&lt;&gt;"",$J48=$K48,$J48&gt;=BI$3,$J48&lt;=IF(param_mode_affichage="mois",EOMONTH(BI$3,0),BI$3+6)),"◆",""))</f>
      </c>
      <c r="BJ48" s="26">
        <f>IF(OR($A48="",BJ$3=""),"",IF(AND($J48&lt;&gt;"",$K48&lt;&gt;"",$J48=$K48,$J48&gt;=BJ$3,$J48&lt;=IF(param_mode_affichage="mois",EOMONTH(BJ$3,0),BJ$3+6)),"◆",""))</f>
      </c>
      <c r="BK48" s="26">
        <f>IF(OR($A48="",BK$3=""),"",IF(AND($J48&lt;&gt;"",$K48&lt;&gt;"",$J48=$K48,$J48&gt;=BK$3,$J48&lt;=IF(param_mode_affichage="mois",EOMONTH(BK$3,0),BK$3+6)),"◆",""))</f>
      </c>
      <c r="BL48" s="26">
        <f>IF(OR($A48="",BL$3=""),"",IF(AND($J48&lt;&gt;"",$K48&lt;&gt;"",$J48=$K48,$J48&gt;=BL$3,$J48&lt;=IF(param_mode_affichage="mois",EOMONTH(BL$3,0),BL$3+6)),"◆",""))</f>
      </c>
    </row>
    <row r="49" spans="1:64" x14ac:dyDescent="0.25">
      <c r="A49" s="23">
        <f>IFERROR(INDEX(tblTasks[ID],ROW()-4),"")</f>
      </c>
      <c r="B49" s="24">
        <f>IF($A49="","",INDEX(tblTasks[Sujet],ROW()-4))</f>
      </c>
      <c r="C49" s="23">
        <f>IF($A49="","",INDEX(tblTasks[Responsable],ROW()-4))</f>
      </c>
      <c r="D49" s="23">
        <f>IF($A49="","",INDEX(tblTasks[Statut],ROW()-4))</f>
      </c>
      <c r="E49" s="23">
        <f>IF($A49="","",INDEX(tblTasks[Depend_de],ROW()-4))</f>
      </c>
      <c r="F49" s="23">
        <f>IF($A49="","",INDEX(tblTasks[Blocage],ROW()-4))</f>
      </c>
      <c r="G49" s="23">
        <f>IF($A49="","",INDEX(tblTasks[Niveau_criticite],ROW()-4))</f>
      </c>
      <c r="H49" s="23">
        <f>IF($A49="","",INDEX(tblTasks[Goulot],ROW()-4))</f>
      </c>
      <c r="I49" s="23">
        <f>IF($A49="","",IF(LOWER($F49)="oui","non",IF($E49="","oui",IFERROR(IF(LOWER(INDEX(tblTasks[Statut],MATCH($E49,tblTasks[ID],0)))="clos","oui","non"),"non"))))</f>
      </c>
      <c r="J49" s="25">
        <f>IF($A49="","",INDEX(tblTasks[Date_debut_prevue],ROW()-4))</f>
      </c>
      <c r="K49" s="25">
        <f>IF($A49="","",INDEX(tblTasks[Date_fin_prevue],ROW()-4))</f>
      </c>
      <c r="L49" s="23">
        <f>IF($A49="","",INDEX(tblTasks[Irreversibilite],ROW()-4))</f>
      </c>
      <c r="M49" s="26">
        <f>IF(OR($A49="",M$3=""),"",IF(AND($J49&lt;&gt;"",$K49&lt;&gt;"",$J49=$K49,$J49&gt;=M$3,$J49&lt;=IF(param_mode_affichage="mois",EOMONTH(M$3,0),M$3+6)),"◆",""))</f>
      </c>
      <c r="N49" s="26">
        <f>IF(OR($A49="",N$3=""),"",IF(AND($J49&lt;&gt;"",$K49&lt;&gt;"",$J49=$K49,$J49&gt;=N$3,$J49&lt;=IF(param_mode_affichage="mois",EOMONTH(N$3,0),N$3+6)),"◆",""))</f>
      </c>
      <c r="O49" s="26">
        <f>IF(OR($A49="",O$3=""),"",IF(AND($J49&lt;&gt;"",$K49&lt;&gt;"",$J49=$K49,$J49&gt;=O$3,$J49&lt;=IF(param_mode_affichage="mois",EOMONTH(O$3,0),O$3+6)),"◆",""))</f>
      </c>
      <c r="P49" s="26">
        <f>IF(OR($A49="",P$3=""),"",IF(AND($J49&lt;&gt;"",$K49&lt;&gt;"",$J49=$K49,$J49&gt;=P$3,$J49&lt;=IF(param_mode_affichage="mois",EOMONTH(P$3,0),P$3+6)),"◆",""))</f>
      </c>
      <c r="Q49" s="26">
        <f>IF(OR($A49="",Q$3=""),"",IF(AND($J49&lt;&gt;"",$K49&lt;&gt;"",$J49=$K49,$J49&gt;=Q$3,$J49&lt;=IF(param_mode_affichage="mois",EOMONTH(Q$3,0),Q$3+6)),"◆",""))</f>
      </c>
      <c r="R49" s="26">
        <f>IF(OR($A49="",R$3=""),"",IF(AND($J49&lt;&gt;"",$K49&lt;&gt;"",$J49=$K49,$J49&gt;=R$3,$J49&lt;=IF(param_mode_affichage="mois",EOMONTH(R$3,0),R$3+6)),"◆",""))</f>
      </c>
      <c r="S49" s="26">
        <f>IF(OR($A49="",S$3=""),"",IF(AND($J49&lt;&gt;"",$K49&lt;&gt;"",$J49=$K49,$J49&gt;=S$3,$J49&lt;=IF(param_mode_affichage="mois",EOMONTH(S$3,0),S$3+6)),"◆",""))</f>
      </c>
      <c r="T49" s="26">
        <f>IF(OR($A49="",T$3=""),"",IF(AND($J49&lt;&gt;"",$K49&lt;&gt;"",$J49=$K49,$J49&gt;=T$3,$J49&lt;=IF(param_mode_affichage="mois",EOMONTH(T$3,0),T$3+6)),"◆",""))</f>
      </c>
      <c r="U49" s="26">
        <f>IF(OR($A49="",U$3=""),"",IF(AND($J49&lt;&gt;"",$K49&lt;&gt;"",$J49=$K49,$J49&gt;=U$3,$J49&lt;=IF(param_mode_affichage="mois",EOMONTH(U$3,0),U$3+6)),"◆",""))</f>
      </c>
      <c r="V49" s="26">
        <f>IF(OR($A49="",V$3=""),"",IF(AND($J49&lt;&gt;"",$K49&lt;&gt;"",$J49=$K49,$J49&gt;=V$3,$J49&lt;=IF(param_mode_affichage="mois",EOMONTH(V$3,0),V$3+6)),"◆",""))</f>
      </c>
      <c r="W49" s="26">
        <f>IF(OR($A49="",W$3=""),"",IF(AND($J49&lt;&gt;"",$K49&lt;&gt;"",$J49=$K49,$J49&gt;=W$3,$J49&lt;=IF(param_mode_affichage="mois",EOMONTH(W$3,0),W$3+6)),"◆",""))</f>
      </c>
      <c r="X49" s="26">
        <f>IF(OR($A49="",X$3=""),"",IF(AND($J49&lt;&gt;"",$K49&lt;&gt;"",$J49=$K49,$J49&gt;=X$3,$J49&lt;=IF(param_mode_affichage="mois",EOMONTH(X$3,0),X$3+6)),"◆",""))</f>
      </c>
      <c r="Y49" s="26">
        <f>IF(OR($A49="",Y$3=""),"",IF(AND($J49&lt;&gt;"",$K49&lt;&gt;"",$J49=$K49,$J49&gt;=Y$3,$J49&lt;=IF(param_mode_affichage="mois",EOMONTH(Y$3,0),Y$3+6)),"◆",""))</f>
      </c>
      <c r="Z49" s="26">
        <f>IF(OR($A49="",Z$3=""),"",IF(AND($J49&lt;&gt;"",$K49&lt;&gt;"",$J49=$K49,$J49&gt;=Z$3,$J49&lt;=IF(param_mode_affichage="mois",EOMONTH(Z$3,0),Z$3+6)),"◆",""))</f>
      </c>
      <c r="AA49" s="26">
        <f>IF(OR($A49="",AA$3=""),"",IF(AND($J49&lt;&gt;"",$K49&lt;&gt;"",$J49=$K49,$J49&gt;=AA$3,$J49&lt;=IF(param_mode_affichage="mois",EOMONTH(AA$3,0),AA$3+6)),"◆",""))</f>
      </c>
      <c r="AB49" s="26">
        <f>IF(OR($A49="",AB$3=""),"",IF(AND($J49&lt;&gt;"",$K49&lt;&gt;"",$J49=$K49,$J49&gt;=AB$3,$J49&lt;=IF(param_mode_affichage="mois",EOMONTH(AB$3,0),AB$3+6)),"◆",""))</f>
      </c>
      <c r="AC49" s="26">
        <f>IF(OR($A49="",AC$3=""),"",IF(AND($J49&lt;&gt;"",$K49&lt;&gt;"",$J49=$K49,$J49&gt;=AC$3,$J49&lt;=IF(param_mode_affichage="mois",EOMONTH(AC$3,0),AC$3+6)),"◆",""))</f>
      </c>
      <c r="AD49" s="26">
        <f>IF(OR($A49="",AD$3=""),"",IF(AND($J49&lt;&gt;"",$K49&lt;&gt;"",$J49=$K49,$J49&gt;=AD$3,$J49&lt;=IF(param_mode_affichage="mois",EOMONTH(AD$3,0),AD$3+6)),"◆",""))</f>
      </c>
      <c r="AE49" s="26">
        <f>IF(OR($A49="",AE$3=""),"",IF(AND($J49&lt;&gt;"",$K49&lt;&gt;"",$J49=$K49,$J49&gt;=AE$3,$J49&lt;=IF(param_mode_affichage="mois",EOMONTH(AE$3,0),AE$3+6)),"◆",""))</f>
      </c>
      <c r="AF49" s="26">
        <f>IF(OR($A49="",AF$3=""),"",IF(AND($J49&lt;&gt;"",$K49&lt;&gt;"",$J49=$K49,$J49&gt;=AF$3,$J49&lt;=IF(param_mode_affichage="mois",EOMONTH(AF$3,0),AF$3+6)),"◆",""))</f>
      </c>
      <c r="AG49" s="26">
        <f>IF(OR($A49="",AG$3=""),"",IF(AND($J49&lt;&gt;"",$K49&lt;&gt;"",$J49=$K49,$J49&gt;=AG$3,$J49&lt;=IF(param_mode_affichage="mois",EOMONTH(AG$3,0),AG$3+6)),"◆",""))</f>
      </c>
      <c r="AH49" s="26">
        <f>IF(OR($A49="",AH$3=""),"",IF(AND($J49&lt;&gt;"",$K49&lt;&gt;"",$J49=$K49,$J49&gt;=AH$3,$J49&lt;=IF(param_mode_affichage="mois",EOMONTH(AH$3,0),AH$3+6)),"◆",""))</f>
      </c>
      <c r="AI49" s="26">
        <f>IF(OR($A49="",AI$3=""),"",IF(AND($J49&lt;&gt;"",$K49&lt;&gt;"",$J49=$K49,$J49&gt;=AI$3,$J49&lt;=IF(param_mode_affichage="mois",EOMONTH(AI$3,0),AI$3+6)),"◆",""))</f>
      </c>
      <c r="AJ49" s="26">
        <f>IF(OR($A49="",AJ$3=""),"",IF(AND($J49&lt;&gt;"",$K49&lt;&gt;"",$J49=$K49,$J49&gt;=AJ$3,$J49&lt;=IF(param_mode_affichage="mois",EOMONTH(AJ$3,0),AJ$3+6)),"◆",""))</f>
      </c>
      <c r="AK49" s="26">
        <f>IF(OR($A49="",AK$3=""),"",IF(AND($J49&lt;&gt;"",$K49&lt;&gt;"",$J49=$K49,$J49&gt;=AK$3,$J49&lt;=IF(param_mode_affichage="mois",EOMONTH(AK$3,0),AK$3+6)),"◆",""))</f>
      </c>
      <c r="AL49" s="26">
        <f>IF(OR($A49="",AL$3=""),"",IF(AND($J49&lt;&gt;"",$K49&lt;&gt;"",$J49=$K49,$J49&gt;=AL$3,$J49&lt;=IF(param_mode_affichage="mois",EOMONTH(AL$3,0),AL$3+6)),"◆",""))</f>
      </c>
      <c r="AM49" s="26">
        <f>IF(OR($A49="",AM$3=""),"",IF(AND($J49&lt;&gt;"",$K49&lt;&gt;"",$J49=$K49,$J49&gt;=AM$3,$J49&lt;=IF(param_mode_affichage="mois",EOMONTH(AM$3,0),AM$3+6)),"◆",""))</f>
      </c>
      <c r="AN49" s="26">
        <f>IF(OR($A49="",AN$3=""),"",IF(AND($J49&lt;&gt;"",$K49&lt;&gt;"",$J49=$K49,$J49&gt;=AN$3,$J49&lt;=IF(param_mode_affichage="mois",EOMONTH(AN$3,0),AN$3+6)),"◆",""))</f>
      </c>
      <c r="AO49" s="26">
        <f>IF(OR($A49="",AO$3=""),"",IF(AND($J49&lt;&gt;"",$K49&lt;&gt;"",$J49=$K49,$J49&gt;=AO$3,$J49&lt;=IF(param_mode_affichage="mois",EOMONTH(AO$3,0),AO$3+6)),"◆",""))</f>
      </c>
      <c r="AP49" s="26">
        <f>IF(OR($A49="",AP$3=""),"",IF(AND($J49&lt;&gt;"",$K49&lt;&gt;"",$J49=$K49,$J49&gt;=AP$3,$J49&lt;=IF(param_mode_affichage="mois",EOMONTH(AP$3,0),AP$3+6)),"◆",""))</f>
      </c>
      <c r="AQ49" s="26">
        <f>IF(OR($A49="",AQ$3=""),"",IF(AND($J49&lt;&gt;"",$K49&lt;&gt;"",$J49=$K49,$J49&gt;=AQ$3,$J49&lt;=IF(param_mode_affichage="mois",EOMONTH(AQ$3,0),AQ$3+6)),"◆",""))</f>
      </c>
      <c r="AR49" s="26">
        <f>IF(OR($A49="",AR$3=""),"",IF(AND($J49&lt;&gt;"",$K49&lt;&gt;"",$J49=$K49,$J49&gt;=AR$3,$J49&lt;=IF(param_mode_affichage="mois",EOMONTH(AR$3,0),AR$3+6)),"◆",""))</f>
      </c>
      <c r="AS49" s="26">
        <f>IF(OR($A49="",AS$3=""),"",IF(AND($J49&lt;&gt;"",$K49&lt;&gt;"",$J49=$K49,$J49&gt;=AS$3,$J49&lt;=IF(param_mode_affichage="mois",EOMONTH(AS$3,0),AS$3+6)),"◆",""))</f>
      </c>
      <c r="AT49" s="26">
        <f>IF(OR($A49="",AT$3=""),"",IF(AND($J49&lt;&gt;"",$K49&lt;&gt;"",$J49=$K49,$J49&gt;=AT$3,$J49&lt;=IF(param_mode_affichage="mois",EOMONTH(AT$3,0),AT$3+6)),"◆",""))</f>
      </c>
      <c r="AU49" s="26">
        <f>IF(OR($A49="",AU$3=""),"",IF(AND($J49&lt;&gt;"",$K49&lt;&gt;"",$J49=$K49,$J49&gt;=AU$3,$J49&lt;=IF(param_mode_affichage="mois",EOMONTH(AU$3,0),AU$3+6)),"◆",""))</f>
      </c>
      <c r="AV49" s="26">
        <f>IF(OR($A49="",AV$3=""),"",IF(AND($J49&lt;&gt;"",$K49&lt;&gt;"",$J49=$K49,$J49&gt;=AV$3,$J49&lt;=IF(param_mode_affichage="mois",EOMONTH(AV$3,0),AV$3+6)),"◆",""))</f>
      </c>
      <c r="AW49" s="26">
        <f>IF(OR($A49="",AW$3=""),"",IF(AND($J49&lt;&gt;"",$K49&lt;&gt;"",$J49=$K49,$J49&gt;=AW$3,$J49&lt;=IF(param_mode_affichage="mois",EOMONTH(AW$3,0),AW$3+6)),"◆",""))</f>
      </c>
      <c r="AX49" s="26">
        <f>IF(OR($A49="",AX$3=""),"",IF(AND($J49&lt;&gt;"",$K49&lt;&gt;"",$J49=$K49,$J49&gt;=AX$3,$J49&lt;=IF(param_mode_affichage="mois",EOMONTH(AX$3,0),AX$3+6)),"◆",""))</f>
      </c>
      <c r="AY49" s="26">
        <f>IF(OR($A49="",AY$3=""),"",IF(AND($J49&lt;&gt;"",$K49&lt;&gt;"",$J49=$K49,$J49&gt;=AY$3,$J49&lt;=IF(param_mode_affichage="mois",EOMONTH(AY$3,0),AY$3+6)),"◆",""))</f>
      </c>
      <c r="AZ49" s="26">
        <f>IF(OR($A49="",AZ$3=""),"",IF(AND($J49&lt;&gt;"",$K49&lt;&gt;"",$J49=$K49,$J49&gt;=AZ$3,$J49&lt;=IF(param_mode_affichage="mois",EOMONTH(AZ$3,0),AZ$3+6)),"◆",""))</f>
      </c>
      <c r="BA49" s="26">
        <f>IF(OR($A49="",BA$3=""),"",IF(AND($J49&lt;&gt;"",$K49&lt;&gt;"",$J49=$K49,$J49&gt;=BA$3,$J49&lt;=IF(param_mode_affichage="mois",EOMONTH(BA$3,0),BA$3+6)),"◆",""))</f>
      </c>
      <c r="BB49" s="26">
        <f>IF(OR($A49="",BB$3=""),"",IF(AND($J49&lt;&gt;"",$K49&lt;&gt;"",$J49=$K49,$J49&gt;=BB$3,$J49&lt;=IF(param_mode_affichage="mois",EOMONTH(BB$3,0),BB$3+6)),"◆",""))</f>
      </c>
      <c r="BC49" s="26">
        <f>IF(OR($A49="",BC$3=""),"",IF(AND($J49&lt;&gt;"",$K49&lt;&gt;"",$J49=$K49,$J49&gt;=BC$3,$J49&lt;=IF(param_mode_affichage="mois",EOMONTH(BC$3,0),BC$3+6)),"◆",""))</f>
      </c>
      <c r="BD49" s="26">
        <f>IF(OR($A49="",BD$3=""),"",IF(AND($J49&lt;&gt;"",$K49&lt;&gt;"",$J49=$K49,$J49&gt;=BD$3,$J49&lt;=IF(param_mode_affichage="mois",EOMONTH(BD$3,0),BD$3+6)),"◆",""))</f>
      </c>
      <c r="BE49" s="26">
        <f>IF(OR($A49="",BE$3=""),"",IF(AND($J49&lt;&gt;"",$K49&lt;&gt;"",$J49=$K49,$J49&gt;=BE$3,$J49&lt;=IF(param_mode_affichage="mois",EOMONTH(BE$3,0),BE$3+6)),"◆",""))</f>
      </c>
      <c r="BF49" s="26">
        <f>IF(OR($A49="",BF$3=""),"",IF(AND($J49&lt;&gt;"",$K49&lt;&gt;"",$J49=$K49,$J49&gt;=BF$3,$J49&lt;=IF(param_mode_affichage="mois",EOMONTH(BF$3,0),BF$3+6)),"◆",""))</f>
      </c>
      <c r="BG49" s="26">
        <f>IF(OR($A49="",BG$3=""),"",IF(AND($J49&lt;&gt;"",$K49&lt;&gt;"",$J49=$K49,$J49&gt;=BG$3,$J49&lt;=IF(param_mode_affichage="mois",EOMONTH(BG$3,0),BG$3+6)),"◆",""))</f>
      </c>
      <c r="BH49" s="26">
        <f>IF(OR($A49="",BH$3=""),"",IF(AND($J49&lt;&gt;"",$K49&lt;&gt;"",$J49=$K49,$J49&gt;=BH$3,$J49&lt;=IF(param_mode_affichage="mois",EOMONTH(BH$3,0),BH$3+6)),"◆",""))</f>
      </c>
      <c r="BI49" s="26">
        <f>IF(OR($A49="",BI$3=""),"",IF(AND($J49&lt;&gt;"",$K49&lt;&gt;"",$J49=$K49,$J49&gt;=BI$3,$J49&lt;=IF(param_mode_affichage="mois",EOMONTH(BI$3,0),BI$3+6)),"◆",""))</f>
      </c>
      <c r="BJ49" s="26">
        <f>IF(OR($A49="",BJ$3=""),"",IF(AND($J49&lt;&gt;"",$K49&lt;&gt;"",$J49=$K49,$J49&gt;=BJ$3,$J49&lt;=IF(param_mode_affichage="mois",EOMONTH(BJ$3,0),BJ$3+6)),"◆",""))</f>
      </c>
      <c r="BK49" s="26">
        <f>IF(OR($A49="",BK$3=""),"",IF(AND($J49&lt;&gt;"",$K49&lt;&gt;"",$J49=$K49,$J49&gt;=BK$3,$J49&lt;=IF(param_mode_affichage="mois",EOMONTH(BK$3,0),BK$3+6)),"◆",""))</f>
      </c>
      <c r="BL49" s="26">
        <f>IF(OR($A49="",BL$3=""),"",IF(AND($J49&lt;&gt;"",$K49&lt;&gt;"",$J49=$K49,$J49&gt;=BL$3,$J49&lt;=IF(param_mode_affichage="mois",EOMONTH(BL$3,0),BL$3+6)),"◆",""))</f>
      </c>
    </row>
    <row r="50" spans="1:64" x14ac:dyDescent="0.25">
      <c r="A50" s="23">
        <f>IFERROR(INDEX(tblTasks[ID],ROW()-4),"")</f>
      </c>
      <c r="B50" s="24">
        <f>IF($A50="","",INDEX(tblTasks[Sujet],ROW()-4))</f>
      </c>
      <c r="C50" s="23">
        <f>IF($A50="","",INDEX(tblTasks[Responsable],ROW()-4))</f>
      </c>
      <c r="D50" s="23">
        <f>IF($A50="","",INDEX(tblTasks[Statut],ROW()-4))</f>
      </c>
      <c r="E50" s="23">
        <f>IF($A50="","",INDEX(tblTasks[Depend_de],ROW()-4))</f>
      </c>
      <c r="F50" s="23">
        <f>IF($A50="","",INDEX(tblTasks[Blocage],ROW()-4))</f>
      </c>
      <c r="G50" s="23">
        <f>IF($A50="","",INDEX(tblTasks[Niveau_criticite],ROW()-4))</f>
      </c>
      <c r="H50" s="23">
        <f>IF($A50="","",INDEX(tblTasks[Goulot],ROW()-4))</f>
      </c>
      <c r="I50" s="23">
        <f>IF($A50="","",IF(LOWER($F50)="oui","non",IF($E50="","oui",IFERROR(IF(LOWER(INDEX(tblTasks[Statut],MATCH($E50,tblTasks[ID],0)))="clos","oui","non"),"non"))))</f>
      </c>
      <c r="J50" s="25">
        <f>IF($A50="","",INDEX(tblTasks[Date_debut_prevue],ROW()-4))</f>
      </c>
      <c r="K50" s="25">
        <f>IF($A50="","",INDEX(tblTasks[Date_fin_prevue],ROW()-4))</f>
      </c>
      <c r="L50" s="23">
        <f>IF($A50="","",INDEX(tblTasks[Irreversibilite],ROW()-4))</f>
      </c>
      <c r="M50" s="26">
        <f>IF(OR($A50="",M$3=""),"",IF(AND($J50&lt;&gt;"",$K50&lt;&gt;"",$J50=$K50,$J50&gt;=M$3,$J50&lt;=IF(param_mode_affichage="mois",EOMONTH(M$3,0),M$3+6)),"◆",""))</f>
      </c>
      <c r="N50" s="26">
        <f>IF(OR($A50="",N$3=""),"",IF(AND($J50&lt;&gt;"",$K50&lt;&gt;"",$J50=$K50,$J50&gt;=N$3,$J50&lt;=IF(param_mode_affichage="mois",EOMONTH(N$3,0),N$3+6)),"◆",""))</f>
      </c>
      <c r="O50" s="26">
        <f>IF(OR($A50="",O$3=""),"",IF(AND($J50&lt;&gt;"",$K50&lt;&gt;"",$J50=$K50,$J50&gt;=O$3,$J50&lt;=IF(param_mode_affichage="mois",EOMONTH(O$3,0),O$3+6)),"◆",""))</f>
      </c>
      <c r="P50" s="26">
        <f>IF(OR($A50="",P$3=""),"",IF(AND($J50&lt;&gt;"",$K50&lt;&gt;"",$J50=$K50,$J50&gt;=P$3,$J50&lt;=IF(param_mode_affichage="mois",EOMONTH(P$3,0),P$3+6)),"◆",""))</f>
      </c>
      <c r="Q50" s="26">
        <f>IF(OR($A50="",Q$3=""),"",IF(AND($J50&lt;&gt;"",$K50&lt;&gt;"",$J50=$K50,$J50&gt;=Q$3,$J50&lt;=IF(param_mode_affichage="mois",EOMONTH(Q$3,0),Q$3+6)),"◆",""))</f>
      </c>
      <c r="R50" s="26">
        <f>IF(OR($A50="",R$3=""),"",IF(AND($J50&lt;&gt;"",$K50&lt;&gt;"",$J50=$K50,$J50&gt;=R$3,$J50&lt;=IF(param_mode_affichage="mois",EOMONTH(R$3,0),R$3+6)),"◆",""))</f>
      </c>
      <c r="S50" s="26">
        <f>IF(OR($A50="",S$3=""),"",IF(AND($J50&lt;&gt;"",$K50&lt;&gt;"",$J50=$K50,$J50&gt;=S$3,$J50&lt;=IF(param_mode_affichage="mois",EOMONTH(S$3,0),S$3+6)),"◆",""))</f>
      </c>
      <c r="T50" s="26">
        <f>IF(OR($A50="",T$3=""),"",IF(AND($J50&lt;&gt;"",$K50&lt;&gt;"",$J50=$K50,$J50&gt;=T$3,$J50&lt;=IF(param_mode_affichage="mois",EOMONTH(T$3,0),T$3+6)),"◆",""))</f>
      </c>
      <c r="U50" s="26">
        <f>IF(OR($A50="",U$3=""),"",IF(AND($J50&lt;&gt;"",$K50&lt;&gt;"",$J50=$K50,$J50&gt;=U$3,$J50&lt;=IF(param_mode_affichage="mois",EOMONTH(U$3,0),U$3+6)),"◆",""))</f>
      </c>
      <c r="V50" s="26">
        <f>IF(OR($A50="",V$3=""),"",IF(AND($J50&lt;&gt;"",$K50&lt;&gt;"",$J50=$K50,$J50&gt;=V$3,$J50&lt;=IF(param_mode_affichage="mois",EOMONTH(V$3,0),V$3+6)),"◆",""))</f>
      </c>
      <c r="W50" s="26">
        <f>IF(OR($A50="",W$3=""),"",IF(AND($J50&lt;&gt;"",$K50&lt;&gt;"",$J50=$K50,$J50&gt;=W$3,$J50&lt;=IF(param_mode_affichage="mois",EOMONTH(W$3,0),W$3+6)),"◆",""))</f>
      </c>
      <c r="X50" s="26">
        <f>IF(OR($A50="",X$3=""),"",IF(AND($J50&lt;&gt;"",$K50&lt;&gt;"",$J50=$K50,$J50&gt;=X$3,$J50&lt;=IF(param_mode_affichage="mois",EOMONTH(X$3,0),X$3+6)),"◆",""))</f>
      </c>
      <c r="Y50" s="26">
        <f>IF(OR($A50="",Y$3=""),"",IF(AND($J50&lt;&gt;"",$K50&lt;&gt;"",$J50=$K50,$J50&gt;=Y$3,$J50&lt;=IF(param_mode_affichage="mois",EOMONTH(Y$3,0),Y$3+6)),"◆",""))</f>
      </c>
      <c r="Z50" s="26">
        <f>IF(OR($A50="",Z$3=""),"",IF(AND($J50&lt;&gt;"",$K50&lt;&gt;"",$J50=$K50,$J50&gt;=Z$3,$J50&lt;=IF(param_mode_affichage="mois",EOMONTH(Z$3,0),Z$3+6)),"◆",""))</f>
      </c>
      <c r="AA50" s="26">
        <f>IF(OR($A50="",AA$3=""),"",IF(AND($J50&lt;&gt;"",$K50&lt;&gt;"",$J50=$K50,$J50&gt;=AA$3,$J50&lt;=IF(param_mode_affichage="mois",EOMONTH(AA$3,0),AA$3+6)),"◆",""))</f>
      </c>
      <c r="AB50" s="26">
        <f>IF(OR($A50="",AB$3=""),"",IF(AND($J50&lt;&gt;"",$K50&lt;&gt;"",$J50=$K50,$J50&gt;=AB$3,$J50&lt;=IF(param_mode_affichage="mois",EOMONTH(AB$3,0),AB$3+6)),"◆",""))</f>
      </c>
      <c r="AC50" s="26">
        <f>IF(OR($A50="",AC$3=""),"",IF(AND($J50&lt;&gt;"",$K50&lt;&gt;"",$J50=$K50,$J50&gt;=AC$3,$J50&lt;=IF(param_mode_affichage="mois",EOMONTH(AC$3,0),AC$3+6)),"◆",""))</f>
      </c>
      <c r="AD50" s="26">
        <f>IF(OR($A50="",AD$3=""),"",IF(AND($J50&lt;&gt;"",$K50&lt;&gt;"",$J50=$K50,$J50&gt;=AD$3,$J50&lt;=IF(param_mode_affichage="mois",EOMONTH(AD$3,0),AD$3+6)),"◆",""))</f>
      </c>
      <c r="AE50" s="26">
        <f>IF(OR($A50="",AE$3=""),"",IF(AND($J50&lt;&gt;"",$K50&lt;&gt;"",$J50=$K50,$J50&gt;=AE$3,$J50&lt;=IF(param_mode_affichage="mois",EOMONTH(AE$3,0),AE$3+6)),"◆",""))</f>
      </c>
      <c r="AF50" s="26">
        <f>IF(OR($A50="",AF$3=""),"",IF(AND($J50&lt;&gt;"",$K50&lt;&gt;"",$J50=$K50,$J50&gt;=AF$3,$J50&lt;=IF(param_mode_affichage="mois",EOMONTH(AF$3,0),AF$3+6)),"◆",""))</f>
      </c>
      <c r="AG50" s="26">
        <f>IF(OR($A50="",AG$3=""),"",IF(AND($J50&lt;&gt;"",$K50&lt;&gt;"",$J50=$K50,$J50&gt;=AG$3,$J50&lt;=IF(param_mode_affichage="mois",EOMONTH(AG$3,0),AG$3+6)),"◆",""))</f>
      </c>
      <c r="AH50" s="26">
        <f>IF(OR($A50="",AH$3=""),"",IF(AND($J50&lt;&gt;"",$K50&lt;&gt;"",$J50=$K50,$J50&gt;=AH$3,$J50&lt;=IF(param_mode_affichage="mois",EOMONTH(AH$3,0),AH$3+6)),"◆",""))</f>
      </c>
      <c r="AI50" s="26">
        <f>IF(OR($A50="",AI$3=""),"",IF(AND($J50&lt;&gt;"",$K50&lt;&gt;"",$J50=$K50,$J50&gt;=AI$3,$J50&lt;=IF(param_mode_affichage="mois",EOMONTH(AI$3,0),AI$3+6)),"◆",""))</f>
      </c>
      <c r="AJ50" s="26">
        <f>IF(OR($A50="",AJ$3=""),"",IF(AND($J50&lt;&gt;"",$K50&lt;&gt;"",$J50=$K50,$J50&gt;=AJ$3,$J50&lt;=IF(param_mode_affichage="mois",EOMONTH(AJ$3,0),AJ$3+6)),"◆",""))</f>
      </c>
      <c r="AK50" s="26">
        <f>IF(OR($A50="",AK$3=""),"",IF(AND($J50&lt;&gt;"",$K50&lt;&gt;"",$J50=$K50,$J50&gt;=AK$3,$J50&lt;=IF(param_mode_affichage="mois",EOMONTH(AK$3,0),AK$3+6)),"◆",""))</f>
      </c>
      <c r="AL50" s="26">
        <f>IF(OR($A50="",AL$3=""),"",IF(AND($J50&lt;&gt;"",$K50&lt;&gt;"",$J50=$K50,$J50&gt;=AL$3,$J50&lt;=IF(param_mode_affichage="mois",EOMONTH(AL$3,0),AL$3+6)),"◆",""))</f>
      </c>
      <c r="AM50" s="26">
        <f>IF(OR($A50="",AM$3=""),"",IF(AND($J50&lt;&gt;"",$K50&lt;&gt;"",$J50=$K50,$J50&gt;=AM$3,$J50&lt;=IF(param_mode_affichage="mois",EOMONTH(AM$3,0),AM$3+6)),"◆",""))</f>
      </c>
      <c r="AN50" s="26">
        <f>IF(OR($A50="",AN$3=""),"",IF(AND($J50&lt;&gt;"",$K50&lt;&gt;"",$J50=$K50,$J50&gt;=AN$3,$J50&lt;=IF(param_mode_affichage="mois",EOMONTH(AN$3,0),AN$3+6)),"◆",""))</f>
      </c>
      <c r="AO50" s="26">
        <f>IF(OR($A50="",AO$3=""),"",IF(AND($J50&lt;&gt;"",$K50&lt;&gt;"",$J50=$K50,$J50&gt;=AO$3,$J50&lt;=IF(param_mode_affichage="mois",EOMONTH(AO$3,0),AO$3+6)),"◆",""))</f>
      </c>
      <c r="AP50" s="26">
        <f>IF(OR($A50="",AP$3=""),"",IF(AND($J50&lt;&gt;"",$K50&lt;&gt;"",$J50=$K50,$J50&gt;=AP$3,$J50&lt;=IF(param_mode_affichage="mois",EOMONTH(AP$3,0),AP$3+6)),"◆",""))</f>
      </c>
      <c r="AQ50" s="26">
        <f>IF(OR($A50="",AQ$3=""),"",IF(AND($J50&lt;&gt;"",$K50&lt;&gt;"",$J50=$K50,$J50&gt;=AQ$3,$J50&lt;=IF(param_mode_affichage="mois",EOMONTH(AQ$3,0),AQ$3+6)),"◆",""))</f>
      </c>
      <c r="AR50" s="26">
        <f>IF(OR($A50="",AR$3=""),"",IF(AND($J50&lt;&gt;"",$K50&lt;&gt;"",$J50=$K50,$J50&gt;=AR$3,$J50&lt;=IF(param_mode_affichage="mois",EOMONTH(AR$3,0),AR$3+6)),"◆",""))</f>
      </c>
      <c r="AS50" s="26">
        <f>IF(OR($A50="",AS$3=""),"",IF(AND($J50&lt;&gt;"",$K50&lt;&gt;"",$J50=$K50,$J50&gt;=AS$3,$J50&lt;=IF(param_mode_affichage="mois",EOMONTH(AS$3,0),AS$3+6)),"◆",""))</f>
      </c>
      <c r="AT50" s="26">
        <f>IF(OR($A50="",AT$3=""),"",IF(AND($J50&lt;&gt;"",$K50&lt;&gt;"",$J50=$K50,$J50&gt;=AT$3,$J50&lt;=IF(param_mode_affichage="mois",EOMONTH(AT$3,0),AT$3+6)),"◆",""))</f>
      </c>
      <c r="AU50" s="26">
        <f>IF(OR($A50="",AU$3=""),"",IF(AND($J50&lt;&gt;"",$K50&lt;&gt;"",$J50=$K50,$J50&gt;=AU$3,$J50&lt;=IF(param_mode_affichage="mois",EOMONTH(AU$3,0),AU$3+6)),"◆",""))</f>
      </c>
      <c r="AV50" s="26">
        <f>IF(OR($A50="",AV$3=""),"",IF(AND($J50&lt;&gt;"",$K50&lt;&gt;"",$J50=$K50,$J50&gt;=AV$3,$J50&lt;=IF(param_mode_affichage="mois",EOMONTH(AV$3,0),AV$3+6)),"◆",""))</f>
      </c>
      <c r="AW50" s="26">
        <f>IF(OR($A50="",AW$3=""),"",IF(AND($J50&lt;&gt;"",$K50&lt;&gt;"",$J50=$K50,$J50&gt;=AW$3,$J50&lt;=IF(param_mode_affichage="mois",EOMONTH(AW$3,0),AW$3+6)),"◆",""))</f>
      </c>
      <c r="AX50" s="26">
        <f>IF(OR($A50="",AX$3=""),"",IF(AND($J50&lt;&gt;"",$K50&lt;&gt;"",$J50=$K50,$J50&gt;=AX$3,$J50&lt;=IF(param_mode_affichage="mois",EOMONTH(AX$3,0),AX$3+6)),"◆",""))</f>
      </c>
      <c r="AY50" s="26">
        <f>IF(OR($A50="",AY$3=""),"",IF(AND($J50&lt;&gt;"",$K50&lt;&gt;"",$J50=$K50,$J50&gt;=AY$3,$J50&lt;=IF(param_mode_affichage="mois",EOMONTH(AY$3,0),AY$3+6)),"◆",""))</f>
      </c>
      <c r="AZ50" s="26">
        <f>IF(OR($A50="",AZ$3=""),"",IF(AND($J50&lt;&gt;"",$K50&lt;&gt;"",$J50=$K50,$J50&gt;=AZ$3,$J50&lt;=IF(param_mode_affichage="mois",EOMONTH(AZ$3,0),AZ$3+6)),"◆",""))</f>
      </c>
      <c r="BA50" s="26">
        <f>IF(OR($A50="",BA$3=""),"",IF(AND($J50&lt;&gt;"",$K50&lt;&gt;"",$J50=$K50,$J50&gt;=BA$3,$J50&lt;=IF(param_mode_affichage="mois",EOMONTH(BA$3,0),BA$3+6)),"◆",""))</f>
      </c>
      <c r="BB50" s="26">
        <f>IF(OR($A50="",BB$3=""),"",IF(AND($J50&lt;&gt;"",$K50&lt;&gt;"",$J50=$K50,$J50&gt;=BB$3,$J50&lt;=IF(param_mode_affichage="mois",EOMONTH(BB$3,0),BB$3+6)),"◆",""))</f>
      </c>
      <c r="BC50" s="26">
        <f>IF(OR($A50="",BC$3=""),"",IF(AND($J50&lt;&gt;"",$K50&lt;&gt;"",$J50=$K50,$J50&gt;=BC$3,$J50&lt;=IF(param_mode_affichage="mois",EOMONTH(BC$3,0),BC$3+6)),"◆",""))</f>
      </c>
      <c r="BD50" s="26">
        <f>IF(OR($A50="",BD$3=""),"",IF(AND($J50&lt;&gt;"",$K50&lt;&gt;"",$J50=$K50,$J50&gt;=BD$3,$J50&lt;=IF(param_mode_affichage="mois",EOMONTH(BD$3,0),BD$3+6)),"◆",""))</f>
      </c>
      <c r="BE50" s="26">
        <f>IF(OR($A50="",BE$3=""),"",IF(AND($J50&lt;&gt;"",$K50&lt;&gt;"",$J50=$K50,$J50&gt;=BE$3,$J50&lt;=IF(param_mode_affichage="mois",EOMONTH(BE$3,0),BE$3+6)),"◆",""))</f>
      </c>
      <c r="BF50" s="26">
        <f>IF(OR($A50="",BF$3=""),"",IF(AND($J50&lt;&gt;"",$K50&lt;&gt;"",$J50=$K50,$J50&gt;=BF$3,$J50&lt;=IF(param_mode_affichage="mois",EOMONTH(BF$3,0),BF$3+6)),"◆",""))</f>
      </c>
      <c r="BG50" s="26">
        <f>IF(OR($A50="",BG$3=""),"",IF(AND($J50&lt;&gt;"",$K50&lt;&gt;"",$J50=$K50,$J50&gt;=BG$3,$J50&lt;=IF(param_mode_affichage="mois",EOMONTH(BG$3,0),BG$3+6)),"◆",""))</f>
      </c>
      <c r="BH50" s="26">
        <f>IF(OR($A50="",BH$3=""),"",IF(AND($J50&lt;&gt;"",$K50&lt;&gt;"",$J50=$K50,$J50&gt;=BH$3,$J50&lt;=IF(param_mode_affichage="mois",EOMONTH(BH$3,0),BH$3+6)),"◆",""))</f>
      </c>
      <c r="BI50" s="26">
        <f>IF(OR($A50="",BI$3=""),"",IF(AND($J50&lt;&gt;"",$K50&lt;&gt;"",$J50=$K50,$J50&gt;=BI$3,$J50&lt;=IF(param_mode_affichage="mois",EOMONTH(BI$3,0),BI$3+6)),"◆",""))</f>
      </c>
      <c r="BJ50" s="26">
        <f>IF(OR($A50="",BJ$3=""),"",IF(AND($J50&lt;&gt;"",$K50&lt;&gt;"",$J50=$K50,$J50&gt;=BJ$3,$J50&lt;=IF(param_mode_affichage="mois",EOMONTH(BJ$3,0),BJ$3+6)),"◆",""))</f>
      </c>
      <c r="BK50" s="26">
        <f>IF(OR($A50="",BK$3=""),"",IF(AND($J50&lt;&gt;"",$K50&lt;&gt;"",$J50=$K50,$J50&gt;=BK$3,$J50&lt;=IF(param_mode_affichage="mois",EOMONTH(BK$3,0),BK$3+6)),"◆",""))</f>
      </c>
      <c r="BL50" s="26">
        <f>IF(OR($A50="",BL$3=""),"",IF(AND($J50&lt;&gt;"",$K50&lt;&gt;"",$J50=$K50,$J50&gt;=BL$3,$J50&lt;=IF(param_mode_affichage="mois",EOMONTH(BL$3,0),BL$3+6)),"◆",""))</f>
      </c>
    </row>
    <row r="51" spans="1:64" x14ac:dyDescent="0.25">
      <c r="A51" s="23">
        <f>IFERROR(INDEX(tblTasks[ID],ROW()-4),"")</f>
      </c>
      <c r="B51" s="24">
        <f>IF($A51="","",INDEX(tblTasks[Sujet],ROW()-4))</f>
      </c>
      <c r="C51" s="23">
        <f>IF($A51="","",INDEX(tblTasks[Responsable],ROW()-4))</f>
      </c>
      <c r="D51" s="23">
        <f>IF($A51="","",INDEX(tblTasks[Statut],ROW()-4))</f>
      </c>
      <c r="E51" s="23">
        <f>IF($A51="","",INDEX(tblTasks[Depend_de],ROW()-4))</f>
      </c>
      <c r="F51" s="23">
        <f>IF($A51="","",INDEX(tblTasks[Blocage],ROW()-4))</f>
      </c>
      <c r="G51" s="23">
        <f>IF($A51="","",INDEX(tblTasks[Niveau_criticite],ROW()-4))</f>
      </c>
      <c r="H51" s="23">
        <f>IF($A51="","",INDEX(tblTasks[Goulot],ROW()-4))</f>
      </c>
      <c r="I51" s="23">
        <f>IF($A51="","",IF(LOWER($F51)="oui","non",IF($E51="","oui",IFERROR(IF(LOWER(INDEX(tblTasks[Statut],MATCH($E51,tblTasks[ID],0)))="clos","oui","non"),"non"))))</f>
      </c>
      <c r="J51" s="25">
        <f>IF($A51="","",INDEX(tblTasks[Date_debut_prevue],ROW()-4))</f>
      </c>
      <c r="K51" s="25">
        <f>IF($A51="","",INDEX(tblTasks[Date_fin_prevue],ROW()-4))</f>
      </c>
      <c r="L51" s="23">
        <f>IF($A51="","",INDEX(tblTasks[Irreversibilite],ROW()-4))</f>
      </c>
      <c r="M51" s="26">
        <f>IF(OR($A51="",M$3=""),"",IF(AND($J51&lt;&gt;"",$K51&lt;&gt;"",$J51=$K51,$J51&gt;=M$3,$J51&lt;=IF(param_mode_affichage="mois",EOMONTH(M$3,0),M$3+6)),"◆",""))</f>
      </c>
      <c r="N51" s="26">
        <f>IF(OR($A51="",N$3=""),"",IF(AND($J51&lt;&gt;"",$K51&lt;&gt;"",$J51=$K51,$J51&gt;=N$3,$J51&lt;=IF(param_mode_affichage="mois",EOMONTH(N$3,0),N$3+6)),"◆",""))</f>
      </c>
      <c r="O51" s="26">
        <f>IF(OR($A51="",O$3=""),"",IF(AND($J51&lt;&gt;"",$K51&lt;&gt;"",$J51=$K51,$J51&gt;=O$3,$J51&lt;=IF(param_mode_affichage="mois",EOMONTH(O$3,0),O$3+6)),"◆",""))</f>
      </c>
      <c r="P51" s="26">
        <f>IF(OR($A51="",P$3=""),"",IF(AND($J51&lt;&gt;"",$K51&lt;&gt;"",$J51=$K51,$J51&gt;=P$3,$J51&lt;=IF(param_mode_affichage="mois",EOMONTH(P$3,0),P$3+6)),"◆",""))</f>
      </c>
      <c r="Q51" s="26">
        <f>IF(OR($A51="",Q$3=""),"",IF(AND($J51&lt;&gt;"",$K51&lt;&gt;"",$J51=$K51,$J51&gt;=Q$3,$J51&lt;=IF(param_mode_affichage="mois",EOMONTH(Q$3,0),Q$3+6)),"◆",""))</f>
      </c>
      <c r="R51" s="26">
        <f>IF(OR($A51="",R$3=""),"",IF(AND($J51&lt;&gt;"",$K51&lt;&gt;"",$J51=$K51,$J51&gt;=R$3,$J51&lt;=IF(param_mode_affichage="mois",EOMONTH(R$3,0),R$3+6)),"◆",""))</f>
      </c>
      <c r="S51" s="26">
        <f>IF(OR($A51="",S$3=""),"",IF(AND($J51&lt;&gt;"",$K51&lt;&gt;"",$J51=$K51,$J51&gt;=S$3,$J51&lt;=IF(param_mode_affichage="mois",EOMONTH(S$3,0),S$3+6)),"◆",""))</f>
      </c>
      <c r="T51" s="26">
        <f>IF(OR($A51="",T$3=""),"",IF(AND($J51&lt;&gt;"",$K51&lt;&gt;"",$J51=$K51,$J51&gt;=T$3,$J51&lt;=IF(param_mode_affichage="mois",EOMONTH(T$3,0),T$3+6)),"◆",""))</f>
      </c>
      <c r="U51" s="26">
        <f>IF(OR($A51="",U$3=""),"",IF(AND($J51&lt;&gt;"",$K51&lt;&gt;"",$J51=$K51,$J51&gt;=U$3,$J51&lt;=IF(param_mode_affichage="mois",EOMONTH(U$3,0),U$3+6)),"◆",""))</f>
      </c>
      <c r="V51" s="26">
        <f>IF(OR($A51="",V$3=""),"",IF(AND($J51&lt;&gt;"",$K51&lt;&gt;"",$J51=$K51,$J51&gt;=V$3,$J51&lt;=IF(param_mode_affichage="mois",EOMONTH(V$3,0),V$3+6)),"◆",""))</f>
      </c>
      <c r="W51" s="26">
        <f>IF(OR($A51="",W$3=""),"",IF(AND($J51&lt;&gt;"",$K51&lt;&gt;"",$J51=$K51,$J51&gt;=W$3,$J51&lt;=IF(param_mode_affichage="mois",EOMONTH(W$3,0),W$3+6)),"◆",""))</f>
      </c>
      <c r="X51" s="26">
        <f>IF(OR($A51="",X$3=""),"",IF(AND($J51&lt;&gt;"",$K51&lt;&gt;"",$J51=$K51,$J51&gt;=X$3,$J51&lt;=IF(param_mode_affichage="mois",EOMONTH(X$3,0),X$3+6)),"◆",""))</f>
      </c>
      <c r="Y51" s="26">
        <f>IF(OR($A51="",Y$3=""),"",IF(AND($J51&lt;&gt;"",$K51&lt;&gt;"",$J51=$K51,$J51&gt;=Y$3,$J51&lt;=IF(param_mode_affichage="mois",EOMONTH(Y$3,0),Y$3+6)),"◆",""))</f>
      </c>
      <c r="Z51" s="26">
        <f>IF(OR($A51="",Z$3=""),"",IF(AND($J51&lt;&gt;"",$K51&lt;&gt;"",$J51=$K51,$J51&gt;=Z$3,$J51&lt;=IF(param_mode_affichage="mois",EOMONTH(Z$3,0),Z$3+6)),"◆",""))</f>
      </c>
      <c r="AA51" s="26">
        <f>IF(OR($A51="",AA$3=""),"",IF(AND($J51&lt;&gt;"",$K51&lt;&gt;"",$J51=$K51,$J51&gt;=AA$3,$J51&lt;=IF(param_mode_affichage="mois",EOMONTH(AA$3,0),AA$3+6)),"◆",""))</f>
      </c>
      <c r="AB51" s="26">
        <f>IF(OR($A51="",AB$3=""),"",IF(AND($J51&lt;&gt;"",$K51&lt;&gt;"",$J51=$K51,$J51&gt;=AB$3,$J51&lt;=IF(param_mode_affichage="mois",EOMONTH(AB$3,0),AB$3+6)),"◆",""))</f>
      </c>
      <c r="AC51" s="26">
        <f>IF(OR($A51="",AC$3=""),"",IF(AND($J51&lt;&gt;"",$K51&lt;&gt;"",$J51=$K51,$J51&gt;=AC$3,$J51&lt;=IF(param_mode_affichage="mois",EOMONTH(AC$3,0),AC$3+6)),"◆",""))</f>
      </c>
      <c r="AD51" s="26">
        <f>IF(OR($A51="",AD$3=""),"",IF(AND($J51&lt;&gt;"",$K51&lt;&gt;"",$J51=$K51,$J51&gt;=AD$3,$J51&lt;=IF(param_mode_affichage="mois",EOMONTH(AD$3,0),AD$3+6)),"◆",""))</f>
      </c>
      <c r="AE51" s="26">
        <f>IF(OR($A51="",AE$3=""),"",IF(AND($J51&lt;&gt;"",$K51&lt;&gt;"",$J51=$K51,$J51&gt;=AE$3,$J51&lt;=IF(param_mode_affichage="mois",EOMONTH(AE$3,0),AE$3+6)),"◆",""))</f>
      </c>
      <c r="AF51" s="26">
        <f>IF(OR($A51="",AF$3=""),"",IF(AND($J51&lt;&gt;"",$K51&lt;&gt;"",$J51=$K51,$J51&gt;=AF$3,$J51&lt;=IF(param_mode_affichage="mois",EOMONTH(AF$3,0),AF$3+6)),"◆",""))</f>
      </c>
      <c r="AG51" s="26">
        <f>IF(OR($A51="",AG$3=""),"",IF(AND($J51&lt;&gt;"",$K51&lt;&gt;"",$J51=$K51,$J51&gt;=AG$3,$J51&lt;=IF(param_mode_affichage="mois",EOMONTH(AG$3,0),AG$3+6)),"◆",""))</f>
      </c>
      <c r="AH51" s="26">
        <f>IF(OR($A51="",AH$3=""),"",IF(AND($J51&lt;&gt;"",$K51&lt;&gt;"",$J51=$K51,$J51&gt;=AH$3,$J51&lt;=IF(param_mode_affichage="mois",EOMONTH(AH$3,0),AH$3+6)),"◆",""))</f>
      </c>
      <c r="AI51" s="26">
        <f>IF(OR($A51="",AI$3=""),"",IF(AND($J51&lt;&gt;"",$K51&lt;&gt;"",$J51=$K51,$J51&gt;=AI$3,$J51&lt;=IF(param_mode_affichage="mois",EOMONTH(AI$3,0),AI$3+6)),"◆",""))</f>
      </c>
      <c r="AJ51" s="26">
        <f>IF(OR($A51="",AJ$3=""),"",IF(AND($J51&lt;&gt;"",$K51&lt;&gt;"",$J51=$K51,$J51&gt;=AJ$3,$J51&lt;=IF(param_mode_affichage="mois",EOMONTH(AJ$3,0),AJ$3+6)),"◆",""))</f>
      </c>
      <c r="AK51" s="26">
        <f>IF(OR($A51="",AK$3=""),"",IF(AND($J51&lt;&gt;"",$K51&lt;&gt;"",$J51=$K51,$J51&gt;=AK$3,$J51&lt;=IF(param_mode_affichage="mois",EOMONTH(AK$3,0),AK$3+6)),"◆",""))</f>
      </c>
      <c r="AL51" s="26">
        <f>IF(OR($A51="",AL$3=""),"",IF(AND($J51&lt;&gt;"",$K51&lt;&gt;"",$J51=$K51,$J51&gt;=AL$3,$J51&lt;=IF(param_mode_affichage="mois",EOMONTH(AL$3,0),AL$3+6)),"◆",""))</f>
      </c>
      <c r="AM51" s="26">
        <f>IF(OR($A51="",AM$3=""),"",IF(AND($J51&lt;&gt;"",$K51&lt;&gt;"",$J51=$K51,$J51&gt;=AM$3,$J51&lt;=IF(param_mode_affichage="mois",EOMONTH(AM$3,0),AM$3+6)),"◆",""))</f>
      </c>
      <c r="AN51" s="26">
        <f>IF(OR($A51="",AN$3=""),"",IF(AND($J51&lt;&gt;"",$K51&lt;&gt;"",$J51=$K51,$J51&gt;=AN$3,$J51&lt;=IF(param_mode_affichage="mois",EOMONTH(AN$3,0),AN$3+6)),"◆",""))</f>
      </c>
      <c r="AO51" s="26">
        <f>IF(OR($A51="",AO$3=""),"",IF(AND($J51&lt;&gt;"",$K51&lt;&gt;"",$J51=$K51,$J51&gt;=AO$3,$J51&lt;=IF(param_mode_affichage="mois",EOMONTH(AO$3,0),AO$3+6)),"◆",""))</f>
      </c>
      <c r="AP51" s="26">
        <f>IF(OR($A51="",AP$3=""),"",IF(AND($J51&lt;&gt;"",$K51&lt;&gt;"",$J51=$K51,$J51&gt;=AP$3,$J51&lt;=IF(param_mode_affichage="mois",EOMONTH(AP$3,0),AP$3+6)),"◆",""))</f>
      </c>
      <c r="AQ51" s="26">
        <f>IF(OR($A51="",AQ$3=""),"",IF(AND($J51&lt;&gt;"",$K51&lt;&gt;"",$J51=$K51,$J51&gt;=AQ$3,$J51&lt;=IF(param_mode_affichage="mois",EOMONTH(AQ$3,0),AQ$3+6)),"◆",""))</f>
      </c>
      <c r="AR51" s="26">
        <f>IF(OR($A51="",AR$3=""),"",IF(AND($J51&lt;&gt;"",$K51&lt;&gt;"",$J51=$K51,$J51&gt;=AR$3,$J51&lt;=IF(param_mode_affichage="mois",EOMONTH(AR$3,0),AR$3+6)),"◆",""))</f>
      </c>
      <c r="AS51" s="26">
        <f>IF(OR($A51="",AS$3=""),"",IF(AND($J51&lt;&gt;"",$K51&lt;&gt;"",$J51=$K51,$J51&gt;=AS$3,$J51&lt;=IF(param_mode_affichage="mois",EOMONTH(AS$3,0),AS$3+6)),"◆",""))</f>
      </c>
      <c r="AT51" s="26">
        <f>IF(OR($A51="",AT$3=""),"",IF(AND($J51&lt;&gt;"",$K51&lt;&gt;"",$J51=$K51,$J51&gt;=AT$3,$J51&lt;=IF(param_mode_affichage="mois",EOMONTH(AT$3,0),AT$3+6)),"◆",""))</f>
      </c>
      <c r="AU51" s="26">
        <f>IF(OR($A51="",AU$3=""),"",IF(AND($J51&lt;&gt;"",$K51&lt;&gt;"",$J51=$K51,$J51&gt;=AU$3,$J51&lt;=IF(param_mode_affichage="mois",EOMONTH(AU$3,0),AU$3+6)),"◆",""))</f>
      </c>
      <c r="AV51" s="26">
        <f>IF(OR($A51="",AV$3=""),"",IF(AND($J51&lt;&gt;"",$K51&lt;&gt;"",$J51=$K51,$J51&gt;=AV$3,$J51&lt;=IF(param_mode_affichage="mois",EOMONTH(AV$3,0),AV$3+6)),"◆",""))</f>
      </c>
      <c r="AW51" s="26">
        <f>IF(OR($A51="",AW$3=""),"",IF(AND($J51&lt;&gt;"",$K51&lt;&gt;"",$J51=$K51,$J51&gt;=AW$3,$J51&lt;=IF(param_mode_affichage="mois",EOMONTH(AW$3,0),AW$3+6)),"◆",""))</f>
      </c>
      <c r="AX51" s="26">
        <f>IF(OR($A51="",AX$3=""),"",IF(AND($J51&lt;&gt;"",$K51&lt;&gt;"",$J51=$K51,$J51&gt;=AX$3,$J51&lt;=IF(param_mode_affichage="mois",EOMONTH(AX$3,0),AX$3+6)),"◆",""))</f>
      </c>
      <c r="AY51" s="26">
        <f>IF(OR($A51="",AY$3=""),"",IF(AND($J51&lt;&gt;"",$K51&lt;&gt;"",$J51=$K51,$J51&gt;=AY$3,$J51&lt;=IF(param_mode_affichage="mois",EOMONTH(AY$3,0),AY$3+6)),"◆",""))</f>
      </c>
      <c r="AZ51" s="26">
        <f>IF(OR($A51="",AZ$3=""),"",IF(AND($J51&lt;&gt;"",$K51&lt;&gt;"",$J51=$K51,$J51&gt;=AZ$3,$J51&lt;=IF(param_mode_affichage="mois",EOMONTH(AZ$3,0),AZ$3+6)),"◆",""))</f>
      </c>
      <c r="BA51" s="26">
        <f>IF(OR($A51="",BA$3=""),"",IF(AND($J51&lt;&gt;"",$K51&lt;&gt;"",$J51=$K51,$J51&gt;=BA$3,$J51&lt;=IF(param_mode_affichage="mois",EOMONTH(BA$3,0),BA$3+6)),"◆",""))</f>
      </c>
      <c r="BB51" s="26">
        <f>IF(OR($A51="",BB$3=""),"",IF(AND($J51&lt;&gt;"",$K51&lt;&gt;"",$J51=$K51,$J51&gt;=BB$3,$J51&lt;=IF(param_mode_affichage="mois",EOMONTH(BB$3,0),BB$3+6)),"◆",""))</f>
      </c>
      <c r="BC51" s="26">
        <f>IF(OR($A51="",BC$3=""),"",IF(AND($J51&lt;&gt;"",$K51&lt;&gt;"",$J51=$K51,$J51&gt;=BC$3,$J51&lt;=IF(param_mode_affichage="mois",EOMONTH(BC$3,0),BC$3+6)),"◆",""))</f>
      </c>
      <c r="BD51" s="26">
        <f>IF(OR($A51="",BD$3=""),"",IF(AND($J51&lt;&gt;"",$K51&lt;&gt;"",$J51=$K51,$J51&gt;=BD$3,$J51&lt;=IF(param_mode_affichage="mois",EOMONTH(BD$3,0),BD$3+6)),"◆",""))</f>
      </c>
      <c r="BE51" s="26">
        <f>IF(OR($A51="",BE$3=""),"",IF(AND($J51&lt;&gt;"",$K51&lt;&gt;"",$J51=$K51,$J51&gt;=BE$3,$J51&lt;=IF(param_mode_affichage="mois",EOMONTH(BE$3,0),BE$3+6)),"◆",""))</f>
      </c>
      <c r="BF51" s="26">
        <f>IF(OR($A51="",BF$3=""),"",IF(AND($J51&lt;&gt;"",$K51&lt;&gt;"",$J51=$K51,$J51&gt;=BF$3,$J51&lt;=IF(param_mode_affichage="mois",EOMONTH(BF$3,0),BF$3+6)),"◆",""))</f>
      </c>
      <c r="BG51" s="26">
        <f>IF(OR($A51="",BG$3=""),"",IF(AND($J51&lt;&gt;"",$K51&lt;&gt;"",$J51=$K51,$J51&gt;=BG$3,$J51&lt;=IF(param_mode_affichage="mois",EOMONTH(BG$3,0),BG$3+6)),"◆",""))</f>
      </c>
      <c r="BH51" s="26">
        <f>IF(OR($A51="",BH$3=""),"",IF(AND($J51&lt;&gt;"",$K51&lt;&gt;"",$J51=$K51,$J51&gt;=BH$3,$J51&lt;=IF(param_mode_affichage="mois",EOMONTH(BH$3,0),BH$3+6)),"◆",""))</f>
      </c>
      <c r="BI51" s="26">
        <f>IF(OR($A51="",BI$3=""),"",IF(AND($J51&lt;&gt;"",$K51&lt;&gt;"",$J51=$K51,$J51&gt;=BI$3,$J51&lt;=IF(param_mode_affichage="mois",EOMONTH(BI$3,0),BI$3+6)),"◆",""))</f>
      </c>
      <c r="BJ51" s="26">
        <f>IF(OR($A51="",BJ$3=""),"",IF(AND($J51&lt;&gt;"",$K51&lt;&gt;"",$J51=$K51,$J51&gt;=BJ$3,$J51&lt;=IF(param_mode_affichage="mois",EOMONTH(BJ$3,0),BJ$3+6)),"◆",""))</f>
      </c>
      <c r="BK51" s="26">
        <f>IF(OR($A51="",BK$3=""),"",IF(AND($J51&lt;&gt;"",$K51&lt;&gt;"",$J51=$K51,$J51&gt;=BK$3,$J51&lt;=IF(param_mode_affichage="mois",EOMONTH(BK$3,0),BK$3+6)),"◆",""))</f>
      </c>
      <c r="BL51" s="26">
        <f>IF(OR($A51="",BL$3=""),"",IF(AND($J51&lt;&gt;"",$K51&lt;&gt;"",$J51=$K51,$J51&gt;=BL$3,$J51&lt;=IF(param_mode_affichage="mois",EOMONTH(BL$3,0),BL$3+6)),"◆",""))</f>
      </c>
    </row>
    <row r="52" spans="1:64" x14ac:dyDescent="0.25">
      <c r="A52" s="23">
        <f>IFERROR(INDEX(tblTasks[ID],ROW()-4),"")</f>
      </c>
      <c r="B52" s="24">
        <f>IF($A52="","",INDEX(tblTasks[Sujet],ROW()-4))</f>
      </c>
      <c r="C52" s="23">
        <f>IF($A52="","",INDEX(tblTasks[Responsable],ROW()-4))</f>
      </c>
      <c r="D52" s="23">
        <f>IF($A52="","",INDEX(tblTasks[Statut],ROW()-4))</f>
      </c>
      <c r="E52" s="23">
        <f>IF($A52="","",INDEX(tblTasks[Depend_de],ROW()-4))</f>
      </c>
      <c r="F52" s="23">
        <f>IF($A52="","",INDEX(tblTasks[Blocage],ROW()-4))</f>
      </c>
      <c r="G52" s="23">
        <f>IF($A52="","",INDEX(tblTasks[Niveau_criticite],ROW()-4))</f>
      </c>
      <c r="H52" s="23">
        <f>IF($A52="","",INDEX(tblTasks[Goulot],ROW()-4))</f>
      </c>
      <c r="I52" s="23">
        <f>IF($A52="","",IF(LOWER($F52)="oui","non",IF($E52="","oui",IFERROR(IF(LOWER(INDEX(tblTasks[Statut],MATCH($E52,tblTasks[ID],0)))="clos","oui","non"),"non"))))</f>
      </c>
      <c r="J52" s="25">
        <f>IF($A52="","",INDEX(tblTasks[Date_debut_prevue],ROW()-4))</f>
      </c>
      <c r="K52" s="25">
        <f>IF($A52="","",INDEX(tblTasks[Date_fin_prevue],ROW()-4))</f>
      </c>
      <c r="L52" s="23">
        <f>IF($A52="","",INDEX(tblTasks[Irreversibilite],ROW()-4))</f>
      </c>
      <c r="M52" s="26">
        <f>IF(OR($A52="",M$3=""),"",IF(AND($J52&lt;&gt;"",$K52&lt;&gt;"",$J52=$K52,$J52&gt;=M$3,$J52&lt;=IF(param_mode_affichage="mois",EOMONTH(M$3,0),M$3+6)),"◆",""))</f>
      </c>
      <c r="N52" s="26">
        <f>IF(OR($A52="",N$3=""),"",IF(AND($J52&lt;&gt;"",$K52&lt;&gt;"",$J52=$K52,$J52&gt;=N$3,$J52&lt;=IF(param_mode_affichage="mois",EOMONTH(N$3,0),N$3+6)),"◆",""))</f>
      </c>
      <c r="O52" s="26">
        <f>IF(OR($A52="",O$3=""),"",IF(AND($J52&lt;&gt;"",$K52&lt;&gt;"",$J52=$K52,$J52&gt;=O$3,$J52&lt;=IF(param_mode_affichage="mois",EOMONTH(O$3,0),O$3+6)),"◆",""))</f>
      </c>
      <c r="P52" s="26">
        <f>IF(OR($A52="",P$3=""),"",IF(AND($J52&lt;&gt;"",$K52&lt;&gt;"",$J52=$K52,$J52&gt;=P$3,$J52&lt;=IF(param_mode_affichage="mois",EOMONTH(P$3,0),P$3+6)),"◆",""))</f>
      </c>
      <c r="Q52" s="26">
        <f>IF(OR($A52="",Q$3=""),"",IF(AND($J52&lt;&gt;"",$K52&lt;&gt;"",$J52=$K52,$J52&gt;=Q$3,$J52&lt;=IF(param_mode_affichage="mois",EOMONTH(Q$3,0),Q$3+6)),"◆",""))</f>
      </c>
      <c r="R52" s="26">
        <f>IF(OR($A52="",R$3=""),"",IF(AND($J52&lt;&gt;"",$K52&lt;&gt;"",$J52=$K52,$J52&gt;=R$3,$J52&lt;=IF(param_mode_affichage="mois",EOMONTH(R$3,0),R$3+6)),"◆",""))</f>
      </c>
      <c r="S52" s="26">
        <f>IF(OR($A52="",S$3=""),"",IF(AND($J52&lt;&gt;"",$K52&lt;&gt;"",$J52=$K52,$J52&gt;=S$3,$J52&lt;=IF(param_mode_affichage="mois",EOMONTH(S$3,0),S$3+6)),"◆",""))</f>
      </c>
      <c r="T52" s="26">
        <f>IF(OR($A52="",T$3=""),"",IF(AND($J52&lt;&gt;"",$K52&lt;&gt;"",$J52=$K52,$J52&gt;=T$3,$J52&lt;=IF(param_mode_affichage="mois",EOMONTH(T$3,0),T$3+6)),"◆",""))</f>
      </c>
      <c r="U52" s="26">
        <f>IF(OR($A52="",U$3=""),"",IF(AND($J52&lt;&gt;"",$K52&lt;&gt;"",$J52=$K52,$J52&gt;=U$3,$J52&lt;=IF(param_mode_affichage="mois",EOMONTH(U$3,0),U$3+6)),"◆",""))</f>
      </c>
      <c r="V52" s="26">
        <f>IF(OR($A52="",V$3=""),"",IF(AND($J52&lt;&gt;"",$K52&lt;&gt;"",$J52=$K52,$J52&gt;=V$3,$J52&lt;=IF(param_mode_affichage="mois",EOMONTH(V$3,0),V$3+6)),"◆",""))</f>
      </c>
      <c r="W52" s="26">
        <f>IF(OR($A52="",W$3=""),"",IF(AND($J52&lt;&gt;"",$K52&lt;&gt;"",$J52=$K52,$J52&gt;=W$3,$J52&lt;=IF(param_mode_affichage="mois",EOMONTH(W$3,0),W$3+6)),"◆",""))</f>
      </c>
      <c r="X52" s="26">
        <f>IF(OR($A52="",X$3=""),"",IF(AND($J52&lt;&gt;"",$K52&lt;&gt;"",$J52=$K52,$J52&gt;=X$3,$J52&lt;=IF(param_mode_affichage="mois",EOMONTH(X$3,0),X$3+6)),"◆",""))</f>
      </c>
      <c r="Y52" s="26">
        <f>IF(OR($A52="",Y$3=""),"",IF(AND($J52&lt;&gt;"",$K52&lt;&gt;"",$J52=$K52,$J52&gt;=Y$3,$J52&lt;=IF(param_mode_affichage="mois",EOMONTH(Y$3,0),Y$3+6)),"◆",""))</f>
      </c>
      <c r="Z52" s="26">
        <f>IF(OR($A52="",Z$3=""),"",IF(AND($J52&lt;&gt;"",$K52&lt;&gt;"",$J52=$K52,$J52&gt;=Z$3,$J52&lt;=IF(param_mode_affichage="mois",EOMONTH(Z$3,0),Z$3+6)),"◆",""))</f>
      </c>
      <c r="AA52" s="26">
        <f>IF(OR($A52="",AA$3=""),"",IF(AND($J52&lt;&gt;"",$K52&lt;&gt;"",$J52=$K52,$J52&gt;=AA$3,$J52&lt;=IF(param_mode_affichage="mois",EOMONTH(AA$3,0),AA$3+6)),"◆",""))</f>
      </c>
      <c r="AB52" s="26">
        <f>IF(OR($A52="",AB$3=""),"",IF(AND($J52&lt;&gt;"",$K52&lt;&gt;"",$J52=$K52,$J52&gt;=AB$3,$J52&lt;=IF(param_mode_affichage="mois",EOMONTH(AB$3,0),AB$3+6)),"◆",""))</f>
      </c>
      <c r="AC52" s="26">
        <f>IF(OR($A52="",AC$3=""),"",IF(AND($J52&lt;&gt;"",$K52&lt;&gt;"",$J52=$K52,$J52&gt;=AC$3,$J52&lt;=IF(param_mode_affichage="mois",EOMONTH(AC$3,0),AC$3+6)),"◆",""))</f>
      </c>
      <c r="AD52" s="26">
        <f>IF(OR($A52="",AD$3=""),"",IF(AND($J52&lt;&gt;"",$K52&lt;&gt;"",$J52=$K52,$J52&gt;=AD$3,$J52&lt;=IF(param_mode_affichage="mois",EOMONTH(AD$3,0),AD$3+6)),"◆",""))</f>
      </c>
      <c r="AE52" s="26">
        <f>IF(OR($A52="",AE$3=""),"",IF(AND($J52&lt;&gt;"",$K52&lt;&gt;"",$J52=$K52,$J52&gt;=AE$3,$J52&lt;=IF(param_mode_affichage="mois",EOMONTH(AE$3,0),AE$3+6)),"◆",""))</f>
      </c>
      <c r="AF52" s="26">
        <f>IF(OR($A52="",AF$3=""),"",IF(AND($J52&lt;&gt;"",$K52&lt;&gt;"",$J52=$K52,$J52&gt;=AF$3,$J52&lt;=IF(param_mode_affichage="mois",EOMONTH(AF$3,0),AF$3+6)),"◆",""))</f>
      </c>
      <c r="AG52" s="26">
        <f>IF(OR($A52="",AG$3=""),"",IF(AND($J52&lt;&gt;"",$K52&lt;&gt;"",$J52=$K52,$J52&gt;=AG$3,$J52&lt;=IF(param_mode_affichage="mois",EOMONTH(AG$3,0),AG$3+6)),"◆",""))</f>
      </c>
      <c r="AH52" s="26">
        <f>IF(OR($A52="",AH$3=""),"",IF(AND($J52&lt;&gt;"",$K52&lt;&gt;"",$J52=$K52,$J52&gt;=AH$3,$J52&lt;=IF(param_mode_affichage="mois",EOMONTH(AH$3,0),AH$3+6)),"◆",""))</f>
      </c>
      <c r="AI52" s="26">
        <f>IF(OR($A52="",AI$3=""),"",IF(AND($J52&lt;&gt;"",$K52&lt;&gt;"",$J52=$K52,$J52&gt;=AI$3,$J52&lt;=IF(param_mode_affichage="mois",EOMONTH(AI$3,0),AI$3+6)),"◆",""))</f>
      </c>
      <c r="AJ52" s="26">
        <f>IF(OR($A52="",AJ$3=""),"",IF(AND($J52&lt;&gt;"",$K52&lt;&gt;"",$J52=$K52,$J52&gt;=AJ$3,$J52&lt;=IF(param_mode_affichage="mois",EOMONTH(AJ$3,0),AJ$3+6)),"◆",""))</f>
      </c>
      <c r="AK52" s="26">
        <f>IF(OR($A52="",AK$3=""),"",IF(AND($J52&lt;&gt;"",$K52&lt;&gt;"",$J52=$K52,$J52&gt;=AK$3,$J52&lt;=IF(param_mode_affichage="mois",EOMONTH(AK$3,0),AK$3+6)),"◆",""))</f>
      </c>
      <c r="AL52" s="26">
        <f>IF(OR($A52="",AL$3=""),"",IF(AND($J52&lt;&gt;"",$K52&lt;&gt;"",$J52=$K52,$J52&gt;=AL$3,$J52&lt;=IF(param_mode_affichage="mois",EOMONTH(AL$3,0),AL$3+6)),"◆",""))</f>
      </c>
      <c r="AM52" s="26">
        <f>IF(OR($A52="",AM$3=""),"",IF(AND($J52&lt;&gt;"",$K52&lt;&gt;"",$J52=$K52,$J52&gt;=AM$3,$J52&lt;=IF(param_mode_affichage="mois",EOMONTH(AM$3,0),AM$3+6)),"◆",""))</f>
      </c>
      <c r="AN52" s="26">
        <f>IF(OR($A52="",AN$3=""),"",IF(AND($J52&lt;&gt;"",$K52&lt;&gt;"",$J52=$K52,$J52&gt;=AN$3,$J52&lt;=IF(param_mode_affichage="mois",EOMONTH(AN$3,0),AN$3+6)),"◆",""))</f>
      </c>
      <c r="AO52" s="26">
        <f>IF(OR($A52="",AO$3=""),"",IF(AND($J52&lt;&gt;"",$K52&lt;&gt;"",$J52=$K52,$J52&gt;=AO$3,$J52&lt;=IF(param_mode_affichage="mois",EOMONTH(AO$3,0),AO$3+6)),"◆",""))</f>
      </c>
      <c r="AP52" s="26">
        <f>IF(OR($A52="",AP$3=""),"",IF(AND($J52&lt;&gt;"",$K52&lt;&gt;"",$J52=$K52,$J52&gt;=AP$3,$J52&lt;=IF(param_mode_affichage="mois",EOMONTH(AP$3,0),AP$3+6)),"◆",""))</f>
      </c>
      <c r="AQ52" s="26">
        <f>IF(OR($A52="",AQ$3=""),"",IF(AND($J52&lt;&gt;"",$K52&lt;&gt;"",$J52=$K52,$J52&gt;=AQ$3,$J52&lt;=IF(param_mode_affichage="mois",EOMONTH(AQ$3,0),AQ$3+6)),"◆",""))</f>
      </c>
      <c r="AR52" s="26">
        <f>IF(OR($A52="",AR$3=""),"",IF(AND($J52&lt;&gt;"",$K52&lt;&gt;"",$J52=$K52,$J52&gt;=AR$3,$J52&lt;=IF(param_mode_affichage="mois",EOMONTH(AR$3,0),AR$3+6)),"◆",""))</f>
      </c>
      <c r="AS52" s="26">
        <f>IF(OR($A52="",AS$3=""),"",IF(AND($J52&lt;&gt;"",$K52&lt;&gt;"",$J52=$K52,$J52&gt;=AS$3,$J52&lt;=IF(param_mode_affichage="mois",EOMONTH(AS$3,0),AS$3+6)),"◆",""))</f>
      </c>
      <c r="AT52" s="26">
        <f>IF(OR($A52="",AT$3=""),"",IF(AND($J52&lt;&gt;"",$K52&lt;&gt;"",$J52=$K52,$J52&gt;=AT$3,$J52&lt;=IF(param_mode_affichage="mois",EOMONTH(AT$3,0),AT$3+6)),"◆",""))</f>
      </c>
      <c r="AU52" s="26">
        <f>IF(OR($A52="",AU$3=""),"",IF(AND($J52&lt;&gt;"",$K52&lt;&gt;"",$J52=$K52,$J52&gt;=AU$3,$J52&lt;=IF(param_mode_affichage="mois",EOMONTH(AU$3,0),AU$3+6)),"◆",""))</f>
      </c>
      <c r="AV52" s="26">
        <f>IF(OR($A52="",AV$3=""),"",IF(AND($J52&lt;&gt;"",$K52&lt;&gt;"",$J52=$K52,$J52&gt;=AV$3,$J52&lt;=IF(param_mode_affichage="mois",EOMONTH(AV$3,0),AV$3+6)),"◆",""))</f>
      </c>
      <c r="AW52" s="26">
        <f>IF(OR($A52="",AW$3=""),"",IF(AND($J52&lt;&gt;"",$K52&lt;&gt;"",$J52=$K52,$J52&gt;=AW$3,$J52&lt;=IF(param_mode_affichage="mois",EOMONTH(AW$3,0),AW$3+6)),"◆",""))</f>
      </c>
      <c r="AX52" s="26">
        <f>IF(OR($A52="",AX$3=""),"",IF(AND($J52&lt;&gt;"",$K52&lt;&gt;"",$J52=$K52,$J52&gt;=AX$3,$J52&lt;=IF(param_mode_affichage="mois",EOMONTH(AX$3,0),AX$3+6)),"◆",""))</f>
      </c>
      <c r="AY52" s="26">
        <f>IF(OR($A52="",AY$3=""),"",IF(AND($J52&lt;&gt;"",$K52&lt;&gt;"",$J52=$K52,$J52&gt;=AY$3,$J52&lt;=IF(param_mode_affichage="mois",EOMONTH(AY$3,0),AY$3+6)),"◆",""))</f>
      </c>
      <c r="AZ52" s="26">
        <f>IF(OR($A52="",AZ$3=""),"",IF(AND($J52&lt;&gt;"",$K52&lt;&gt;"",$J52=$K52,$J52&gt;=AZ$3,$J52&lt;=IF(param_mode_affichage="mois",EOMONTH(AZ$3,0),AZ$3+6)),"◆",""))</f>
      </c>
      <c r="BA52" s="26">
        <f>IF(OR($A52="",BA$3=""),"",IF(AND($J52&lt;&gt;"",$K52&lt;&gt;"",$J52=$K52,$J52&gt;=BA$3,$J52&lt;=IF(param_mode_affichage="mois",EOMONTH(BA$3,0),BA$3+6)),"◆",""))</f>
      </c>
      <c r="BB52" s="26">
        <f>IF(OR($A52="",BB$3=""),"",IF(AND($J52&lt;&gt;"",$K52&lt;&gt;"",$J52=$K52,$J52&gt;=BB$3,$J52&lt;=IF(param_mode_affichage="mois",EOMONTH(BB$3,0),BB$3+6)),"◆",""))</f>
      </c>
      <c r="BC52" s="26">
        <f>IF(OR($A52="",BC$3=""),"",IF(AND($J52&lt;&gt;"",$K52&lt;&gt;"",$J52=$K52,$J52&gt;=BC$3,$J52&lt;=IF(param_mode_affichage="mois",EOMONTH(BC$3,0),BC$3+6)),"◆",""))</f>
      </c>
      <c r="BD52" s="26">
        <f>IF(OR($A52="",BD$3=""),"",IF(AND($J52&lt;&gt;"",$K52&lt;&gt;"",$J52=$K52,$J52&gt;=BD$3,$J52&lt;=IF(param_mode_affichage="mois",EOMONTH(BD$3,0),BD$3+6)),"◆",""))</f>
      </c>
      <c r="BE52" s="26">
        <f>IF(OR($A52="",BE$3=""),"",IF(AND($J52&lt;&gt;"",$K52&lt;&gt;"",$J52=$K52,$J52&gt;=BE$3,$J52&lt;=IF(param_mode_affichage="mois",EOMONTH(BE$3,0),BE$3+6)),"◆",""))</f>
      </c>
      <c r="BF52" s="26">
        <f>IF(OR($A52="",BF$3=""),"",IF(AND($J52&lt;&gt;"",$K52&lt;&gt;"",$J52=$K52,$J52&gt;=BF$3,$J52&lt;=IF(param_mode_affichage="mois",EOMONTH(BF$3,0),BF$3+6)),"◆",""))</f>
      </c>
      <c r="BG52" s="26">
        <f>IF(OR($A52="",BG$3=""),"",IF(AND($J52&lt;&gt;"",$K52&lt;&gt;"",$J52=$K52,$J52&gt;=BG$3,$J52&lt;=IF(param_mode_affichage="mois",EOMONTH(BG$3,0),BG$3+6)),"◆",""))</f>
      </c>
      <c r="BH52" s="26">
        <f>IF(OR($A52="",BH$3=""),"",IF(AND($J52&lt;&gt;"",$K52&lt;&gt;"",$J52=$K52,$J52&gt;=BH$3,$J52&lt;=IF(param_mode_affichage="mois",EOMONTH(BH$3,0),BH$3+6)),"◆",""))</f>
      </c>
      <c r="BI52" s="26">
        <f>IF(OR($A52="",BI$3=""),"",IF(AND($J52&lt;&gt;"",$K52&lt;&gt;"",$J52=$K52,$J52&gt;=BI$3,$J52&lt;=IF(param_mode_affichage="mois",EOMONTH(BI$3,0),BI$3+6)),"◆",""))</f>
      </c>
      <c r="BJ52" s="26">
        <f>IF(OR($A52="",BJ$3=""),"",IF(AND($J52&lt;&gt;"",$K52&lt;&gt;"",$J52=$K52,$J52&gt;=BJ$3,$J52&lt;=IF(param_mode_affichage="mois",EOMONTH(BJ$3,0),BJ$3+6)),"◆",""))</f>
      </c>
      <c r="BK52" s="26">
        <f>IF(OR($A52="",BK$3=""),"",IF(AND($J52&lt;&gt;"",$K52&lt;&gt;"",$J52=$K52,$J52&gt;=BK$3,$J52&lt;=IF(param_mode_affichage="mois",EOMONTH(BK$3,0),BK$3+6)),"◆",""))</f>
      </c>
      <c r="BL52" s="26">
        <f>IF(OR($A52="",BL$3=""),"",IF(AND($J52&lt;&gt;"",$K52&lt;&gt;"",$J52=$K52,$J52&gt;=BL$3,$J52&lt;=IF(param_mode_affichage="mois",EOMONTH(BL$3,0),BL$3+6)),"◆",""))</f>
      </c>
    </row>
    <row r="53" spans="1:64" x14ac:dyDescent="0.25">
      <c r="A53" s="23">
        <f>IFERROR(INDEX(tblTasks[ID],ROW()-4),"")</f>
      </c>
      <c r="B53" s="24">
        <f>IF($A53="","",INDEX(tblTasks[Sujet],ROW()-4))</f>
      </c>
      <c r="C53" s="23">
        <f>IF($A53="","",INDEX(tblTasks[Responsable],ROW()-4))</f>
      </c>
      <c r="D53" s="23">
        <f>IF($A53="","",INDEX(tblTasks[Statut],ROW()-4))</f>
      </c>
      <c r="E53" s="23">
        <f>IF($A53="","",INDEX(tblTasks[Depend_de],ROW()-4))</f>
      </c>
      <c r="F53" s="23">
        <f>IF($A53="","",INDEX(tblTasks[Blocage],ROW()-4))</f>
      </c>
      <c r="G53" s="23">
        <f>IF($A53="","",INDEX(tblTasks[Niveau_criticite],ROW()-4))</f>
      </c>
      <c r="H53" s="23">
        <f>IF($A53="","",INDEX(tblTasks[Goulot],ROW()-4))</f>
      </c>
      <c r="I53" s="23">
        <f>IF($A53="","",IF(LOWER($F53)="oui","non",IF($E53="","oui",IFERROR(IF(LOWER(INDEX(tblTasks[Statut],MATCH($E53,tblTasks[ID],0)))="clos","oui","non"),"non"))))</f>
      </c>
      <c r="J53" s="25">
        <f>IF($A53="","",INDEX(tblTasks[Date_debut_prevue],ROW()-4))</f>
      </c>
      <c r="K53" s="25">
        <f>IF($A53="","",INDEX(tblTasks[Date_fin_prevue],ROW()-4))</f>
      </c>
      <c r="L53" s="23">
        <f>IF($A53="","",INDEX(tblTasks[Irreversibilite],ROW()-4))</f>
      </c>
      <c r="M53" s="26">
        <f>IF(OR($A53="",M$3=""),"",IF(AND($J53&lt;&gt;"",$K53&lt;&gt;"",$J53=$K53,$J53&gt;=M$3,$J53&lt;=IF(param_mode_affichage="mois",EOMONTH(M$3,0),M$3+6)),"◆",""))</f>
      </c>
      <c r="N53" s="26">
        <f>IF(OR($A53="",N$3=""),"",IF(AND($J53&lt;&gt;"",$K53&lt;&gt;"",$J53=$K53,$J53&gt;=N$3,$J53&lt;=IF(param_mode_affichage="mois",EOMONTH(N$3,0),N$3+6)),"◆",""))</f>
      </c>
      <c r="O53" s="26">
        <f>IF(OR($A53="",O$3=""),"",IF(AND($J53&lt;&gt;"",$K53&lt;&gt;"",$J53=$K53,$J53&gt;=O$3,$J53&lt;=IF(param_mode_affichage="mois",EOMONTH(O$3,0),O$3+6)),"◆",""))</f>
      </c>
      <c r="P53" s="26">
        <f>IF(OR($A53="",P$3=""),"",IF(AND($J53&lt;&gt;"",$K53&lt;&gt;"",$J53=$K53,$J53&gt;=P$3,$J53&lt;=IF(param_mode_affichage="mois",EOMONTH(P$3,0),P$3+6)),"◆",""))</f>
      </c>
      <c r="Q53" s="26">
        <f>IF(OR($A53="",Q$3=""),"",IF(AND($J53&lt;&gt;"",$K53&lt;&gt;"",$J53=$K53,$J53&gt;=Q$3,$J53&lt;=IF(param_mode_affichage="mois",EOMONTH(Q$3,0),Q$3+6)),"◆",""))</f>
      </c>
      <c r="R53" s="26">
        <f>IF(OR($A53="",R$3=""),"",IF(AND($J53&lt;&gt;"",$K53&lt;&gt;"",$J53=$K53,$J53&gt;=R$3,$J53&lt;=IF(param_mode_affichage="mois",EOMONTH(R$3,0),R$3+6)),"◆",""))</f>
      </c>
      <c r="S53" s="26">
        <f>IF(OR($A53="",S$3=""),"",IF(AND($J53&lt;&gt;"",$K53&lt;&gt;"",$J53=$K53,$J53&gt;=S$3,$J53&lt;=IF(param_mode_affichage="mois",EOMONTH(S$3,0),S$3+6)),"◆",""))</f>
      </c>
      <c r="T53" s="26">
        <f>IF(OR($A53="",T$3=""),"",IF(AND($J53&lt;&gt;"",$K53&lt;&gt;"",$J53=$K53,$J53&gt;=T$3,$J53&lt;=IF(param_mode_affichage="mois",EOMONTH(T$3,0),T$3+6)),"◆",""))</f>
      </c>
      <c r="U53" s="26">
        <f>IF(OR($A53="",U$3=""),"",IF(AND($J53&lt;&gt;"",$K53&lt;&gt;"",$J53=$K53,$J53&gt;=U$3,$J53&lt;=IF(param_mode_affichage="mois",EOMONTH(U$3,0),U$3+6)),"◆",""))</f>
      </c>
      <c r="V53" s="26">
        <f>IF(OR($A53="",V$3=""),"",IF(AND($J53&lt;&gt;"",$K53&lt;&gt;"",$J53=$K53,$J53&gt;=V$3,$J53&lt;=IF(param_mode_affichage="mois",EOMONTH(V$3,0),V$3+6)),"◆",""))</f>
      </c>
      <c r="W53" s="26">
        <f>IF(OR($A53="",W$3=""),"",IF(AND($J53&lt;&gt;"",$K53&lt;&gt;"",$J53=$K53,$J53&gt;=W$3,$J53&lt;=IF(param_mode_affichage="mois",EOMONTH(W$3,0),W$3+6)),"◆",""))</f>
      </c>
      <c r="X53" s="26">
        <f>IF(OR($A53="",X$3=""),"",IF(AND($J53&lt;&gt;"",$K53&lt;&gt;"",$J53=$K53,$J53&gt;=X$3,$J53&lt;=IF(param_mode_affichage="mois",EOMONTH(X$3,0),X$3+6)),"◆",""))</f>
      </c>
      <c r="Y53" s="26">
        <f>IF(OR($A53="",Y$3=""),"",IF(AND($J53&lt;&gt;"",$K53&lt;&gt;"",$J53=$K53,$J53&gt;=Y$3,$J53&lt;=IF(param_mode_affichage="mois",EOMONTH(Y$3,0),Y$3+6)),"◆",""))</f>
      </c>
      <c r="Z53" s="26">
        <f>IF(OR($A53="",Z$3=""),"",IF(AND($J53&lt;&gt;"",$K53&lt;&gt;"",$J53=$K53,$J53&gt;=Z$3,$J53&lt;=IF(param_mode_affichage="mois",EOMONTH(Z$3,0),Z$3+6)),"◆",""))</f>
      </c>
      <c r="AA53" s="26">
        <f>IF(OR($A53="",AA$3=""),"",IF(AND($J53&lt;&gt;"",$K53&lt;&gt;"",$J53=$K53,$J53&gt;=AA$3,$J53&lt;=IF(param_mode_affichage="mois",EOMONTH(AA$3,0),AA$3+6)),"◆",""))</f>
      </c>
      <c r="AB53" s="26">
        <f>IF(OR($A53="",AB$3=""),"",IF(AND($J53&lt;&gt;"",$K53&lt;&gt;"",$J53=$K53,$J53&gt;=AB$3,$J53&lt;=IF(param_mode_affichage="mois",EOMONTH(AB$3,0),AB$3+6)),"◆",""))</f>
      </c>
      <c r="AC53" s="26">
        <f>IF(OR($A53="",AC$3=""),"",IF(AND($J53&lt;&gt;"",$K53&lt;&gt;"",$J53=$K53,$J53&gt;=AC$3,$J53&lt;=IF(param_mode_affichage="mois",EOMONTH(AC$3,0),AC$3+6)),"◆",""))</f>
      </c>
      <c r="AD53" s="26">
        <f>IF(OR($A53="",AD$3=""),"",IF(AND($J53&lt;&gt;"",$K53&lt;&gt;"",$J53=$K53,$J53&gt;=AD$3,$J53&lt;=IF(param_mode_affichage="mois",EOMONTH(AD$3,0),AD$3+6)),"◆",""))</f>
      </c>
      <c r="AE53" s="26">
        <f>IF(OR($A53="",AE$3=""),"",IF(AND($J53&lt;&gt;"",$K53&lt;&gt;"",$J53=$K53,$J53&gt;=AE$3,$J53&lt;=IF(param_mode_affichage="mois",EOMONTH(AE$3,0),AE$3+6)),"◆",""))</f>
      </c>
      <c r="AF53" s="26">
        <f>IF(OR($A53="",AF$3=""),"",IF(AND($J53&lt;&gt;"",$K53&lt;&gt;"",$J53=$K53,$J53&gt;=AF$3,$J53&lt;=IF(param_mode_affichage="mois",EOMONTH(AF$3,0),AF$3+6)),"◆",""))</f>
      </c>
      <c r="AG53" s="26">
        <f>IF(OR($A53="",AG$3=""),"",IF(AND($J53&lt;&gt;"",$K53&lt;&gt;"",$J53=$K53,$J53&gt;=AG$3,$J53&lt;=IF(param_mode_affichage="mois",EOMONTH(AG$3,0),AG$3+6)),"◆",""))</f>
      </c>
      <c r="AH53" s="26">
        <f>IF(OR($A53="",AH$3=""),"",IF(AND($J53&lt;&gt;"",$K53&lt;&gt;"",$J53=$K53,$J53&gt;=AH$3,$J53&lt;=IF(param_mode_affichage="mois",EOMONTH(AH$3,0),AH$3+6)),"◆",""))</f>
      </c>
      <c r="AI53" s="26">
        <f>IF(OR($A53="",AI$3=""),"",IF(AND($J53&lt;&gt;"",$K53&lt;&gt;"",$J53=$K53,$J53&gt;=AI$3,$J53&lt;=IF(param_mode_affichage="mois",EOMONTH(AI$3,0),AI$3+6)),"◆",""))</f>
      </c>
      <c r="AJ53" s="26">
        <f>IF(OR($A53="",AJ$3=""),"",IF(AND($J53&lt;&gt;"",$K53&lt;&gt;"",$J53=$K53,$J53&gt;=AJ$3,$J53&lt;=IF(param_mode_affichage="mois",EOMONTH(AJ$3,0),AJ$3+6)),"◆",""))</f>
      </c>
      <c r="AK53" s="26">
        <f>IF(OR($A53="",AK$3=""),"",IF(AND($J53&lt;&gt;"",$K53&lt;&gt;"",$J53=$K53,$J53&gt;=AK$3,$J53&lt;=IF(param_mode_affichage="mois",EOMONTH(AK$3,0),AK$3+6)),"◆",""))</f>
      </c>
      <c r="AL53" s="26">
        <f>IF(OR($A53="",AL$3=""),"",IF(AND($J53&lt;&gt;"",$K53&lt;&gt;"",$J53=$K53,$J53&gt;=AL$3,$J53&lt;=IF(param_mode_affichage="mois",EOMONTH(AL$3,0),AL$3+6)),"◆",""))</f>
      </c>
      <c r="AM53" s="26">
        <f>IF(OR($A53="",AM$3=""),"",IF(AND($J53&lt;&gt;"",$K53&lt;&gt;"",$J53=$K53,$J53&gt;=AM$3,$J53&lt;=IF(param_mode_affichage="mois",EOMONTH(AM$3,0),AM$3+6)),"◆",""))</f>
      </c>
      <c r="AN53" s="26">
        <f>IF(OR($A53="",AN$3=""),"",IF(AND($J53&lt;&gt;"",$K53&lt;&gt;"",$J53=$K53,$J53&gt;=AN$3,$J53&lt;=IF(param_mode_affichage="mois",EOMONTH(AN$3,0),AN$3+6)),"◆",""))</f>
      </c>
      <c r="AO53" s="26">
        <f>IF(OR($A53="",AO$3=""),"",IF(AND($J53&lt;&gt;"",$K53&lt;&gt;"",$J53=$K53,$J53&gt;=AO$3,$J53&lt;=IF(param_mode_affichage="mois",EOMONTH(AO$3,0),AO$3+6)),"◆",""))</f>
      </c>
      <c r="AP53" s="26">
        <f>IF(OR($A53="",AP$3=""),"",IF(AND($J53&lt;&gt;"",$K53&lt;&gt;"",$J53=$K53,$J53&gt;=AP$3,$J53&lt;=IF(param_mode_affichage="mois",EOMONTH(AP$3,0),AP$3+6)),"◆",""))</f>
      </c>
      <c r="AQ53" s="26">
        <f>IF(OR($A53="",AQ$3=""),"",IF(AND($J53&lt;&gt;"",$K53&lt;&gt;"",$J53=$K53,$J53&gt;=AQ$3,$J53&lt;=IF(param_mode_affichage="mois",EOMONTH(AQ$3,0),AQ$3+6)),"◆",""))</f>
      </c>
      <c r="AR53" s="26">
        <f>IF(OR($A53="",AR$3=""),"",IF(AND($J53&lt;&gt;"",$K53&lt;&gt;"",$J53=$K53,$J53&gt;=AR$3,$J53&lt;=IF(param_mode_affichage="mois",EOMONTH(AR$3,0),AR$3+6)),"◆",""))</f>
      </c>
      <c r="AS53" s="26">
        <f>IF(OR($A53="",AS$3=""),"",IF(AND($J53&lt;&gt;"",$K53&lt;&gt;"",$J53=$K53,$J53&gt;=AS$3,$J53&lt;=IF(param_mode_affichage="mois",EOMONTH(AS$3,0),AS$3+6)),"◆",""))</f>
      </c>
      <c r="AT53" s="26">
        <f>IF(OR($A53="",AT$3=""),"",IF(AND($J53&lt;&gt;"",$K53&lt;&gt;"",$J53=$K53,$J53&gt;=AT$3,$J53&lt;=IF(param_mode_affichage="mois",EOMONTH(AT$3,0),AT$3+6)),"◆",""))</f>
      </c>
      <c r="AU53" s="26">
        <f>IF(OR($A53="",AU$3=""),"",IF(AND($J53&lt;&gt;"",$K53&lt;&gt;"",$J53=$K53,$J53&gt;=AU$3,$J53&lt;=IF(param_mode_affichage="mois",EOMONTH(AU$3,0),AU$3+6)),"◆",""))</f>
      </c>
      <c r="AV53" s="26">
        <f>IF(OR($A53="",AV$3=""),"",IF(AND($J53&lt;&gt;"",$K53&lt;&gt;"",$J53=$K53,$J53&gt;=AV$3,$J53&lt;=IF(param_mode_affichage="mois",EOMONTH(AV$3,0),AV$3+6)),"◆",""))</f>
      </c>
      <c r="AW53" s="26">
        <f>IF(OR($A53="",AW$3=""),"",IF(AND($J53&lt;&gt;"",$K53&lt;&gt;"",$J53=$K53,$J53&gt;=AW$3,$J53&lt;=IF(param_mode_affichage="mois",EOMONTH(AW$3,0),AW$3+6)),"◆",""))</f>
      </c>
      <c r="AX53" s="26">
        <f>IF(OR($A53="",AX$3=""),"",IF(AND($J53&lt;&gt;"",$K53&lt;&gt;"",$J53=$K53,$J53&gt;=AX$3,$J53&lt;=IF(param_mode_affichage="mois",EOMONTH(AX$3,0),AX$3+6)),"◆",""))</f>
      </c>
      <c r="AY53" s="26">
        <f>IF(OR($A53="",AY$3=""),"",IF(AND($J53&lt;&gt;"",$K53&lt;&gt;"",$J53=$K53,$J53&gt;=AY$3,$J53&lt;=IF(param_mode_affichage="mois",EOMONTH(AY$3,0),AY$3+6)),"◆",""))</f>
      </c>
      <c r="AZ53" s="26">
        <f>IF(OR($A53="",AZ$3=""),"",IF(AND($J53&lt;&gt;"",$K53&lt;&gt;"",$J53=$K53,$J53&gt;=AZ$3,$J53&lt;=IF(param_mode_affichage="mois",EOMONTH(AZ$3,0),AZ$3+6)),"◆",""))</f>
      </c>
      <c r="BA53" s="26">
        <f>IF(OR($A53="",BA$3=""),"",IF(AND($J53&lt;&gt;"",$K53&lt;&gt;"",$J53=$K53,$J53&gt;=BA$3,$J53&lt;=IF(param_mode_affichage="mois",EOMONTH(BA$3,0),BA$3+6)),"◆",""))</f>
      </c>
      <c r="BB53" s="26">
        <f>IF(OR($A53="",BB$3=""),"",IF(AND($J53&lt;&gt;"",$K53&lt;&gt;"",$J53=$K53,$J53&gt;=BB$3,$J53&lt;=IF(param_mode_affichage="mois",EOMONTH(BB$3,0),BB$3+6)),"◆",""))</f>
      </c>
      <c r="BC53" s="26">
        <f>IF(OR($A53="",BC$3=""),"",IF(AND($J53&lt;&gt;"",$K53&lt;&gt;"",$J53=$K53,$J53&gt;=BC$3,$J53&lt;=IF(param_mode_affichage="mois",EOMONTH(BC$3,0),BC$3+6)),"◆",""))</f>
      </c>
      <c r="BD53" s="26">
        <f>IF(OR($A53="",BD$3=""),"",IF(AND($J53&lt;&gt;"",$K53&lt;&gt;"",$J53=$K53,$J53&gt;=BD$3,$J53&lt;=IF(param_mode_affichage="mois",EOMONTH(BD$3,0),BD$3+6)),"◆",""))</f>
      </c>
      <c r="BE53" s="26">
        <f>IF(OR($A53="",BE$3=""),"",IF(AND($J53&lt;&gt;"",$K53&lt;&gt;"",$J53=$K53,$J53&gt;=BE$3,$J53&lt;=IF(param_mode_affichage="mois",EOMONTH(BE$3,0),BE$3+6)),"◆",""))</f>
      </c>
      <c r="BF53" s="26">
        <f>IF(OR($A53="",BF$3=""),"",IF(AND($J53&lt;&gt;"",$K53&lt;&gt;"",$J53=$K53,$J53&gt;=BF$3,$J53&lt;=IF(param_mode_affichage="mois",EOMONTH(BF$3,0),BF$3+6)),"◆",""))</f>
      </c>
      <c r="BG53" s="26">
        <f>IF(OR($A53="",BG$3=""),"",IF(AND($J53&lt;&gt;"",$K53&lt;&gt;"",$J53=$K53,$J53&gt;=BG$3,$J53&lt;=IF(param_mode_affichage="mois",EOMONTH(BG$3,0),BG$3+6)),"◆",""))</f>
      </c>
      <c r="BH53" s="26">
        <f>IF(OR($A53="",BH$3=""),"",IF(AND($J53&lt;&gt;"",$K53&lt;&gt;"",$J53=$K53,$J53&gt;=BH$3,$J53&lt;=IF(param_mode_affichage="mois",EOMONTH(BH$3,0),BH$3+6)),"◆",""))</f>
      </c>
      <c r="BI53" s="26">
        <f>IF(OR($A53="",BI$3=""),"",IF(AND($J53&lt;&gt;"",$K53&lt;&gt;"",$J53=$K53,$J53&gt;=BI$3,$J53&lt;=IF(param_mode_affichage="mois",EOMONTH(BI$3,0),BI$3+6)),"◆",""))</f>
      </c>
      <c r="BJ53" s="26">
        <f>IF(OR($A53="",BJ$3=""),"",IF(AND($J53&lt;&gt;"",$K53&lt;&gt;"",$J53=$K53,$J53&gt;=BJ$3,$J53&lt;=IF(param_mode_affichage="mois",EOMONTH(BJ$3,0),BJ$3+6)),"◆",""))</f>
      </c>
      <c r="BK53" s="26">
        <f>IF(OR($A53="",BK$3=""),"",IF(AND($J53&lt;&gt;"",$K53&lt;&gt;"",$J53=$K53,$J53&gt;=BK$3,$J53&lt;=IF(param_mode_affichage="mois",EOMONTH(BK$3,0),BK$3+6)),"◆",""))</f>
      </c>
      <c r="BL53" s="26">
        <f>IF(OR($A53="",BL$3=""),"",IF(AND($J53&lt;&gt;"",$K53&lt;&gt;"",$J53=$K53,$J53&gt;=BL$3,$J53&lt;=IF(param_mode_affichage="mois",EOMONTH(BL$3,0),BL$3+6)),"◆",""))</f>
      </c>
    </row>
    <row r="54" spans="1:64" x14ac:dyDescent="0.25">
      <c r="A54" s="23">
        <f>IFERROR(INDEX(tblTasks[ID],ROW()-4),"")</f>
      </c>
      <c r="B54" s="24">
        <f>IF($A54="","",INDEX(tblTasks[Sujet],ROW()-4))</f>
      </c>
      <c r="C54" s="23">
        <f>IF($A54="","",INDEX(tblTasks[Responsable],ROW()-4))</f>
      </c>
      <c r="D54" s="23">
        <f>IF($A54="","",INDEX(tblTasks[Statut],ROW()-4))</f>
      </c>
      <c r="E54" s="23">
        <f>IF($A54="","",INDEX(tblTasks[Depend_de],ROW()-4))</f>
      </c>
      <c r="F54" s="23">
        <f>IF($A54="","",INDEX(tblTasks[Blocage],ROW()-4))</f>
      </c>
      <c r="G54" s="23">
        <f>IF($A54="","",INDEX(tblTasks[Niveau_criticite],ROW()-4))</f>
      </c>
      <c r="H54" s="23">
        <f>IF($A54="","",INDEX(tblTasks[Goulot],ROW()-4))</f>
      </c>
      <c r="I54" s="23">
        <f>IF($A54="","",IF(LOWER($F54)="oui","non",IF($E54="","oui",IFERROR(IF(LOWER(INDEX(tblTasks[Statut],MATCH($E54,tblTasks[ID],0)))="clos","oui","non"),"non"))))</f>
      </c>
      <c r="J54" s="25">
        <f>IF($A54="","",INDEX(tblTasks[Date_debut_prevue],ROW()-4))</f>
      </c>
      <c r="K54" s="25">
        <f>IF($A54="","",INDEX(tblTasks[Date_fin_prevue],ROW()-4))</f>
      </c>
      <c r="L54" s="23">
        <f>IF($A54="","",INDEX(tblTasks[Irreversibilite],ROW()-4))</f>
      </c>
      <c r="M54" s="26">
        <f>IF(OR($A54="",M$3=""),"",IF(AND($J54&lt;&gt;"",$K54&lt;&gt;"",$J54=$K54,$J54&gt;=M$3,$J54&lt;=IF(param_mode_affichage="mois",EOMONTH(M$3,0),M$3+6)),"◆",""))</f>
      </c>
      <c r="N54" s="26">
        <f>IF(OR($A54="",N$3=""),"",IF(AND($J54&lt;&gt;"",$K54&lt;&gt;"",$J54=$K54,$J54&gt;=N$3,$J54&lt;=IF(param_mode_affichage="mois",EOMONTH(N$3,0),N$3+6)),"◆",""))</f>
      </c>
      <c r="O54" s="26">
        <f>IF(OR($A54="",O$3=""),"",IF(AND($J54&lt;&gt;"",$K54&lt;&gt;"",$J54=$K54,$J54&gt;=O$3,$J54&lt;=IF(param_mode_affichage="mois",EOMONTH(O$3,0),O$3+6)),"◆",""))</f>
      </c>
      <c r="P54" s="26">
        <f>IF(OR($A54="",P$3=""),"",IF(AND($J54&lt;&gt;"",$K54&lt;&gt;"",$J54=$K54,$J54&gt;=P$3,$J54&lt;=IF(param_mode_affichage="mois",EOMONTH(P$3,0),P$3+6)),"◆",""))</f>
      </c>
      <c r="Q54" s="26">
        <f>IF(OR($A54="",Q$3=""),"",IF(AND($J54&lt;&gt;"",$K54&lt;&gt;"",$J54=$K54,$J54&gt;=Q$3,$J54&lt;=IF(param_mode_affichage="mois",EOMONTH(Q$3,0),Q$3+6)),"◆",""))</f>
      </c>
      <c r="R54" s="26">
        <f>IF(OR($A54="",R$3=""),"",IF(AND($J54&lt;&gt;"",$K54&lt;&gt;"",$J54=$K54,$J54&gt;=R$3,$J54&lt;=IF(param_mode_affichage="mois",EOMONTH(R$3,0),R$3+6)),"◆",""))</f>
      </c>
      <c r="S54" s="26">
        <f>IF(OR($A54="",S$3=""),"",IF(AND($J54&lt;&gt;"",$K54&lt;&gt;"",$J54=$K54,$J54&gt;=S$3,$J54&lt;=IF(param_mode_affichage="mois",EOMONTH(S$3,0),S$3+6)),"◆",""))</f>
      </c>
      <c r="T54" s="26">
        <f>IF(OR($A54="",T$3=""),"",IF(AND($J54&lt;&gt;"",$K54&lt;&gt;"",$J54=$K54,$J54&gt;=T$3,$J54&lt;=IF(param_mode_affichage="mois",EOMONTH(T$3,0),T$3+6)),"◆",""))</f>
      </c>
      <c r="U54" s="26">
        <f>IF(OR($A54="",U$3=""),"",IF(AND($J54&lt;&gt;"",$K54&lt;&gt;"",$J54=$K54,$J54&gt;=U$3,$J54&lt;=IF(param_mode_affichage="mois",EOMONTH(U$3,0),U$3+6)),"◆",""))</f>
      </c>
      <c r="V54" s="26">
        <f>IF(OR($A54="",V$3=""),"",IF(AND($J54&lt;&gt;"",$K54&lt;&gt;"",$J54=$K54,$J54&gt;=V$3,$J54&lt;=IF(param_mode_affichage="mois",EOMONTH(V$3,0),V$3+6)),"◆",""))</f>
      </c>
      <c r="W54" s="26">
        <f>IF(OR($A54="",W$3=""),"",IF(AND($J54&lt;&gt;"",$K54&lt;&gt;"",$J54=$K54,$J54&gt;=W$3,$J54&lt;=IF(param_mode_affichage="mois",EOMONTH(W$3,0),W$3+6)),"◆",""))</f>
      </c>
      <c r="X54" s="26">
        <f>IF(OR($A54="",X$3=""),"",IF(AND($J54&lt;&gt;"",$K54&lt;&gt;"",$J54=$K54,$J54&gt;=X$3,$J54&lt;=IF(param_mode_affichage="mois",EOMONTH(X$3,0),X$3+6)),"◆",""))</f>
      </c>
      <c r="Y54" s="26">
        <f>IF(OR($A54="",Y$3=""),"",IF(AND($J54&lt;&gt;"",$K54&lt;&gt;"",$J54=$K54,$J54&gt;=Y$3,$J54&lt;=IF(param_mode_affichage="mois",EOMONTH(Y$3,0),Y$3+6)),"◆",""))</f>
      </c>
      <c r="Z54" s="26">
        <f>IF(OR($A54="",Z$3=""),"",IF(AND($J54&lt;&gt;"",$K54&lt;&gt;"",$J54=$K54,$J54&gt;=Z$3,$J54&lt;=IF(param_mode_affichage="mois",EOMONTH(Z$3,0),Z$3+6)),"◆",""))</f>
      </c>
      <c r="AA54" s="26">
        <f>IF(OR($A54="",AA$3=""),"",IF(AND($J54&lt;&gt;"",$K54&lt;&gt;"",$J54=$K54,$J54&gt;=AA$3,$J54&lt;=IF(param_mode_affichage="mois",EOMONTH(AA$3,0),AA$3+6)),"◆",""))</f>
      </c>
      <c r="AB54" s="26">
        <f>IF(OR($A54="",AB$3=""),"",IF(AND($J54&lt;&gt;"",$K54&lt;&gt;"",$J54=$K54,$J54&gt;=AB$3,$J54&lt;=IF(param_mode_affichage="mois",EOMONTH(AB$3,0),AB$3+6)),"◆",""))</f>
      </c>
      <c r="AC54" s="26">
        <f>IF(OR($A54="",AC$3=""),"",IF(AND($J54&lt;&gt;"",$K54&lt;&gt;"",$J54=$K54,$J54&gt;=AC$3,$J54&lt;=IF(param_mode_affichage="mois",EOMONTH(AC$3,0),AC$3+6)),"◆",""))</f>
      </c>
      <c r="AD54" s="26">
        <f>IF(OR($A54="",AD$3=""),"",IF(AND($J54&lt;&gt;"",$K54&lt;&gt;"",$J54=$K54,$J54&gt;=AD$3,$J54&lt;=IF(param_mode_affichage="mois",EOMONTH(AD$3,0),AD$3+6)),"◆",""))</f>
      </c>
      <c r="AE54" s="26">
        <f>IF(OR($A54="",AE$3=""),"",IF(AND($J54&lt;&gt;"",$K54&lt;&gt;"",$J54=$K54,$J54&gt;=AE$3,$J54&lt;=IF(param_mode_affichage="mois",EOMONTH(AE$3,0),AE$3+6)),"◆",""))</f>
      </c>
      <c r="AF54" s="26">
        <f>IF(OR($A54="",AF$3=""),"",IF(AND($J54&lt;&gt;"",$K54&lt;&gt;"",$J54=$K54,$J54&gt;=AF$3,$J54&lt;=IF(param_mode_affichage="mois",EOMONTH(AF$3,0),AF$3+6)),"◆",""))</f>
      </c>
      <c r="AG54" s="26">
        <f>IF(OR($A54="",AG$3=""),"",IF(AND($J54&lt;&gt;"",$K54&lt;&gt;"",$J54=$K54,$J54&gt;=AG$3,$J54&lt;=IF(param_mode_affichage="mois",EOMONTH(AG$3,0),AG$3+6)),"◆",""))</f>
      </c>
      <c r="AH54" s="26">
        <f>IF(OR($A54="",AH$3=""),"",IF(AND($J54&lt;&gt;"",$K54&lt;&gt;"",$J54=$K54,$J54&gt;=AH$3,$J54&lt;=IF(param_mode_affichage="mois",EOMONTH(AH$3,0),AH$3+6)),"◆",""))</f>
      </c>
      <c r="AI54" s="26">
        <f>IF(OR($A54="",AI$3=""),"",IF(AND($J54&lt;&gt;"",$K54&lt;&gt;"",$J54=$K54,$J54&gt;=AI$3,$J54&lt;=IF(param_mode_affichage="mois",EOMONTH(AI$3,0),AI$3+6)),"◆",""))</f>
      </c>
      <c r="AJ54" s="26">
        <f>IF(OR($A54="",AJ$3=""),"",IF(AND($J54&lt;&gt;"",$K54&lt;&gt;"",$J54=$K54,$J54&gt;=AJ$3,$J54&lt;=IF(param_mode_affichage="mois",EOMONTH(AJ$3,0),AJ$3+6)),"◆",""))</f>
      </c>
      <c r="AK54" s="26">
        <f>IF(OR($A54="",AK$3=""),"",IF(AND($J54&lt;&gt;"",$K54&lt;&gt;"",$J54=$K54,$J54&gt;=AK$3,$J54&lt;=IF(param_mode_affichage="mois",EOMONTH(AK$3,0),AK$3+6)),"◆",""))</f>
      </c>
      <c r="AL54" s="26">
        <f>IF(OR($A54="",AL$3=""),"",IF(AND($J54&lt;&gt;"",$K54&lt;&gt;"",$J54=$K54,$J54&gt;=AL$3,$J54&lt;=IF(param_mode_affichage="mois",EOMONTH(AL$3,0),AL$3+6)),"◆",""))</f>
      </c>
      <c r="AM54" s="26">
        <f>IF(OR($A54="",AM$3=""),"",IF(AND($J54&lt;&gt;"",$K54&lt;&gt;"",$J54=$K54,$J54&gt;=AM$3,$J54&lt;=IF(param_mode_affichage="mois",EOMONTH(AM$3,0),AM$3+6)),"◆",""))</f>
      </c>
      <c r="AN54" s="26">
        <f>IF(OR($A54="",AN$3=""),"",IF(AND($J54&lt;&gt;"",$K54&lt;&gt;"",$J54=$K54,$J54&gt;=AN$3,$J54&lt;=IF(param_mode_affichage="mois",EOMONTH(AN$3,0),AN$3+6)),"◆",""))</f>
      </c>
      <c r="AO54" s="26">
        <f>IF(OR($A54="",AO$3=""),"",IF(AND($J54&lt;&gt;"",$K54&lt;&gt;"",$J54=$K54,$J54&gt;=AO$3,$J54&lt;=IF(param_mode_affichage="mois",EOMONTH(AO$3,0),AO$3+6)),"◆",""))</f>
      </c>
      <c r="AP54" s="26">
        <f>IF(OR($A54="",AP$3=""),"",IF(AND($J54&lt;&gt;"",$K54&lt;&gt;"",$J54=$K54,$J54&gt;=AP$3,$J54&lt;=IF(param_mode_affichage="mois",EOMONTH(AP$3,0),AP$3+6)),"◆",""))</f>
      </c>
      <c r="AQ54" s="26">
        <f>IF(OR($A54="",AQ$3=""),"",IF(AND($J54&lt;&gt;"",$K54&lt;&gt;"",$J54=$K54,$J54&gt;=AQ$3,$J54&lt;=IF(param_mode_affichage="mois",EOMONTH(AQ$3,0),AQ$3+6)),"◆",""))</f>
      </c>
      <c r="AR54" s="26">
        <f>IF(OR($A54="",AR$3=""),"",IF(AND($J54&lt;&gt;"",$K54&lt;&gt;"",$J54=$K54,$J54&gt;=AR$3,$J54&lt;=IF(param_mode_affichage="mois",EOMONTH(AR$3,0),AR$3+6)),"◆",""))</f>
      </c>
      <c r="AS54" s="26">
        <f>IF(OR($A54="",AS$3=""),"",IF(AND($J54&lt;&gt;"",$K54&lt;&gt;"",$J54=$K54,$J54&gt;=AS$3,$J54&lt;=IF(param_mode_affichage="mois",EOMONTH(AS$3,0),AS$3+6)),"◆",""))</f>
      </c>
      <c r="AT54" s="26">
        <f>IF(OR($A54="",AT$3=""),"",IF(AND($J54&lt;&gt;"",$K54&lt;&gt;"",$J54=$K54,$J54&gt;=AT$3,$J54&lt;=IF(param_mode_affichage="mois",EOMONTH(AT$3,0),AT$3+6)),"◆",""))</f>
      </c>
      <c r="AU54" s="26">
        <f>IF(OR($A54="",AU$3=""),"",IF(AND($J54&lt;&gt;"",$K54&lt;&gt;"",$J54=$K54,$J54&gt;=AU$3,$J54&lt;=IF(param_mode_affichage="mois",EOMONTH(AU$3,0),AU$3+6)),"◆",""))</f>
      </c>
      <c r="AV54" s="26">
        <f>IF(OR($A54="",AV$3=""),"",IF(AND($J54&lt;&gt;"",$K54&lt;&gt;"",$J54=$K54,$J54&gt;=AV$3,$J54&lt;=IF(param_mode_affichage="mois",EOMONTH(AV$3,0),AV$3+6)),"◆",""))</f>
      </c>
      <c r="AW54" s="26">
        <f>IF(OR($A54="",AW$3=""),"",IF(AND($J54&lt;&gt;"",$K54&lt;&gt;"",$J54=$K54,$J54&gt;=AW$3,$J54&lt;=IF(param_mode_affichage="mois",EOMONTH(AW$3,0),AW$3+6)),"◆",""))</f>
      </c>
      <c r="AX54" s="26">
        <f>IF(OR($A54="",AX$3=""),"",IF(AND($J54&lt;&gt;"",$K54&lt;&gt;"",$J54=$K54,$J54&gt;=AX$3,$J54&lt;=IF(param_mode_affichage="mois",EOMONTH(AX$3,0),AX$3+6)),"◆",""))</f>
      </c>
      <c r="AY54" s="26">
        <f>IF(OR($A54="",AY$3=""),"",IF(AND($J54&lt;&gt;"",$K54&lt;&gt;"",$J54=$K54,$J54&gt;=AY$3,$J54&lt;=IF(param_mode_affichage="mois",EOMONTH(AY$3,0),AY$3+6)),"◆",""))</f>
      </c>
      <c r="AZ54" s="26">
        <f>IF(OR($A54="",AZ$3=""),"",IF(AND($J54&lt;&gt;"",$K54&lt;&gt;"",$J54=$K54,$J54&gt;=AZ$3,$J54&lt;=IF(param_mode_affichage="mois",EOMONTH(AZ$3,0),AZ$3+6)),"◆",""))</f>
      </c>
      <c r="BA54" s="26">
        <f>IF(OR($A54="",BA$3=""),"",IF(AND($J54&lt;&gt;"",$K54&lt;&gt;"",$J54=$K54,$J54&gt;=BA$3,$J54&lt;=IF(param_mode_affichage="mois",EOMONTH(BA$3,0),BA$3+6)),"◆",""))</f>
      </c>
      <c r="BB54" s="26">
        <f>IF(OR($A54="",BB$3=""),"",IF(AND($J54&lt;&gt;"",$K54&lt;&gt;"",$J54=$K54,$J54&gt;=BB$3,$J54&lt;=IF(param_mode_affichage="mois",EOMONTH(BB$3,0),BB$3+6)),"◆",""))</f>
      </c>
      <c r="BC54" s="26">
        <f>IF(OR($A54="",BC$3=""),"",IF(AND($J54&lt;&gt;"",$K54&lt;&gt;"",$J54=$K54,$J54&gt;=BC$3,$J54&lt;=IF(param_mode_affichage="mois",EOMONTH(BC$3,0),BC$3+6)),"◆",""))</f>
      </c>
      <c r="BD54" s="26">
        <f>IF(OR($A54="",BD$3=""),"",IF(AND($J54&lt;&gt;"",$K54&lt;&gt;"",$J54=$K54,$J54&gt;=BD$3,$J54&lt;=IF(param_mode_affichage="mois",EOMONTH(BD$3,0),BD$3+6)),"◆",""))</f>
      </c>
      <c r="BE54" s="26">
        <f>IF(OR($A54="",BE$3=""),"",IF(AND($J54&lt;&gt;"",$K54&lt;&gt;"",$J54=$K54,$J54&gt;=BE$3,$J54&lt;=IF(param_mode_affichage="mois",EOMONTH(BE$3,0),BE$3+6)),"◆",""))</f>
      </c>
      <c r="BF54" s="26">
        <f>IF(OR($A54="",BF$3=""),"",IF(AND($J54&lt;&gt;"",$K54&lt;&gt;"",$J54=$K54,$J54&gt;=BF$3,$J54&lt;=IF(param_mode_affichage="mois",EOMONTH(BF$3,0),BF$3+6)),"◆",""))</f>
      </c>
      <c r="BG54" s="26">
        <f>IF(OR($A54="",BG$3=""),"",IF(AND($J54&lt;&gt;"",$K54&lt;&gt;"",$J54=$K54,$J54&gt;=BG$3,$J54&lt;=IF(param_mode_affichage="mois",EOMONTH(BG$3,0),BG$3+6)),"◆",""))</f>
      </c>
      <c r="BH54" s="26">
        <f>IF(OR($A54="",BH$3=""),"",IF(AND($J54&lt;&gt;"",$K54&lt;&gt;"",$J54=$K54,$J54&gt;=BH$3,$J54&lt;=IF(param_mode_affichage="mois",EOMONTH(BH$3,0),BH$3+6)),"◆",""))</f>
      </c>
      <c r="BI54" s="26">
        <f>IF(OR($A54="",BI$3=""),"",IF(AND($J54&lt;&gt;"",$K54&lt;&gt;"",$J54=$K54,$J54&gt;=BI$3,$J54&lt;=IF(param_mode_affichage="mois",EOMONTH(BI$3,0),BI$3+6)),"◆",""))</f>
      </c>
      <c r="BJ54" s="26">
        <f>IF(OR($A54="",BJ$3=""),"",IF(AND($J54&lt;&gt;"",$K54&lt;&gt;"",$J54=$K54,$J54&gt;=BJ$3,$J54&lt;=IF(param_mode_affichage="mois",EOMONTH(BJ$3,0),BJ$3+6)),"◆",""))</f>
      </c>
      <c r="BK54" s="26">
        <f>IF(OR($A54="",BK$3=""),"",IF(AND($J54&lt;&gt;"",$K54&lt;&gt;"",$J54=$K54,$J54&gt;=BK$3,$J54&lt;=IF(param_mode_affichage="mois",EOMONTH(BK$3,0),BK$3+6)),"◆",""))</f>
      </c>
      <c r="BL54" s="26">
        <f>IF(OR($A54="",BL$3=""),"",IF(AND($J54&lt;&gt;"",$K54&lt;&gt;"",$J54=$K54,$J54&gt;=BL$3,$J54&lt;=IF(param_mode_affichage="mois",EOMONTH(BL$3,0),BL$3+6)),"◆",""))</f>
      </c>
    </row>
    <row r="55" spans="1:64" x14ac:dyDescent="0.25">
      <c r="A55" s="23">
        <f>IFERROR(INDEX(tblTasks[ID],ROW()-4),"")</f>
      </c>
      <c r="B55" s="24">
        <f>IF($A55="","",INDEX(tblTasks[Sujet],ROW()-4))</f>
      </c>
      <c r="C55" s="23">
        <f>IF($A55="","",INDEX(tblTasks[Responsable],ROW()-4))</f>
      </c>
      <c r="D55" s="23">
        <f>IF($A55="","",INDEX(tblTasks[Statut],ROW()-4))</f>
      </c>
      <c r="E55" s="23">
        <f>IF($A55="","",INDEX(tblTasks[Depend_de],ROW()-4))</f>
      </c>
      <c r="F55" s="23">
        <f>IF($A55="","",INDEX(tblTasks[Blocage],ROW()-4))</f>
      </c>
      <c r="G55" s="23">
        <f>IF($A55="","",INDEX(tblTasks[Niveau_criticite],ROW()-4))</f>
      </c>
      <c r="H55" s="23">
        <f>IF($A55="","",INDEX(tblTasks[Goulot],ROW()-4))</f>
      </c>
      <c r="I55" s="23">
        <f>IF($A55="","",IF(LOWER($F55)="oui","non",IF($E55="","oui",IFERROR(IF(LOWER(INDEX(tblTasks[Statut],MATCH($E55,tblTasks[ID],0)))="clos","oui","non"),"non"))))</f>
      </c>
      <c r="J55" s="25">
        <f>IF($A55="","",INDEX(tblTasks[Date_debut_prevue],ROW()-4))</f>
      </c>
      <c r="K55" s="25">
        <f>IF($A55="","",INDEX(tblTasks[Date_fin_prevue],ROW()-4))</f>
      </c>
      <c r="L55" s="23">
        <f>IF($A55="","",INDEX(tblTasks[Irreversibilite],ROW()-4))</f>
      </c>
      <c r="M55" s="26">
        <f>IF(OR($A55="",M$3=""),"",IF(AND($J55&lt;&gt;"",$K55&lt;&gt;"",$J55=$K55,$J55&gt;=M$3,$J55&lt;=IF(param_mode_affichage="mois",EOMONTH(M$3,0),M$3+6)),"◆",""))</f>
      </c>
      <c r="N55" s="26">
        <f>IF(OR($A55="",N$3=""),"",IF(AND($J55&lt;&gt;"",$K55&lt;&gt;"",$J55=$K55,$J55&gt;=N$3,$J55&lt;=IF(param_mode_affichage="mois",EOMONTH(N$3,0),N$3+6)),"◆",""))</f>
      </c>
      <c r="O55" s="26">
        <f>IF(OR($A55="",O$3=""),"",IF(AND($J55&lt;&gt;"",$K55&lt;&gt;"",$J55=$K55,$J55&gt;=O$3,$J55&lt;=IF(param_mode_affichage="mois",EOMONTH(O$3,0),O$3+6)),"◆",""))</f>
      </c>
      <c r="P55" s="26">
        <f>IF(OR($A55="",P$3=""),"",IF(AND($J55&lt;&gt;"",$K55&lt;&gt;"",$J55=$K55,$J55&gt;=P$3,$J55&lt;=IF(param_mode_affichage="mois",EOMONTH(P$3,0),P$3+6)),"◆",""))</f>
      </c>
      <c r="Q55" s="26">
        <f>IF(OR($A55="",Q$3=""),"",IF(AND($J55&lt;&gt;"",$K55&lt;&gt;"",$J55=$K55,$J55&gt;=Q$3,$J55&lt;=IF(param_mode_affichage="mois",EOMONTH(Q$3,0),Q$3+6)),"◆",""))</f>
      </c>
      <c r="R55" s="26">
        <f>IF(OR($A55="",R$3=""),"",IF(AND($J55&lt;&gt;"",$K55&lt;&gt;"",$J55=$K55,$J55&gt;=R$3,$J55&lt;=IF(param_mode_affichage="mois",EOMONTH(R$3,0),R$3+6)),"◆",""))</f>
      </c>
      <c r="S55" s="26">
        <f>IF(OR($A55="",S$3=""),"",IF(AND($J55&lt;&gt;"",$K55&lt;&gt;"",$J55=$K55,$J55&gt;=S$3,$J55&lt;=IF(param_mode_affichage="mois",EOMONTH(S$3,0),S$3+6)),"◆",""))</f>
      </c>
      <c r="T55" s="26">
        <f>IF(OR($A55="",T$3=""),"",IF(AND($J55&lt;&gt;"",$K55&lt;&gt;"",$J55=$K55,$J55&gt;=T$3,$J55&lt;=IF(param_mode_affichage="mois",EOMONTH(T$3,0),T$3+6)),"◆",""))</f>
      </c>
      <c r="U55" s="26">
        <f>IF(OR($A55="",U$3=""),"",IF(AND($J55&lt;&gt;"",$K55&lt;&gt;"",$J55=$K55,$J55&gt;=U$3,$J55&lt;=IF(param_mode_affichage="mois",EOMONTH(U$3,0),U$3+6)),"◆",""))</f>
      </c>
      <c r="V55" s="26">
        <f>IF(OR($A55="",V$3=""),"",IF(AND($J55&lt;&gt;"",$K55&lt;&gt;"",$J55=$K55,$J55&gt;=V$3,$J55&lt;=IF(param_mode_affichage="mois",EOMONTH(V$3,0),V$3+6)),"◆",""))</f>
      </c>
      <c r="W55" s="26">
        <f>IF(OR($A55="",W$3=""),"",IF(AND($J55&lt;&gt;"",$K55&lt;&gt;"",$J55=$K55,$J55&gt;=W$3,$J55&lt;=IF(param_mode_affichage="mois",EOMONTH(W$3,0),W$3+6)),"◆",""))</f>
      </c>
      <c r="X55" s="26">
        <f>IF(OR($A55="",X$3=""),"",IF(AND($J55&lt;&gt;"",$K55&lt;&gt;"",$J55=$K55,$J55&gt;=X$3,$J55&lt;=IF(param_mode_affichage="mois",EOMONTH(X$3,0),X$3+6)),"◆",""))</f>
      </c>
      <c r="Y55" s="26">
        <f>IF(OR($A55="",Y$3=""),"",IF(AND($J55&lt;&gt;"",$K55&lt;&gt;"",$J55=$K55,$J55&gt;=Y$3,$J55&lt;=IF(param_mode_affichage="mois",EOMONTH(Y$3,0),Y$3+6)),"◆",""))</f>
      </c>
      <c r="Z55" s="26">
        <f>IF(OR($A55="",Z$3=""),"",IF(AND($J55&lt;&gt;"",$K55&lt;&gt;"",$J55=$K55,$J55&gt;=Z$3,$J55&lt;=IF(param_mode_affichage="mois",EOMONTH(Z$3,0),Z$3+6)),"◆",""))</f>
      </c>
      <c r="AA55" s="26">
        <f>IF(OR($A55="",AA$3=""),"",IF(AND($J55&lt;&gt;"",$K55&lt;&gt;"",$J55=$K55,$J55&gt;=AA$3,$J55&lt;=IF(param_mode_affichage="mois",EOMONTH(AA$3,0),AA$3+6)),"◆",""))</f>
      </c>
      <c r="AB55" s="26">
        <f>IF(OR($A55="",AB$3=""),"",IF(AND($J55&lt;&gt;"",$K55&lt;&gt;"",$J55=$K55,$J55&gt;=AB$3,$J55&lt;=IF(param_mode_affichage="mois",EOMONTH(AB$3,0),AB$3+6)),"◆",""))</f>
      </c>
      <c r="AC55" s="26">
        <f>IF(OR($A55="",AC$3=""),"",IF(AND($J55&lt;&gt;"",$K55&lt;&gt;"",$J55=$K55,$J55&gt;=AC$3,$J55&lt;=IF(param_mode_affichage="mois",EOMONTH(AC$3,0),AC$3+6)),"◆",""))</f>
      </c>
      <c r="AD55" s="26">
        <f>IF(OR($A55="",AD$3=""),"",IF(AND($J55&lt;&gt;"",$K55&lt;&gt;"",$J55=$K55,$J55&gt;=AD$3,$J55&lt;=IF(param_mode_affichage="mois",EOMONTH(AD$3,0),AD$3+6)),"◆",""))</f>
      </c>
      <c r="AE55" s="26">
        <f>IF(OR($A55="",AE$3=""),"",IF(AND($J55&lt;&gt;"",$K55&lt;&gt;"",$J55=$K55,$J55&gt;=AE$3,$J55&lt;=IF(param_mode_affichage="mois",EOMONTH(AE$3,0),AE$3+6)),"◆",""))</f>
      </c>
      <c r="AF55" s="26">
        <f>IF(OR($A55="",AF$3=""),"",IF(AND($J55&lt;&gt;"",$K55&lt;&gt;"",$J55=$K55,$J55&gt;=AF$3,$J55&lt;=IF(param_mode_affichage="mois",EOMONTH(AF$3,0),AF$3+6)),"◆",""))</f>
      </c>
      <c r="AG55" s="26">
        <f>IF(OR($A55="",AG$3=""),"",IF(AND($J55&lt;&gt;"",$K55&lt;&gt;"",$J55=$K55,$J55&gt;=AG$3,$J55&lt;=IF(param_mode_affichage="mois",EOMONTH(AG$3,0),AG$3+6)),"◆",""))</f>
      </c>
      <c r="AH55" s="26">
        <f>IF(OR($A55="",AH$3=""),"",IF(AND($J55&lt;&gt;"",$K55&lt;&gt;"",$J55=$K55,$J55&gt;=AH$3,$J55&lt;=IF(param_mode_affichage="mois",EOMONTH(AH$3,0),AH$3+6)),"◆",""))</f>
      </c>
      <c r="AI55" s="26">
        <f>IF(OR($A55="",AI$3=""),"",IF(AND($J55&lt;&gt;"",$K55&lt;&gt;"",$J55=$K55,$J55&gt;=AI$3,$J55&lt;=IF(param_mode_affichage="mois",EOMONTH(AI$3,0),AI$3+6)),"◆",""))</f>
      </c>
      <c r="AJ55" s="26">
        <f>IF(OR($A55="",AJ$3=""),"",IF(AND($J55&lt;&gt;"",$K55&lt;&gt;"",$J55=$K55,$J55&gt;=AJ$3,$J55&lt;=IF(param_mode_affichage="mois",EOMONTH(AJ$3,0),AJ$3+6)),"◆",""))</f>
      </c>
      <c r="AK55" s="26">
        <f>IF(OR($A55="",AK$3=""),"",IF(AND($J55&lt;&gt;"",$K55&lt;&gt;"",$J55=$K55,$J55&gt;=AK$3,$J55&lt;=IF(param_mode_affichage="mois",EOMONTH(AK$3,0),AK$3+6)),"◆",""))</f>
      </c>
      <c r="AL55" s="26">
        <f>IF(OR($A55="",AL$3=""),"",IF(AND($J55&lt;&gt;"",$K55&lt;&gt;"",$J55=$K55,$J55&gt;=AL$3,$J55&lt;=IF(param_mode_affichage="mois",EOMONTH(AL$3,0),AL$3+6)),"◆",""))</f>
      </c>
      <c r="AM55" s="26">
        <f>IF(OR($A55="",AM$3=""),"",IF(AND($J55&lt;&gt;"",$K55&lt;&gt;"",$J55=$K55,$J55&gt;=AM$3,$J55&lt;=IF(param_mode_affichage="mois",EOMONTH(AM$3,0),AM$3+6)),"◆",""))</f>
      </c>
      <c r="AN55" s="26">
        <f>IF(OR($A55="",AN$3=""),"",IF(AND($J55&lt;&gt;"",$K55&lt;&gt;"",$J55=$K55,$J55&gt;=AN$3,$J55&lt;=IF(param_mode_affichage="mois",EOMONTH(AN$3,0),AN$3+6)),"◆",""))</f>
      </c>
      <c r="AO55" s="26">
        <f>IF(OR($A55="",AO$3=""),"",IF(AND($J55&lt;&gt;"",$K55&lt;&gt;"",$J55=$K55,$J55&gt;=AO$3,$J55&lt;=IF(param_mode_affichage="mois",EOMONTH(AO$3,0),AO$3+6)),"◆",""))</f>
      </c>
      <c r="AP55" s="26">
        <f>IF(OR($A55="",AP$3=""),"",IF(AND($J55&lt;&gt;"",$K55&lt;&gt;"",$J55=$K55,$J55&gt;=AP$3,$J55&lt;=IF(param_mode_affichage="mois",EOMONTH(AP$3,0),AP$3+6)),"◆",""))</f>
      </c>
      <c r="AQ55" s="26">
        <f>IF(OR($A55="",AQ$3=""),"",IF(AND($J55&lt;&gt;"",$K55&lt;&gt;"",$J55=$K55,$J55&gt;=AQ$3,$J55&lt;=IF(param_mode_affichage="mois",EOMONTH(AQ$3,0),AQ$3+6)),"◆",""))</f>
      </c>
      <c r="AR55" s="26">
        <f>IF(OR($A55="",AR$3=""),"",IF(AND($J55&lt;&gt;"",$K55&lt;&gt;"",$J55=$K55,$J55&gt;=AR$3,$J55&lt;=IF(param_mode_affichage="mois",EOMONTH(AR$3,0),AR$3+6)),"◆",""))</f>
      </c>
      <c r="AS55" s="26">
        <f>IF(OR($A55="",AS$3=""),"",IF(AND($J55&lt;&gt;"",$K55&lt;&gt;"",$J55=$K55,$J55&gt;=AS$3,$J55&lt;=IF(param_mode_affichage="mois",EOMONTH(AS$3,0),AS$3+6)),"◆",""))</f>
      </c>
      <c r="AT55" s="26">
        <f>IF(OR($A55="",AT$3=""),"",IF(AND($J55&lt;&gt;"",$K55&lt;&gt;"",$J55=$K55,$J55&gt;=AT$3,$J55&lt;=IF(param_mode_affichage="mois",EOMONTH(AT$3,0),AT$3+6)),"◆",""))</f>
      </c>
      <c r="AU55" s="26">
        <f>IF(OR($A55="",AU$3=""),"",IF(AND($J55&lt;&gt;"",$K55&lt;&gt;"",$J55=$K55,$J55&gt;=AU$3,$J55&lt;=IF(param_mode_affichage="mois",EOMONTH(AU$3,0),AU$3+6)),"◆",""))</f>
      </c>
      <c r="AV55" s="26">
        <f>IF(OR($A55="",AV$3=""),"",IF(AND($J55&lt;&gt;"",$K55&lt;&gt;"",$J55=$K55,$J55&gt;=AV$3,$J55&lt;=IF(param_mode_affichage="mois",EOMONTH(AV$3,0),AV$3+6)),"◆",""))</f>
      </c>
      <c r="AW55" s="26">
        <f>IF(OR($A55="",AW$3=""),"",IF(AND($J55&lt;&gt;"",$K55&lt;&gt;"",$J55=$K55,$J55&gt;=AW$3,$J55&lt;=IF(param_mode_affichage="mois",EOMONTH(AW$3,0),AW$3+6)),"◆",""))</f>
      </c>
      <c r="AX55" s="26">
        <f>IF(OR($A55="",AX$3=""),"",IF(AND($J55&lt;&gt;"",$K55&lt;&gt;"",$J55=$K55,$J55&gt;=AX$3,$J55&lt;=IF(param_mode_affichage="mois",EOMONTH(AX$3,0),AX$3+6)),"◆",""))</f>
      </c>
      <c r="AY55" s="26">
        <f>IF(OR($A55="",AY$3=""),"",IF(AND($J55&lt;&gt;"",$K55&lt;&gt;"",$J55=$K55,$J55&gt;=AY$3,$J55&lt;=IF(param_mode_affichage="mois",EOMONTH(AY$3,0),AY$3+6)),"◆",""))</f>
      </c>
      <c r="AZ55" s="26">
        <f>IF(OR($A55="",AZ$3=""),"",IF(AND($J55&lt;&gt;"",$K55&lt;&gt;"",$J55=$K55,$J55&gt;=AZ$3,$J55&lt;=IF(param_mode_affichage="mois",EOMONTH(AZ$3,0),AZ$3+6)),"◆",""))</f>
      </c>
      <c r="BA55" s="26">
        <f>IF(OR($A55="",BA$3=""),"",IF(AND($J55&lt;&gt;"",$K55&lt;&gt;"",$J55=$K55,$J55&gt;=BA$3,$J55&lt;=IF(param_mode_affichage="mois",EOMONTH(BA$3,0),BA$3+6)),"◆",""))</f>
      </c>
      <c r="BB55" s="26">
        <f>IF(OR($A55="",BB$3=""),"",IF(AND($J55&lt;&gt;"",$K55&lt;&gt;"",$J55=$K55,$J55&gt;=BB$3,$J55&lt;=IF(param_mode_affichage="mois",EOMONTH(BB$3,0),BB$3+6)),"◆",""))</f>
      </c>
      <c r="BC55" s="26">
        <f>IF(OR($A55="",BC$3=""),"",IF(AND($J55&lt;&gt;"",$K55&lt;&gt;"",$J55=$K55,$J55&gt;=BC$3,$J55&lt;=IF(param_mode_affichage="mois",EOMONTH(BC$3,0),BC$3+6)),"◆",""))</f>
      </c>
      <c r="BD55" s="26">
        <f>IF(OR($A55="",BD$3=""),"",IF(AND($J55&lt;&gt;"",$K55&lt;&gt;"",$J55=$K55,$J55&gt;=BD$3,$J55&lt;=IF(param_mode_affichage="mois",EOMONTH(BD$3,0),BD$3+6)),"◆",""))</f>
      </c>
      <c r="BE55" s="26">
        <f>IF(OR($A55="",BE$3=""),"",IF(AND($J55&lt;&gt;"",$K55&lt;&gt;"",$J55=$K55,$J55&gt;=BE$3,$J55&lt;=IF(param_mode_affichage="mois",EOMONTH(BE$3,0),BE$3+6)),"◆",""))</f>
      </c>
      <c r="BF55" s="26">
        <f>IF(OR($A55="",BF$3=""),"",IF(AND($J55&lt;&gt;"",$K55&lt;&gt;"",$J55=$K55,$J55&gt;=BF$3,$J55&lt;=IF(param_mode_affichage="mois",EOMONTH(BF$3,0),BF$3+6)),"◆",""))</f>
      </c>
      <c r="BG55" s="26">
        <f>IF(OR($A55="",BG$3=""),"",IF(AND($J55&lt;&gt;"",$K55&lt;&gt;"",$J55=$K55,$J55&gt;=BG$3,$J55&lt;=IF(param_mode_affichage="mois",EOMONTH(BG$3,0),BG$3+6)),"◆",""))</f>
      </c>
      <c r="BH55" s="26">
        <f>IF(OR($A55="",BH$3=""),"",IF(AND($J55&lt;&gt;"",$K55&lt;&gt;"",$J55=$K55,$J55&gt;=BH$3,$J55&lt;=IF(param_mode_affichage="mois",EOMONTH(BH$3,0),BH$3+6)),"◆",""))</f>
      </c>
      <c r="BI55" s="26">
        <f>IF(OR($A55="",BI$3=""),"",IF(AND($J55&lt;&gt;"",$K55&lt;&gt;"",$J55=$K55,$J55&gt;=BI$3,$J55&lt;=IF(param_mode_affichage="mois",EOMONTH(BI$3,0),BI$3+6)),"◆",""))</f>
      </c>
      <c r="BJ55" s="26">
        <f>IF(OR($A55="",BJ$3=""),"",IF(AND($J55&lt;&gt;"",$K55&lt;&gt;"",$J55=$K55,$J55&gt;=BJ$3,$J55&lt;=IF(param_mode_affichage="mois",EOMONTH(BJ$3,0),BJ$3+6)),"◆",""))</f>
      </c>
      <c r="BK55" s="26">
        <f>IF(OR($A55="",BK$3=""),"",IF(AND($J55&lt;&gt;"",$K55&lt;&gt;"",$J55=$K55,$J55&gt;=BK$3,$J55&lt;=IF(param_mode_affichage="mois",EOMONTH(BK$3,0),BK$3+6)),"◆",""))</f>
      </c>
      <c r="BL55" s="26">
        <f>IF(OR($A55="",BL$3=""),"",IF(AND($J55&lt;&gt;"",$K55&lt;&gt;"",$J55=$K55,$J55&gt;=BL$3,$J55&lt;=IF(param_mode_affichage="mois",EOMONTH(BL$3,0),BL$3+6)),"◆",""))</f>
      </c>
    </row>
    <row r="56" spans="1:64" x14ac:dyDescent="0.25">
      <c r="A56" s="23">
        <f>IFERROR(INDEX(tblTasks[ID],ROW()-4),"")</f>
      </c>
      <c r="B56" s="24">
        <f>IF($A56="","",INDEX(tblTasks[Sujet],ROW()-4))</f>
      </c>
      <c r="C56" s="23">
        <f>IF($A56="","",INDEX(tblTasks[Responsable],ROW()-4))</f>
      </c>
      <c r="D56" s="23">
        <f>IF($A56="","",INDEX(tblTasks[Statut],ROW()-4))</f>
      </c>
      <c r="E56" s="23">
        <f>IF($A56="","",INDEX(tblTasks[Depend_de],ROW()-4))</f>
      </c>
      <c r="F56" s="23">
        <f>IF($A56="","",INDEX(tblTasks[Blocage],ROW()-4))</f>
      </c>
      <c r="G56" s="23">
        <f>IF($A56="","",INDEX(tblTasks[Niveau_criticite],ROW()-4))</f>
      </c>
      <c r="H56" s="23">
        <f>IF($A56="","",INDEX(tblTasks[Goulot],ROW()-4))</f>
      </c>
      <c r="I56" s="23">
        <f>IF($A56="","",IF(LOWER($F56)="oui","non",IF($E56="","oui",IFERROR(IF(LOWER(INDEX(tblTasks[Statut],MATCH($E56,tblTasks[ID],0)))="clos","oui","non"),"non"))))</f>
      </c>
      <c r="J56" s="25">
        <f>IF($A56="","",INDEX(tblTasks[Date_debut_prevue],ROW()-4))</f>
      </c>
      <c r="K56" s="25">
        <f>IF($A56="","",INDEX(tblTasks[Date_fin_prevue],ROW()-4))</f>
      </c>
      <c r="L56" s="23">
        <f>IF($A56="","",INDEX(tblTasks[Irreversibilite],ROW()-4))</f>
      </c>
      <c r="M56" s="26">
        <f>IF(OR($A56="",M$3=""),"",IF(AND($J56&lt;&gt;"",$K56&lt;&gt;"",$J56=$K56,$J56&gt;=M$3,$J56&lt;=IF(param_mode_affichage="mois",EOMONTH(M$3,0),M$3+6)),"◆",""))</f>
      </c>
      <c r="N56" s="26">
        <f>IF(OR($A56="",N$3=""),"",IF(AND($J56&lt;&gt;"",$K56&lt;&gt;"",$J56=$K56,$J56&gt;=N$3,$J56&lt;=IF(param_mode_affichage="mois",EOMONTH(N$3,0),N$3+6)),"◆",""))</f>
      </c>
      <c r="O56" s="26">
        <f>IF(OR($A56="",O$3=""),"",IF(AND($J56&lt;&gt;"",$K56&lt;&gt;"",$J56=$K56,$J56&gt;=O$3,$J56&lt;=IF(param_mode_affichage="mois",EOMONTH(O$3,0),O$3+6)),"◆",""))</f>
      </c>
      <c r="P56" s="26">
        <f>IF(OR($A56="",P$3=""),"",IF(AND($J56&lt;&gt;"",$K56&lt;&gt;"",$J56=$K56,$J56&gt;=P$3,$J56&lt;=IF(param_mode_affichage="mois",EOMONTH(P$3,0),P$3+6)),"◆",""))</f>
      </c>
      <c r="Q56" s="26">
        <f>IF(OR($A56="",Q$3=""),"",IF(AND($J56&lt;&gt;"",$K56&lt;&gt;"",$J56=$K56,$J56&gt;=Q$3,$J56&lt;=IF(param_mode_affichage="mois",EOMONTH(Q$3,0),Q$3+6)),"◆",""))</f>
      </c>
      <c r="R56" s="26">
        <f>IF(OR($A56="",R$3=""),"",IF(AND($J56&lt;&gt;"",$K56&lt;&gt;"",$J56=$K56,$J56&gt;=R$3,$J56&lt;=IF(param_mode_affichage="mois",EOMONTH(R$3,0),R$3+6)),"◆",""))</f>
      </c>
      <c r="S56" s="26">
        <f>IF(OR($A56="",S$3=""),"",IF(AND($J56&lt;&gt;"",$K56&lt;&gt;"",$J56=$K56,$J56&gt;=S$3,$J56&lt;=IF(param_mode_affichage="mois",EOMONTH(S$3,0),S$3+6)),"◆",""))</f>
      </c>
      <c r="T56" s="26">
        <f>IF(OR($A56="",T$3=""),"",IF(AND($J56&lt;&gt;"",$K56&lt;&gt;"",$J56=$K56,$J56&gt;=T$3,$J56&lt;=IF(param_mode_affichage="mois",EOMONTH(T$3,0),T$3+6)),"◆",""))</f>
      </c>
      <c r="U56" s="26">
        <f>IF(OR($A56="",U$3=""),"",IF(AND($J56&lt;&gt;"",$K56&lt;&gt;"",$J56=$K56,$J56&gt;=U$3,$J56&lt;=IF(param_mode_affichage="mois",EOMONTH(U$3,0),U$3+6)),"◆",""))</f>
      </c>
      <c r="V56" s="26">
        <f>IF(OR($A56="",V$3=""),"",IF(AND($J56&lt;&gt;"",$K56&lt;&gt;"",$J56=$K56,$J56&gt;=V$3,$J56&lt;=IF(param_mode_affichage="mois",EOMONTH(V$3,0),V$3+6)),"◆",""))</f>
      </c>
      <c r="W56" s="26">
        <f>IF(OR($A56="",W$3=""),"",IF(AND($J56&lt;&gt;"",$K56&lt;&gt;"",$J56=$K56,$J56&gt;=W$3,$J56&lt;=IF(param_mode_affichage="mois",EOMONTH(W$3,0),W$3+6)),"◆",""))</f>
      </c>
      <c r="X56" s="26">
        <f>IF(OR($A56="",X$3=""),"",IF(AND($J56&lt;&gt;"",$K56&lt;&gt;"",$J56=$K56,$J56&gt;=X$3,$J56&lt;=IF(param_mode_affichage="mois",EOMONTH(X$3,0),X$3+6)),"◆",""))</f>
      </c>
      <c r="Y56" s="26">
        <f>IF(OR($A56="",Y$3=""),"",IF(AND($J56&lt;&gt;"",$K56&lt;&gt;"",$J56=$K56,$J56&gt;=Y$3,$J56&lt;=IF(param_mode_affichage="mois",EOMONTH(Y$3,0),Y$3+6)),"◆",""))</f>
      </c>
      <c r="Z56" s="26">
        <f>IF(OR($A56="",Z$3=""),"",IF(AND($J56&lt;&gt;"",$K56&lt;&gt;"",$J56=$K56,$J56&gt;=Z$3,$J56&lt;=IF(param_mode_affichage="mois",EOMONTH(Z$3,0),Z$3+6)),"◆",""))</f>
      </c>
      <c r="AA56" s="26">
        <f>IF(OR($A56="",AA$3=""),"",IF(AND($J56&lt;&gt;"",$K56&lt;&gt;"",$J56=$K56,$J56&gt;=AA$3,$J56&lt;=IF(param_mode_affichage="mois",EOMONTH(AA$3,0),AA$3+6)),"◆",""))</f>
      </c>
      <c r="AB56" s="26">
        <f>IF(OR($A56="",AB$3=""),"",IF(AND($J56&lt;&gt;"",$K56&lt;&gt;"",$J56=$K56,$J56&gt;=AB$3,$J56&lt;=IF(param_mode_affichage="mois",EOMONTH(AB$3,0),AB$3+6)),"◆",""))</f>
      </c>
      <c r="AC56" s="26">
        <f>IF(OR($A56="",AC$3=""),"",IF(AND($J56&lt;&gt;"",$K56&lt;&gt;"",$J56=$K56,$J56&gt;=AC$3,$J56&lt;=IF(param_mode_affichage="mois",EOMONTH(AC$3,0),AC$3+6)),"◆",""))</f>
      </c>
      <c r="AD56" s="26">
        <f>IF(OR($A56="",AD$3=""),"",IF(AND($J56&lt;&gt;"",$K56&lt;&gt;"",$J56=$K56,$J56&gt;=AD$3,$J56&lt;=IF(param_mode_affichage="mois",EOMONTH(AD$3,0),AD$3+6)),"◆",""))</f>
      </c>
      <c r="AE56" s="26">
        <f>IF(OR($A56="",AE$3=""),"",IF(AND($J56&lt;&gt;"",$K56&lt;&gt;"",$J56=$K56,$J56&gt;=AE$3,$J56&lt;=IF(param_mode_affichage="mois",EOMONTH(AE$3,0),AE$3+6)),"◆",""))</f>
      </c>
      <c r="AF56" s="26">
        <f>IF(OR($A56="",AF$3=""),"",IF(AND($J56&lt;&gt;"",$K56&lt;&gt;"",$J56=$K56,$J56&gt;=AF$3,$J56&lt;=IF(param_mode_affichage="mois",EOMONTH(AF$3,0),AF$3+6)),"◆",""))</f>
      </c>
      <c r="AG56" s="26">
        <f>IF(OR($A56="",AG$3=""),"",IF(AND($J56&lt;&gt;"",$K56&lt;&gt;"",$J56=$K56,$J56&gt;=AG$3,$J56&lt;=IF(param_mode_affichage="mois",EOMONTH(AG$3,0),AG$3+6)),"◆",""))</f>
      </c>
      <c r="AH56" s="26">
        <f>IF(OR($A56="",AH$3=""),"",IF(AND($J56&lt;&gt;"",$K56&lt;&gt;"",$J56=$K56,$J56&gt;=AH$3,$J56&lt;=IF(param_mode_affichage="mois",EOMONTH(AH$3,0),AH$3+6)),"◆",""))</f>
      </c>
      <c r="AI56" s="26">
        <f>IF(OR($A56="",AI$3=""),"",IF(AND($J56&lt;&gt;"",$K56&lt;&gt;"",$J56=$K56,$J56&gt;=AI$3,$J56&lt;=IF(param_mode_affichage="mois",EOMONTH(AI$3,0),AI$3+6)),"◆",""))</f>
      </c>
      <c r="AJ56" s="26">
        <f>IF(OR($A56="",AJ$3=""),"",IF(AND($J56&lt;&gt;"",$K56&lt;&gt;"",$J56=$K56,$J56&gt;=AJ$3,$J56&lt;=IF(param_mode_affichage="mois",EOMONTH(AJ$3,0),AJ$3+6)),"◆",""))</f>
      </c>
      <c r="AK56" s="26">
        <f>IF(OR($A56="",AK$3=""),"",IF(AND($J56&lt;&gt;"",$K56&lt;&gt;"",$J56=$K56,$J56&gt;=AK$3,$J56&lt;=IF(param_mode_affichage="mois",EOMONTH(AK$3,0),AK$3+6)),"◆",""))</f>
      </c>
      <c r="AL56" s="26">
        <f>IF(OR($A56="",AL$3=""),"",IF(AND($J56&lt;&gt;"",$K56&lt;&gt;"",$J56=$K56,$J56&gt;=AL$3,$J56&lt;=IF(param_mode_affichage="mois",EOMONTH(AL$3,0),AL$3+6)),"◆",""))</f>
      </c>
      <c r="AM56" s="26">
        <f>IF(OR($A56="",AM$3=""),"",IF(AND($J56&lt;&gt;"",$K56&lt;&gt;"",$J56=$K56,$J56&gt;=AM$3,$J56&lt;=IF(param_mode_affichage="mois",EOMONTH(AM$3,0),AM$3+6)),"◆",""))</f>
      </c>
      <c r="AN56" s="26">
        <f>IF(OR($A56="",AN$3=""),"",IF(AND($J56&lt;&gt;"",$K56&lt;&gt;"",$J56=$K56,$J56&gt;=AN$3,$J56&lt;=IF(param_mode_affichage="mois",EOMONTH(AN$3,0),AN$3+6)),"◆",""))</f>
      </c>
      <c r="AO56" s="26">
        <f>IF(OR($A56="",AO$3=""),"",IF(AND($J56&lt;&gt;"",$K56&lt;&gt;"",$J56=$K56,$J56&gt;=AO$3,$J56&lt;=IF(param_mode_affichage="mois",EOMONTH(AO$3,0),AO$3+6)),"◆",""))</f>
      </c>
      <c r="AP56" s="26">
        <f>IF(OR($A56="",AP$3=""),"",IF(AND($J56&lt;&gt;"",$K56&lt;&gt;"",$J56=$K56,$J56&gt;=AP$3,$J56&lt;=IF(param_mode_affichage="mois",EOMONTH(AP$3,0),AP$3+6)),"◆",""))</f>
      </c>
      <c r="AQ56" s="26">
        <f>IF(OR($A56="",AQ$3=""),"",IF(AND($J56&lt;&gt;"",$K56&lt;&gt;"",$J56=$K56,$J56&gt;=AQ$3,$J56&lt;=IF(param_mode_affichage="mois",EOMONTH(AQ$3,0),AQ$3+6)),"◆",""))</f>
      </c>
      <c r="AR56" s="26">
        <f>IF(OR($A56="",AR$3=""),"",IF(AND($J56&lt;&gt;"",$K56&lt;&gt;"",$J56=$K56,$J56&gt;=AR$3,$J56&lt;=IF(param_mode_affichage="mois",EOMONTH(AR$3,0),AR$3+6)),"◆",""))</f>
      </c>
      <c r="AS56" s="26">
        <f>IF(OR($A56="",AS$3=""),"",IF(AND($J56&lt;&gt;"",$K56&lt;&gt;"",$J56=$K56,$J56&gt;=AS$3,$J56&lt;=IF(param_mode_affichage="mois",EOMONTH(AS$3,0),AS$3+6)),"◆",""))</f>
      </c>
      <c r="AT56" s="26">
        <f>IF(OR($A56="",AT$3=""),"",IF(AND($J56&lt;&gt;"",$K56&lt;&gt;"",$J56=$K56,$J56&gt;=AT$3,$J56&lt;=IF(param_mode_affichage="mois",EOMONTH(AT$3,0),AT$3+6)),"◆",""))</f>
      </c>
      <c r="AU56" s="26">
        <f>IF(OR($A56="",AU$3=""),"",IF(AND($J56&lt;&gt;"",$K56&lt;&gt;"",$J56=$K56,$J56&gt;=AU$3,$J56&lt;=IF(param_mode_affichage="mois",EOMONTH(AU$3,0),AU$3+6)),"◆",""))</f>
      </c>
      <c r="AV56" s="26">
        <f>IF(OR($A56="",AV$3=""),"",IF(AND($J56&lt;&gt;"",$K56&lt;&gt;"",$J56=$K56,$J56&gt;=AV$3,$J56&lt;=IF(param_mode_affichage="mois",EOMONTH(AV$3,0),AV$3+6)),"◆",""))</f>
      </c>
      <c r="AW56" s="26">
        <f>IF(OR($A56="",AW$3=""),"",IF(AND($J56&lt;&gt;"",$K56&lt;&gt;"",$J56=$K56,$J56&gt;=AW$3,$J56&lt;=IF(param_mode_affichage="mois",EOMONTH(AW$3,0),AW$3+6)),"◆",""))</f>
      </c>
      <c r="AX56" s="26">
        <f>IF(OR($A56="",AX$3=""),"",IF(AND($J56&lt;&gt;"",$K56&lt;&gt;"",$J56=$K56,$J56&gt;=AX$3,$J56&lt;=IF(param_mode_affichage="mois",EOMONTH(AX$3,0),AX$3+6)),"◆",""))</f>
      </c>
      <c r="AY56" s="26">
        <f>IF(OR($A56="",AY$3=""),"",IF(AND($J56&lt;&gt;"",$K56&lt;&gt;"",$J56=$K56,$J56&gt;=AY$3,$J56&lt;=IF(param_mode_affichage="mois",EOMONTH(AY$3,0),AY$3+6)),"◆",""))</f>
      </c>
      <c r="AZ56" s="26">
        <f>IF(OR($A56="",AZ$3=""),"",IF(AND($J56&lt;&gt;"",$K56&lt;&gt;"",$J56=$K56,$J56&gt;=AZ$3,$J56&lt;=IF(param_mode_affichage="mois",EOMONTH(AZ$3,0),AZ$3+6)),"◆",""))</f>
      </c>
      <c r="BA56" s="26">
        <f>IF(OR($A56="",BA$3=""),"",IF(AND($J56&lt;&gt;"",$K56&lt;&gt;"",$J56=$K56,$J56&gt;=BA$3,$J56&lt;=IF(param_mode_affichage="mois",EOMONTH(BA$3,0),BA$3+6)),"◆",""))</f>
      </c>
      <c r="BB56" s="26">
        <f>IF(OR($A56="",BB$3=""),"",IF(AND($J56&lt;&gt;"",$K56&lt;&gt;"",$J56=$K56,$J56&gt;=BB$3,$J56&lt;=IF(param_mode_affichage="mois",EOMONTH(BB$3,0),BB$3+6)),"◆",""))</f>
      </c>
      <c r="BC56" s="26">
        <f>IF(OR($A56="",BC$3=""),"",IF(AND($J56&lt;&gt;"",$K56&lt;&gt;"",$J56=$K56,$J56&gt;=BC$3,$J56&lt;=IF(param_mode_affichage="mois",EOMONTH(BC$3,0),BC$3+6)),"◆",""))</f>
      </c>
      <c r="BD56" s="26">
        <f>IF(OR($A56="",BD$3=""),"",IF(AND($J56&lt;&gt;"",$K56&lt;&gt;"",$J56=$K56,$J56&gt;=BD$3,$J56&lt;=IF(param_mode_affichage="mois",EOMONTH(BD$3,0),BD$3+6)),"◆",""))</f>
      </c>
      <c r="BE56" s="26">
        <f>IF(OR($A56="",BE$3=""),"",IF(AND($J56&lt;&gt;"",$K56&lt;&gt;"",$J56=$K56,$J56&gt;=BE$3,$J56&lt;=IF(param_mode_affichage="mois",EOMONTH(BE$3,0),BE$3+6)),"◆",""))</f>
      </c>
      <c r="BF56" s="26">
        <f>IF(OR($A56="",BF$3=""),"",IF(AND($J56&lt;&gt;"",$K56&lt;&gt;"",$J56=$K56,$J56&gt;=BF$3,$J56&lt;=IF(param_mode_affichage="mois",EOMONTH(BF$3,0),BF$3+6)),"◆",""))</f>
      </c>
      <c r="BG56" s="26">
        <f>IF(OR($A56="",BG$3=""),"",IF(AND($J56&lt;&gt;"",$K56&lt;&gt;"",$J56=$K56,$J56&gt;=BG$3,$J56&lt;=IF(param_mode_affichage="mois",EOMONTH(BG$3,0),BG$3+6)),"◆",""))</f>
      </c>
      <c r="BH56" s="26">
        <f>IF(OR($A56="",BH$3=""),"",IF(AND($J56&lt;&gt;"",$K56&lt;&gt;"",$J56=$K56,$J56&gt;=BH$3,$J56&lt;=IF(param_mode_affichage="mois",EOMONTH(BH$3,0),BH$3+6)),"◆",""))</f>
      </c>
      <c r="BI56" s="26">
        <f>IF(OR($A56="",BI$3=""),"",IF(AND($J56&lt;&gt;"",$K56&lt;&gt;"",$J56=$K56,$J56&gt;=BI$3,$J56&lt;=IF(param_mode_affichage="mois",EOMONTH(BI$3,0),BI$3+6)),"◆",""))</f>
      </c>
      <c r="BJ56" s="26">
        <f>IF(OR($A56="",BJ$3=""),"",IF(AND($J56&lt;&gt;"",$K56&lt;&gt;"",$J56=$K56,$J56&gt;=BJ$3,$J56&lt;=IF(param_mode_affichage="mois",EOMONTH(BJ$3,0),BJ$3+6)),"◆",""))</f>
      </c>
      <c r="BK56" s="26">
        <f>IF(OR($A56="",BK$3=""),"",IF(AND($J56&lt;&gt;"",$K56&lt;&gt;"",$J56=$K56,$J56&gt;=BK$3,$J56&lt;=IF(param_mode_affichage="mois",EOMONTH(BK$3,0),BK$3+6)),"◆",""))</f>
      </c>
      <c r="BL56" s="26">
        <f>IF(OR($A56="",BL$3=""),"",IF(AND($J56&lt;&gt;"",$K56&lt;&gt;"",$J56=$K56,$J56&gt;=BL$3,$J56&lt;=IF(param_mode_affichage="mois",EOMONTH(BL$3,0),BL$3+6)),"◆",""))</f>
      </c>
    </row>
    <row r="57" spans="1:64" x14ac:dyDescent="0.25">
      <c r="A57" s="23">
        <f>IFERROR(INDEX(tblTasks[ID],ROW()-4),"")</f>
      </c>
      <c r="B57" s="24">
        <f>IF($A57="","",INDEX(tblTasks[Sujet],ROW()-4))</f>
      </c>
      <c r="C57" s="23">
        <f>IF($A57="","",INDEX(tblTasks[Responsable],ROW()-4))</f>
      </c>
      <c r="D57" s="23">
        <f>IF($A57="","",INDEX(tblTasks[Statut],ROW()-4))</f>
      </c>
      <c r="E57" s="23">
        <f>IF($A57="","",INDEX(tblTasks[Depend_de],ROW()-4))</f>
      </c>
      <c r="F57" s="23">
        <f>IF($A57="","",INDEX(tblTasks[Blocage],ROW()-4))</f>
      </c>
      <c r="G57" s="23">
        <f>IF($A57="","",INDEX(tblTasks[Niveau_criticite],ROW()-4))</f>
      </c>
      <c r="H57" s="23">
        <f>IF($A57="","",INDEX(tblTasks[Goulot],ROW()-4))</f>
      </c>
      <c r="I57" s="23">
        <f>IF($A57="","",IF(LOWER($F57)="oui","non",IF($E57="","oui",IFERROR(IF(LOWER(INDEX(tblTasks[Statut],MATCH($E57,tblTasks[ID],0)))="clos","oui","non"),"non"))))</f>
      </c>
      <c r="J57" s="25">
        <f>IF($A57="","",INDEX(tblTasks[Date_debut_prevue],ROW()-4))</f>
      </c>
      <c r="K57" s="25">
        <f>IF($A57="","",INDEX(tblTasks[Date_fin_prevue],ROW()-4))</f>
      </c>
      <c r="L57" s="23">
        <f>IF($A57="","",INDEX(tblTasks[Irreversibilite],ROW()-4))</f>
      </c>
      <c r="M57" s="26">
        <f>IF(OR($A57="",M$3=""),"",IF(AND($J57&lt;&gt;"",$K57&lt;&gt;"",$J57=$K57,$J57&gt;=M$3,$J57&lt;=IF(param_mode_affichage="mois",EOMONTH(M$3,0),M$3+6)),"◆",""))</f>
      </c>
      <c r="N57" s="26">
        <f>IF(OR($A57="",N$3=""),"",IF(AND($J57&lt;&gt;"",$K57&lt;&gt;"",$J57=$K57,$J57&gt;=N$3,$J57&lt;=IF(param_mode_affichage="mois",EOMONTH(N$3,0),N$3+6)),"◆",""))</f>
      </c>
      <c r="O57" s="26">
        <f>IF(OR($A57="",O$3=""),"",IF(AND($J57&lt;&gt;"",$K57&lt;&gt;"",$J57=$K57,$J57&gt;=O$3,$J57&lt;=IF(param_mode_affichage="mois",EOMONTH(O$3,0),O$3+6)),"◆",""))</f>
      </c>
      <c r="P57" s="26">
        <f>IF(OR($A57="",P$3=""),"",IF(AND($J57&lt;&gt;"",$K57&lt;&gt;"",$J57=$K57,$J57&gt;=P$3,$J57&lt;=IF(param_mode_affichage="mois",EOMONTH(P$3,0),P$3+6)),"◆",""))</f>
      </c>
      <c r="Q57" s="26">
        <f>IF(OR($A57="",Q$3=""),"",IF(AND($J57&lt;&gt;"",$K57&lt;&gt;"",$J57=$K57,$J57&gt;=Q$3,$J57&lt;=IF(param_mode_affichage="mois",EOMONTH(Q$3,0),Q$3+6)),"◆",""))</f>
      </c>
      <c r="R57" s="26">
        <f>IF(OR($A57="",R$3=""),"",IF(AND($J57&lt;&gt;"",$K57&lt;&gt;"",$J57=$K57,$J57&gt;=R$3,$J57&lt;=IF(param_mode_affichage="mois",EOMONTH(R$3,0),R$3+6)),"◆",""))</f>
      </c>
      <c r="S57" s="26">
        <f>IF(OR($A57="",S$3=""),"",IF(AND($J57&lt;&gt;"",$K57&lt;&gt;"",$J57=$K57,$J57&gt;=S$3,$J57&lt;=IF(param_mode_affichage="mois",EOMONTH(S$3,0),S$3+6)),"◆",""))</f>
      </c>
      <c r="T57" s="26">
        <f>IF(OR($A57="",T$3=""),"",IF(AND($J57&lt;&gt;"",$K57&lt;&gt;"",$J57=$K57,$J57&gt;=T$3,$J57&lt;=IF(param_mode_affichage="mois",EOMONTH(T$3,0),T$3+6)),"◆",""))</f>
      </c>
      <c r="U57" s="26">
        <f>IF(OR($A57="",U$3=""),"",IF(AND($J57&lt;&gt;"",$K57&lt;&gt;"",$J57=$K57,$J57&gt;=U$3,$J57&lt;=IF(param_mode_affichage="mois",EOMONTH(U$3,0),U$3+6)),"◆",""))</f>
      </c>
      <c r="V57" s="26">
        <f>IF(OR($A57="",V$3=""),"",IF(AND($J57&lt;&gt;"",$K57&lt;&gt;"",$J57=$K57,$J57&gt;=V$3,$J57&lt;=IF(param_mode_affichage="mois",EOMONTH(V$3,0),V$3+6)),"◆",""))</f>
      </c>
      <c r="W57" s="26">
        <f>IF(OR($A57="",W$3=""),"",IF(AND($J57&lt;&gt;"",$K57&lt;&gt;"",$J57=$K57,$J57&gt;=W$3,$J57&lt;=IF(param_mode_affichage="mois",EOMONTH(W$3,0),W$3+6)),"◆",""))</f>
      </c>
      <c r="X57" s="26">
        <f>IF(OR($A57="",X$3=""),"",IF(AND($J57&lt;&gt;"",$K57&lt;&gt;"",$J57=$K57,$J57&gt;=X$3,$J57&lt;=IF(param_mode_affichage="mois",EOMONTH(X$3,0),X$3+6)),"◆",""))</f>
      </c>
      <c r="Y57" s="26">
        <f>IF(OR($A57="",Y$3=""),"",IF(AND($J57&lt;&gt;"",$K57&lt;&gt;"",$J57=$K57,$J57&gt;=Y$3,$J57&lt;=IF(param_mode_affichage="mois",EOMONTH(Y$3,0),Y$3+6)),"◆",""))</f>
      </c>
      <c r="Z57" s="26">
        <f>IF(OR($A57="",Z$3=""),"",IF(AND($J57&lt;&gt;"",$K57&lt;&gt;"",$J57=$K57,$J57&gt;=Z$3,$J57&lt;=IF(param_mode_affichage="mois",EOMONTH(Z$3,0),Z$3+6)),"◆",""))</f>
      </c>
      <c r="AA57" s="26">
        <f>IF(OR($A57="",AA$3=""),"",IF(AND($J57&lt;&gt;"",$K57&lt;&gt;"",$J57=$K57,$J57&gt;=AA$3,$J57&lt;=IF(param_mode_affichage="mois",EOMONTH(AA$3,0),AA$3+6)),"◆",""))</f>
      </c>
      <c r="AB57" s="26">
        <f>IF(OR($A57="",AB$3=""),"",IF(AND($J57&lt;&gt;"",$K57&lt;&gt;"",$J57=$K57,$J57&gt;=AB$3,$J57&lt;=IF(param_mode_affichage="mois",EOMONTH(AB$3,0),AB$3+6)),"◆",""))</f>
      </c>
      <c r="AC57" s="26">
        <f>IF(OR($A57="",AC$3=""),"",IF(AND($J57&lt;&gt;"",$K57&lt;&gt;"",$J57=$K57,$J57&gt;=AC$3,$J57&lt;=IF(param_mode_affichage="mois",EOMONTH(AC$3,0),AC$3+6)),"◆",""))</f>
      </c>
      <c r="AD57" s="26">
        <f>IF(OR($A57="",AD$3=""),"",IF(AND($J57&lt;&gt;"",$K57&lt;&gt;"",$J57=$K57,$J57&gt;=AD$3,$J57&lt;=IF(param_mode_affichage="mois",EOMONTH(AD$3,0),AD$3+6)),"◆",""))</f>
      </c>
      <c r="AE57" s="26">
        <f>IF(OR($A57="",AE$3=""),"",IF(AND($J57&lt;&gt;"",$K57&lt;&gt;"",$J57=$K57,$J57&gt;=AE$3,$J57&lt;=IF(param_mode_affichage="mois",EOMONTH(AE$3,0),AE$3+6)),"◆",""))</f>
      </c>
      <c r="AF57" s="26">
        <f>IF(OR($A57="",AF$3=""),"",IF(AND($J57&lt;&gt;"",$K57&lt;&gt;"",$J57=$K57,$J57&gt;=AF$3,$J57&lt;=IF(param_mode_affichage="mois",EOMONTH(AF$3,0),AF$3+6)),"◆",""))</f>
      </c>
      <c r="AG57" s="26">
        <f>IF(OR($A57="",AG$3=""),"",IF(AND($J57&lt;&gt;"",$K57&lt;&gt;"",$J57=$K57,$J57&gt;=AG$3,$J57&lt;=IF(param_mode_affichage="mois",EOMONTH(AG$3,0),AG$3+6)),"◆",""))</f>
      </c>
      <c r="AH57" s="26">
        <f>IF(OR($A57="",AH$3=""),"",IF(AND($J57&lt;&gt;"",$K57&lt;&gt;"",$J57=$K57,$J57&gt;=AH$3,$J57&lt;=IF(param_mode_affichage="mois",EOMONTH(AH$3,0),AH$3+6)),"◆",""))</f>
      </c>
      <c r="AI57" s="26">
        <f>IF(OR($A57="",AI$3=""),"",IF(AND($J57&lt;&gt;"",$K57&lt;&gt;"",$J57=$K57,$J57&gt;=AI$3,$J57&lt;=IF(param_mode_affichage="mois",EOMONTH(AI$3,0),AI$3+6)),"◆",""))</f>
      </c>
      <c r="AJ57" s="26">
        <f>IF(OR($A57="",AJ$3=""),"",IF(AND($J57&lt;&gt;"",$K57&lt;&gt;"",$J57=$K57,$J57&gt;=AJ$3,$J57&lt;=IF(param_mode_affichage="mois",EOMONTH(AJ$3,0),AJ$3+6)),"◆",""))</f>
      </c>
      <c r="AK57" s="26">
        <f>IF(OR($A57="",AK$3=""),"",IF(AND($J57&lt;&gt;"",$K57&lt;&gt;"",$J57=$K57,$J57&gt;=AK$3,$J57&lt;=IF(param_mode_affichage="mois",EOMONTH(AK$3,0),AK$3+6)),"◆",""))</f>
      </c>
      <c r="AL57" s="26">
        <f>IF(OR($A57="",AL$3=""),"",IF(AND($J57&lt;&gt;"",$K57&lt;&gt;"",$J57=$K57,$J57&gt;=AL$3,$J57&lt;=IF(param_mode_affichage="mois",EOMONTH(AL$3,0),AL$3+6)),"◆",""))</f>
      </c>
      <c r="AM57" s="26">
        <f>IF(OR($A57="",AM$3=""),"",IF(AND($J57&lt;&gt;"",$K57&lt;&gt;"",$J57=$K57,$J57&gt;=AM$3,$J57&lt;=IF(param_mode_affichage="mois",EOMONTH(AM$3,0),AM$3+6)),"◆",""))</f>
      </c>
      <c r="AN57" s="26">
        <f>IF(OR($A57="",AN$3=""),"",IF(AND($J57&lt;&gt;"",$K57&lt;&gt;"",$J57=$K57,$J57&gt;=AN$3,$J57&lt;=IF(param_mode_affichage="mois",EOMONTH(AN$3,0),AN$3+6)),"◆",""))</f>
      </c>
      <c r="AO57" s="26">
        <f>IF(OR($A57="",AO$3=""),"",IF(AND($J57&lt;&gt;"",$K57&lt;&gt;"",$J57=$K57,$J57&gt;=AO$3,$J57&lt;=IF(param_mode_affichage="mois",EOMONTH(AO$3,0),AO$3+6)),"◆",""))</f>
      </c>
      <c r="AP57" s="26">
        <f>IF(OR($A57="",AP$3=""),"",IF(AND($J57&lt;&gt;"",$K57&lt;&gt;"",$J57=$K57,$J57&gt;=AP$3,$J57&lt;=IF(param_mode_affichage="mois",EOMONTH(AP$3,0),AP$3+6)),"◆",""))</f>
      </c>
      <c r="AQ57" s="26">
        <f>IF(OR($A57="",AQ$3=""),"",IF(AND($J57&lt;&gt;"",$K57&lt;&gt;"",$J57=$K57,$J57&gt;=AQ$3,$J57&lt;=IF(param_mode_affichage="mois",EOMONTH(AQ$3,0),AQ$3+6)),"◆",""))</f>
      </c>
      <c r="AR57" s="26">
        <f>IF(OR($A57="",AR$3=""),"",IF(AND($J57&lt;&gt;"",$K57&lt;&gt;"",$J57=$K57,$J57&gt;=AR$3,$J57&lt;=IF(param_mode_affichage="mois",EOMONTH(AR$3,0),AR$3+6)),"◆",""))</f>
      </c>
      <c r="AS57" s="26">
        <f>IF(OR($A57="",AS$3=""),"",IF(AND($J57&lt;&gt;"",$K57&lt;&gt;"",$J57=$K57,$J57&gt;=AS$3,$J57&lt;=IF(param_mode_affichage="mois",EOMONTH(AS$3,0),AS$3+6)),"◆",""))</f>
      </c>
      <c r="AT57" s="26">
        <f>IF(OR($A57="",AT$3=""),"",IF(AND($J57&lt;&gt;"",$K57&lt;&gt;"",$J57=$K57,$J57&gt;=AT$3,$J57&lt;=IF(param_mode_affichage="mois",EOMONTH(AT$3,0),AT$3+6)),"◆",""))</f>
      </c>
      <c r="AU57" s="26">
        <f>IF(OR($A57="",AU$3=""),"",IF(AND($J57&lt;&gt;"",$K57&lt;&gt;"",$J57=$K57,$J57&gt;=AU$3,$J57&lt;=IF(param_mode_affichage="mois",EOMONTH(AU$3,0),AU$3+6)),"◆",""))</f>
      </c>
      <c r="AV57" s="26">
        <f>IF(OR($A57="",AV$3=""),"",IF(AND($J57&lt;&gt;"",$K57&lt;&gt;"",$J57=$K57,$J57&gt;=AV$3,$J57&lt;=IF(param_mode_affichage="mois",EOMONTH(AV$3,0),AV$3+6)),"◆",""))</f>
      </c>
      <c r="AW57" s="26">
        <f>IF(OR($A57="",AW$3=""),"",IF(AND($J57&lt;&gt;"",$K57&lt;&gt;"",$J57=$K57,$J57&gt;=AW$3,$J57&lt;=IF(param_mode_affichage="mois",EOMONTH(AW$3,0),AW$3+6)),"◆",""))</f>
      </c>
      <c r="AX57" s="26">
        <f>IF(OR($A57="",AX$3=""),"",IF(AND($J57&lt;&gt;"",$K57&lt;&gt;"",$J57=$K57,$J57&gt;=AX$3,$J57&lt;=IF(param_mode_affichage="mois",EOMONTH(AX$3,0),AX$3+6)),"◆",""))</f>
      </c>
      <c r="AY57" s="26">
        <f>IF(OR($A57="",AY$3=""),"",IF(AND($J57&lt;&gt;"",$K57&lt;&gt;"",$J57=$K57,$J57&gt;=AY$3,$J57&lt;=IF(param_mode_affichage="mois",EOMONTH(AY$3,0),AY$3+6)),"◆",""))</f>
      </c>
      <c r="AZ57" s="26">
        <f>IF(OR($A57="",AZ$3=""),"",IF(AND($J57&lt;&gt;"",$K57&lt;&gt;"",$J57=$K57,$J57&gt;=AZ$3,$J57&lt;=IF(param_mode_affichage="mois",EOMONTH(AZ$3,0),AZ$3+6)),"◆",""))</f>
      </c>
      <c r="BA57" s="26">
        <f>IF(OR($A57="",BA$3=""),"",IF(AND($J57&lt;&gt;"",$K57&lt;&gt;"",$J57=$K57,$J57&gt;=BA$3,$J57&lt;=IF(param_mode_affichage="mois",EOMONTH(BA$3,0),BA$3+6)),"◆",""))</f>
      </c>
      <c r="BB57" s="26">
        <f>IF(OR($A57="",BB$3=""),"",IF(AND($J57&lt;&gt;"",$K57&lt;&gt;"",$J57=$K57,$J57&gt;=BB$3,$J57&lt;=IF(param_mode_affichage="mois",EOMONTH(BB$3,0),BB$3+6)),"◆",""))</f>
      </c>
      <c r="BC57" s="26">
        <f>IF(OR($A57="",BC$3=""),"",IF(AND($J57&lt;&gt;"",$K57&lt;&gt;"",$J57=$K57,$J57&gt;=BC$3,$J57&lt;=IF(param_mode_affichage="mois",EOMONTH(BC$3,0),BC$3+6)),"◆",""))</f>
      </c>
      <c r="BD57" s="26">
        <f>IF(OR($A57="",BD$3=""),"",IF(AND($J57&lt;&gt;"",$K57&lt;&gt;"",$J57=$K57,$J57&gt;=BD$3,$J57&lt;=IF(param_mode_affichage="mois",EOMONTH(BD$3,0),BD$3+6)),"◆",""))</f>
      </c>
      <c r="BE57" s="26">
        <f>IF(OR($A57="",BE$3=""),"",IF(AND($J57&lt;&gt;"",$K57&lt;&gt;"",$J57=$K57,$J57&gt;=BE$3,$J57&lt;=IF(param_mode_affichage="mois",EOMONTH(BE$3,0),BE$3+6)),"◆",""))</f>
      </c>
      <c r="BF57" s="26">
        <f>IF(OR($A57="",BF$3=""),"",IF(AND($J57&lt;&gt;"",$K57&lt;&gt;"",$J57=$K57,$J57&gt;=BF$3,$J57&lt;=IF(param_mode_affichage="mois",EOMONTH(BF$3,0),BF$3+6)),"◆",""))</f>
      </c>
      <c r="BG57" s="26">
        <f>IF(OR($A57="",BG$3=""),"",IF(AND($J57&lt;&gt;"",$K57&lt;&gt;"",$J57=$K57,$J57&gt;=BG$3,$J57&lt;=IF(param_mode_affichage="mois",EOMONTH(BG$3,0),BG$3+6)),"◆",""))</f>
      </c>
      <c r="BH57" s="26">
        <f>IF(OR($A57="",BH$3=""),"",IF(AND($J57&lt;&gt;"",$K57&lt;&gt;"",$J57=$K57,$J57&gt;=BH$3,$J57&lt;=IF(param_mode_affichage="mois",EOMONTH(BH$3,0),BH$3+6)),"◆",""))</f>
      </c>
      <c r="BI57" s="26">
        <f>IF(OR($A57="",BI$3=""),"",IF(AND($J57&lt;&gt;"",$K57&lt;&gt;"",$J57=$K57,$J57&gt;=BI$3,$J57&lt;=IF(param_mode_affichage="mois",EOMONTH(BI$3,0),BI$3+6)),"◆",""))</f>
      </c>
      <c r="BJ57" s="26">
        <f>IF(OR($A57="",BJ$3=""),"",IF(AND($J57&lt;&gt;"",$K57&lt;&gt;"",$J57=$K57,$J57&gt;=BJ$3,$J57&lt;=IF(param_mode_affichage="mois",EOMONTH(BJ$3,0),BJ$3+6)),"◆",""))</f>
      </c>
      <c r="BK57" s="26">
        <f>IF(OR($A57="",BK$3=""),"",IF(AND($J57&lt;&gt;"",$K57&lt;&gt;"",$J57=$K57,$J57&gt;=BK$3,$J57&lt;=IF(param_mode_affichage="mois",EOMONTH(BK$3,0),BK$3+6)),"◆",""))</f>
      </c>
      <c r="BL57" s="26">
        <f>IF(OR($A57="",BL$3=""),"",IF(AND($J57&lt;&gt;"",$K57&lt;&gt;"",$J57=$K57,$J57&gt;=BL$3,$J57&lt;=IF(param_mode_affichage="mois",EOMONTH(BL$3,0),BL$3+6)),"◆",""))</f>
      </c>
    </row>
    <row r="58" spans="1:64" x14ac:dyDescent="0.25">
      <c r="A58" s="23">
        <f>IFERROR(INDEX(tblTasks[ID],ROW()-4),"")</f>
      </c>
      <c r="B58" s="24">
        <f>IF($A58="","",INDEX(tblTasks[Sujet],ROW()-4))</f>
      </c>
      <c r="C58" s="23">
        <f>IF($A58="","",INDEX(tblTasks[Responsable],ROW()-4))</f>
      </c>
      <c r="D58" s="23">
        <f>IF($A58="","",INDEX(tblTasks[Statut],ROW()-4))</f>
      </c>
      <c r="E58" s="23">
        <f>IF($A58="","",INDEX(tblTasks[Depend_de],ROW()-4))</f>
      </c>
      <c r="F58" s="23">
        <f>IF($A58="","",INDEX(tblTasks[Blocage],ROW()-4))</f>
      </c>
      <c r="G58" s="23">
        <f>IF($A58="","",INDEX(tblTasks[Niveau_criticite],ROW()-4))</f>
      </c>
      <c r="H58" s="23">
        <f>IF($A58="","",INDEX(tblTasks[Goulot],ROW()-4))</f>
      </c>
      <c r="I58" s="23">
        <f>IF($A58="","",IF(LOWER($F58)="oui","non",IF($E58="","oui",IFERROR(IF(LOWER(INDEX(tblTasks[Statut],MATCH($E58,tblTasks[ID],0)))="clos","oui","non"),"non"))))</f>
      </c>
      <c r="J58" s="25">
        <f>IF($A58="","",INDEX(tblTasks[Date_debut_prevue],ROW()-4))</f>
      </c>
      <c r="K58" s="25">
        <f>IF($A58="","",INDEX(tblTasks[Date_fin_prevue],ROW()-4))</f>
      </c>
      <c r="L58" s="23">
        <f>IF($A58="","",INDEX(tblTasks[Irreversibilite],ROW()-4))</f>
      </c>
      <c r="M58" s="26">
        <f>IF(OR($A58="",M$3=""),"",IF(AND($J58&lt;&gt;"",$K58&lt;&gt;"",$J58=$K58,$J58&gt;=M$3,$J58&lt;=IF(param_mode_affichage="mois",EOMONTH(M$3,0),M$3+6)),"◆",""))</f>
      </c>
      <c r="N58" s="26">
        <f>IF(OR($A58="",N$3=""),"",IF(AND($J58&lt;&gt;"",$K58&lt;&gt;"",$J58=$K58,$J58&gt;=N$3,$J58&lt;=IF(param_mode_affichage="mois",EOMONTH(N$3,0),N$3+6)),"◆",""))</f>
      </c>
      <c r="O58" s="26">
        <f>IF(OR($A58="",O$3=""),"",IF(AND($J58&lt;&gt;"",$K58&lt;&gt;"",$J58=$K58,$J58&gt;=O$3,$J58&lt;=IF(param_mode_affichage="mois",EOMONTH(O$3,0),O$3+6)),"◆",""))</f>
      </c>
      <c r="P58" s="26">
        <f>IF(OR($A58="",P$3=""),"",IF(AND($J58&lt;&gt;"",$K58&lt;&gt;"",$J58=$K58,$J58&gt;=P$3,$J58&lt;=IF(param_mode_affichage="mois",EOMONTH(P$3,0),P$3+6)),"◆",""))</f>
      </c>
      <c r="Q58" s="26">
        <f>IF(OR($A58="",Q$3=""),"",IF(AND($J58&lt;&gt;"",$K58&lt;&gt;"",$J58=$K58,$J58&gt;=Q$3,$J58&lt;=IF(param_mode_affichage="mois",EOMONTH(Q$3,0),Q$3+6)),"◆",""))</f>
      </c>
      <c r="R58" s="26">
        <f>IF(OR($A58="",R$3=""),"",IF(AND($J58&lt;&gt;"",$K58&lt;&gt;"",$J58=$K58,$J58&gt;=R$3,$J58&lt;=IF(param_mode_affichage="mois",EOMONTH(R$3,0),R$3+6)),"◆",""))</f>
      </c>
      <c r="S58" s="26">
        <f>IF(OR($A58="",S$3=""),"",IF(AND($J58&lt;&gt;"",$K58&lt;&gt;"",$J58=$K58,$J58&gt;=S$3,$J58&lt;=IF(param_mode_affichage="mois",EOMONTH(S$3,0),S$3+6)),"◆",""))</f>
      </c>
      <c r="T58" s="26">
        <f>IF(OR($A58="",T$3=""),"",IF(AND($J58&lt;&gt;"",$K58&lt;&gt;"",$J58=$K58,$J58&gt;=T$3,$J58&lt;=IF(param_mode_affichage="mois",EOMONTH(T$3,0),T$3+6)),"◆",""))</f>
      </c>
      <c r="U58" s="26">
        <f>IF(OR($A58="",U$3=""),"",IF(AND($J58&lt;&gt;"",$K58&lt;&gt;"",$J58=$K58,$J58&gt;=U$3,$J58&lt;=IF(param_mode_affichage="mois",EOMONTH(U$3,0),U$3+6)),"◆",""))</f>
      </c>
      <c r="V58" s="26">
        <f>IF(OR($A58="",V$3=""),"",IF(AND($J58&lt;&gt;"",$K58&lt;&gt;"",$J58=$K58,$J58&gt;=V$3,$J58&lt;=IF(param_mode_affichage="mois",EOMONTH(V$3,0),V$3+6)),"◆",""))</f>
      </c>
      <c r="W58" s="26">
        <f>IF(OR($A58="",W$3=""),"",IF(AND($J58&lt;&gt;"",$K58&lt;&gt;"",$J58=$K58,$J58&gt;=W$3,$J58&lt;=IF(param_mode_affichage="mois",EOMONTH(W$3,0),W$3+6)),"◆",""))</f>
      </c>
      <c r="X58" s="26">
        <f>IF(OR($A58="",X$3=""),"",IF(AND($J58&lt;&gt;"",$K58&lt;&gt;"",$J58=$K58,$J58&gt;=X$3,$J58&lt;=IF(param_mode_affichage="mois",EOMONTH(X$3,0),X$3+6)),"◆",""))</f>
      </c>
      <c r="Y58" s="26">
        <f>IF(OR($A58="",Y$3=""),"",IF(AND($J58&lt;&gt;"",$K58&lt;&gt;"",$J58=$K58,$J58&gt;=Y$3,$J58&lt;=IF(param_mode_affichage="mois",EOMONTH(Y$3,0),Y$3+6)),"◆",""))</f>
      </c>
      <c r="Z58" s="26">
        <f>IF(OR($A58="",Z$3=""),"",IF(AND($J58&lt;&gt;"",$K58&lt;&gt;"",$J58=$K58,$J58&gt;=Z$3,$J58&lt;=IF(param_mode_affichage="mois",EOMONTH(Z$3,0),Z$3+6)),"◆",""))</f>
      </c>
      <c r="AA58" s="26">
        <f>IF(OR($A58="",AA$3=""),"",IF(AND($J58&lt;&gt;"",$K58&lt;&gt;"",$J58=$K58,$J58&gt;=AA$3,$J58&lt;=IF(param_mode_affichage="mois",EOMONTH(AA$3,0),AA$3+6)),"◆",""))</f>
      </c>
      <c r="AB58" s="26">
        <f>IF(OR($A58="",AB$3=""),"",IF(AND($J58&lt;&gt;"",$K58&lt;&gt;"",$J58=$K58,$J58&gt;=AB$3,$J58&lt;=IF(param_mode_affichage="mois",EOMONTH(AB$3,0),AB$3+6)),"◆",""))</f>
      </c>
      <c r="AC58" s="26">
        <f>IF(OR($A58="",AC$3=""),"",IF(AND($J58&lt;&gt;"",$K58&lt;&gt;"",$J58=$K58,$J58&gt;=AC$3,$J58&lt;=IF(param_mode_affichage="mois",EOMONTH(AC$3,0),AC$3+6)),"◆",""))</f>
      </c>
      <c r="AD58" s="26">
        <f>IF(OR($A58="",AD$3=""),"",IF(AND($J58&lt;&gt;"",$K58&lt;&gt;"",$J58=$K58,$J58&gt;=AD$3,$J58&lt;=IF(param_mode_affichage="mois",EOMONTH(AD$3,0),AD$3+6)),"◆",""))</f>
      </c>
      <c r="AE58" s="26">
        <f>IF(OR($A58="",AE$3=""),"",IF(AND($J58&lt;&gt;"",$K58&lt;&gt;"",$J58=$K58,$J58&gt;=AE$3,$J58&lt;=IF(param_mode_affichage="mois",EOMONTH(AE$3,0),AE$3+6)),"◆",""))</f>
      </c>
      <c r="AF58" s="26">
        <f>IF(OR($A58="",AF$3=""),"",IF(AND($J58&lt;&gt;"",$K58&lt;&gt;"",$J58=$K58,$J58&gt;=AF$3,$J58&lt;=IF(param_mode_affichage="mois",EOMONTH(AF$3,0),AF$3+6)),"◆",""))</f>
      </c>
      <c r="AG58" s="26">
        <f>IF(OR($A58="",AG$3=""),"",IF(AND($J58&lt;&gt;"",$K58&lt;&gt;"",$J58=$K58,$J58&gt;=AG$3,$J58&lt;=IF(param_mode_affichage="mois",EOMONTH(AG$3,0),AG$3+6)),"◆",""))</f>
      </c>
      <c r="AH58" s="26">
        <f>IF(OR($A58="",AH$3=""),"",IF(AND($J58&lt;&gt;"",$K58&lt;&gt;"",$J58=$K58,$J58&gt;=AH$3,$J58&lt;=IF(param_mode_affichage="mois",EOMONTH(AH$3,0),AH$3+6)),"◆",""))</f>
      </c>
      <c r="AI58" s="26">
        <f>IF(OR($A58="",AI$3=""),"",IF(AND($J58&lt;&gt;"",$K58&lt;&gt;"",$J58=$K58,$J58&gt;=AI$3,$J58&lt;=IF(param_mode_affichage="mois",EOMONTH(AI$3,0),AI$3+6)),"◆",""))</f>
      </c>
      <c r="AJ58" s="26">
        <f>IF(OR($A58="",AJ$3=""),"",IF(AND($J58&lt;&gt;"",$K58&lt;&gt;"",$J58=$K58,$J58&gt;=AJ$3,$J58&lt;=IF(param_mode_affichage="mois",EOMONTH(AJ$3,0),AJ$3+6)),"◆",""))</f>
      </c>
      <c r="AK58" s="26">
        <f>IF(OR($A58="",AK$3=""),"",IF(AND($J58&lt;&gt;"",$K58&lt;&gt;"",$J58=$K58,$J58&gt;=AK$3,$J58&lt;=IF(param_mode_affichage="mois",EOMONTH(AK$3,0),AK$3+6)),"◆",""))</f>
      </c>
      <c r="AL58" s="26">
        <f>IF(OR($A58="",AL$3=""),"",IF(AND($J58&lt;&gt;"",$K58&lt;&gt;"",$J58=$K58,$J58&gt;=AL$3,$J58&lt;=IF(param_mode_affichage="mois",EOMONTH(AL$3,0),AL$3+6)),"◆",""))</f>
      </c>
      <c r="AM58" s="26">
        <f>IF(OR($A58="",AM$3=""),"",IF(AND($J58&lt;&gt;"",$K58&lt;&gt;"",$J58=$K58,$J58&gt;=AM$3,$J58&lt;=IF(param_mode_affichage="mois",EOMONTH(AM$3,0),AM$3+6)),"◆",""))</f>
      </c>
      <c r="AN58" s="26">
        <f>IF(OR($A58="",AN$3=""),"",IF(AND($J58&lt;&gt;"",$K58&lt;&gt;"",$J58=$K58,$J58&gt;=AN$3,$J58&lt;=IF(param_mode_affichage="mois",EOMONTH(AN$3,0),AN$3+6)),"◆",""))</f>
      </c>
      <c r="AO58" s="26">
        <f>IF(OR($A58="",AO$3=""),"",IF(AND($J58&lt;&gt;"",$K58&lt;&gt;"",$J58=$K58,$J58&gt;=AO$3,$J58&lt;=IF(param_mode_affichage="mois",EOMONTH(AO$3,0),AO$3+6)),"◆",""))</f>
      </c>
      <c r="AP58" s="26">
        <f>IF(OR($A58="",AP$3=""),"",IF(AND($J58&lt;&gt;"",$K58&lt;&gt;"",$J58=$K58,$J58&gt;=AP$3,$J58&lt;=IF(param_mode_affichage="mois",EOMONTH(AP$3,0),AP$3+6)),"◆",""))</f>
      </c>
      <c r="AQ58" s="26">
        <f>IF(OR($A58="",AQ$3=""),"",IF(AND($J58&lt;&gt;"",$K58&lt;&gt;"",$J58=$K58,$J58&gt;=AQ$3,$J58&lt;=IF(param_mode_affichage="mois",EOMONTH(AQ$3,0),AQ$3+6)),"◆",""))</f>
      </c>
      <c r="AR58" s="26">
        <f>IF(OR($A58="",AR$3=""),"",IF(AND($J58&lt;&gt;"",$K58&lt;&gt;"",$J58=$K58,$J58&gt;=AR$3,$J58&lt;=IF(param_mode_affichage="mois",EOMONTH(AR$3,0),AR$3+6)),"◆",""))</f>
      </c>
      <c r="AS58" s="26">
        <f>IF(OR($A58="",AS$3=""),"",IF(AND($J58&lt;&gt;"",$K58&lt;&gt;"",$J58=$K58,$J58&gt;=AS$3,$J58&lt;=IF(param_mode_affichage="mois",EOMONTH(AS$3,0),AS$3+6)),"◆",""))</f>
      </c>
      <c r="AT58" s="26">
        <f>IF(OR($A58="",AT$3=""),"",IF(AND($J58&lt;&gt;"",$K58&lt;&gt;"",$J58=$K58,$J58&gt;=AT$3,$J58&lt;=IF(param_mode_affichage="mois",EOMONTH(AT$3,0),AT$3+6)),"◆",""))</f>
      </c>
      <c r="AU58" s="26">
        <f>IF(OR($A58="",AU$3=""),"",IF(AND($J58&lt;&gt;"",$K58&lt;&gt;"",$J58=$K58,$J58&gt;=AU$3,$J58&lt;=IF(param_mode_affichage="mois",EOMONTH(AU$3,0),AU$3+6)),"◆",""))</f>
      </c>
      <c r="AV58" s="26">
        <f>IF(OR($A58="",AV$3=""),"",IF(AND($J58&lt;&gt;"",$K58&lt;&gt;"",$J58=$K58,$J58&gt;=AV$3,$J58&lt;=IF(param_mode_affichage="mois",EOMONTH(AV$3,0),AV$3+6)),"◆",""))</f>
      </c>
      <c r="AW58" s="26">
        <f>IF(OR($A58="",AW$3=""),"",IF(AND($J58&lt;&gt;"",$K58&lt;&gt;"",$J58=$K58,$J58&gt;=AW$3,$J58&lt;=IF(param_mode_affichage="mois",EOMONTH(AW$3,0),AW$3+6)),"◆",""))</f>
      </c>
      <c r="AX58" s="26">
        <f>IF(OR($A58="",AX$3=""),"",IF(AND($J58&lt;&gt;"",$K58&lt;&gt;"",$J58=$K58,$J58&gt;=AX$3,$J58&lt;=IF(param_mode_affichage="mois",EOMONTH(AX$3,0),AX$3+6)),"◆",""))</f>
      </c>
      <c r="AY58" s="26">
        <f>IF(OR($A58="",AY$3=""),"",IF(AND($J58&lt;&gt;"",$K58&lt;&gt;"",$J58=$K58,$J58&gt;=AY$3,$J58&lt;=IF(param_mode_affichage="mois",EOMONTH(AY$3,0),AY$3+6)),"◆",""))</f>
      </c>
      <c r="AZ58" s="26">
        <f>IF(OR($A58="",AZ$3=""),"",IF(AND($J58&lt;&gt;"",$K58&lt;&gt;"",$J58=$K58,$J58&gt;=AZ$3,$J58&lt;=IF(param_mode_affichage="mois",EOMONTH(AZ$3,0),AZ$3+6)),"◆",""))</f>
      </c>
      <c r="BA58" s="26">
        <f>IF(OR($A58="",BA$3=""),"",IF(AND($J58&lt;&gt;"",$K58&lt;&gt;"",$J58=$K58,$J58&gt;=BA$3,$J58&lt;=IF(param_mode_affichage="mois",EOMONTH(BA$3,0),BA$3+6)),"◆",""))</f>
      </c>
      <c r="BB58" s="26">
        <f>IF(OR($A58="",BB$3=""),"",IF(AND($J58&lt;&gt;"",$K58&lt;&gt;"",$J58=$K58,$J58&gt;=BB$3,$J58&lt;=IF(param_mode_affichage="mois",EOMONTH(BB$3,0),BB$3+6)),"◆",""))</f>
      </c>
      <c r="BC58" s="26">
        <f>IF(OR($A58="",BC$3=""),"",IF(AND($J58&lt;&gt;"",$K58&lt;&gt;"",$J58=$K58,$J58&gt;=BC$3,$J58&lt;=IF(param_mode_affichage="mois",EOMONTH(BC$3,0),BC$3+6)),"◆",""))</f>
      </c>
      <c r="BD58" s="26">
        <f>IF(OR($A58="",BD$3=""),"",IF(AND($J58&lt;&gt;"",$K58&lt;&gt;"",$J58=$K58,$J58&gt;=BD$3,$J58&lt;=IF(param_mode_affichage="mois",EOMONTH(BD$3,0),BD$3+6)),"◆",""))</f>
      </c>
      <c r="BE58" s="26">
        <f>IF(OR($A58="",BE$3=""),"",IF(AND($J58&lt;&gt;"",$K58&lt;&gt;"",$J58=$K58,$J58&gt;=BE$3,$J58&lt;=IF(param_mode_affichage="mois",EOMONTH(BE$3,0),BE$3+6)),"◆",""))</f>
      </c>
      <c r="BF58" s="26">
        <f>IF(OR($A58="",BF$3=""),"",IF(AND($J58&lt;&gt;"",$K58&lt;&gt;"",$J58=$K58,$J58&gt;=BF$3,$J58&lt;=IF(param_mode_affichage="mois",EOMONTH(BF$3,0),BF$3+6)),"◆",""))</f>
      </c>
      <c r="BG58" s="26">
        <f>IF(OR($A58="",BG$3=""),"",IF(AND($J58&lt;&gt;"",$K58&lt;&gt;"",$J58=$K58,$J58&gt;=BG$3,$J58&lt;=IF(param_mode_affichage="mois",EOMONTH(BG$3,0),BG$3+6)),"◆",""))</f>
      </c>
      <c r="BH58" s="26">
        <f>IF(OR($A58="",BH$3=""),"",IF(AND($J58&lt;&gt;"",$K58&lt;&gt;"",$J58=$K58,$J58&gt;=BH$3,$J58&lt;=IF(param_mode_affichage="mois",EOMONTH(BH$3,0),BH$3+6)),"◆",""))</f>
      </c>
      <c r="BI58" s="26">
        <f>IF(OR($A58="",BI$3=""),"",IF(AND($J58&lt;&gt;"",$K58&lt;&gt;"",$J58=$K58,$J58&gt;=BI$3,$J58&lt;=IF(param_mode_affichage="mois",EOMONTH(BI$3,0),BI$3+6)),"◆",""))</f>
      </c>
      <c r="BJ58" s="26">
        <f>IF(OR($A58="",BJ$3=""),"",IF(AND($J58&lt;&gt;"",$K58&lt;&gt;"",$J58=$K58,$J58&gt;=BJ$3,$J58&lt;=IF(param_mode_affichage="mois",EOMONTH(BJ$3,0),BJ$3+6)),"◆",""))</f>
      </c>
      <c r="BK58" s="26">
        <f>IF(OR($A58="",BK$3=""),"",IF(AND($J58&lt;&gt;"",$K58&lt;&gt;"",$J58=$K58,$J58&gt;=BK$3,$J58&lt;=IF(param_mode_affichage="mois",EOMONTH(BK$3,0),BK$3+6)),"◆",""))</f>
      </c>
      <c r="BL58" s="26">
        <f>IF(OR($A58="",BL$3=""),"",IF(AND($J58&lt;&gt;"",$K58&lt;&gt;"",$J58=$K58,$J58&gt;=BL$3,$J58&lt;=IF(param_mode_affichage="mois",EOMONTH(BL$3,0),BL$3+6)),"◆",""))</f>
      </c>
    </row>
    <row r="59" spans="1:64" x14ac:dyDescent="0.25">
      <c r="A59" s="23">
        <f>IFERROR(INDEX(tblTasks[ID],ROW()-4),"")</f>
      </c>
      <c r="B59" s="24">
        <f>IF($A59="","",INDEX(tblTasks[Sujet],ROW()-4))</f>
      </c>
      <c r="C59" s="23">
        <f>IF($A59="","",INDEX(tblTasks[Responsable],ROW()-4))</f>
      </c>
      <c r="D59" s="23">
        <f>IF($A59="","",INDEX(tblTasks[Statut],ROW()-4))</f>
      </c>
      <c r="E59" s="23">
        <f>IF($A59="","",INDEX(tblTasks[Depend_de],ROW()-4))</f>
      </c>
      <c r="F59" s="23">
        <f>IF($A59="","",INDEX(tblTasks[Blocage],ROW()-4))</f>
      </c>
      <c r="G59" s="23">
        <f>IF($A59="","",INDEX(tblTasks[Niveau_criticite],ROW()-4))</f>
      </c>
      <c r="H59" s="23">
        <f>IF($A59="","",INDEX(tblTasks[Goulot],ROW()-4))</f>
      </c>
      <c r="I59" s="23">
        <f>IF($A59="","",IF(LOWER($F59)="oui","non",IF($E59="","oui",IFERROR(IF(LOWER(INDEX(tblTasks[Statut],MATCH($E59,tblTasks[ID],0)))="clos","oui","non"),"non"))))</f>
      </c>
      <c r="J59" s="25">
        <f>IF($A59="","",INDEX(tblTasks[Date_debut_prevue],ROW()-4))</f>
      </c>
      <c r="K59" s="25">
        <f>IF($A59="","",INDEX(tblTasks[Date_fin_prevue],ROW()-4))</f>
      </c>
      <c r="L59" s="23">
        <f>IF($A59="","",INDEX(tblTasks[Irreversibilite],ROW()-4))</f>
      </c>
      <c r="M59" s="26">
        <f>IF(OR($A59="",M$3=""),"",IF(AND($J59&lt;&gt;"",$K59&lt;&gt;"",$J59=$K59,$J59&gt;=M$3,$J59&lt;=IF(param_mode_affichage="mois",EOMONTH(M$3,0),M$3+6)),"◆",""))</f>
      </c>
      <c r="N59" s="26">
        <f>IF(OR($A59="",N$3=""),"",IF(AND($J59&lt;&gt;"",$K59&lt;&gt;"",$J59=$K59,$J59&gt;=N$3,$J59&lt;=IF(param_mode_affichage="mois",EOMONTH(N$3,0),N$3+6)),"◆",""))</f>
      </c>
      <c r="O59" s="26">
        <f>IF(OR($A59="",O$3=""),"",IF(AND($J59&lt;&gt;"",$K59&lt;&gt;"",$J59=$K59,$J59&gt;=O$3,$J59&lt;=IF(param_mode_affichage="mois",EOMONTH(O$3,0),O$3+6)),"◆",""))</f>
      </c>
      <c r="P59" s="26">
        <f>IF(OR($A59="",P$3=""),"",IF(AND($J59&lt;&gt;"",$K59&lt;&gt;"",$J59=$K59,$J59&gt;=P$3,$J59&lt;=IF(param_mode_affichage="mois",EOMONTH(P$3,0),P$3+6)),"◆",""))</f>
      </c>
      <c r="Q59" s="26">
        <f>IF(OR($A59="",Q$3=""),"",IF(AND($J59&lt;&gt;"",$K59&lt;&gt;"",$J59=$K59,$J59&gt;=Q$3,$J59&lt;=IF(param_mode_affichage="mois",EOMONTH(Q$3,0),Q$3+6)),"◆",""))</f>
      </c>
      <c r="R59" s="26">
        <f>IF(OR($A59="",R$3=""),"",IF(AND($J59&lt;&gt;"",$K59&lt;&gt;"",$J59=$K59,$J59&gt;=R$3,$J59&lt;=IF(param_mode_affichage="mois",EOMONTH(R$3,0),R$3+6)),"◆",""))</f>
      </c>
      <c r="S59" s="26">
        <f>IF(OR($A59="",S$3=""),"",IF(AND($J59&lt;&gt;"",$K59&lt;&gt;"",$J59=$K59,$J59&gt;=S$3,$J59&lt;=IF(param_mode_affichage="mois",EOMONTH(S$3,0),S$3+6)),"◆",""))</f>
      </c>
      <c r="T59" s="26">
        <f>IF(OR($A59="",T$3=""),"",IF(AND($J59&lt;&gt;"",$K59&lt;&gt;"",$J59=$K59,$J59&gt;=T$3,$J59&lt;=IF(param_mode_affichage="mois",EOMONTH(T$3,0),T$3+6)),"◆",""))</f>
      </c>
      <c r="U59" s="26">
        <f>IF(OR($A59="",U$3=""),"",IF(AND($J59&lt;&gt;"",$K59&lt;&gt;"",$J59=$K59,$J59&gt;=U$3,$J59&lt;=IF(param_mode_affichage="mois",EOMONTH(U$3,0),U$3+6)),"◆",""))</f>
      </c>
      <c r="V59" s="26">
        <f>IF(OR($A59="",V$3=""),"",IF(AND($J59&lt;&gt;"",$K59&lt;&gt;"",$J59=$K59,$J59&gt;=V$3,$J59&lt;=IF(param_mode_affichage="mois",EOMONTH(V$3,0),V$3+6)),"◆",""))</f>
      </c>
      <c r="W59" s="26">
        <f>IF(OR($A59="",W$3=""),"",IF(AND($J59&lt;&gt;"",$K59&lt;&gt;"",$J59=$K59,$J59&gt;=W$3,$J59&lt;=IF(param_mode_affichage="mois",EOMONTH(W$3,0),W$3+6)),"◆",""))</f>
      </c>
      <c r="X59" s="26">
        <f>IF(OR($A59="",X$3=""),"",IF(AND($J59&lt;&gt;"",$K59&lt;&gt;"",$J59=$K59,$J59&gt;=X$3,$J59&lt;=IF(param_mode_affichage="mois",EOMONTH(X$3,0),X$3+6)),"◆",""))</f>
      </c>
      <c r="Y59" s="26">
        <f>IF(OR($A59="",Y$3=""),"",IF(AND($J59&lt;&gt;"",$K59&lt;&gt;"",$J59=$K59,$J59&gt;=Y$3,$J59&lt;=IF(param_mode_affichage="mois",EOMONTH(Y$3,0),Y$3+6)),"◆",""))</f>
      </c>
      <c r="Z59" s="26">
        <f>IF(OR($A59="",Z$3=""),"",IF(AND($J59&lt;&gt;"",$K59&lt;&gt;"",$J59=$K59,$J59&gt;=Z$3,$J59&lt;=IF(param_mode_affichage="mois",EOMONTH(Z$3,0),Z$3+6)),"◆",""))</f>
      </c>
      <c r="AA59" s="26">
        <f>IF(OR($A59="",AA$3=""),"",IF(AND($J59&lt;&gt;"",$K59&lt;&gt;"",$J59=$K59,$J59&gt;=AA$3,$J59&lt;=IF(param_mode_affichage="mois",EOMONTH(AA$3,0),AA$3+6)),"◆",""))</f>
      </c>
      <c r="AB59" s="26">
        <f>IF(OR($A59="",AB$3=""),"",IF(AND($J59&lt;&gt;"",$K59&lt;&gt;"",$J59=$K59,$J59&gt;=AB$3,$J59&lt;=IF(param_mode_affichage="mois",EOMONTH(AB$3,0),AB$3+6)),"◆",""))</f>
      </c>
      <c r="AC59" s="26">
        <f>IF(OR($A59="",AC$3=""),"",IF(AND($J59&lt;&gt;"",$K59&lt;&gt;"",$J59=$K59,$J59&gt;=AC$3,$J59&lt;=IF(param_mode_affichage="mois",EOMONTH(AC$3,0),AC$3+6)),"◆",""))</f>
      </c>
      <c r="AD59" s="26">
        <f>IF(OR($A59="",AD$3=""),"",IF(AND($J59&lt;&gt;"",$K59&lt;&gt;"",$J59=$K59,$J59&gt;=AD$3,$J59&lt;=IF(param_mode_affichage="mois",EOMONTH(AD$3,0),AD$3+6)),"◆",""))</f>
      </c>
      <c r="AE59" s="26">
        <f>IF(OR($A59="",AE$3=""),"",IF(AND($J59&lt;&gt;"",$K59&lt;&gt;"",$J59=$K59,$J59&gt;=AE$3,$J59&lt;=IF(param_mode_affichage="mois",EOMONTH(AE$3,0),AE$3+6)),"◆",""))</f>
      </c>
      <c r="AF59" s="26">
        <f>IF(OR($A59="",AF$3=""),"",IF(AND($J59&lt;&gt;"",$K59&lt;&gt;"",$J59=$K59,$J59&gt;=AF$3,$J59&lt;=IF(param_mode_affichage="mois",EOMONTH(AF$3,0),AF$3+6)),"◆",""))</f>
      </c>
      <c r="AG59" s="26">
        <f>IF(OR($A59="",AG$3=""),"",IF(AND($J59&lt;&gt;"",$K59&lt;&gt;"",$J59=$K59,$J59&gt;=AG$3,$J59&lt;=IF(param_mode_affichage="mois",EOMONTH(AG$3,0),AG$3+6)),"◆",""))</f>
      </c>
      <c r="AH59" s="26">
        <f>IF(OR($A59="",AH$3=""),"",IF(AND($J59&lt;&gt;"",$K59&lt;&gt;"",$J59=$K59,$J59&gt;=AH$3,$J59&lt;=IF(param_mode_affichage="mois",EOMONTH(AH$3,0),AH$3+6)),"◆",""))</f>
      </c>
      <c r="AI59" s="26">
        <f>IF(OR($A59="",AI$3=""),"",IF(AND($J59&lt;&gt;"",$K59&lt;&gt;"",$J59=$K59,$J59&gt;=AI$3,$J59&lt;=IF(param_mode_affichage="mois",EOMONTH(AI$3,0),AI$3+6)),"◆",""))</f>
      </c>
      <c r="AJ59" s="26">
        <f>IF(OR($A59="",AJ$3=""),"",IF(AND($J59&lt;&gt;"",$K59&lt;&gt;"",$J59=$K59,$J59&gt;=AJ$3,$J59&lt;=IF(param_mode_affichage="mois",EOMONTH(AJ$3,0),AJ$3+6)),"◆",""))</f>
      </c>
      <c r="AK59" s="26">
        <f>IF(OR($A59="",AK$3=""),"",IF(AND($J59&lt;&gt;"",$K59&lt;&gt;"",$J59=$K59,$J59&gt;=AK$3,$J59&lt;=IF(param_mode_affichage="mois",EOMONTH(AK$3,0),AK$3+6)),"◆",""))</f>
      </c>
      <c r="AL59" s="26">
        <f>IF(OR($A59="",AL$3=""),"",IF(AND($J59&lt;&gt;"",$K59&lt;&gt;"",$J59=$K59,$J59&gt;=AL$3,$J59&lt;=IF(param_mode_affichage="mois",EOMONTH(AL$3,0),AL$3+6)),"◆",""))</f>
      </c>
      <c r="AM59" s="26">
        <f>IF(OR($A59="",AM$3=""),"",IF(AND($J59&lt;&gt;"",$K59&lt;&gt;"",$J59=$K59,$J59&gt;=AM$3,$J59&lt;=IF(param_mode_affichage="mois",EOMONTH(AM$3,0),AM$3+6)),"◆",""))</f>
      </c>
      <c r="AN59" s="26">
        <f>IF(OR($A59="",AN$3=""),"",IF(AND($J59&lt;&gt;"",$K59&lt;&gt;"",$J59=$K59,$J59&gt;=AN$3,$J59&lt;=IF(param_mode_affichage="mois",EOMONTH(AN$3,0),AN$3+6)),"◆",""))</f>
      </c>
      <c r="AO59" s="26">
        <f>IF(OR($A59="",AO$3=""),"",IF(AND($J59&lt;&gt;"",$K59&lt;&gt;"",$J59=$K59,$J59&gt;=AO$3,$J59&lt;=IF(param_mode_affichage="mois",EOMONTH(AO$3,0),AO$3+6)),"◆",""))</f>
      </c>
      <c r="AP59" s="26">
        <f>IF(OR($A59="",AP$3=""),"",IF(AND($J59&lt;&gt;"",$K59&lt;&gt;"",$J59=$K59,$J59&gt;=AP$3,$J59&lt;=IF(param_mode_affichage="mois",EOMONTH(AP$3,0),AP$3+6)),"◆",""))</f>
      </c>
      <c r="AQ59" s="26">
        <f>IF(OR($A59="",AQ$3=""),"",IF(AND($J59&lt;&gt;"",$K59&lt;&gt;"",$J59=$K59,$J59&gt;=AQ$3,$J59&lt;=IF(param_mode_affichage="mois",EOMONTH(AQ$3,0),AQ$3+6)),"◆",""))</f>
      </c>
      <c r="AR59" s="26">
        <f>IF(OR($A59="",AR$3=""),"",IF(AND($J59&lt;&gt;"",$K59&lt;&gt;"",$J59=$K59,$J59&gt;=AR$3,$J59&lt;=IF(param_mode_affichage="mois",EOMONTH(AR$3,0),AR$3+6)),"◆",""))</f>
      </c>
      <c r="AS59" s="26">
        <f>IF(OR($A59="",AS$3=""),"",IF(AND($J59&lt;&gt;"",$K59&lt;&gt;"",$J59=$K59,$J59&gt;=AS$3,$J59&lt;=IF(param_mode_affichage="mois",EOMONTH(AS$3,0),AS$3+6)),"◆",""))</f>
      </c>
      <c r="AT59" s="26">
        <f>IF(OR($A59="",AT$3=""),"",IF(AND($J59&lt;&gt;"",$K59&lt;&gt;"",$J59=$K59,$J59&gt;=AT$3,$J59&lt;=IF(param_mode_affichage="mois",EOMONTH(AT$3,0),AT$3+6)),"◆",""))</f>
      </c>
      <c r="AU59" s="26">
        <f>IF(OR($A59="",AU$3=""),"",IF(AND($J59&lt;&gt;"",$K59&lt;&gt;"",$J59=$K59,$J59&gt;=AU$3,$J59&lt;=IF(param_mode_affichage="mois",EOMONTH(AU$3,0),AU$3+6)),"◆",""))</f>
      </c>
      <c r="AV59" s="26">
        <f>IF(OR($A59="",AV$3=""),"",IF(AND($J59&lt;&gt;"",$K59&lt;&gt;"",$J59=$K59,$J59&gt;=AV$3,$J59&lt;=IF(param_mode_affichage="mois",EOMONTH(AV$3,0),AV$3+6)),"◆",""))</f>
      </c>
      <c r="AW59" s="26">
        <f>IF(OR($A59="",AW$3=""),"",IF(AND($J59&lt;&gt;"",$K59&lt;&gt;"",$J59=$K59,$J59&gt;=AW$3,$J59&lt;=IF(param_mode_affichage="mois",EOMONTH(AW$3,0),AW$3+6)),"◆",""))</f>
      </c>
      <c r="AX59" s="26">
        <f>IF(OR($A59="",AX$3=""),"",IF(AND($J59&lt;&gt;"",$K59&lt;&gt;"",$J59=$K59,$J59&gt;=AX$3,$J59&lt;=IF(param_mode_affichage="mois",EOMONTH(AX$3,0),AX$3+6)),"◆",""))</f>
      </c>
      <c r="AY59" s="26">
        <f>IF(OR($A59="",AY$3=""),"",IF(AND($J59&lt;&gt;"",$K59&lt;&gt;"",$J59=$K59,$J59&gt;=AY$3,$J59&lt;=IF(param_mode_affichage="mois",EOMONTH(AY$3,0),AY$3+6)),"◆",""))</f>
      </c>
      <c r="AZ59" s="26">
        <f>IF(OR($A59="",AZ$3=""),"",IF(AND($J59&lt;&gt;"",$K59&lt;&gt;"",$J59=$K59,$J59&gt;=AZ$3,$J59&lt;=IF(param_mode_affichage="mois",EOMONTH(AZ$3,0),AZ$3+6)),"◆",""))</f>
      </c>
      <c r="BA59" s="26">
        <f>IF(OR($A59="",BA$3=""),"",IF(AND($J59&lt;&gt;"",$K59&lt;&gt;"",$J59=$K59,$J59&gt;=BA$3,$J59&lt;=IF(param_mode_affichage="mois",EOMONTH(BA$3,0),BA$3+6)),"◆",""))</f>
      </c>
      <c r="BB59" s="26">
        <f>IF(OR($A59="",BB$3=""),"",IF(AND($J59&lt;&gt;"",$K59&lt;&gt;"",$J59=$K59,$J59&gt;=BB$3,$J59&lt;=IF(param_mode_affichage="mois",EOMONTH(BB$3,0),BB$3+6)),"◆",""))</f>
      </c>
      <c r="BC59" s="26">
        <f>IF(OR($A59="",BC$3=""),"",IF(AND($J59&lt;&gt;"",$K59&lt;&gt;"",$J59=$K59,$J59&gt;=BC$3,$J59&lt;=IF(param_mode_affichage="mois",EOMONTH(BC$3,0),BC$3+6)),"◆",""))</f>
      </c>
      <c r="BD59" s="26">
        <f>IF(OR($A59="",BD$3=""),"",IF(AND($J59&lt;&gt;"",$K59&lt;&gt;"",$J59=$K59,$J59&gt;=BD$3,$J59&lt;=IF(param_mode_affichage="mois",EOMONTH(BD$3,0),BD$3+6)),"◆",""))</f>
      </c>
      <c r="BE59" s="26">
        <f>IF(OR($A59="",BE$3=""),"",IF(AND($J59&lt;&gt;"",$K59&lt;&gt;"",$J59=$K59,$J59&gt;=BE$3,$J59&lt;=IF(param_mode_affichage="mois",EOMONTH(BE$3,0),BE$3+6)),"◆",""))</f>
      </c>
      <c r="BF59" s="26">
        <f>IF(OR($A59="",BF$3=""),"",IF(AND($J59&lt;&gt;"",$K59&lt;&gt;"",$J59=$K59,$J59&gt;=BF$3,$J59&lt;=IF(param_mode_affichage="mois",EOMONTH(BF$3,0),BF$3+6)),"◆",""))</f>
      </c>
      <c r="BG59" s="26">
        <f>IF(OR($A59="",BG$3=""),"",IF(AND($J59&lt;&gt;"",$K59&lt;&gt;"",$J59=$K59,$J59&gt;=BG$3,$J59&lt;=IF(param_mode_affichage="mois",EOMONTH(BG$3,0),BG$3+6)),"◆",""))</f>
      </c>
      <c r="BH59" s="26">
        <f>IF(OR($A59="",BH$3=""),"",IF(AND($J59&lt;&gt;"",$K59&lt;&gt;"",$J59=$K59,$J59&gt;=BH$3,$J59&lt;=IF(param_mode_affichage="mois",EOMONTH(BH$3,0),BH$3+6)),"◆",""))</f>
      </c>
      <c r="BI59" s="26">
        <f>IF(OR($A59="",BI$3=""),"",IF(AND($J59&lt;&gt;"",$K59&lt;&gt;"",$J59=$K59,$J59&gt;=BI$3,$J59&lt;=IF(param_mode_affichage="mois",EOMONTH(BI$3,0),BI$3+6)),"◆",""))</f>
      </c>
      <c r="BJ59" s="26">
        <f>IF(OR($A59="",BJ$3=""),"",IF(AND($J59&lt;&gt;"",$K59&lt;&gt;"",$J59=$K59,$J59&gt;=BJ$3,$J59&lt;=IF(param_mode_affichage="mois",EOMONTH(BJ$3,0),BJ$3+6)),"◆",""))</f>
      </c>
      <c r="BK59" s="26">
        <f>IF(OR($A59="",BK$3=""),"",IF(AND($J59&lt;&gt;"",$K59&lt;&gt;"",$J59=$K59,$J59&gt;=BK$3,$J59&lt;=IF(param_mode_affichage="mois",EOMONTH(BK$3,0),BK$3+6)),"◆",""))</f>
      </c>
      <c r="BL59" s="26">
        <f>IF(OR($A59="",BL$3=""),"",IF(AND($J59&lt;&gt;"",$K59&lt;&gt;"",$J59=$K59,$J59&gt;=BL$3,$J59&lt;=IF(param_mode_affichage="mois",EOMONTH(BL$3,0),BL$3+6)),"◆",""))</f>
      </c>
    </row>
    <row r="60" spans="1:64" x14ac:dyDescent="0.25">
      <c r="A60" s="23">
        <f>IFERROR(INDEX(tblTasks[ID],ROW()-4),"")</f>
      </c>
      <c r="B60" s="24">
        <f>IF($A60="","",INDEX(tblTasks[Sujet],ROW()-4))</f>
      </c>
      <c r="C60" s="23">
        <f>IF($A60="","",INDEX(tblTasks[Responsable],ROW()-4))</f>
      </c>
      <c r="D60" s="23">
        <f>IF($A60="","",INDEX(tblTasks[Statut],ROW()-4))</f>
      </c>
      <c r="E60" s="23">
        <f>IF($A60="","",INDEX(tblTasks[Depend_de],ROW()-4))</f>
      </c>
      <c r="F60" s="23">
        <f>IF($A60="","",INDEX(tblTasks[Blocage],ROW()-4))</f>
      </c>
      <c r="G60" s="23">
        <f>IF($A60="","",INDEX(tblTasks[Niveau_criticite],ROW()-4))</f>
      </c>
      <c r="H60" s="23">
        <f>IF($A60="","",INDEX(tblTasks[Goulot],ROW()-4))</f>
      </c>
      <c r="I60" s="23">
        <f>IF($A60="","",IF(LOWER($F60)="oui","non",IF($E60="","oui",IFERROR(IF(LOWER(INDEX(tblTasks[Statut],MATCH($E60,tblTasks[ID],0)))="clos","oui","non"),"non"))))</f>
      </c>
      <c r="J60" s="25">
        <f>IF($A60="","",INDEX(tblTasks[Date_debut_prevue],ROW()-4))</f>
      </c>
      <c r="K60" s="25">
        <f>IF($A60="","",INDEX(tblTasks[Date_fin_prevue],ROW()-4))</f>
      </c>
      <c r="L60" s="23">
        <f>IF($A60="","",INDEX(tblTasks[Irreversibilite],ROW()-4))</f>
      </c>
      <c r="M60" s="26">
        <f>IF(OR($A60="",M$3=""),"",IF(AND($J60&lt;&gt;"",$K60&lt;&gt;"",$J60=$K60,$J60&gt;=M$3,$J60&lt;=IF(param_mode_affichage="mois",EOMONTH(M$3,0),M$3+6)),"◆",""))</f>
      </c>
      <c r="N60" s="26">
        <f>IF(OR($A60="",N$3=""),"",IF(AND($J60&lt;&gt;"",$K60&lt;&gt;"",$J60=$K60,$J60&gt;=N$3,$J60&lt;=IF(param_mode_affichage="mois",EOMONTH(N$3,0),N$3+6)),"◆",""))</f>
      </c>
      <c r="O60" s="26">
        <f>IF(OR($A60="",O$3=""),"",IF(AND($J60&lt;&gt;"",$K60&lt;&gt;"",$J60=$K60,$J60&gt;=O$3,$J60&lt;=IF(param_mode_affichage="mois",EOMONTH(O$3,0),O$3+6)),"◆",""))</f>
      </c>
      <c r="P60" s="26">
        <f>IF(OR($A60="",P$3=""),"",IF(AND($J60&lt;&gt;"",$K60&lt;&gt;"",$J60=$K60,$J60&gt;=P$3,$J60&lt;=IF(param_mode_affichage="mois",EOMONTH(P$3,0),P$3+6)),"◆",""))</f>
      </c>
      <c r="Q60" s="26">
        <f>IF(OR($A60="",Q$3=""),"",IF(AND($J60&lt;&gt;"",$K60&lt;&gt;"",$J60=$K60,$J60&gt;=Q$3,$J60&lt;=IF(param_mode_affichage="mois",EOMONTH(Q$3,0),Q$3+6)),"◆",""))</f>
      </c>
      <c r="R60" s="26">
        <f>IF(OR($A60="",R$3=""),"",IF(AND($J60&lt;&gt;"",$K60&lt;&gt;"",$J60=$K60,$J60&gt;=R$3,$J60&lt;=IF(param_mode_affichage="mois",EOMONTH(R$3,0),R$3+6)),"◆",""))</f>
      </c>
      <c r="S60" s="26">
        <f>IF(OR($A60="",S$3=""),"",IF(AND($J60&lt;&gt;"",$K60&lt;&gt;"",$J60=$K60,$J60&gt;=S$3,$J60&lt;=IF(param_mode_affichage="mois",EOMONTH(S$3,0),S$3+6)),"◆",""))</f>
      </c>
      <c r="T60" s="26">
        <f>IF(OR($A60="",T$3=""),"",IF(AND($J60&lt;&gt;"",$K60&lt;&gt;"",$J60=$K60,$J60&gt;=T$3,$J60&lt;=IF(param_mode_affichage="mois",EOMONTH(T$3,0),T$3+6)),"◆",""))</f>
      </c>
      <c r="U60" s="26">
        <f>IF(OR($A60="",U$3=""),"",IF(AND($J60&lt;&gt;"",$K60&lt;&gt;"",$J60=$K60,$J60&gt;=U$3,$J60&lt;=IF(param_mode_affichage="mois",EOMONTH(U$3,0),U$3+6)),"◆",""))</f>
      </c>
      <c r="V60" s="26">
        <f>IF(OR($A60="",V$3=""),"",IF(AND($J60&lt;&gt;"",$K60&lt;&gt;"",$J60=$K60,$J60&gt;=V$3,$J60&lt;=IF(param_mode_affichage="mois",EOMONTH(V$3,0),V$3+6)),"◆",""))</f>
      </c>
      <c r="W60" s="26">
        <f>IF(OR($A60="",W$3=""),"",IF(AND($J60&lt;&gt;"",$K60&lt;&gt;"",$J60=$K60,$J60&gt;=W$3,$J60&lt;=IF(param_mode_affichage="mois",EOMONTH(W$3,0),W$3+6)),"◆",""))</f>
      </c>
      <c r="X60" s="26">
        <f>IF(OR($A60="",X$3=""),"",IF(AND($J60&lt;&gt;"",$K60&lt;&gt;"",$J60=$K60,$J60&gt;=X$3,$J60&lt;=IF(param_mode_affichage="mois",EOMONTH(X$3,0),X$3+6)),"◆",""))</f>
      </c>
      <c r="Y60" s="26">
        <f>IF(OR($A60="",Y$3=""),"",IF(AND($J60&lt;&gt;"",$K60&lt;&gt;"",$J60=$K60,$J60&gt;=Y$3,$J60&lt;=IF(param_mode_affichage="mois",EOMONTH(Y$3,0),Y$3+6)),"◆",""))</f>
      </c>
      <c r="Z60" s="26">
        <f>IF(OR($A60="",Z$3=""),"",IF(AND($J60&lt;&gt;"",$K60&lt;&gt;"",$J60=$K60,$J60&gt;=Z$3,$J60&lt;=IF(param_mode_affichage="mois",EOMONTH(Z$3,0),Z$3+6)),"◆",""))</f>
      </c>
      <c r="AA60" s="26">
        <f>IF(OR($A60="",AA$3=""),"",IF(AND($J60&lt;&gt;"",$K60&lt;&gt;"",$J60=$K60,$J60&gt;=AA$3,$J60&lt;=IF(param_mode_affichage="mois",EOMONTH(AA$3,0),AA$3+6)),"◆",""))</f>
      </c>
      <c r="AB60" s="26">
        <f>IF(OR($A60="",AB$3=""),"",IF(AND($J60&lt;&gt;"",$K60&lt;&gt;"",$J60=$K60,$J60&gt;=AB$3,$J60&lt;=IF(param_mode_affichage="mois",EOMONTH(AB$3,0),AB$3+6)),"◆",""))</f>
      </c>
      <c r="AC60" s="26">
        <f>IF(OR($A60="",AC$3=""),"",IF(AND($J60&lt;&gt;"",$K60&lt;&gt;"",$J60=$K60,$J60&gt;=AC$3,$J60&lt;=IF(param_mode_affichage="mois",EOMONTH(AC$3,0),AC$3+6)),"◆",""))</f>
      </c>
      <c r="AD60" s="26">
        <f>IF(OR($A60="",AD$3=""),"",IF(AND($J60&lt;&gt;"",$K60&lt;&gt;"",$J60=$K60,$J60&gt;=AD$3,$J60&lt;=IF(param_mode_affichage="mois",EOMONTH(AD$3,0),AD$3+6)),"◆",""))</f>
      </c>
      <c r="AE60" s="26">
        <f>IF(OR($A60="",AE$3=""),"",IF(AND($J60&lt;&gt;"",$K60&lt;&gt;"",$J60=$K60,$J60&gt;=AE$3,$J60&lt;=IF(param_mode_affichage="mois",EOMONTH(AE$3,0),AE$3+6)),"◆",""))</f>
      </c>
      <c r="AF60" s="26">
        <f>IF(OR($A60="",AF$3=""),"",IF(AND($J60&lt;&gt;"",$K60&lt;&gt;"",$J60=$K60,$J60&gt;=AF$3,$J60&lt;=IF(param_mode_affichage="mois",EOMONTH(AF$3,0),AF$3+6)),"◆",""))</f>
      </c>
      <c r="AG60" s="26">
        <f>IF(OR($A60="",AG$3=""),"",IF(AND($J60&lt;&gt;"",$K60&lt;&gt;"",$J60=$K60,$J60&gt;=AG$3,$J60&lt;=IF(param_mode_affichage="mois",EOMONTH(AG$3,0),AG$3+6)),"◆",""))</f>
      </c>
      <c r="AH60" s="26">
        <f>IF(OR($A60="",AH$3=""),"",IF(AND($J60&lt;&gt;"",$K60&lt;&gt;"",$J60=$K60,$J60&gt;=AH$3,$J60&lt;=IF(param_mode_affichage="mois",EOMONTH(AH$3,0),AH$3+6)),"◆",""))</f>
      </c>
      <c r="AI60" s="26">
        <f>IF(OR($A60="",AI$3=""),"",IF(AND($J60&lt;&gt;"",$K60&lt;&gt;"",$J60=$K60,$J60&gt;=AI$3,$J60&lt;=IF(param_mode_affichage="mois",EOMONTH(AI$3,0),AI$3+6)),"◆",""))</f>
      </c>
      <c r="AJ60" s="26">
        <f>IF(OR($A60="",AJ$3=""),"",IF(AND($J60&lt;&gt;"",$K60&lt;&gt;"",$J60=$K60,$J60&gt;=AJ$3,$J60&lt;=IF(param_mode_affichage="mois",EOMONTH(AJ$3,0),AJ$3+6)),"◆",""))</f>
      </c>
      <c r="AK60" s="26">
        <f>IF(OR($A60="",AK$3=""),"",IF(AND($J60&lt;&gt;"",$K60&lt;&gt;"",$J60=$K60,$J60&gt;=AK$3,$J60&lt;=IF(param_mode_affichage="mois",EOMONTH(AK$3,0),AK$3+6)),"◆",""))</f>
      </c>
      <c r="AL60" s="26">
        <f>IF(OR($A60="",AL$3=""),"",IF(AND($J60&lt;&gt;"",$K60&lt;&gt;"",$J60=$K60,$J60&gt;=AL$3,$J60&lt;=IF(param_mode_affichage="mois",EOMONTH(AL$3,0),AL$3+6)),"◆",""))</f>
      </c>
      <c r="AM60" s="26">
        <f>IF(OR($A60="",AM$3=""),"",IF(AND($J60&lt;&gt;"",$K60&lt;&gt;"",$J60=$K60,$J60&gt;=AM$3,$J60&lt;=IF(param_mode_affichage="mois",EOMONTH(AM$3,0),AM$3+6)),"◆",""))</f>
      </c>
      <c r="AN60" s="26">
        <f>IF(OR($A60="",AN$3=""),"",IF(AND($J60&lt;&gt;"",$K60&lt;&gt;"",$J60=$K60,$J60&gt;=AN$3,$J60&lt;=IF(param_mode_affichage="mois",EOMONTH(AN$3,0),AN$3+6)),"◆",""))</f>
      </c>
      <c r="AO60" s="26">
        <f>IF(OR($A60="",AO$3=""),"",IF(AND($J60&lt;&gt;"",$K60&lt;&gt;"",$J60=$K60,$J60&gt;=AO$3,$J60&lt;=IF(param_mode_affichage="mois",EOMONTH(AO$3,0),AO$3+6)),"◆",""))</f>
      </c>
      <c r="AP60" s="26">
        <f>IF(OR($A60="",AP$3=""),"",IF(AND($J60&lt;&gt;"",$K60&lt;&gt;"",$J60=$K60,$J60&gt;=AP$3,$J60&lt;=IF(param_mode_affichage="mois",EOMONTH(AP$3,0),AP$3+6)),"◆",""))</f>
      </c>
      <c r="AQ60" s="26">
        <f>IF(OR($A60="",AQ$3=""),"",IF(AND($J60&lt;&gt;"",$K60&lt;&gt;"",$J60=$K60,$J60&gt;=AQ$3,$J60&lt;=IF(param_mode_affichage="mois",EOMONTH(AQ$3,0),AQ$3+6)),"◆",""))</f>
      </c>
      <c r="AR60" s="26">
        <f>IF(OR($A60="",AR$3=""),"",IF(AND($J60&lt;&gt;"",$K60&lt;&gt;"",$J60=$K60,$J60&gt;=AR$3,$J60&lt;=IF(param_mode_affichage="mois",EOMONTH(AR$3,0),AR$3+6)),"◆",""))</f>
      </c>
      <c r="AS60" s="26">
        <f>IF(OR($A60="",AS$3=""),"",IF(AND($J60&lt;&gt;"",$K60&lt;&gt;"",$J60=$K60,$J60&gt;=AS$3,$J60&lt;=IF(param_mode_affichage="mois",EOMONTH(AS$3,0),AS$3+6)),"◆",""))</f>
      </c>
      <c r="AT60" s="26">
        <f>IF(OR($A60="",AT$3=""),"",IF(AND($J60&lt;&gt;"",$K60&lt;&gt;"",$J60=$K60,$J60&gt;=AT$3,$J60&lt;=IF(param_mode_affichage="mois",EOMONTH(AT$3,0),AT$3+6)),"◆",""))</f>
      </c>
      <c r="AU60" s="26">
        <f>IF(OR($A60="",AU$3=""),"",IF(AND($J60&lt;&gt;"",$K60&lt;&gt;"",$J60=$K60,$J60&gt;=AU$3,$J60&lt;=IF(param_mode_affichage="mois",EOMONTH(AU$3,0),AU$3+6)),"◆",""))</f>
      </c>
      <c r="AV60" s="26">
        <f>IF(OR($A60="",AV$3=""),"",IF(AND($J60&lt;&gt;"",$K60&lt;&gt;"",$J60=$K60,$J60&gt;=AV$3,$J60&lt;=IF(param_mode_affichage="mois",EOMONTH(AV$3,0),AV$3+6)),"◆",""))</f>
      </c>
      <c r="AW60" s="26">
        <f>IF(OR($A60="",AW$3=""),"",IF(AND($J60&lt;&gt;"",$K60&lt;&gt;"",$J60=$K60,$J60&gt;=AW$3,$J60&lt;=IF(param_mode_affichage="mois",EOMONTH(AW$3,0),AW$3+6)),"◆",""))</f>
      </c>
      <c r="AX60" s="26">
        <f>IF(OR($A60="",AX$3=""),"",IF(AND($J60&lt;&gt;"",$K60&lt;&gt;"",$J60=$K60,$J60&gt;=AX$3,$J60&lt;=IF(param_mode_affichage="mois",EOMONTH(AX$3,0),AX$3+6)),"◆",""))</f>
      </c>
      <c r="AY60" s="26">
        <f>IF(OR($A60="",AY$3=""),"",IF(AND($J60&lt;&gt;"",$K60&lt;&gt;"",$J60=$K60,$J60&gt;=AY$3,$J60&lt;=IF(param_mode_affichage="mois",EOMONTH(AY$3,0),AY$3+6)),"◆",""))</f>
      </c>
      <c r="AZ60" s="26">
        <f>IF(OR($A60="",AZ$3=""),"",IF(AND($J60&lt;&gt;"",$K60&lt;&gt;"",$J60=$K60,$J60&gt;=AZ$3,$J60&lt;=IF(param_mode_affichage="mois",EOMONTH(AZ$3,0),AZ$3+6)),"◆",""))</f>
      </c>
      <c r="BA60" s="26">
        <f>IF(OR($A60="",BA$3=""),"",IF(AND($J60&lt;&gt;"",$K60&lt;&gt;"",$J60=$K60,$J60&gt;=BA$3,$J60&lt;=IF(param_mode_affichage="mois",EOMONTH(BA$3,0),BA$3+6)),"◆",""))</f>
      </c>
      <c r="BB60" s="26">
        <f>IF(OR($A60="",BB$3=""),"",IF(AND($J60&lt;&gt;"",$K60&lt;&gt;"",$J60=$K60,$J60&gt;=BB$3,$J60&lt;=IF(param_mode_affichage="mois",EOMONTH(BB$3,0),BB$3+6)),"◆",""))</f>
      </c>
      <c r="BC60" s="26">
        <f>IF(OR($A60="",BC$3=""),"",IF(AND($J60&lt;&gt;"",$K60&lt;&gt;"",$J60=$K60,$J60&gt;=BC$3,$J60&lt;=IF(param_mode_affichage="mois",EOMONTH(BC$3,0),BC$3+6)),"◆",""))</f>
      </c>
      <c r="BD60" s="26">
        <f>IF(OR($A60="",BD$3=""),"",IF(AND($J60&lt;&gt;"",$K60&lt;&gt;"",$J60=$K60,$J60&gt;=BD$3,$J60&lt;=IF(param_mode_affichage="mois",EOMONTH(BD$3,0),BD$3+6)),"◆",""))</f>
      </c>
      <c r="BE60" s="26">
        <f>IF(OR($A60="",BE$3=""),"",IF(AND($J60&lt;&gt;"",$K60&lt;&gt;"",$J60=$K60,$J60&gt;=BE$3,$J60&lt;=IF(param_mode_affichage="mois",EOMONTH(BE$3,0),BE$3+6)),"◆",""))</f>
      </c>
      <c r="BF60" s="26">
        <f>IF(OR($A60="",BF$3=""),"",IF(AND($J60&lt;&gt;"",$K60&lt;&gt;"",$J60=$K60,$J60&gt;=BF$3,$J60&lt;=IF(param_mode_affichage="mois",EOMONTH(BF$3,0),BF$3+6)),"◆",""))</f>
      </c>
      <c r="BG60" s="26">
        <f>IF(OR($A60="",BG$3=""),"",IF(AND($J60&lt;&gt;"",$K60&lt;&gt;"",$J60=$K60,$J60&gt;=BG$3,$J60&lt;=IF(param_mode_affichage="mois",EOMONTH(BG$3,0),BG$3+6)),"◆",""))</f>
      </c>
      <c r="BH60" s="26">
        <f>IF(OR($A60="",BH$3=""),"",IF(AND($J60&lt;&gt;"",$K60&lt;&gt;"",$J60=$K60,$J60&gt;=BH$3,$J60&lt;=IF(param_mode_affichage="mois",EOMONTH(BH$3,0),BH$3+6)),"◆",""))</f>
      </c>
      <c r="BI60" s="26">
        <f>IF(OR($A60="",BI$3=""),"",IF(AND($J60&lt;&gt;"",$K60&lt;&gt;"",$J60=$K60,$J60&gt;=BI$3,$J60&lt;=IF(param_mode_affichage="mois",EOMONTH(BI$3,0),BI$3+6)),"◆",""))</f>
      </c>
      <c r="BJ60" s="26">
        <f>IF(OR($A60="",BJ$3=""),"",IF(AND($J60&lt;&gt;"",$K60&lt;&gt;"",$J60=$K60,$J60&gt;=BJ$3,$J60&lt;=IF(param_mode_affichage="mois",EOMONTH(BJ$3,0),BJ$3+6)),"◆",""))</f>
      </c>
      <c r="BK60" s="26">
        <f>IF(OR($A60="",BK$3=""),"",IF(AND($J60&lt;&gt;"",$K60&lt;&gt;"",$J60=$K60,$J60&gt;=BK$3,$J60&lt;=IF(param_mode_affichage="mois",EOMONTH(BK$3,0),BK$3+6)),"◆",""))</f>
      </c>
      <c r="BL60" s="26">
        <f>IF(OR($A60="",BL$3=""),"",IF(AND($J60&lt;&gt;"",$K60&lt;&gt;"",$J60=$K60,$J60&gt;=BL$3,$J60&lt;=IF(param_mode_affichage="mois",EOMONTH(BL$3,0),BL$3+6)),"◆",""))</f>
      </c>
    </row>
    <row r="61" spans="1:64" x14ac:dyDescent="0.25">
      <c r="A61" s="23">
        <f>IFERROR(INDEX(tblTasks[ID],ROW()-4),"")</f>
      </c>
      <c r="B61" s="24">
        <f>IF($A61="","",INDEX(tblTasks[Sujet],ROW()-4))</f>
      </c>
      <c r="C61" s="23">
        <f>IF($A61="","",INDEX(tblTasks[Responsable],ROW()-4))</f>
      </c>
      <c r="D61" s="23">
        <f>IF($A61="","",INDEX(tblTasks[Statut],ROW()-4))</f>
      </c>
      <c r="E61" s="23">
        <f>IF($A61="","",INDEX(tblTasks[Depend_de],ROW()-4))</f>
      </c>
      <c r="F61" s="23">
        <f>IF($A61="","",INDEX(tblTasks[Blocage],ROW()-4))</f>
      </c>
      <c r="G61" s="23">
        <f>IF($A61="","",INDEX(tblTasks[Niveau_criticite],ROW()-4))</f>
      </c>
      <c r="H61" s="23">
        <f>IF($A61="","",INDEX(tblTasks[Goulot],ROW()-4))</f>
      </c>
      <c r="I61" s="23">
        <f>IF($A61="","",IF(LOWER($F61)="oui","non",IF($E61="","oui",IFERROR(IF(LOWER(INDEX(tblTasks[Statut],MATCH($E61,tblTasks[ID],0)))="clos","oui","non"),"non"))))</f>
      </c>
      <c r="J61" s="25">
        <f>IF($A61="","",INDEX(tblTasks[Date_debut_prevue],ROW()-4))</f>
      </c>
      <c r="K61" s="25">
        <f>IF($A61="","",INDEX(tblTasks[Date_fin_prevue],ROW()-4))</f>
      </c>
      <c r="L61" s="23">
        <f>IF($A61="","",INDEX(tblTasks[Irreversibilite],ROW()-4))</f>
      </c>
      <c r="M61" s="26">
        <f>IF(OR($A61="",M$3=""),"",IF(AND($J61&lt;&gt;"",$K61&lt;&gt;"",$J61=$K61,$J61&gt;=M$3,$J61&lt;=IF(param_mode_affichage="mois",EOMONTH(M$3,0),M$3+6)),"◆",""))</f>
      </c>
      <c r="N61" s="26">
        <f>IF(OR($A61="",N$3=""),"",IF(AND($J61&lt;&gt;"",$K61&lt;&gt;"",$J61=$K61,$J61&gt;=N$3,$J61&lt;=IF(param_mode_affichage="mois",EOMONTH(N$3,0),N$3+6)),"◆",""))</f>
      </c>
      <c r="O61" s="26">
        <f>IF(OR($A61="",O$3=""),"",IF(AND($J61&lt;&gt;"",$K61&lt;&gt;"",$J61=$K61,$J61&gt;=O$3,$J61&lt;=IF(param_mode_affichage="mois",EOMONTH(O$3,0),O$3+6)),"◆",""))</f>
      </c>
      <c r="P61" s="26">
        <f>IF(OR($A61="",P$3=""),"",IF(AND($J61&lt;&gt;"",$K61&lt;&gt;"",$J61=$K61,$J61&gt;=P$3,$J61&lt;=IF(param_mode_affichage="mois",EOMONTH(P$3,0),P$3+6)),"◆",""))</f>
      </c>
      <c r="Q61" s="26">
        <f>IF(OR($A61="",Q$3=""),"",IF(AND($J61&lt;&gt;"",$K61&lt;&gt;"",$J61=$K61,$J61&gt;=Q$3,$J61&lt;=IF(param_mode_affichage="mois",EOMONTH(Q$3,0),Q$3+6)),"◆",""))</f>
      </c>
      <c r="R61" s="26">
        <f>IF(OR($A61="",R$3=""),"",IF(AND($J61&lt;&gt;"",$K61&lt;&gt;"",$J61=$K61,$J61&gt;=R$3,$J61&lt;=IF(param_mode_affichage="mois",EOMONTH(R$3,0),R$3+6)),"◆",""))</f>
      </c>
      <c r="S61" s="26">
        <f>IF(OR($A61="",S$3=""),"",IF(AND($J61&lt;&gt;"",$K61&lt;&gt;"",$J61=$K61,$J61&gt;=S$3,$J61&lt;=IF(param_mode_affichage="mois",EOMONTH(S$3,0),S$3+6)),"◆",""))</f>
      </c>
      <c r="T61" s="26">
        <f>IF(OR($A61="",T$3=""),"",IF(AND($J61&lt;&gt;"",$K61&lt;&gt;"",$J61=$K61,$J61&gt;=T$3,$J61&lt;=IF(param_mode_affichage="mois",EOMONTH(T$3,0),T$3+6)),"◆",""))</f>
      </c>
      <c r="U61" s="26">
        <f>IF(OR($A61="",U$3=""),"",IF(AND($J61&lt;&gt;"",$K61&lt;&gt;"",$J61=$K61,$J61&gt;=U$3,$J61&lt;=IF(param_mode_affichage="mois",EOMONTH(U$3,0),U$3+6)),"◆",""))</f>
      </c>
      <c r="V61" s="26">
        <f>IF(OR($A61="",V$3=""),"",IF(AND($J61&lt;&gt;"",$K61&lt;&gt;"",$J61=$K61,$J61&gt;=V$3,$J61&lt;=IF(param_mode_affichage="mois",EOMONTH(V$3,0),V$3+6)),"◆",""))</f>
      </c>
      <c r="W61" s="26">
        <f>IF(OR($A61="",W$3=""),"",IF(AND($J61&lt;&gt;"",$K61&lt;&gt;"",$J61=$K61,$J61&gt;=W$3,$J61&lt;=IF(param_mode_affichage="mois",EOMONTH(W$3,0),W$3+6)),"◆",""))</f>
      </c>
      <c r="X61" s="26">
        <f>IF(OR($A61="",X$3=""),"",IF(AND($J61&lt;&gt;"",$K61&lt;&gt;"",$J61=$K61,$J61&gt;=X$3,$J61&lt;=IF(param_mode_affichage="mois",EOMONTH(X$3,0),X$3+6)),"◆",""))</f>
      </c>
      <c r="Y61" s="26">
        <f>IF(OR($A61="",Y$3=""),"",IF(AND($J61&lt;&gt;"",$K61&lt;&gt;"",$J61=$K61,$J61&gt;=Y$3,$J61&lt;=IF(param_mode_affichage="mois",EOMONTH(Y$3,0),Y$3+6)),"◆",""))</f>
      </c>
      <c r="Z61" s="26">
        <f>IF(OR($A61="",Z$3=""),"",IF(AND($J61&lt;&gt;"",$K61&lt;&gt;"",$J61=$K61,$J61&gt;=Z$3,$J61&lt;=IF(param_mode_affichage="mois",EOMONTH(Z$3,0),Z$3+6)),"◆",""))</f>
      </c>
      <c r="AA61" s="26">
        <f>IF(OR($A61="",AA$3=""),"",IF(AND($J61&lt;&gt;"",$K61&lt;&gt;"",$J61=$K61,$J61&gt;=AA$3,$J61&lt;=IF(param_mode_affichage="mois",EOMONTH(AA$3,0),AA$3+6)),"◆",""))</f>
      </c>
      <c r="AB61" s="26">
        <f>IF(OR($A61="",AB$3=""),"",IF(AND($J61&lt;&gt;"",$K61&lt;&gt;"",$J61=$K61,$J61&gt;=AB$3,$J61&lt;=IF(param_mode_affichage="mois",EOMONTH(AB$3,0),AB$3+6)),"◆",""))</f>
      </c>
      <c r="AC61" s="26">
        <f>IF(OR($A61="",AC$3=""),"",IF(AND($J61&lt;&gt;"",$K61&lt;&gt;"",$J61=$K61,$J61&gt;=AC$3,$J61&lt;=IF(param_mode_affichage="mois",EOMONTH(AC$3,0),AC$3+6)),"◆",""))</f>
      </c>
      <c r="AD61" s="26">
        <f>IF(OR($A61="",AD$3=""),"",IF(AND($J61&lt;&gt;"",$K61&lt;&gt;"",$J61=$K61,$J61&gt;=AD$3,$J61&lt;=IF(param_mode_affichage="mois",EOMONTH(AD$3,0),AD$3+6)),"◆",""))</f>
      </c>
      <c r="AE61" s="26">
        <f>IF(OR($A61="",AE$3=""),"",IF(AND($J61&lt;&gt;"",$K61&lt;&gt;"",$J61=$K61,$J61&gt;=AE$3,$J61&lt;=IF(param_mode_affichage="mois",EOMONTH(AE$3,0),AE$3+6)),"◆",""))</f>
      </c>
      <c r="AF61" s="26">
        <f>IF(OR($A61="",AF$3=""),"",IF(AND($J61&lt;&gt;"",$K61&lt;&gt;"",$J61=$K61,$J61&gt;=AF$3,$J61&lt;=IF(param_mode_affichage="mois",EOMONTH(AF$3,0),AF$3+6)),"◆",""))</f>
      </c>
      <c r="AG61" s="26">
        <f>IF(OR($A61="",AG$3=""),"",IF(AND($J61&lt;&gt;"",$K61&lt;&gt;"",$J61=$K61,$J61&gt;=AG$3,$J61&lt;=IF(param_mode_affichage="mois",EOMONTH(AG$3,0),AG$3+6)),"◆",""))</f>
      </c>
      <c r="AH61" s="26">
        <f>IF(OR($A61="",AH$3=""),"",IF(AND($J61&lt;&gt;"",$K61&lt;&gt;"",$J61=$K61,$J61&gt;=AH$3,$J61&lt;=IF(param_mode_affichage="mois",EOMONTH(AH$3,0),AH$3+6)),"◆",""))</f>
      </c>
      <c r="AI61" s="26">
        <f>IF(OR($A61="",AI$3=""),"",IF(AND($J61&lt;&gt;"",$K61&lt;&gt;"",$J61=$K61,$J61&gt;=AI$3,$J61&lt;=IF(param_mode_affichage="mois",EOMONTH(AI$3,0),AI$3+6)),"◆",""))</f>
      </c>
      <c r="AJ61" s="26">
        <f>IF(OR($A61="",AJ$3=""),"",IF(AND($J61&lt;&gt;"",$K61&lt;&gt;"",$J61=$K61,$J61&gt;=AJ$3,$J61&lt;=IF(param_mode_affichage="mois",EOMONTH(AJ$3,0),AJ$3+6)),"◆",""))</f>
      </c>
      <c r="AK61" s="26">
        <f>IF(OR($A61="",AK$3=""),"",IF(AND($J61&lt;&gt;"",$K61&lt;&gt;"",$J61=$K61,$J61&gt;=AK$3,$J61&lt;=IF(param_mode_affichage="mois",EOMONTH(AK$3,0),AK$3+6)),"◆",""))</f>
      </c>
      <c r="AL61" s="26">
        <f>IF(OR($A61="",AL$3=""),"",IF(AND($J61&lt;&gt;"",$K61&lt;&gt;"",$J61=$K61,$J61&gt;=AL$3,$J61&lt;=IF(param_mode_affichage="mois",EOMONTH(AL$3,0),AL$3+6)),"◆",""))</f>
      </c>
      <c r="AM61" s="26">
        <f>IF(OR($A61="",AM$3=""),"",IF(AND($J61&lt;&gt;"",$K61&lt;&gt;"",$J61=$K61,$J61&gt;=AM$3,$J61&lt;=IF(param_mode_affichage="mois",EOMONTH(AM$3,0),AM$3+6)),"◆",""))</f>
      </c>
      <c r="AN61" s="26">
        <f>IF(OR($A61="",AN$3=""),"",IF(AND($J61&lt;&gt;"",$K61&lt;&gt;"",$J61=$K61,$J61&gt;=AN$3,$J61&lt;=IF(param_mode_affichage="mois",EOMONTH(AN$3,0),AN$3+6)),"◆",""))</f>
      </c>
      <c r="AO61" s="26">
        <f>IF(OR($A61="",AO$3=""),"",IF(AND($J61&lt;&gt;"",$K61&lt;&gt;"",$J61=$K61,$J61&gt;=AO$3,$J61&lt;=IF(param_mode_affichage="mois",EOMONTH(AO$3,0),AO$3+6)),"◆",""))</f>
      </c>
      <c r="AP61" s="26">
        <f>IF(OR($A61="",AP$3=""),"",IF(AND($J61&lt;&gt;"",$K61&lt;&gt;"",$J61=$K61,$J61&gt;=AP$3,$J61&lt;=IF(param_mode_affichage="mois",EOMONTH(AP$3,0),AP$3+6)),"◆",""))</f>
      </c>
      <c r="AQ61" s="26">
        <f>IF(OR($A61="",AQ$3=""),"",IF(AND($J61&lt;&gt;"",$K61&lt;&gt;"",$J61=$K61,$J61&gt;=AQ$3,$J61&lt;=IF(param_mode_affichage="mois",EOMONTH(AQ$3,0),AQ$3+6)),"◆",""))</f>
      </c>
      <c r="AR61" s="26">
        <f>IF(OR($A61="",AR$3=""),"",IF(AND($J61&lt;&gt;"",$K61&lt;&gt;"",$J61=$K61,$J61&gt;=AR$3,$J61&lt;=IF(param_mode_affichage="mois",EOMONTH(AR$3,0),AR$3+6)),"◆",""))</f>
      </c>
      <c r="AS61" s="26">
        <f>IF(OR($A61="",AS$3=""),"",IF(AND($J61&lt;&gt;"",$K61&lt;&gt;"",$J61=$K61,$J61&gt;=AS$3,$J61&lt;=IF(param_mode_affichage="mois",EOMONTH(AS$3,0),AS$3+6)),"◆",""))</f>
      </c>
      <c r="AT61" s="26">
        <f>IF(OR($A61="",AT$3=""),"",IF(AND($J61&lt;&gt;"",$K61&lt;&gt;"",$J61=$K61,$J61&gt;=AT$3,$J61&lt;=IF(param_mode_affichage="mois",EOMONTH(AT$3,0),AT$3+6)),"◆",""))</f>
      </c>
      <c r="AU61" s="26">
        <f>IF(OR($A61="",AU$3=""),"",IF(AND($J61&lt;&gt;"",$K61&lt;&gt;"",$J61=$K61,$J61&gt;=AU$3,$J61&lt;=IF(param_mode_affichage="mois",EOMONTH(AU$3,0),AU$3+6)),"◆",""))</f>
      </c>
      <c r="AV61" s="26">
        <f>IF(OR($A61="",AV$3=""),"",IF(AND($J61&lt;&gt;"",$K61&lt;&gt;"",$J61=$K61,$J61&gt;=AV$3,$J61&lt;=IF(param_mode_affichage="mois",EOMONTH(AV$3,0),AV$3+6)),"◆",""))</f>
      </c>
      <c r="AW61" s="26">
        <f>IF(OR($A61="",AW$3=""),"",IF(AND($J61&lt;&gt;"",$K61&lt;&gt;"",$J61=$K61,$J61&gt;=AW$3,$J61&lt;=IF(param_mode_affichage="mois",EOMONTH(AW$3,0),AW$3+6)),"◆",""))</f>
      </c>
      <c r="AX61" s="26">
        <f>IF(OR($A61="",AX$3=""),"",IF(AND($J61&lt;&gt;"",$K61&lt;&gt;"",$J61=$K61,$J61&gt;=AX$3,$J61&lt;=IF(param_mode_affichage="mois",EOMONTH(AX$3,0),AX$3+6)),"◆",""))</f>
      </c>
      <c r="AY61" s="26">
        <f>IF(OR($A61="",AY$3=""),"",IF(AND($J61&lt;&gt;"",$K61&lt;&gt;"",$J61=$K61,$J61&gt;=AY$3,$J61&lt;=IF(param_mode_affichage="mois",EOMONTH(AY$3,0),AY$3+6)),"◆",""))</f>
      </c>
      <c r="AZ61" s="26">
        <f>IF(OR($A61="",AZ$3=""),"",IF(AND($J61&lt;&gt;"",$K61&lt;&gt;"",$J61=$K61,$J61&gt;=AZ$3,$J61&lt;=IF(param_mode_affichage="mois",EOMONTH(AZ$3,0),AZ$3+6)),"◆",""))</f>
      </c>
      <c r="BA61" s="26">
        <f>IF(OR($A61="",BA$3=""),"",IF(AND($J61&lt;&gt;"",$K61&lt;&gt;"",$J61=$K61,$J61&gt;=BA$3,$J61&lt;=IF(param_mode_affichage="mois",EOMONTH(BA$3,0),BA$3+6)),"◆",""))</f>
      </c>
      <c r="BB61" s="26">
        <f>IF(OR($A61="",BB$3=""),"",IF(AND($J61&lt;&gt;"",$K61&lt;&gt;"",$J61=$K61,$J61&gt;=BB$3,$J61&lt;=IF(param_mode_affichage="mois",EOMONTH(BB$3,0),BB$3+6)),"◆",""))</f>
      </c>
      <c r="BC61" s="26">
        <f>IF(OR($A61="",BC$3=""),"",IF(AND($J61&lt;&gt;"",$K61&lt;&gt;"",$J61=$K61,$J61&gt;=BC$3,$J61&lt;=IF(param_mode_affichage="mois",EOMONTH(BC$3,0),BC$3+6)),"◆",""))</f>
      </c>
      <c r="BD61" s="26">
        <f>IF(OR($A61="",BD$3=""),"",IF(AND($J61&lt;&gt;"",$K61&lt;&gt;"",$J61=$K61,$J61&gt;=BD$3,$J61&lt;=IF(param_mode_affichage="mois",EOMONTH(BD$3,0),BD$3+6)),"◆",""))</f>
      </c>
      <c r="BE61" s="26">
        <f>IF(OR($A61="",BE$3=""),"",IF(AND($J61&lt;&gt;"",$K61&lt;&gt;"",$J61=$K61,$J61&gt;=BE$3,$J61&lt;=IF(param_mode_affichage="mois",EOMONTH(BE$3,0),BE$3+6)),"◆",""))</f>
      </c>
      <c r="BF61" s="26">
        <f>IF(OR($A61="",BF$3=""),"",IF(AND($J61&lt;&gt;"",$K61&lt;&gt;"",$J61=$K61,$J61&gt;=BF$3,$J61&lt;=IF(param_mode_affichage="mois",EOMONTH(BF$3,0),BF$3+6)),"◆",""))</f>
      </c>
      <c r="BG61" s="26">
        <f>IF(OR($A61="",BG$3=""),"",IF(AND($J61&lt;&gt;"",$K61&lt;&gt;"",$J61=$K61,$J61&gt;=BG$3,$J61&lt;=IF(param_mode_affichage="mois",EOMONTH(BG$3,0),BG$3+6)),"◆",""))</f>
      </c>
      <c r="BH61" s="26">
        <f>IF(OR($A61="",BH$3=""),"",IF(AND($J61&lt;&gt;"",$K61&lt;&gt;"",$J61=$K61,$J61&gt;=BH$3,$J61&lt;=IF(param_mode_affichage="mois",EOMONTH(BH$3,0),BH$3+6)),"◆",""))</f>
      </c>
      <c r="BI61" s="26">
        <f>IF(OR($A61="",BI$3=""),"",IF(AND($J61&lt;&gt;"",$K61&lt;&gt;"",$J61=$K61,$J61&gt;=BI$3,$J61&lt;=IF(param_mode_affichage="mois",EOMONTH(BI$3,0),BI$3+6)),"◆",""))</f>
      </c>
      <c r="BJ61" s="26">
        <f>IF(OR($A61="",BJ$3=""),"",IF(AND($J61&lt;&gt;"",$K61&lt;&gt;"",$J61=$K61,$J61&gt;=BJ$3,$J61&lt;=IF(param_mode_affichage="mois",EOMONTH(BJ$3,0),BJ$3+6)),"◆",""))</f>
      </c>
      <c r="BK61" s="26">
        <f>IF(OR($A61="",BK$3=""),"",IF(AND($J61&lt;&gt;"",$K61&lt;&gt;"",$J61=$K61,$J61&gt;=BK$3,$J61&lt;=IF(param_mode_affichage="mois",EOMONTH(BK$3,0),BK$3+6)),"◆",""))</f>
      </c>
      <c r="BL61" s="26">
        <f>IF(OR($A61="",BL$3=""),"",IF(AND($J61&lt;&gt;"",$K61&lt;&gt;"",$J61=$K61,$J61&gt;=BL$3,$J61&lt;=IF(param_mode_affichage="mois",EOMONTH(BL$3,0),BL$3+6)),"◆",""))</f>
      </c>
    </row>
    <row r="62" spans="1:64" x14ac:dyDescent="0.25">
      <c r="A62" s="23">
        <f>IFERROR(INDEX(tblTasks[ID],ROW()-4),"")</f>
      </c>
      <c r="B62" s="24">
        <f>IF($A62="","",INDEX(tblTasks[Sujet],ROW()-4))</f>
      </c>
      <c r="C62" s="23">
        <f>IF($A62="","",INDEX(tblTasks[Responsable],ROW()-4))</f>
      </c>
      <c r="D62" s="23">
        <f>IF($A62="","",INDEX(tblTasks[Statut],ROW()-4))</f>
      </c>
      <c r="E62" s="23">
        <f>IF($A62="","",INDEX(tblTasks[Depend_de],ROW()-4))</f>
      </c>
      <c r="F62" s="23">
        <f>IF($A62="","",INDEX(tblTasks[Blocage],ROW()-4))</f>
      </c>
      <c r="G62" s="23">
        <f>IF($A62="","",INDEX(tblTasks[Niveau_criticite],ROW()-4))</f>
      </c>
      <c r="H62" s="23">
        <f>IF($A62="","",INDEX(tblTasks[Goulot],ROW()-4))</f>
      </c>
      <c r="I62" s="23">
        <f>IF($A62="","",IF(LOWER($F62)="oui","non",IF($E62="","oui",IFERROR(IF(LOWER(INDEX(tblTasks[Statut],MATCH($E62,tblTasks[ID],0)))="clos","oui","non"),"non"))))</f>
      </c>
      <c r="J62" s="25">
        <f>IF($A62="","",INDEX(tblTasks[Date_debut_prevue],ROW()-4))</f>
      </c>
      <c r="K62" s="25">
        <f>IF($A62="","",INDEX(tblTasks[Date_fin_prevue],ROW()-4))</f>
      </c>
      <c r="L62" s="23">
        <f>IF($A62="","",INDEX(tblTasks[Irreversibilite],ROW()-4))</f>
      </c>
      <c r="M62" s="26">
        <f>IF(OR($A62="",M$3=""),"",IF(AND($J62&lt;&gt;"",$K62&lt;&gt;"",$J62=$K62,$J62&gt;=M$3,$J62&lt;=IF(param_mode_affichage="mois",EOMONTH(M$3,0),M$3+6)),"◆",""))</f>
      </c>
      <c r="N62" s="26">
        <f>IF(OR($A62="",N$3=""),"",IF(AND($J62&lt;&gt;"",$K62&lt;&gt;"",$J62=$K62,$J62&gt;=N$3,$J62&lt;=IF(param_mode_affichage="mois",EOMONTH(N$3,0),N$3+6)),"◆",""))</f>
      </c>
      <c r="O62" s="26">
        <f>IF(OR($A62="",O$3=""),"",IF(AND($J62&lt;&gt;"",$K62&lt;&gt;"",$J62=$K62,$J62&gt;=O$3,$J62&lt;=IF(param_mode_affichage="mois",EOMONTH(O$3,0),O$3+6)),"◆",""))</f>
      </c>
      <c r="P62" s="26">
        <f>IF(OR($A62="",P$3=""),"",IF(AND($J62&lt;&gt;"",$K62&lt;&gt;"",$J62=$K62,$J62&gt;=P$3,$J62&lt;=IF(param_mode_affichage="mois",EOMONTH(P$3,0),P$3+6)),"◆",""))</f>
      </c>
      <c r="Q62" s="26">
        <f>IF(OR($A62="",Q$3=""),"",IF(AND($J62&lt;&gt;"",$K62&lt;&gt;"",$J62=$K62,$J62&gt;=Q$3,$J62&lt;=IF(param_mode_affichage="mois",EOMONTH(Q$3,0),Q$3+6)),"◆",""))</f>
      </c>
      <c r="R62" s="26">
        <f>IF(OR($A62="",R$3=""),"",IF(AND($J62&lt;&gt;"",$K62&lt;&gt;"",$J62=$K62,$J62&gt;=R$3,$J62&lt;=IF(param_mode_affichage="mois",EOMONTH(R$3,0),R$3+6)),"◆",""))</f>
      </c>
      <c r="S62" s="26">
        <f>IF(OR($A62="",S$3=""),"",IF(AND($J62&lt;&gt;"",$K62&lt;&gt;"",$J62=$K62,$J62&gt;=S$3,$J62&lt;=IF(param_mode_affichage="mois",EOMONTH(S$3,0),S$3+6)),"◆",""))</f>
      </c>
      <c r="T62" s="26">
        <f>IF(OR($A62="",T$3=""),"",IF(AND($J62&lt;&gt;"",$K62&lt;&gt;"",$J62=$K62,$J62&gt;=T$3,$J62&lt;=IF(param_mode_affichage="mois",EOMONTH(T$3,0),T$3+6)),"◆",""))</f>
      </c>
      <c r="U62" s="26">
        <f>IF(OR($A62="",U$3=""),"",IF(AND($J62&lt;&gt;"",$K62&lt;&gt;"",$J62=$K62,$J62&gt;=U$3,$J62&lt;=IF(param_mode_affichage="mois",EOMONTH(U$3,0),U$3+6)),"◆",""))</f>
      </c>
      <c r="V62" s="26">
        <f>IF(OR($A62="",V$3=""),"",IF(AND($J62&lt;&gt;"",$K62&lt;&gt;"",$J62=$K62,$J62&gt;=V$3,$J62&lt;=IF(param_mode_affichage="mois",EOMONTH(V$3,0),V$3+6)),"◆",""))</f>
      </c>
      <c r="W62" s="26">
        <f>IF(OR($A62="",W$3=""),"",IF(AND($J62&lt;&gt;"",$K62&lt;&gt;"",$J62=$K62,$J62&gt;=W$3,$J62&lt;=IF(param_mode_affichage="mois",EOMONTH(W$3,0),W$3+6)),"◆",""))</f>
      </c>
      <c r="X62" s="26">
        <f>IF(OR($A62="",X$3=""),"",IF(AND($J62&lt;&gt;"",$K62&lt;&gt;"",$J62=$K62,$J62&gt;=X$3,$J62&lt;=IF(param_mode_affichage="mois",EOMONTH(X$3,0),X$3+6)),"◆",""))</f>
      </c>
      <c r="Y62" s="26">
        <f>IF(OR($A62="",Y$3=""),"",IF(AND($J62&lt;&gt;"",$K62&lt;&gt;"",$J62=$K62,$J62&gt;=Y$3,$J62&lt;=IF(param_mode_affichage="mois",EOMONTH(Y$3,0),Y$3+6)),"◆",""))</f>
      </c>
      <c r="Z62" s="26">
        <f>IF(OR($A62="",Z$3=""),"",IF(AND($J62&lt;&gt;"",$K62&lt;&gt;"",$J62=$K62,$J62&gt;=Z$3,$J62&lt;=IF(param_mode_affichage="mois",EOMONTH(Z$3,0),Z$3+6)),"◆",""))</f>
      </c>
      <c r="AA62" s="26">
        <f>IF(OR($A62="",AA$3=""),"",IF(AND($J62&lt;&gt;"",$K62&lt;&gt;"",$J62=$K62,$J62&gt;=AA$3,$J62&lt;=IF(param_mode_affichage="mois",EOMONTH(AA$3,0),AA$3+6)),"◆",""))</f>
      </c>
      <c r="AB62" s="26">
        <f>IF(OR($A62="",AB$3=""),"",IF(AND($J62&lt;&gt;"",$K62&lt;&gt;"",$J62=$K62,$J62&gt;=AB$3,$J62&lt;=IF(param_mode_affichage="mois",EOMONTH(AB$3,0),AB$3+6)),"◆",""))</f>
      </c>
      <c r="AC62" s="26">
        <f>IF(OR($A62="",AC$3=""),"",IF(AND($J62&lt;&gt;"",$K62&lt;&gt;"",$J62=$K62,$J62&gt;=AC$3,$J62&lt;=IF(param_mode_affichage="mois",EOMONTH(AC$3,0),AC$3+6)),"◆",""))</f>
      </c>
      <c r="AD62" s="26">
        <f>IF(OR($A62="",AD$3=""),"",IF(AND($J62&lt;&gt;"",$K62&lt;&gt;"",$J62=$K62,$J62&gt;=AD$3,$J62&lt;=IF(param_mode_affichage="mois",EOMONTH(AD$3,0),AD$3+6)),"◆",""))</f>
      </c>
      <c r="AE62" s="26">
        <f>IF(OR($A62="",AE$3=""),"",IF(AND($J62&lt;&gt;"",$K62&lt;&gt;"",$J62=$K62,$J62&gt;=AE$3,$J62&lt;=IF(param_mode_affichage="mois",EOMONTH(AE$3,0),AE$3+6)),"◆",""))</f>
      </c>
      <c r="AF62" s="26">
        <f>IF(OR($A62="",AF$3=""),"",IF(AND($J62&lt;&gt;"",$K62&lt;&gt;"",$J62=$K62,$J62&gt;=AF$3,$J62&lt;=IF(param_mode_affichage="mois",EOMONTH(AF$3,0),AF$3+6)),"◆",""))</f>
      </c>
      <c r="AG62" s="26">
        <f>IF(OR($A62="",AG$3=""),"",IF(AND($J62&lt;&gt;"",$K62&lt;&gt;"",$J62=$K62,$J62&gt;=AG$3,$J62&lt;=IF(param_mode_affichage="mois",EOMONTH(AG$3,0),AG$3+6)),"◆",""))</f>
      </c>
      <c r="AH62" s="26">
        <f>IF(OR($A62="",AH$3=""),"",IF(AND($J62&lt;&gt;"",$K62&lt;&gt;"",$J62=$K62,$J62&gt;=AH$3,$J62&lt;=IF(param_mode_affichage="mois",EOMONTH(AH$3,0),AH$3+6)),"◆",""))</f>
      </c>
      <c r="AI62" s="26">
        <f>IF(OR($A62="",AI$3=""),"",IF(AND($J62&lt;&gt;"",$K62&lt;&gt;"",$J62=$K62,$J62&gt;=AI$3,$J62&lt;=IF(param_mode_affichage="mois",EOMONTH(AI$3,0),AI$3+6)),"◆",""))</f>
      </c>
      <c r="AJ62" s="26">
        <f>IF(OR($A62="",AJ$3=""),"",IF(AND($J62&lt;&gt;"",$K62&lt;&gt;"",$J62=$K62,$J62&gt;=AJ$3,$J62&lt;=IF(param_mode_affichage="mois",EOMONTH(AJ$3,0),AJ$3+6)),"◆",""))</f>
      </c>
      <c r="AK62" s="26">
        <f>IF(OR($A62="",AK$3=""),"",IF(AND($J62&lt;&gt;"",$K62&lt;&gt;"",$J62=$K62,$J62&gt;=AK$3,$J62&lt;=IF(param_mode_affichage="mois",EOMONTH(AK$3,0),AK$3+6)),"◆",""))</f>
      </c>
      <c r="AL62" s="26">
        <f>IF(OR($A62="",AL$3=""),"",IF(AND($J62&lt;&gt;"",$K62&lt;&gt;"",$J62=$K62,$J62&gt;=AL$3,$J62&lt;=IF(param_mode_affichage="mois",EOMONTH(AL$3,0),AL$3+6)),"◆",""))</f>
      </c>
      <c r="AM62" s="26">
        <f>IF(OR($A62="",AM$3=""),"",IF(AND($J62&lt;&gt;"",$K62&lt;&gt;"",$J62=$K62,$J62&gt;=AM$3,$J62&lt;=IF(param_mode_affichage="mois",EOMONTH(AM$3,0),AM$3+6)),"◆",""))</f>
      </c>
      <c r="AN62" s="26">
        <f>IF(OR($A62="",AN$3=""),"",IF(AND($J62&lt;&gt;"",$K62&lt;&gt;"",$J62=$K62,$J62&gt;=AN$3,$J62&lt;=IF(param_mode_affichage="mois",EOMONTH(AN$3,0),AN$3+6)),"◆",""))</f>
      </c>
      <c r="AO62" s="26">
        <f>IF(OR($A62="",AO$3=""),"",IF(AND($J62&lt;&gt;"",$K62&lt;&gt;"",$J62=$K62,$J62&gt;=AO$3,$J62&lt;=IF(param_mode_affichage="mois",EOMONTH(AO$3,0),AO$3+6)),"◆",""))</f>
      </c>
      <c r="AP62" s="26">
        <f>IF(OR($A62="",AP$3=""),"",IF(AND($J62&lt;&gt;"",$K62&lt;&gt;"",$J62=$K62,$J62&gt;=AP$3,$J62&lt;=IF(param_mode_affichage="mois",EOMONTH(AP$3,0),AP$3+6)),"◆",""))</f>
      </c>
      <c r="AQ62" s="26">
        <f>IF(OR($A62="",AQ$3=""),"",IF(AND($J62&lt;&gt;"",$K62&lt;&gt;"",$J62=$K62,$J62&gt;=AQ$3,$J62&lt;=IF(param_mode_affichage="mois",EOMONTH(AQ$3,0),AQ$3+6)),"◆",""))</f>
      </c>
      <c r="AR62" s="26">
        <f>IF(OR($A62="",AR$3=""),"",IF(AND($J62&lt;&gt;"",$K62&lt;&gt;"",$J62=$K62,$J62&gt;=AR$3,$J62&lt;=IF(param_mode_affichage="mois",EOMONTH(AR$3,0),AR$3+6)),"◆",""))</f>
      </c>
      <c r="AS62" s="26">
        <f>IF(OR($A62="",AS$3=""),"",IF(AND($J62&lt;&gt;"",$K62&lt;&gt;"",$J62=$K62,$J62&gt;=AS$3,$J62&lt;=IF(param_mode_affichage="mois",EOMONTH(AS$3,0),AS$3+6)),"◆",""))</f>
      </c>
      <c r="AT62" s="26">
        <f>IF(OR($A62="",AT$3=""),"",IF(AND($J62&lt;&gt;"",$K62&lt;&gt;"",$J62=$K62,$J62&gt;=AT$3,$J62&lt;=IF(param_mode_affichage="mois",EOMONTH(AT$3,0),AT$3+6)),"◆",""))</f>
      </c>
      <c r="AU62" s="26">
        <f>IF(OR($A62="",AU$3=""),"",IF(AND($J62&lt;&gt;"",$K62&lt;&gt;"",$J62=$K62,$J62&gt;=AU$3,$J62&lt;=IF(param_mode_affichage="mois",EOMONTH(AU$3,0),AU$3+6)),"◆",""))</f>
      </c>
      <c r="AV62" s="26">
        <f>IF(OR($A62="",AV$3=""),"",IF(AND($J62&lt;&gt;"",$K62&lt;&gt;"",$J62=$K62,$J62&gt;=AV$3,$J62&lt;=IF(param_mode_affichage="mois",EOMONTH(AV$3,0),AV$3+6)),"◆",""))</f>
      </c>
      <c r="AW62" s="26">
        <f>IF(OR($A62="",AW$3=""),"",IF(AND($J62&lt;&gt;"",$K62&lt;&gt;"",$J62=$K62,$J62&gt;=AW$3,$J62&lt;=IF(param_mode_affichage="mois",EOMONTH(AW$3,0),AW$3+6)),"◆",""))</f>
      </c>
      <c r="AX62" s="26">
        <f>IF(OR($A62="",AX$3=""),"",IF(AND($J62&lt;&gt;"",$K62&lt;&gt;"",$J62=$K62,$J62&gt;=AX$3,$J62&lt;=IF(param_mode_affichage="mois",EOMONTH(AX$3,0),AX$3+6)),"◆",""))</f>
      </c>
      <c r="AY62" s="26">
        <f>IF(OR($A62="",AY$3=""),"",IF(AND($J62&lt;&gt;"",$K62&lt;&gt;"",$J62=$K62,$J62&gt;=AY$3,$J62&lt;=IF(param_mode_affichage="mois",EOMONTH(AY$3,0),AY$3+6)),"◆",""))</f>
      </c>
      <c r="AZ62" s="26">
        <f>IF(OR($A62="",AZ$3=""),"",IF(AND($J62&lt;&gt;"",$K62&lt;&gt;"",$J62=$K62,$J62&gt;=AZ$3,$J62&lt;=IF(param_mode_affichage="mois",EOMONTH(AZ$3,0),AZ$3+6)),"◆",""))</f>
      </c>
      <c r="BA62" s="26">
        <f>IF(OR($A62="",BA$3=""),"",IF(AND($J62&lt;&gt;"",$K62&lt;&gt;"",$J62=$K62,$J62&gt;=BA$3,$J62&lt;=IF(param_mode_affichage="mois",EOMONTH(BA$3,0),BA$3+6)),"◆",""))</f>
      </c>
      <c r="BB62" s="26">
        <f>IF(OR($A62="",BB$3=""),"",IF(AND($J62&lt;&gt;"",$K62&lt;&gt;"",$J62=$K62,$J62&gt;=BB$3,$J62&lt;=IF(param_mode_affichage="mois",EOMONTH(BB$3,0),BB$3+6)),"◆",""))</f>
      </c>
      <c r="BC62" s="26">
        <f>IF(OR($A62="",BC$3=""),"",IF(AND($J62&lt;&gt;"",$K62&lt;&gt;"",$J62=$K62,$J62&gt;=BC$3,$J62&lt;=IF(param_mode_affichage="mois",EOMONTH(BC$3,0),BC$3+6)),"◆",""))</f>
      </c>
      <c r="BD62" s="26">
        <f>IF(OR($A62="",BD$3=""),"",IF(AND($J62&lt;&gt;"",$K62&lt;&gt;"",$J62=$K62,$J62&gt;=BD$3,$J62&lt;=IF(param_mode_affichage="mois",EOMONTH(BD$3,0),BD$3+6)),"◆",""))</f>
      </c>
      <c r="BE62" s="26">
        <f>IF(OR($A62="",BE$3=""),"",IF(AND($J62&lt;&gt;"",$K62&lt;&gt;"",$J62=$K62,$J62&gt;=BE$3,$J62&lt;=IF(param_mode_affichage="mois",EOMONTH(BE$3,0),BE$3+6)),"◆",""))</f>
      </c>
      <c r="BF62" s="26">
        <f>IF(OR($A62="",BF$3=""),"",IF(AND($J62&lt;&gt;"",$K62&lt;&gt;"",$J62=$K62,$J62&gt;=BF$3,$J62&lt;=IF(param_mode_affichage="mois",EOMONTH(BF$3,0),BF$3+6)),"◆",""))</f>
      </c>
      <c r="BG62" s="26">
        <f>IF(OR($A62="",BG$3=""),"",IF(AND($J62&lt;&gt;"",$K62&lt;&gt;"",$J62=$K62,$J62&gt;=BG$3,$J62&lt;=IF(param_mode_affichage="mois",EOMONTH(BG$3,0),BG$3+6)),"◆",""))</f>
      </c>
      <c r="BH62" s="26">
        <f>IF(OR($A62="",BH$3=""),"",IF(AND($J62&lt;&gt;"",$K62&lt;&gt;"",$J62=$K62,$J62&gt;=BH$3,$J62&lt;=IF(param_mode_affichage="mois",EOMONTH(BH$3,0),BH$3+6)),"◆",""))</f>
      </c>
      <c r="BI62" s="26">
        <f>IF(OR($A62="",BI$3=""),"",IF(AND($J62&lt;&gt;"",$K62&lt;&gt;"",$J62=$K62,$J62&gt;=BI$3,$J62&lt;=IF(param_mode_affichage="mois",EOMONTH(BI$3,0),BI$3+6)),"◆",""))</f>
      </c>
      <c r="BJ62" s="26">
        <f>IF(OR($A62="",BJ$3=""),"",IF(AND($J62&lt;&gt;"",$K62&lt;&gt;"",$J62=$K62,$J62&gt;=BJ$3,$J62&lt;=IF(param_mode_affichage="mois",EOMONTH(BJ$3,0),BJ$3+6)),"◆",""))</f>
      </c>
      <c r="BK62" s="26">
        <f>IF(OR($A62="",BK$3=""),"",IF(AND($J62&lt;&gt;"",$K62&lt;&gt;"",$J62=$K62,$J62&gt;=BK$3,$J62&lt;=IF(param_mode_affichage="mois",EOMONTH(BK$3,0),BK$3+6)),"◆",""))</f>
      </c>
      <c r="BL62" s="26">
        <f>IF(OR($A62="",BL$3=""),"",IF(AND($J62&lt;&gt;"",$K62&lt;&gt;"",$J62=$K62,$J62&gt;=BL$3,$J62&lt;=IF(param_mode_affichage="mois",EOMONTH(BL$3,0),BL$3+6)),"◆",""))</f>
      </c>
    </row>
    <row r="63" spans="1:64" x14ac:dyDescent="0.25">
      <c r="A63" s="23">
        <f>IFERROR(INDEX(tblTasks[ID],ROW()-4),"")</f>
      </c>
      <c r="B63" s="24">
        <f>IF($A63="","",INDEX(tblTasks[Sujet],ROW()-4))</f>
      </c>
      <c r="C63" s="23">
        <f>IF($A63="","",INDEX(tblTasks[Responsable],ROW()-4))</f>
      </c>
      <c r="D63" s="23">
        <f>IF($A63="","",INDEX(tblTasks[Statut],ROW()-4))</f>
      </c>
      <c r="E63" s="23">
        <f>IF($A63="","",INDEX(tblTasks[Depend_de],ROW()-4))</f>
      </c>
      <c r="F63" s="23">
        <f>IF($A63="","",INDEX(tblTasks[Blocage],ROW()-4))</f>
      </c>
      <c r="G63" s="23">
        <f>IF($A63="","",INDEX(tblTasks[Niveau_criticite],ROW()-4))</f>
      </c>
      <c r="H63" s="23">
        <f>IF($A63="","",INDEX(tblTasks[Goulot],ROW()-4))</f>
      </c>
      <c r="I63" s="23">
        <f>IF($A63="","",IF(LOWER($F63)="oui","non",IF($E63="","oui",IFERROR(IF(LOWER(INDEX(tblTasks[Statut],MATCH($E63,tblTasks[ID],0)))="clos","oui","non"),"non"))))</f>
      </c>
      <c r="J63" s="25">
        <f>IF($A63="","",INDEX(tblTasks[Date_debut_prevue],ROW()-4))</f>
      </c>
      <c r="K63" s="25">
        <f>IF($A63="","",INDEX(tblTasks[Date_fin_prevue],ROW()-4))</f>
      </c>
      <c r="L63" s="23">
        <f>IF($A63="","",INDEX(tblTasks[Irreversibilite],ROW()-4))</f>
      </c>
      <c r="M63" s="26">
        <f>IF(OR($A63="",M$3=""),"",IF(AND($J63&lt;&gt;"",$K63&lt;&gt;"",$J63=$K63,$J63&gt;=M$3,$J63&lt;=IF(param_mode_affichage="mois",EOMONTH(M$3,0),M$3+6)),"◆",""))</f>
      </c>
      <c r="N63" s="26">
        <f>IF(OR($A63="",N$3=""),"",IF(AND($J63&lt;&gt;"",$K63&lt;&gt;"",$J63=$K63,$J63&gt;=N$3,$J63&lt;=IF(param_mode_affichage="mois",EOMONTH(N$3,0),N$3+6)),"◆",""))</f>
      </c>
      <c r="O63" s="26">
        <f>IF(OR($A63="",O$3=""),"",IF(AND($J63&lt;&gt;"",$K63&lt;&gt;"",$J63=$K63,$J63&gt;=O$3,$J63&lt;=IF(param_mode_affichage="mois",EOMONTH(O$3,0),O$3+6)),"◆",""))</f>
      </c>
      <c r="P63" s="26">
        <f>IF(OR($A63="",P$3=""),"",IF(AND($J63&lt;&gt;"",$K63&lt;&gt;"",$J63=$K63,$J63&gt;=P$3,$J63&lt;=IF(param_mode_affichage="mois",EOMONTH(P$3,0),P$3+6)),"◆",""))</f>
      </c>
      <c r="Q63" s="26">
        <f>IF(OR($A63="",Q$3=""),"",IF(AND($J63&lt;&gt;"",$K63&lt;&gt;"",$J63=$K63,$J63&gt;=Q$3,$J63&lt;=IF(param_mode_affichage="mois",EOMONTH(Q$3,0),Q$3+6)),"◆",""))</f>
      </c>
      <c r="R63" s="26">
        <f>IF(OR($A63="",R$3=""),"",IF(AND($J63&lt;&gt;"",$K63&lt;&gt;"",$J63=$K63,$J63&gt;=R$3,$J63&lt;=IF(param_mode_affichage="mois",EOMONTH(R$3,0),R$3+6)),"◆",""))</f>
      </c>
      <c r="S63" s="26">
        <f>IF(OR($A63="",S$3=""),"",IF(AND($J63&lt;&gt;"",$K63&lt;&gt;"",$J63=$K63,$J63&gt;=S$3,$J63&lt;=IF(param_mode_affichage="mois",EOMONTH(S$3,0),S$3+6)),"◆",""))</f>
      </c>
      <c r="T63" s="26">
        <f>IF(OR($A63="",T$3=""),"",IF(AND($J63&lt;&gt;"",$K63&lt;&gt;"",$J63=$K63,$J63&gt;=T$3,$J63&lt;=IF(param_mode_affichage="mois",EOMONTH(T$3,0),T$3+6)),"◆",""))</f>
      </c>
      <c r="U63" s="26">
        <f>IF(OR($A63="",U$3=""),"",IF(AND($J63&lt;&gt;"",$K63&lt;&gt;"",$J63=$K63,$J63&gt;=U$3,$J63&lt;=IF(param_mode_affichage="mois",EOMONTH(U$3,0),U$3+6)),"◆",""))</f>
      </c>
      <c r="V63" s="26">
        <f>IF(OR($A63="",V$3=""),"",IF(AND($J63&lt;&gt;"",$K63&lt;&gt;"",$J63=$K63,$J63&gt;=V$3,$J63&lt;=IF(param_mode_affichage="mois",EOMONTH(V$3,0),V$3+6)),"◆",""))</f>
      </c>
      <c r="W63" s="26">
        <f>IF(OR($A63="",W$3=""),"",IF(AND($J63&lt;&gt;"",$K63&lt;&gt;"",$J63=$K63,$J63&gt;=W$3,$J63&lt;=IF(param_mode_affichage="mois",EOMONTH(W$3,0),W$3+6)),"◆",""))</f>
      </c>
      <c r="X63" s="26">
        <f>IF(OR($A63="",X$3=""),"",IF(AND($J63&lt;&gt;"",$K63&lt;&gt;"",$J63=$K63,$J63&gt;=X$3,$J63&lt;=IF(param_mode_affichage="mois",EOMONTH(X$3,0),X$3+6)),"◆",""))</f>
      </c>
      <c r="Y63" s="26">
        <f>IF(OR($A63="",Y$3=""),"",IF(AND($J63&lt;&gt;"",$K63&lt;&gt;"",$J63=$K63,$J63&gt;=Y$3,$J63&lt;=IF(param_mode_affichage="mois",EOMONTH(Y$3,0),Y$3+6)),"◆",""))</f>
      </c>
      <c r="Z63" s="26">
        <f>IF(OR($A63="",Z$3=""),"",IF(AND($J63&lt;&gt;"",$K63&lt;&gt;"",$J63=$K63,$J63&gt;=Z$3,$J63&lt;=IF(param_mode_affichage="mois",EOMONTH(Z$3,0),Z$3+6)),"◆",""))</f>
      </c>
      <c r="AA63" s="26">
        <f>IF(OR($A63="",AA$3=""),"",IF(AND($J63&lt;&gt;"",$K63&lt;&gt;"",$J63=$K63,$J63&gt;=AA$3,$J63&lt;=IF(param_mode_affichage="mois",EOMONTH(AA$3,0),AA$3+6)),"◆",""))</f>
      </c>
      <c r="AB63" s="26">
        <f>IF(OR($A63="",AB$3=""),"",IF(AND($J63&lt;&gt;"",$K63&lt;&gt;"",$J63=$K63,$J63&gt;=AB$3,$J63&lt;=IF(param_mode_affichage="mois",EOMONTH(AB$3,0),AB$3+6)),"◆",""))</f>
      </c>
      <c r="AC63" s="26">
        <f>IF(OR($A63="",AC$3=""),"",IF(AND($J63&lt;&gt;"",$K63&lt;&gt;"",$J63=$K63,$J63&gt;=AC$3,$J63&lt;=IF(param_mode_affichage="mois",EOMONTH(AC$3,0),AC$3+6)),"◆",""))</f>
      </c>
      <c r="AD63" s="26">
        <f>IF(OR($A63="",AD$3=""),"",IF(AND($J63&lt;&gt;"",$K63&lt;&gt;"",$J63=$K63,$J63&gt;=AD$3,$J63&lt;=IF(param_mode_affichage="mois",EOMONTH(AD$3,0),AD$3+6)),"◆",""))</f>
      </c>
      <c r="AE63" s="26">
        <f>IF(OR($A63="",AE$3=""),"",IF(AND($J63&lt;&gt;"",$K63&lt;&gt;"",$J63=$K63,$J63&gt;=AE$3,$J63&lt;=IF(param_mode_affichage="mois",EOMONTH(AE$3,0),AE$3+6)),"◆",""))</f>
      </c>
      <c r="AF63" s="26">
        <f>IF(OR($A63="",AF$3=""),"",IF(AND($J63&lt;&gt;"",$K63&lt;&gt;"",$J63=$K63,$J63&gt;=AF$3,$J63&lt;=IF(param_mode_affichage="mois",EOMONTH(AF$3,0),AF$3+6)),"◆",""))</f>
      </c>
      <c r="AG63" s="26">
        <f>IF(OR($A63="",AG$3=""),"",IF(AND($J63&lt;&gt;"",$K63&lt;&gt;"",$J63=$K63,$J63&gt;=AG$3,$J63&lt;=IF(param_mode_affichage="mois",EOMONTH(AG$3,0),AG$3+6)),"◆",""))</f>
      </c>
      <c r="AH63" s="26">
        <f>IF(OR($A63="",AH$3=""),"",IF(AND($J63&lt;&gt;"",$K63&lt;&gt;"",$J63=$K63,$J63&gt;=AH$3,$J63&lt;=IF(param_mode_affichage="mois",EOMONTH(AH$3,0),AH$3+6)),"◆",""))</f>
      </c>
      <c r="AI63" s="26">
        <f>IF(OR($A63="",AI$3=""),"",IF(AND($J63&lt;&gt;"",$K63&lt;&gt;"",$J63=$K63,$J63&gt;=AI$3,$J63&lt;=IF(param_mode_affichage="mois",EOMONTH(AI$3,0),AI$3+6)),"◆",""))</f>
      </c>
      <c r="AJ63" s="26">
        <f>IF(OR($A63="",AJ$3=""),"",IF(AND($J63&lt;&gt;"",$K63&lt;&gt;"",$J63=$K63,$J63&gt;=AJ$3,$J63&lt;=IF(param_mode_affichage="mois",EOMONTH(AJ$3,0),AJ$3+6)),"◆",""))</f>
      </c>
      <c r="AK63" s="26">
        <f>IF(OR($A63="",AK$3=""),"",IF(AND($J63&lt;&gt;"",$K63&lt;&gt;"",$J63=$K63,$J63&gt;=AK$3,$J63&lt;=IF(param_mode_affichage="mois",EOMONTH(AK$3,0),AK$3+6)),"◆",""))</f>
      </c>
      <c r="AL63" s="26">
        <f>IF(OR($A63="",AL$3=""),"",IF(AND($J63&lt;&gt;"",$K63&lt;&gt;"",$J63=$K63,$J63&gt;=AL$3,$J63&lt;=IF(param_mode_affichage="mois",EOMONTH(AL$3,0),AL$3+6)),"◆",""))</f>
      </c>
      <c r="AM63" s="26">
        <f>IF(OR($A63="",AM$3=""),"",IF(AND($J63&lt;&gt;"",$K63&lt;&gt;"",$J63=$K63,$J63&gt;=AM$3,$J63&lt;=IF(param_mode_affichage="mois",EOMONTH(AM$3,0),AM$3+6)),"◆",""))</f>
      </c>
      <c r="AN63" s="26">
        <f>IF(OR($A63="",AN$3=""),"",IF(AND($J63&lt;&gt;"",$K63&lt;&gt;"",$J63=$K63,$J63&gt;=AN$3,$J63&lt;=IF(param_mode_affichage="mois",EOMONTH(AN$3,0),AN$3+6)),"◆",""))</f>
      </c>
      <c r="AO63" s="26">
        <f>IF(OR($A63="",AO$3=""),"",IF(AND($J63&lt;&gt;"",$K63&lt;&gt;"",$J63=$K63,$J63&gt;=AO$3,$J63&lt;=IF(param_mode_affichage="mois",EOMONTH(AO$3,0),AO$3+6)),"◆",""))</f>
      </c>
      <c r="AP63" s="26">
        <f>IF(OR($A63="",AP$3=""),"",IF(AND($J63&lt;&gt;"",$K63&lt;&gt;"",$J63=$K63,$J63&gt;=AP$3,$J63&lt;=IF(param_mode_affichage="mois",EOMONTH(AP$3,0),AP$3+6)),"◆",""))</f>
      </c>
      <c r="AQ63" s="26">
        <f>IF(OR($A63="",AQ$3=""),"",IF(AND($J63&lt;&gt;"",$K63&lt;&gt;"",$J63=$K63,$J63&gt;=AQ$3,$J63&lt;=IF(param_mode_affichage="mois",EOMONTH(AQ$3,0),AQ$3+6)),"◆",""))</f>
      </c>
      <c r="AR63" s="26">
        <f>IF(OR($A63="",AR$3=""),"",IF(AND($J63&lt;&gt;"",$K63&lt;&gt;"",$J63=$K63,$J63&gt;=AR$3,$J63&lt;=IF(param_mode_affichage="mois",EOMONTH(AR$3,0),AR$3+6)),"◆",""))</f>
      </c>
      <c r="AS63" s="26">
        <f>IF(OR($A63="",AS$3=""),"",IF(AND($J63&lt;&gt;"",$K63&lt;&gt;"",$J63=$K63,$J63&gt;=AS$3,$J63&lt;=IF(param_mode_affichage="mois",EOMONTH(AS$3,0),AS$3+6)),"◆",""))</f>
      </c>
      <c r="AT63" s="26">
        <f>IF(OR($A63="",AT$3=""),"",IF(AND($J63&lt;&gt;"",$K63&lt;&gt;"",$J63=$K63,$J63&gt;=AT$3,$J63&lt;=IF(param_mode_affichage="mois",EOMONTH(AT$3,0),AT$3+6)),"◆",""))</f>
      </c>
      <c r="AU63" s="26">
        <f>IF(OR($A63="",AU$3=""),"",IF(AND($J63&lt;&gt;"",$K63&lt;&gt;"",$J63=$K63,$J63&gt;=AU$3,$J63&lt;=IF(param_mode_affichage="mois",EOMONTH(AU$3,0),AU$3+6)),"◆",""))</f>
      </c>
      <c r="AV63" s="26">
        <f>IF(OR($A63="",AV$3=""),"",IF(AND($J63&lt;&gt;"",$K63&lt;&gt;"",$J63=$K63,$J63&gt;=AV$3,$J63&lt;=IF(param_mode_affichage="mois",EOMONTH(AV$3,0),AV$3+6)),"◆",""))</f>
      </c>
      <c r="AW63" s="26">
        <f>IF(OR($A63="",AW$3=""),"",IF(AND($J63&lt;&gt;"",$K63&lt;&gt;"",$J63=$K63,$J63&gt;=AW$3,$J63&lt;=IF(param_mode_affichage="mois",EOMONTH(AW$3,0),AW$3+6)),"◆",""))</f>
      </c>
      <c r="AX63" s="26">
        <f>IF(OR($A63="",AX$3=""),"",IF(AND($J63&lt;&gt;"",$K63&lt;&gt;"",$J63=$K63,$J63&gt;=AX$3,$J63&lt;=IF(param_mode_affichage="mois",EOMONTH(AX$3,0),AX$3+6)),"◆",""))</f>
      </c>
      <c r="AY63" s="26">
        <f>IF(OR($A63="",AY$3=""),"",IF(AND($J63&lt;&gt;"",$K63&lt;&gt;"",$J63=$K63,$J63&gt;=AY$3,$J63&lt;=IF(param_mode_affichage="mois",EOMONTH(AY$3,0),AY$3+6)),"◆",""))</f>
      </c>
      <c r="AZ63" s="26">
        <f>IF(OR($A63="",AZ$3=""),"",IF(AND($J63&lt;&gt;"",$K63&lt;&gt;"",$J63=$K63,$J63&gt;=AZ$3,$J63&lt;=IF(param_mode_affichage="mois",EOMONTH(AZ$3,0),AZ$3+6)),"◆",""))</f>
      </c>
      <c r="BA63" s="26">
        <f>IF(OR($A63="",BA$3=""),"",IF(AND($J63&lt;&gt;"",$K63&lt;&gt;"",$J63=$K63,$J63&gt;=BA$3,$J63&lt;=IF(param_mode_affichage="mois",EOMONTH(BA$3,0),BA$3+6)),"◆",""))</f>
      </c>
      <c r="BB63" s="26">
        <f>IF(OR($A63="",BB$3=""),"",IF(AND($J63&lt;&gt;"",$K63&lt;&gt;"",$J63=$K63,$J63&gt;=BB$3,$J63&lt;=IF(param_mode_affichage="mois",EOMONTH(BB$3,0),BB$3+6)),"◆",""))</f>
      </c>
      <c r="BC63" s="26">
        <f>IF(OR($A63="",BC$3=""),"",IF(AND($J63&lt;&gt;"",$K63&lt;&gt;"",$J63=$K63,$J63&gt;=BC$3,$J63&lt;=IF(param_mode_affichage="mois",EOMONTH(BC$3,0),BC$3+6)),"◆",""))</f>
      </c>
      <c r="BD63" s="26">
        <f>IF(OR($A63="",BD$3=""),"",IF(AND($J63&lt;&gt;"",$K63&lt;&gt;"",$J63=$K63,$J63&gt;=BD$3,$J63&lt;=IF(param_mode_affichage="mois",EOMONTH(BD$3,0),BD$3+6)),"◆",""))</f>
      </c>
      <c r="BE63" s="26">
        <f>IF(OR($A63="",BE$3=""),"",IF(AND($J63&lt;&gt;"",$K63&lt;&gt;"",$J63=$K63,$J63&gt;=BE$3,$J63&lt;=IF(param_mode_affichage="mois",EOMONTH(BE$3,0),BE$3+6)),"◆",""))</f>
      </c>
      <c r="BF63" s="26">
        <f>IF(OR($A63="",BF$3=""),"",IF(AND($J63&lt;&gt;"",$K63&lt;&gt;"",$J63=$K63,$J63&gt;=BF$3,$J63&lt;=IF(param_mode_affichage="mois",EOMONTH(BF$3,0),BF$3+6)),"◆",""))</f>
      </c>
      <c r="BG63" s="26">
        <f>IF(OR($A63="",BG$3=""),"",IF(AND($J63&lt;&gt;"",$K63&lt;&gt;"",$J63=$K63,$J63&gt;=BG$3,$J63&lt;=IF(param_mode_affichage="mois",EOMONTH(BG$3,0),BG$3+6)),"◆",""))</f>
      </c>
      <c r="BH63" s="26">
        <f>IF(OR($A63="",BH$3=""),"",IF(AND($J63&lt;&gt;"",$K63&lt;&gt;"",$J63=$K63,$J63&gt;=BH$3,$J63&lt;=IF(param_mode_affichage="mois",EOMONTH(BH$3,0),BH$3+6)),"◆",""))</f>
      </c>
      <c r="BI63" s="26">
        <f>IF(OR($A63="",BI$3=""),"",IF(AND($J63&lt;&gt;"",$K63&lt;&gt;"",$J63=$K63,$J63&gt;=BI$3,$J63&lt;=IF(param_mode_affichage="mois",EOMONTH(BI$3,0),BI$3+6)),"◆",""))</f>
      </c>
      <c r="BJ63" s="26">
        <f>IF(OR($A63="",BJ$3=""),"",IF(AND($J63&lt;&gt;"",$K63&lt;&gt;"",$J63=$K63,$J63&gt;=BJ$3,$J63&lt;=IF(param_mode_affichage="mois",EOMONTH(BJ$3,0),BJ$3+6)),"◆",""))</f>
      </c>
      <c r="BK63" s="26">
        <f>IF(OR($A63="",BK$3=""),"",IF(AND($J63&lt;&gt;"",$K63&lt;&gt;"",$J63=$K63,$J63&gt;=BK$3,$J63&lt;=IF(param_mode_affichage="mois",EOMONTH(BK$3,0),BK$3+6)),"◆",""))</f>
      </c>
      <c r="BL63" s="26">
        <f>IF(OR($A63="",BL$3=""),"",IF(AND($J63&lt;&gt;"",$K63&lt;&gt;"",$J63=$K63,$J63&gt;=BL$3,$J63&lt;=IF(param_mode_affichage="mois",EOMONTH(BL$3,0),BL$3+6)),"◆",""))</f>
      </c>
    </row>
    <row r="64" spans="1:64" x14ac:dyDescent="0.25">
      <c r="A64" s="23">
        <f>IFERROR(INDEX(tblTasks[ID],ROW()-4),"")</f>
      </c>
      <c r="B64" s="24">
        <f>IF($A64="","",INDEX(tblTasks[Sujet],ROW()-4))</f>
      </c>
      <c r="C64" s="23">
        <f>IF($A64="","",INDEX(tblTasks[Responsable],ROW()-4))</f>
      </c>
      <c r="D64" s="23">
        <f>IF($A64="","",INDEX(tblTasks[Statut],ROW()-4))</f>
      </c>
      <c r="E64" s="23">
        <f>IF($A64="","",INDEX(tblTasks[Depend_de],ROW()-4))</f>
      </c>
      <c r="F64" s="23">
        <f>IF($A64="","",INDEX(tblTasks[Blocage],ROW()-4))</f>
      </c>
      <c r="G64" s="23">
        <f>IF($A64="","",INDEX(tblTasks[Niveau_criticite],ROW()-4))</f>
      </c>
      <c r="H64" s="23">
        <f>IF($A64="","",INDEX(tblTasks[Goulot],ROW()-4))</f>
      </c>
      <c r="I64" s="23">
        <f>IF($A64="","",IF(LOWER($F64)="oui","non",IF($E64="","oui",IFERROR(IF(LOWER(INDEX(tblTasks[Statut],MATCH($E64,tblTasks[ID],0)))="clos","oui","non"),"non"))))</f>
      </c>
      <c r="J64" s="25">
        <f>IF($A64="","",INDEX(tblTasks[Date_debut_prevue],ROW()-4))</f>
      </c>
      <c r="K64" s="25">
        <f>IF($A64="","",INDEX(tblTasks[Date_fin_prevue],ROW()-4))</f>
      </c>
      <c r="L64" s="23">
        <f>IF($A64="","",INDEX(tblTasks[Irreversibilite],ROW()-4))</f>
      </c>
      <c r="M64" s="26">
        <f>IF(OR($A64="",M$3=""),"",IF(AND($J64&lt;&gt;"",$K64&lt;&gt;"",$J64=$K64,$J64&gt;=M$3,$J64&lt;=IF(param_mode_affichage="mois",EOMONTH(M$3,0),M$3+6)),"◆",""))</f>
      </c>
      <c r="N64" s="26">
        <f>IF(OR($A64="",N$3=""),"",IF(AND($J64&lt;&gt;"",$K64&lt;&gt;"",$J64=$K64,$J64&gt;=N$3,$J64&lt;=IF(param_mode_affichage="mois",EOMONTH(N$3,0),N$3+6)),"◆",""))</f>
      </c>
      <c r="O64" s="26">
        <f>IF(OR($A64="",O$3=""),"",IF(AND($J64&lt;&gt;"",$K64&lt;&gt;"",$J64=$K64,$J64&gt;=O$3,$J64&lt;=IF(param_mode_affichage="mois",EOMONTH(O$3,0),O$3+6)),"◆",""))</f>
      </c>
      <c r="P64" s="26">
        <f>IF(OR($A64="",P$3=""),"",IF(AND($J64&lt;&gt;"",$K64&lt;&gt;"",$J64=$K64,$J64&gt;=P$3,$J64&lt;=IF(param_mode_affichage="mois",EOMONTH(P$3,0),P$3+6)),"◆",""))</f>
      </c>
      <c r="Q64" s="26">
        <f>IF(OR($A64="",Q$3=""),"",IF(AND($J64&lt;&gt;"",$K64&lt;&gt;"",$J64=$K64,$J64&gt;=Q$3,$J64&lt;=IF(param_mode_affichage="mois",EOMONTH(Q$3,0),Q$3+6)),"◆",""))</f>
      </c>
      <c r="R64" s="26">
        <f>IF(OR($A64="",R$3=""),"",IF(AND($J64&lt;&gt;"",$K64&lt;&gt;"",$J64=$K64,$J64&gt;=R$3,$J64&lt;=IF(param_mode_affichage="mois",EOMONTH(R$3,0),R$3+6)),"◆",""))</f>
      </c>
      <c r="S64" s="26">
        <f>IF(OR($A64="",S$3=""),"",IF(AND($J64&lt;&gt;"",$K64&lt;&gt;"",$J64=$K64,$J64&gt;=S$3,$J64&lt;=IF(param_mode_affichage="mois",EOMONTH(S$3,0),S$3+6)),"◆",""))</f>
      </c>
      <c r="T64" s="26">
        <f>IF(OR($A64="",T$3=""),"",IF(AND($J64&lt;&gt;"",$K64&lt;&gt;"",$J64=$K64,$J64&gt;=T$3,$J64&lt;=IF(param_mode_affichage="mois",EOMONTH(T$3,0),T$3+6)),"◆",""))</f>
      </c>
      <c r="U64" s="26">
        <f>IF(OR($A64="",U$3=""),"",IF(AND($J64&lt;&gt;"",$K64&lt;&gt;"",$J64=$K64,$J64&gt;=U$3,$J64&lt;=IF(param_mode_affichage="mois",EOMONTH(U$3,0),U$3+6)),"◆",""))</f>
      </c>
      <c r="V64" s="26">
        <f>IF(OR($A64="",V$3=""),"",IF(AND($J64&lt;&gt;"",$K64&lt;&gt;"",$J64=$K64,$J64&gt;=V$3,$J64&lt;=IF(param_mode_affichage="mois",EOMONTH(V$3,0),V$3+6)),"◆",""))</f>
      </c>
      <c r="W64" s="26">
        <f>IF(OR($A64="",W$3=""),"",IF(AND($J64&lt;&gt;"",$K64&lt;&gt;"",$J64=$K64,$J64&gt;=W$3,$J64&lt;=IF(param_mode_affichage="mois",EOMONTH(W$3,0),W$3+6)),"◆",""))</f>
      </c>
      <c r="X64" s="26">
        <f>IF(OR($A64="",X$3=""),"",IF(AND($J64&lt;&gt;"",$K64&lt;&gt;"",$J64=$K64,$J64&gt;=X$3,$J64&lt;=IF(param_mode_affichage="mois",EOMONTH(X$3,0),X$3+6)),"◆",""))</f>
      </c>
      <c r="Y64" s="26">
        <f>IF(OR($A64="",Y$3=""),"",IF(AND($J64&lt;&gt;"",$K64&lt;&gt;"",$J64=$K64,$J64&gt;=Y$3,$J64&lt;=IF(param_mode_affichage="mois",EOMONTH(Y$3,0),Y$3+6)),"◆",""))</f>
      </c>
      <c r="Z64" s="26">
        <f>IF(OR($A64="",Z$3=""),"",IF(AND($J64&lt;&gt;"",$K64&lt;&gt;"",$J64=$K64,$J64&gt;=Z$3,$J64&lt;=IF(param_mode_affichage="mois",EOMONTH(Z$3,0),Z$3+6)),"◆",""))</f>
      </c>
      <c r="AA64" s="26">
        <f>IF(OR($A64="",AA$3=""),"",IF(AND($J64&lt;&gt;"",$K64&lt;&gt;"",$J64=$K64,$J64&gt;=AA$3,$J64&lt;=IF(param_mode_affichage="mois",EOMONTH(AA$3,0),AA$3+6)),"◆",""))</f>
      </c>
      <c r="AB64" s="26">
        <f>IF(OR($A64="",AB$3=""),"",IF(AND($J64&lt;&gt;"",$K64&lt;&gt;"",$J64=$K64,$J64&gt;=AB$3,$J64&lt;=IF(param_mode_affichage="mois",EOMONTH(AB$3,0),AB$3+6)),"◆",""))</f>
      </c>
      <c r="AC64" s="26">
        <f>IF(OR($A64="",AC$3=""),"",IF(AND($J64&lt;&gt;"",$K64&lt;&gt;"",$J64=$K64,$J64&gt;=AC$3,$J64&lt;=IF(param_mode_affichage="mois",EOMONTH(AC$3,0),AC$3+6)),"◆",""))</f>
      </c>
      <c r="AD64" s="26">
        <f>IF(OR($A64="",AD$3=""),"",IF(AND($J64&lt;&gt;"",$K64&lt;&gt;"",$J64=$K64,$J64&gt;=AD$3,$J64&lt;=IF(param_mode_affichage="mois",EOMONTH(AD$3,0),AD$3+6)),"◆",""))</f>
      </c>
      <c r="AE64" s="26">
        <f>IF(OR($A64="",AE$3=""),"",IF(AND($J64&lt;&gt;"",$K64&lt;&gt;"",$J64=$K64,$J64&gt;=AE$3,$J64&lt;=IF(param_mode_affichage="mois",EOMONTH(AE$3,0),AE$3+6)),"◆",""))</f>
      </c>
      <c r="AF64" s="26">
        <f>IF(OR($A64="",AF$3=""),"",IF(AND($J64&lt;&gt;"",$K64&lt;&gt;"",$J64=$K64,$J64&gt;=AF$3,$J64&lt;=IF(param_mode_affichage="mois",EOMONTH(AF$3,0),AF$3+6)),"◆",""))</f>
      </c>
      <c r="AG64" s="26">
        <f>IF(OR($A64="",AG$3=""),"",IF(AND($J64&lt;&gt;"",$K64&lt;&gt;"",$J64=$K64,$J64&gt;=AG$3,$J64&lt;=IF(param_mode_affichage="mois",EOMONTH(AG$3,0),AG$3+6)),"◆",""))</f>
      </c>
      <c r="AH64" s="26">
        <f>IF(OR($A64="",AH$3=""),"",IF(AND($J64&lt;&gt;"",$K64&lt;&gt;"",$J64=$K64,$J64&gt;=AH$3,$J64&lt;=IF(param_mode_affichage="mois",EOMONTH(AH$3,0),AH$3+6)),"◆",""))</f>
      </c>
      <c r="AI64" s="26">
        <f>IF(OR($A64="",AI$3=""),"",IF(AND($J64&lt;&gt;"",$K64&lt;&gt;"",$J64=$K64,$J64&gt;=AI$3,$J64&lt;=IF(param_mode_affichage="mois",EOMONTH(AI$3,0),AI$3+6)),"◆",""))</f>
      </c>
      <c r="AJ64" s="26">
        <f>IF(OR($A64="",AJ$3=""),"",IF(AND($J64&lt;&gt;"",$K64&lt;&gt;"",$J64=$K64,$J64&gt;=AJ$3,$J64&lt;=IF(param_mode_affichage="mois",EOMONTH(AJ$3,0),AJ$3+6)),"◆",""))</f>
      </c>
      <c r="AK64" s="26">
        <f>IF(OR($A64="",AK$3=""),"",IF(AND($J64&lt;&gt;"",$K64&lt;&gt;"",$J64=$K64,$J64&gt;=AK$3,$J64&lt;=IF(param_mode_affichage="mois",EOMONTH(AK$3,0),AK$3+6)),"◆",""))</f>
      </c>
      <c r="AL64" s="26">
        <f>IF(OR($A64="",AL$3=""),"",IF(AND($J64&lt;&gt;"",$K64&lt;&gt;"",$J64=$K64,$J64&gt;=AL$3,$J64&lt;=IF(param_mode_affichage="mois",EOMONTH(AL$3,0),AL$3+6)),"◆",""))</f>
      </c>
      <c r="AM64" s="26">
        <f>IF(OR($A64="",AM$3=""),"",IF(AND($J64&lt;&gt;"",$K64&lt;&gt;"",$J64=$K64,$J64&gt;=AM$3,$J64&lt;=IF(param_mode_affichage="mois",EOMONTH(AM$3,0),AM$3+6)),"◆",""))</f>
      </c>
      <c r="AN64" s="26">
        <f>IF(OR($A64="",AN$3=""),"",IF(AND($J64&lt;&gt;"",$K64&lt;&gt;"",$J64=$K64,$J64&gt;=AN$3,$J64&lt;=IF(param_mode_affichage="mois",EOMONTH(AN$3,0),AN$3+6)),"◆",""))</f>
      </c>
      <c r="AO64" s="26">
        <f>IF(OR($A64="",AO$3=""),"",IF(AND($J64&lt;&gt;"",$K64&lt;&gt;"",$J64=$K64,$J64&gt;=AO$3,$J64&lt;=IF(param_mode_affichage="mois",EOMONTH(AO$3,0),AO$3+6)),"◆",""))</f>
      </c>
      <c r="AP64" s="26">
        <f>IF(OR($A64="",AP$3=""),"",IF(AND($J64&lt;&gt;"",$K64&lt;&gt;"",$J64=$K64,$J64&gt;=AP$3,$J64&lt;=IF(param_mode_affichage="mois",EOMONTH(AP$3,0),AP$3+6)),"◆",""))</f>
      </c>
      <c r="AQ64" s="26">
        <f>IF(OR($A64="",AQ$3=""),"",IF(AND($J64&lt;&gt;"",$K64&lt;&gt;"",$J64=$K64,$J64&gt;=AQ$3,$J64&lt;=IF(param_mode_affichage="mois",EOMONTH(AQ$3,0),AQ$3+6)),"◆",""))</f>
      </c>
      <c r="AR64" s="26">
        <f>IF(OR($A64="",AR$3=""),"",IF(AND($J64&lt;&gt;"",$K64&lt;&gt;"",$J64=$K64,$J64&gt;=AR$3,$J64&lt;=IF(param_mode_affichage="mois",EOMONTH(AR$3,0),AR$3+6)),"◆",""))</f>
      </c>
      <c r="AS64" s="26">
        <f>IF(OR($A64="",AS$3=""),"",IF(AND($J64&lt;&gt;"",$K64&lt;&gt;"",$J64=$K64,$J64&gt;=AS$3,$J64&lt;=IF(param_mode_affichage="mois",EOMONTH(AS$3,0),AS$3+6)),"◆",""))</f>
      </c>
      <c r="AT64" s="26">
        <f>IF(OR($A64="",AT$3=""),"",IF(AND($J64&lt;&gt;"",$K64&lt;&gt;"",$J64=$K64,$J64&gt;=AT$3,$J64&lt;=IF(param_mode_affichage="mois",EOMONTH(AT$3,0),AT$3+6)),"◆",""))</f>
      </c>
      <c r="AU64" s="26">
        <f>IF(OR($A64="",AU$3=""),"",IF(AND($J64&lt;&gt;"",$K64&lt;&gt;"",$J64=$K64,$J64&gt;=AU$3,$J64&lt;=IF(param_mode_affichage="mois",EOMONTH(AU$3,0),AU$3+6)),"◆",""))</f>
      </c>
      <c r="AV64" s="26">
        <f>IF(OR($A64="",AV$3=""),"",IF(AND($J64&lt;&gt;"",$K64&lt;&gt;"",$J64=$K64,$J64&gt;=AV$3,$J64&lt;=IF(param_mode_affichage="mois",EOMONTH(AV$3,0),AV$3+6)),"◆",""))</f>
      </c>
      <c r="AW64" s="26">
        <f>IF(OR($A64="",AW$3=""),"",IF(AND($J64&lt;&gt;"",$K64&lt;&gt;"",$J64=$K64,$J64&gt;=AW$3,$J64&lt;=IF(param_mode_affichage="mois",EOMONTH(AW$3,0),AW$3+6)),"◆",""))</f>
      </c>
      <c r="AX64" s="26">
        <f>IF(OR($A64="",AX$3=""),"",IF(AND($J64&lt;&gt;"",$K64&lt;&gt;"",$J64=$K64,$J64&gt;=AX$3,$J64&lt;=IF(param_mode_affichage="mois",EOMONTH(AX$3,0),AX$3+6)),"◆",""))</f>
      </c>
      <c r="AY64" s="26">
        <f>IF(OR($A64="",AY$3=""),"",IF(AND($J64&lt;&gt;"",$K64&lt;&gt;"",$J64=$K64,$J64&gt;=AY$3,$J64&lt;=IF(param_mode_affichage="mois",EOMONTH(AY$3,0),AY$3+6)),"◆",""))</f>
      </c>
      <c r="AZ64" s="26">
        <f>IF(OR($A64="",AZ$3=""),"",IF(AND($J64&lt;&gt;"",$K64&lt;&gt;"",$J64=$K64,$J64&gt;=AZ$3,$J64&lt;=IF(param_mode_affichage="mois",EOMONTH(AZ$3,0),AZ$3+6)),"◆",""))</f>
      </c>
      <c r="BA64" s="26">
        <f>IF(OR($A64="",BA$3=""),"",IF(AND($J64&lt;&gt;"",$K64&lt;&gt;"",$J64=$K64,$J64&gt;=BA$3,$J64&lt;=IF(param_mode_affichage="mois",EOMONTH(BA$3,0),BA$3+6)),"◆",""))</f>
      </c>
      <c r="BB64" s="26">
        <f>IF(OR($A64="",BB$3=""),"",IF(AND($J64&lt;&gt;"",$K64&lt;&gt;"",$J64=$K64,$J64&gt;=BB$3,$J64&lt;=IF(param_mode_affichage="mois",EOMONTH(BB$3,0),BB$3+6)),"◆",""))</f>
      </c>
      <c r="BC64" s="26">
        <f>IF(OR($A64="",BC$3=""),"",IF(AND($J64&lt;&gt;"",$K64&lt;&gt;"",$J64=$K64,$J64&gt;=BC$3,$J64&lt;=IF(param_mode_affichage="mois",EOMONTH(BC$3,0),BC$3+6)),"◆",""))</f>
      </c>
      <c r="BD64" s="26">
        <f>IF(OR($A64="",BD$3=""),"",IF(AND($J64&lt;&gt;"",$K64&lt;&gt;"",$J64=$K64,$J64&gt;=BD$3,$J64&lt;=IF(param_mode_affichage="mois",EOMONTH(BD$3,0),BD$3+6)),"◆",""))</f>
      </c>
      <c r="BE64" s="26">
        <f>IF(OR($A64="",BE$3=""),"",IF(AND($J64&lt;&gt;"",$K64&lt;&gt;"",$J64=$K64,$J64&gt;=BE$3,$J64&lt;=IF(param_mode_affichage="mois",EOMONTH(BE$3,0),BE$3+6)),"◆",""))</f>
      </c>
      <c r="BF64" s="26">
        <f>IF(OR($A64="",BF$3=""),"",IF(AND($J64&lt;&gt;"",$K64&lt;&gt;"",$J64=$K64,$J64&gt;=BF$3,$J64&lt;=IF(param_mode_affichage="mois",EOMONTH(BF$3,0),BF$3+6)),"◆",""))</f>
      </c>
      <c r="BG64" s="26">
        <f>IF(OR($A64="",BG$3=""),"",IF(AND($J64&lt;&gt;"",$K64&lt;&gt;"",$J64=$K64,$J64&gt;=BG$3,$J64&lt;=IF(param_mode_affichage="mois",EOMONTH(BG$3,0),BG$3+6)),"◆",""))</f>
      </c>
      <c r="BH64" s="26">
        <f>IF(OR($A64="",BH$3=""),"",IF(AND($J64&lt;&gt;"",$K64&lt;&gt;"",$J64=$K64,$J64&gt;=BH$3,$J64&lt;=IF(param_mode_affichage="mois",EOMONTH(BH$3,0),BH$3+6)),"◆",""))</f>
      </c>
      <c r="BI64" s="26">
        <f>IF(OR($A64="",BI$3=""),"",IF(AND($J64&lt;&gt;"",$K64&lt;&gt;"",$J64=$K64,$J64&gt;=BI$3,$J64&lt;=IF(param_mode_affichage="mois",EOMONTH(BI$3,0),BI$3+6)),"◆",""))</f>
      </c>
      <c r="BJ64" s="26">
        <f>IF(OR($A64="",BJ$3=""),"",IF(AND($J64&lt;&gt;"",$K64&lt;&gt;"",$J64=$K64,$J64&gt;=BJ$3,$J64&lt;=IF(param_mode_affichage="mois",EOMONTH(BJ$3,0),BJ$3+6)),"◆",""))</f>
      </c>
      <c r="BK64" s="26">
        <f>IF(OR($A64="",BK$3=""),"",IF(AND($J64&lt;&gt;"",$K64&lt;&gt;"",$J64=$K64,$J64&gt;=BK$3,$J64&lt;=IF(param_mode_affichage="mois",EOMONTH(BK$3,0),BK$3+6)),"◆",""))</f>
      </c>
      <c r="BL64" s="26">
        <f>IF(OR($A64="",BL$3=""),"",IF(AND($J64&lt;&gt;"",$K64&lt;&gt;"",$J64=$K64,$J64&gt;=BL$3,$J64&lt;=IF(param_mode_affichage="mois",EOMONTH(BL$3,0),BL$3+6)),"◆",""))</f>
      </c>
    </row>
    <row r="65" spans="1:64" x14ac:dyDescent="0.25">
      <c r="A65" s="23">
        <f>IFERROR(INDEX(tblTasks[ID],ROW()-4),"")</f>
      </c>
      <c r="B65" s="24">
        <f>IF($A65="","",INDEX(tblTasks[Sujet],ROW()-4))</f>
      </c>
      <c r="C65" s="23">
        <f>IF($A65="","",INDEX(tblTasks[Responsable],ROW()-4))</f>
      </c>
      <c r="D65" s="23">
        <f>IF($A65="","",INDEX(tblTasks[Statut],ROW()-4))</f>
      </c>
      <c r="E65" s="23">
        <f>IF($A65="","",INDEX(tblTasks[Depend_de],ROW()-4))</f>
      </c>
      <c r="F65" s="23">
        <f>IF($A65="","",INDEX(tblTasks[Blocage],ROW()-4))</f>
      </c>
      <c r="G65" s="23">
        <f>IF($A65="","",INDEX(tblTasks[Niveau_criticite],ROW()-4))</f>
      </c>
      <c r="H65" s="23">
        <f>IF($A65="","",INDEX(tblTasks[Goulot],ROW()-4))</f>
      </c>
      <c r="I65" s="23">
        <f>IF($A65="","",IF(LOWER($F65)="oui","non",IF($E65="","oui",IFERROR(IF(LOWER(INDEX(tblTasks[Statut],MATCH($E65,tblTasks[ID],0)))="clos","oui","non"),"non"))))</f>
      </c>
      <c r="J65" s="25">
        <f>IF($A65="","",INDEX(tblTasks[Date_debut_prevue],ROW()-4))</f>
      </c>
      <c r="K65" s="25">
        <f>IF($A65="","",INDEX(tblTasks[Date_fin_prevue],ROW()-4))</f>
      </c>
      <c r="L65" s="23">
        <f>IF($A65="","",INDEX(tblTasks[Irreversibilite],ROW()-4))</f>
      </c>
      <c r="M65" s="26">
        <f>IF(OR($A65="",M$3=""),"",IF(AND($J65&lt;&gt;"",$K65&lt;&gt;"",$J65=$K65,$J65&gt;=M$3,$J65&lt;=IF(param_mode_affichage="mois",EOMONTH(M$3,0),M$3+6)),"◆",""))</f>
      </c>
      <c r="N65" s="26">
        <f>IF(OR($A65="",N$3=""),"",IF(AND($J65&lt;&gt;"",$K65&lt;&gt;"",$J65=$K65,$J65&gt;=N$3,$J65&lt;=IF(param_mode_affichage="mois",EOMONTH(N$3,0),N$3+6)),"◆",""))</f>
      </c>
      <c r="O65" s="26">
        <f>IF(OR($A65="",O$3=""),"",IF(AND($J65&lt;&gt;"",$K65&lt;&gt;"",$J65=$K65,$J65&gt;=O$3,$J65&lt;=IF(param_mode_affichage="mois",EOMONTH(O$3,0),O$3+6)),"◆",""))</f>
      </c>
      <c r="P65" s="26">
        <f>IF(OR($A65="",P$3=""),"",IF(AND($J65&lt;&gt;"",$K65&lt;&gt;"",$J65=$K65,$J65&gt;=P$3,$J65&lt;=IF(param_mode_affichage="mois",EOMONTH(P$3,0),P$3+6)),"◆",""))</f>
      </c>
      <c r="Q65" s="26">
        <f>IF(OR($A65="",Q$3=""),"",IF(AND($J65&lt;&gt;"",$K65&lt;&gt;"",$J65=$K65,$J65&gt;=Q$3,$J65&lt;=IF(param_mode_affichage="mois",EOMONTH(Q$3,0),Q$3+6)),"◆",""))</f>
      </c>
      <c r="R65" s="26">
        <f>IF(OR($A65="",R$3=""),"",IF(AND($J65&lt;&gt;"",$K65&lt;&gt;"",$J65=$K65,$J65&gt;=R$3,$J65&lt;=IF(param_mode_affichage="mois",EOMONTH(R$3,0),R$3+6)),"◆",""))</f>
      </c>
      <c r="S65" s="26">
        <f>IF(OR($A65="",S$3=""),"",IF(AND($J65&lt;&gt;"",$K65&lt;&gt;"",$J65=$K65,$J65&gt;=S$3,$J65&lt;=IF(param_mode_affichage="mois",EOMONTH(S$3,0),S$3+6)),"◆",""))</f>
      </c>
      <c r="T65" s="26">
        <f>IF(OR($A65="",T$3=""),"",IF(AND($J65&lt;&gt;"",$K65&lt;&gt;"",$J65=$K65,$J65&gt;=T$3,$J65&lt;=IF(param_mode_affichage="mois",EOMONTH(T$3,0),T$3+6)),"◆",""))</f>
      </c>
      <c r="U65" s="26">
        <f>IF(OR($A65="",U$3=""),"",IF(AND($J65&lt;&gt;"",$K65&lt;&gt;"",$J65=$K65,$J65&gt;=U$3,$J65&lt;=IF(param_mode_affichage="mois",EOMONTH(U$3,0),U$3+6)),"◆",""))</f>
      </c>
      <c r="V65" s="26">
        <f>IF(OR($A65="",V$3=""),"",IF(AND($J65&lt;&gt;"",$K65&lt;&gt;"",$J65=$K65,$J65&gt;=V$3,$J65&lt;=IF(param_mode_affichage="mois",EOMONTH(V$3,0),V$3+6)),"◆",""))</f>
      </c>
      <c r="W65" s="26">
        <f>IF(OR($A65="",W$3=""),"",IF(AND($J65&lt;&gt;"",$K65&lt;&gt;"",$J65=$K65,$J65&gt;=W$3,$J65&lt;=IF(param_mode_affichage="mois",EOMONTH(W$3,0),W$3+6)),"◆",""))</f>
      </c>
      <c r="X65" s="26">
        <f>IF(OR($A65="",X$3=""),"",IF(AND($J65&lt;&gt;"",$K65&lt;&gt;"",$J65=$K65,$J65&gt;=X$3,$J65&lt;=IF(param_mode_affichage="mois",EOMONTH(X$3,0),X$3+6)),"◆",""))</f>
      </c>
      <c r="Y65" s="26">
        <f>IF(OR($A65="",Y$3=""),"",IF(AND($J65&lt;&gt;"",$K65&lt;&gt;"",$J65=$K65,$J65&gt;=Y$3,$J65&lt;=IF(param_mode_affichage="mois",EOMONTH(Y$3,0),Y$3+6)),"◆",""))</f>
      </c>
      <c r="Z65" s="26">
        <f>IF(OR($A65="",Z$3=""),"",IF(AND($J65&lt;&gt;"",$K65&lt;&gt;"",$J65=$K65,$J65&gt;=Z$3,$J65&lt;=IF(param_mode_affichage="mois",EOMONTH(Z$3,0),Z$3+6)),"◆",""))</f>
      </c>
      <c r="AA65" s="26">
        <f>IF(OR($A65="",AA$3=""),"",IF(AND($J65&lt;&gt;"",$K65&lt;&gt;"",$J65=$K65,$J65&gt;=AA$3,$J65&lt;=IF(param_mode_affichage="mois",EOMONTH(AA$3,0),AA$3+6)),"◆",""))</f>
      </c>
      <c r="AB65" s="26">
        <f>IF(OR($A65="",AB$3=""),"",IF(AND($J65&lt;&gt;"",$K65&lt;&gt;"",$J65=$K65,$J65&gt;=AB$3,$J65&lt;=IF(param_mode_affichage="mois",EOMONTH(AB$3,0),AB$3+6)),"◆",""))</f>
      </c>
      <c r="AC65" s="26">
        <f>IF(OR($A65="",AC$3=""),"",IF(AND($J65&lt;&gt;"",$K65&lt;&gt;"",$J65=$K65,$J65&gt;=AC$3,$J65&lt;=IF(param_mode_affichage="mois",EOMONTH(AC$3,0),AC$3+6)),"◆",""))</f>
      </c>
      <c r="AD65" s="26">
        <f>IF(OR($A65="",AD$3=""),"",IF(AND($J65&lt;&gt;"",$K65&lt;&gt;"",$J65=$K65,$J65&gt;=AD$3,$J65&lt;=IF(param_mode_affichage="mois",EOMONTH(AD$3,0),AD$3+6)),"◆",""))</f>
      </c>
      <c r="AE65" s="26">
        <f>IF(OR($A65="",AE$3=""),"",IF(AND($J65&lt;&gt;"",$K65&lt;&gt;"",$J65=$K65,$J65&gt;=AE$3,$J65&lt;=IF(param_mode_affichage="mois",EOMONTH(AE$3,0),AE$3+6)),"◆",""))</f>
      </c>
      <c r="AF65" s="26">
        <f>IF(OR($A65="",AF$3=""),"",IF(AND($J65&lt;&gt;"",$K65&lt;&gt;"",$J65=$K65,$J65&gt;=AF$3,$J65&lt;=IF(param_mode_affichage="mois",EOMONTH(AF$3,0),AF$3+6)),"◆",""))</f>
      </c>
      <c r="AG65" s="26">
        <f>IF(OR($A65="",AG$3=""),"",IF(AND($J65&lt;&gt;"",$K65&lt;&gt;"",$J65=$K65,$J65&gt;=AG$3,$J65&lt;=IF(param_mode_affichage="mois",EOMONTH(AG$3,0),AG$3+6)),"◆",""))</f>
      </c>
      <c r="AH65" s="26">
        <f>IF(OR($A65="",AH$3=""),"",IF(AND($J65&lt;&gt;"",$K65&lt;&gt;"",$J65=$K65,$J65&gt;=AH$3,$J65&lt;=IF(param_mode_affichage="mois",EOMONTH(AH$3,0),AH$3+6)),"◆",""))</f>
      </c>
      <c r="AI65" s="26">
        <f>IF(OR($A65="",AI$3=""),"",IF(AND($J65&lt;&gt;"",$K65&lt;&gt;"",$J65=$K65,$J65&gt;=AI$3,$J65&lt;=IF(param_mode_affichage="mois",EOMONTH(AI$3,0),AI$3+6)),"◆",""))</f>
      </c>
      <c r="AJ65" s="26">
        <f>IF(OR($A65="",AJ$3=""),"",IF(AND($J65&lt;&gt;"",$K65&lt;&gt;"",$J65=$K65,$J65&gt;=AJ$3,$J65&lt;=IF(param_mode_affichage="mois",EOMONTH(AJ$3,0),AJ$3+6)),"◆",""))</f>
      </c>
      <c r="AK65" s="26">
        <f>IF(OR($A65="",AK$3=""),"",IF(AND($J65&lt;&gt;"",$K65&lt;&gt;"",$J65=$K65,$J65&gt;=AK$3,$J65&lt;=IF(param_mode_affichage="mois",EOMONTH(AK$3,0),AK$3+6)),"◆",""))</f>
      </c>
      <c r="AL65" s="26">
        <f>IF(OR($A65="",AL$3=""),"",IF(AND($J65&lt;&gt;"",$K65&lt;&gt;"",$J65=$K65,$J65&gt;=AL$3,$J65&lt;=IF(param_mode_affichage="mois",EOMONTH(AL$3,0),AL$3+6)),"◆",""))</f>
      </c>
      <c r="AM65" s="26">
        <f>IF(OR($A65="",AM$3=""),"",IF(AND($J65&lt;&gt;"",$K65&lt;&gt;"",$J65=$K65,$J65&gt;=AM$3,$J65&lt;=IF(param_mode_affichage="mois",EOMONTH(AM$3,0),AM$3+6)),"◆",""))</f>
      </c>
      <c r="AN65" s="26">
        <f>IF(OR($A65="",AN$3=""),"",IF(AND($J65&lt;&gt;"",$K65&lt;&gt;"",$J65=$K65,$J65&gt;=AN$3,$J65&lt;=IF(param_mode_affichage="mois",EOMONTH(AN$3,0),AN$3+6)),"◆",""))</f>
      </c>
      <c r="AO65" s="26">
        <f>IF(OR($A65="",AO$3=""),"",IF(AND($J65&lt;&gt;"",$K65&lt;&gt;"",$J65=$K65,$J65&gt;=AO$3,$J65&lt;=IF(param_mode_affichage="mois",EOMONTH(AO$3,0),AO$3+6)),"◆",""))</f>
      </c>
      <c r="AP65" s="26">
        <f>IF(OR($A65="",AP$3=""),"",IF(AND($J65&lt;&gt;"",$K65&lt;&gt;"",$J65=$K65,$J65&gt;=AP$3,$J65&lt;=IF(param_mode_affichage="mois",EOMONTH(AP$3,0),AP$3+6)),"◆",""))</f>
      </c>
      <c r="AQ65" s="26">
        <f>IF(OR($A65="",AQ$3=""),"",IF(AND($J65&lt;&gt;"",$K65&lt;&gt;"",$J65=$K65,$J65&gt;=AQ$3,$J65&lt;=IF(param_mode_affichage="mois",EOMONTH(AQ$3,0),AQ$3+6)),"◆",""))</f>
      </c>
      <c r="AR65" s="26">
        <f>IF(OR($A65="",AR$3=""),"",IF(AND($J65&lt;&gt;"",$K65&lt;&gt;"",$J65=$K65,$J65&gt;=AR$3,$J65&lt;=IF(param_mode_affichage="mois",EOMONTH(AR$3,0),AR$3+6)),"◆",""))</f>
      </c>
      <c r="AS65" s="26">
        <f>IF(OR($A65="",AS$3=""),"",IF(AND($J65&lt;&gt;"",$K65&lt;&gt;"",$J65=$K65,$J65&gt;=AS$3,$J65&lt;=IF(param_mode_affichage="mois",EOMONTH(AS$3,0),AS$3+6)),"◆",""))</f>
      </c>
      <c r="AT65" s="26">
        <f>IF(OR($A65="",AT$3=""),"",IF(AND($J65&lt;&gt;"",$K65&lt;&gt;"",$J65=$K65,$J65&gt;=AT$3,$J65&lt;=IF(param_mode_affichage="mois",EOMONTH(AT$3,0),AT$3+6)),"◆",""))</f>
      </c>
      <c r="AU65" s="26">
        <f>IF(OR($A65="",AU$3=""),"",IF(AND($J65&lt;&gt;"",$K65&lt;&gt;"",$J65=$K65,$J65&gt;=AU$3,$J65&lt;=IF(param_mode_affichage="mois",EOMONTH(AU$3,0),AU$3+6)),"◆",""))</f>
      </c>
      <c r="AV65" s="26">
        <f>IF(OR($A65="",AV$3=""),"",IF(AND($J65&lt;&gt;"",$K65&lt;&gt;"",$J65=$K65,$J65&gt;=AV$3,$J65&lt;=IF(param_mode_affichage="mois",EOMONTH(AV$3,0),AV$3+6)),"◆",""))</f>
      </c>
      <c r="AW65" s="26">
        <f>IF(OR($A65="",AW$3=""),"",IF(AND($J65&lt;&gt;"",$K65&lt;&gt;"",$J65=$K65,$J65&gt;=AW$3,$J65&lt;=IF(param_mode_affichage="mois",EOMONTH(AW$3,0),AW$3+6)),"◆",""))</f>
      </c>
      <c r="AX65" s="26">
        <f>IF(OR($A65="",AX$3=""),"",IF(AND($J65&lt;&gt;"",$K65&lt;&gt;"",$J65=$K65,$J65&gt;=AX$3,$J65&lt;=IF(param_mode_affichage="mois",EOMONTH(AX$3,0),AX$3+6)),"◆",""))</f>
      </c>
      <c r="AY65" s="26">
        <f>IF(OR($A65="",AY$3=""),"",IF(AND($J65&lt;&gt;"",$K65&lt;&gt;"",$J65=$K65,$J65&gt;=AY$3,$J65&lt;=IF(param_mode_affichage="mois",EOMONTH(AY$3,0),AY$3+6)),"◆",""))</f>
      </c>
      <c r="AZ65" s="26">
        <f>IF(OR($A65="",AZ$3=""),"",IF(AND($J65&lt;&gt;"",$K65&lt;&gt;"",$J65=$K65,$J65&gt;=AZ$3,$J65&lt;=IF(param_mode_affichage="mois",EOMONTH(AZ$3,0),AZ$3+6)),"◆",""))</f>
      </c>
      <c r="BA65" s="26">
        <f>IF(OR($A65="",BA$3=""),"",IF(AND($J65&lt;&gt;"",$K65&lt;&gt;"",$J65=$K65,$J65&gt;=BA$3,$J65&lt;=IF(param_mode_affichage="mois",EOMONTH(BA$3,0),BA$3+6)),"◆",""))</f>
      </c>
      <c r="BB65" s="26">
        <f>IF(OR($A65="",BB$3=""),"",IF(AND($J65&lt;&gt;"",$K65&lt;&gt;"",$J65=$K65,$J65&gt;=BB$3,$J65&lt;=IF(param_mode_affichage="mois",EOMONTH(BB$3,0),BB$3+6)),"◆",""))</f>
      </c>
      <c r="BC65" s="26">
        <f>IF(OR($A65="",BC$3=""),"",IF(AND($J65&lt;&gt;"",$K65&lt;&gt;"",$J65=$K65,$J65&gt;=BC$3,$J65&lt;=IF(param_mode_affichage="mois",EOMONTH(BC$3,0),BC$3+6)),"◆",""))</f>
      </c>
      <c r="BD65" s="26">
        <f>IF(OR($A65="",BD$3=""),"",IF(AND($J65&lt;&gt;"",$K65&lt;&gt;"",$J65=$K65,$J65&gt;=BD$3,$J65&lt;=IF(param_mode_affichage="mois",EOMONTH(BD$3,0),BD$3+6)),"◆",""))</f>
      </c>
      <c r="BE65" s="26">
        <f>IF(OR($A65="",BE$3=""),"",IF(AND($J65&lt;&gt;"",$K65&lt;&gt;"",$J65=$K65,$J65&gt;=BE$3,$J65&lt;=IF(param_mode_affichage="mois",EOMONTH(BE$3,0),BE$3+6)),"◆",""))</f>
      </c>
      <c r="BF65" s="26">
        <f>IF(OR($A65="",BF$3=""),"",IF(AND($J65&lt;&gt;"",$K65&lt;&gt;"",$J65=$K65,$J65&gt;=BF$3,$J65&lt;=IF(param_mode_affichage="mois",EOMONTH(BF$3,0),BF$3+6)),"◆",""))</f>
      </c>
      <c r="BG65" s="26">
        <f>IF(OR($A65="",BG$3=""),"",IF(AND($J65&lt;&gt;"",$K65&lt;&gt;"",$J65=$K65,$J65&gt;=BG$3,$J65&lt;=IF(param_mode_affichage="mois",EOMONTH(BG$3,0),BG$3+6)),"◆",""))</f>
      </c>
      <c r="BH65" s="26">
        <f>IF(OR($A65="",BH$3=""),"",IF(AND($J65&lt;&gt;"",$K65&lt;&gt;"",$J65=$K65,$J65&gt;=BH$3,$J65&lt;=IF(param_mode_affichage="mois",EOMONTH(BH$3,0),BH$3+6)),"◆",""))</f>
      </c>
      <c r="BI65" s="26">
        <f>IF(OR($A65="",BI$3=""),"",IF(AND($J65&lt;&gt;"",$K65&lt;&gt;"",$J65=$K65,$J65&gt;=BI$3,$J65&lt;=IF(param_mode_affichage="mois",EOMONTH(BI$3,0),BI$3+6)),"◆",""))</f>
      </c>
      <c r="BJ65" s="26">
        <f>IF(OR($A65="",BJ$3=""),"",IF(AND($J65&lt;&gt;"",$K65&lt;&gt;"",$J65=$K65,$J65&gt;=BJ$3,$J65&lt;=IF(param_mode_affichage="mois",EOMONTH(BJ$3,0),BJ$3+6)),"◆",""))</f>
      </c>
      <c r="BK65" s="26">
        <f>IF(OR($A65="",BK$3=""),"",IF(AND($J65&lt;&gt;"",$K65&lt;&gt;"",$J65=$K65,$J65&gt;=BK$3,$J65&lt;=IF(param_mode_affichage="mois",EOMONTH(BK$3,0),BK$3+6)),"◆",""))</f>
      </c>
      <c r="BL65" s="26">
        <f>IF(OR($A65="",BL$3=""),"",IF(AND($J65&lt;&gt;"",$K65&lt;&gt;"",$J65=$K65,$J65&gt;=BL$3,$J65&lt;=IF(param_mode_affichage="mois",EOMONTH(BL$3,0),BL$3+6)),"◆",""))</f>
      </c>
    </row>
    <row r="66" spans="1:64" x14ac:dyDescent="0.25">
      <c r="A66" s="23">
        <f>IFERROR(INDEX(tblTasks[ID],ROW()-4),"")</f>
      </c>
      <c r="B66" s="24">
        <f>IF($A66="","",INDEX(tblTasks[Sujet],ROW()-4))</f>
      </c>
      <c r="C66" s="23">
        <f>IF($A66="","",INDEX(tblTasks[Responsable],ROW()-4))</f>
      </c>
      <c r="D66" s="23">
        <f>IF($A66="","",INDEX(tblTasks[Statut],ROW()-4))</f>
      </c>
      <c r="E66" s="23">
        <f>IF($A66="","",INDEX(tblTasks[Depend_de],ROW()-4))</f>
      </c>
      <c r="F66" s="23">
        <f>IF($A66="","",INDEX(tblTasks[Blocage],ROW()-4))</f>
      </c>
      <c r="G66" s="23">
        <f>IF($A66="","",INDEX(tblTasks[Niveau_criticite],ROW()-4))</f>
      </c>
      <c r="H66" s="23">
        <f>IF($A66="","",INDEX(tblTasks[Goulot],ROW()-4))</f>
      </c>
      <c r="I66" s="23">
        <f>IF($A66="","",IF(LOWER($F66)="oui","non",IF($E66="","oui",IFERROR(IF(LOWER(INDEX(tblTasks[Statut],MATCH($E66,tblTasks[ID],0)))="clos","oui","non"),"non"))))</f>
      </c>
      <c r="J66" s="25">
        <f>IF($A66="","",INDEX(tblTasks[Date_debut_prevue],ROW()-4))</f>
      </c>
      <c r="K66" s="25">
        <f>IF($A66="","",INDEX(tblTasks[Date_fin_prevue],ROW()-4))</f>
      </c>
      <c r="L66" s="23">
        <f>IF($A66="","",INDEX(tblTasks[Irreversibilite],ROW()-4))</f>
      </c>
      <c r="M66" s="26">
        <f>IF(OR($A66="",M$3=""),"",IF(AND($J66&lt;&gt;"",$K66&lt;&gt;"",$J66=$K66,$J66&gt;=M$3,$J66&lt;=IF(param_mode_affichage="mois",EOMONTH(M$3,0),M$3+6)),"◆",""))</f>
      </c>
      <c r="N66" s="26">
        <f>IF(OR($A66="",N$3=""),"",IF(AND($J66&lt;&gt;"",$K66&lt;&gt;"",$J66=$K66,$J66&gt;=N$3,$J66&lt;=IF(param_mode_affichage="mois",EOMONTH(N$3,0),N$3+6)),"◆",""))</f>
      </c>
      <c r="O66" s="26">
        <f>IF(OR($A66="",O$3=""),"",IF(AND($J66&lt;&gt;"",$K66&lt;&gt;"",$J66=$K66,$J66&gt;=O$3,$J66&lt;=IF(param_mode_affichage="mois",EOMONTH(O$3,0),O$3+6)),"◆",""))</f>
      </c>
      <c r="P66" s="26">
        <f>IF(OR($A66="",P$3=""),"",IF(AND($J66&lt;&gt;"",$K66&lt;&gt;"",$J66=$K66,$J66&gt;=P$3,$J66&lt;=IF(param_mode_affichage="mois",EOMONTH(P$3,0),P$3+6)),"◆",""))</f>
      </c>
      <c r="Q66" s="26">
        <f>IF(OR($A66="",Q$3=""),"",IF(AND($J66&lt;&gt;"",$K66&lt;&gt;"",$J66=$K66,$J66&gt;=Q$3,$J66&lt;=IF(param_mode_affichage="mois",EOMONTH(Q$3,0),Q$3+6)),"◆",""))</f>
      </c>
      <c r="R66" s="26">
        <f>IF(OR($A66="",R$3=""),"",IF(AND($J66&lt;&gt;"",$K66&lt;&gt;"",$J66=$K66,$J66&gt;=R$3,$J66&lt;=IF(param_mode_affichage="mois",EOMONTH(R$3,0),R$3+6)),"◆",""))</f>
      </c>
      <c r="S66" s="26">
        <f>IF(OR($A66="",S$3=""),"",IF(AND($J66&lt;&gt;"",$K66&lt;&gt;"",$J66=$K66,$J66&gt;=S$3,$J66&lt;=IF(param_mode_affichage="mois",EOMONTH(S$3,0),S$3+6)),"◆",""))</f>
      </c>
      <c r="T66" s="26">
        <f>IF(OR($A66="",T$3=""),"",IF(AND($J66&lt;&gt;"",$K66&lt;&gt;"",$J66=$K66,$J66&gt;=T$3,$J66&lt;=IF(param_mode_affichage="mois",EOMONTH(T$3,0),T$3+6)),"◆",""))</f>
      </c>
      <c r="U66" s="26">
        <f>IF(OR($A66="",U$3=""),"",IF(AND($J66&lt;&gt;"",$K66&lt;&gt;"",$J66=$K66,$J66&gt;=U$3,$J66&lt;=IF(param_mode_affichage="mois",EOMONTH(U$3,0),U$3+6)),"◆",""))</f>
      </c>
      <c r="V66" s="26">
        <f>IF(OR($A66="",V$3=""),"",IF(AND($J66&lt;&gt;"",$K66&lt;&gt;"",$J66=$K66,$J66&gt;=V$3,$J66&lt;=IF(param_mode_affichage="mois",EOMONTH(V$3,0),V$3+6)),"◆",""))</f>
      </c>
      <c r="W66" s="26">
        <f>IF(OR($A66="",W$3=""),"",IF(AND($J66&lt;&gt;"",$K66&lt;&gt;"",$J66=$K66,$J66&gt;=W$3,$J66&lt;=IF(param_mode_affichage="mois",EOMONTH(W$3,0),W$3+6)),"◆",""))</f>
      </c>
      <c r="X66" s="26">
        <f>IF(OR($A66="",X$3=""),"",IF(AND($J66&lt;&gt;"",$K66&lt;&gt;"",$J66=$K66,$J66&gt;=X$3,$J66&lt;=IF(param_mode_affichage="mois",EOMONTH(X$3,0),X$3+6)),"◆",""))</f>
      </c>
      <c r="Y66" s="26">
        <f>IF(OR($A66="",Y$3=""),"",IF(AND($J66&lt;&gt;"",$K66&lt;&gt;"",$J66=$K66,$J66&gt;=Y$3,$J66&lt;=IF(param_mode_affichage="mois",EOMONTH(Y$3,0),Y$3+6)),"◆",""))</f>
      </c>
      <c r="Z66" s="26">
        <f>IF(OR($A66="",Z$3=""),"",IF(AND($J66&lt;&gt;"",$K66&lt;&gt;"",$J66=$K66,$J66&gt;=Z$3,$J66&lt;=IF(param_mode_affichage="mois",EOMONTH(Z$3,0),Z$3+6)),"◆",""))</f>
      </c>
      <c r="AA66" s="26">
        <f>IF(OR($A66="",AA$3=""),"",IF(AND($J66&lt;&gt;"",$K66&lt;&gt;"",$J66=$K66,$J66&gt;=AA$3,$J66&lt;=IF(param_mode_affichage="mois",EOMONTH(AA$3,0),AA$3+6)),"◆",""))</f>
      </c>
      <c r="AB66" s="26">
        <f>IF(OR($A66="",AB$3=""),"",IF(AND($J66&lt;&gt;"",$K66&lt;&gt;"",$J66=$K66,$J66&gt;=AB$3,$J66&lt;=IF(param_mode_affichage="mois",EOMONTH(AB$3,0),AB$3+6)),"◆",""))</f>
      </c>
      <c r="AC66" s="26">
        <f>IF(OR($A66="",AC$3=""),"",IF(AND($J66&lt;&gt;"",$K66&lt;&gt;"",$J66=$K66,$J66&gt;=AC$3,$J66&lt;=IF(param_mode_affichage="mois",EOMONTH(AC$3,0),AC$3+6)),"◆",""))</f>
      </c>
      <c r="AD66" s="26">
        <f>IF(OR($A66="",AD$3=""),"",IF(AND($J66&lt;&gt;"",$K66&lt;&gt;"",$J66=$K66,$J66&gt;=AD$3,$J66&lt;=IF(param_mode_affichage="mois",EOMONTH(AD$3,0),AD$3+6)),"◆",""))</f>
      </c>
      <c r="AE66" s="26">
        <f>IF(OR($A66="",AE$3=""),"",IF(AND($J66&lt;&gt;"",$K66&lt;&gt;"",$J66=$K66,$J66&gt;=AE$3,$J66&lt;=IF(param_mode_affichage="mois",EOMONTH(AE$3,0),AE$3+6)),"◆",""))</f>
      </c>
      <c r="AF66" s="26">
        <f>IF(OR($A66="",AF$3=""),"",IF(AND($J66&lt;&gt;"",$K66&lt;&gt;"",$J66=$K66,$J66&gt;=AF$3,$J66&lt;=IF(param_mode_affichage="mois",EOMONTH(AF$3,0),AF$3+6)),"◆",""))</f>
      </c>
      <c r="AG66" s="26">
        <f>IF(OR($A66="",AG$3=""),"",IF(AND($J66&lt;&gt;"",$K66&lt;&gt;"",$J66=$K66,$J66&gt;=AG$3,$J66&lt;=IF(param_mode_affichage="mois",EOMONTH(AG$3,0),AG$3+6)),"◆",""))</f>
      </c>
      <c r="AH66" s="26">
        <f>IF(OR($A66="",AH$3=""),"",IF(AND($J66&lt;&gt;"",$K66&lt;&gt;"",$J66=$K66,$J66&gt;=AH$3,$J66&lt;=IF(param_mode_affichage="mois",EOMONTH(AH$3,0),AH$3+6)),"◆",""))</f>
      </c>
      <c r="AI66" s="26">
        <f>IF(OR($A66="",AI$3=""),"",IF(AND($J66&lt;&gt;"",$K66&lt;&gt;"",$J66=$K66,$J66&gt;=AI$3,$J66&lt;=IF(param_mode_affichage="mois",EOMONTH(AI$3,0),AI$3+6)),"◆",""))</f>
      </c>
      <c r="AJ66" s="26">
        <f>IF(OR($A66="",AJ$3=""),"",IF(AND($J66&lt;&gt;"",$K66&lt;&gt;"",$J66=$K66,$J66&gt;=AJ$3,$J66&lt;=IF(param_mode_affichage="mois",EOMONTH(AJ$3,0),AJ$3+6)),"◆",""))</f>
      </c>
      <c r="AK66" s="26">
        <f>IF(OR($A66="",AK$3=""),"",IF(AND($J66&lt;&gt;"",$K66&lt;&gt;"",$J66=$K66,$J66&gt;=AK$3,$J66&lt;=IF(param_mode_affichage="mois",EOMONTH(AK$3,0),AK$3+6)),"◆",""))</f>
      </c>
      <c r="AL66" s="26">
        <f>IF(OR($A66="",AL$3=""),"",IF(AND($J66&lt;&gt;"",$K66&lt;&gt;"",$J66=$K66,$J66&gt;=AL$3,$J66&lt;=IF(param_mode_affichage="mois",EOMONTH(AL$3,0),AL$3+6)),"◆",""))</f>
      </c>
      <c r="AM66" s="26">
        <f>IF(OR($A66="",AM$3=""),"",IF(AND($J66&lt;&gt;"",$K66&lt;&gt;"",$J66=$K66,$J66&gt;=AM$3,$J66&lt;=IF(param_mode_affichage="mois",EOMONTH(AM$3,0),AM$3+6)),"◆",""))</f>
      </c>
      <c r="AN66" s="26">
        <f>IF(OR($A66="",AN$3=""),"",IF(AND($J66&lt;&gt;"",$K66&lt;&gt;"",$J66=$K66,$J66&gt;=AN$3,$J66&lt;=IF(param_mode_affichage="mois",EOMONTH(AN$3,0),AN$3+6)),"◆",""))</f>
      </c>
      <c r="AO66" s="26">
        <f>IF(OR($A66="",AO$3=""),"",IF(AND($J66&lt;&gt;"",$K66&lt;&gt;"",$J66=$K66,$J66&gt;=AO$3,$J66&lt;=IF(param_mode_affichage="mois",EOMONTH(AO$3,0),AO$3+6)),"◆",""))</f>
      </c>
      <c r="AP66" s="26">
        <f>IF(OR($A66="",AP$3=""),"",IF(AND($J66&lt;&gt;"",$K66&lt;&gt;"",$J66=$K66,$J66&gt;=AP$3,$J66&lt;=IF(param_mode_affichage="mois",EOMONTH(AP$3,0),AP$3+6)),"◆",""))</f>
      </c>
      <c r="AQ66" s="26">
        <f>IF(OR($A66="",AQ$3=""),"",IF(AND($J66&lt;&gt;"",$K66&lt;&gt;"",$J66=$K66,$J66&gt;=AQ$3,$J66&lt;=IF(param_mode_affichage="mois",EOMONTH(AQ$3,0),AQ$3+6)),"◆",""))</f>
      </c>
      <c r="AR66" s="26">
        <f>IF(OR($A66="",AR$3=""),"",IF(AND($J66&lt;&gt;"",$K66&lt;&gt;"",$J66=$K66,$J66&gt;=AR$3,$J66&lt;=IF(param_mode_affichage="mois",EOMONTH(AR$3,0),AR$3+6)),"◆",""))</f>
      </c>
      <c r="AS66" s="26">
        <f>IF(OR($A66="",AS$3=""),"",IF(AND($J66&lt;&gt;"",$K66&lt;&gt;"",$J66=$K66,$J66&gt;=AS$3,$J66&lt;=IF(param_mode_affichage="mois",EOMONTH(AS$3,0),AS$3+6)),"◆",""))</f>
      </c>
      <c r="AT66" s="26">
        <f>IF(OR($A66="",AT$3=""),"",IF(AND($J66&lt;&gt;"",$K66&lt;&gt;"",$J66=$K66,$J66&gt;=AT$3,$J66&lt;=IF(param_mode_affichage="mois",EOMONTH(AT$3,0),AT$3+6)),"◆",""))</f>
      </c>
      <c r="AU66" s="26">
        <f>IF(OR($A66="",AU$3=""),"",IF(AND($J66&lt;&gt;"",$K66&lt;&gt;"",$J66=$K66,$J66&gt;=AU$3,$J66&lt;=IF(param_mode_affichage="mois",EOMONTH(AU$3,0),AU$3+6)),"◆",""))</f>
      </c>
      <c r="AV66" s="26">
        <f>IF(OR($A66="",AV$3=""),"",IF(AND($J66&lt;&gt;"",$K66&lt;&gt;"",$J66=$K66,$J66&gt;=AV$3,$J66&lt;=IF(param_mode_affichage="mois",EOMONTH(AV$3,0),AV$3+6)),"◆",""))</f>
      </c>
      <c r="AW66" s="26">
        <f>IF(OR($A66="",AW$3=""),"",IF(AND($J66&lt;&gt;"",$K66&lt;&gt;"",$J66=$K66,$J66&gt;=AW$3,$J66&lt;=IF(param_mode_affichage="mois",EOMONTH(AW$3,0),AW$3+6)),"◆",""))</f>
      </c>
      <c r="AX66" s="26">
        <f>IF(OR($A66="",AX$3=""),"",IF(AND($J66&lt;&gt;"",$K66&lt;&gt;"",$J66=$K66,$J66&gt;=AX$3,$J66&lt;=IF(param_mode_affichage="mois",EOMONTH(AX$3,0),AX$3+6)),"◆",""))</f>
      </c>
      <c r="AY66" s="26">
        <f>IF(OR($A66="",AY$3=""),"",IF(AND($J66&lt;&gt;"",$K66&lt;&gt;"",$J66=$K66,$J66&gt;=AY$3,$J66&lt;=IF(param_mode_affichage="mois",EOMONTH(AY$3,0),AY$3+6)),"◆",""))</f>
      </c>
      <c r="AZ66" s="26">
        <f>IF(OR($A66="",AZ$3=""),"",IF(AND($J66&lt;&gt;"",$K66&lt;&gt;"",$J66=$K66,$J66&gt;=AZ$3,$J66&lt;=IF(param_mode_affichage="mois",EOMONTH(AZ$3,0),AZ$3+6)),"◆",""))</f>
      </c>
      <c r="BA66" s="26">
        <f>IF(OR($A66="",BA$3=""),"",IF(AND($J66&lt;&gt;"",$K66&lt;&gt;"",$J66=$K66,$J66&gt;=BA$3,$J66&lt;=IF(param_mode_affichage="mois",EOMONTH(BA$3,0),BA$3+6)),"◆",""))</f>
      </c>
      <c r="BB66" s="26">
        <f>IF(OR($A66="",BB$3=""),"",IF(AND($J66&lt;&gt;"",$K66&lt;&gt;"",$J66=$K66,$J66&gt;=BB$3,$J66&lt;=IF(param_mode_affichage="mois",EOMONTH(BB$3,0),BB$3+6)),"◆",""))</f>
      </c>
      <c r="BC66" s="26">
        <f>IF(OR($A66="",BC$3=""),"",IF(AND($J66&lt;&gt;"",$K66&lt;&gt;"",$J66=$K66,$J66&gt;=BC$3,$J66&lt;=IF(param_mode_affichage="mois",EOMONTH(BC$3,0),BC$3+6)),"◆",""))</f>
      </c>
      <c r="BD66" s="26">
        <f>IF(OR($A66="",BD$3=""),"",IF(AND($J66&lt;&gt;"",$K66&lt;&gt;"",$J66=$K66,$J66&gt;=BD$3,$J66&lt;=IF(param_mode_affichage="mois",EOMONTH(BD$3,0),BD$3+6)),"◆",""))</f>
      </c>
      <c r="BE66" s="26">
        <f>IF(OR($A66="",BE$3=""),"",IF(AND($J66&lt;&gt;"",$K66&lt;&gt;"",$J66=$K66,$J66&gt;=BE$3,$J66&lt;=IF(param_mode_affichage="mois",EOMONTH(BE$3,0),BE$3+6)),"◆",""))</f>
      </c>
      <c r="BF66" s="26">
        <f>IF(OR($A66="",BF$3=""),"",IF(AND($J66&lt;&gt;"",$K66&lt;&gt;"",$J66=$K66,$J66&gt;=BF$3,$J66&lt;=IF(param_mode_affichage="mois",EOMONTH(BF$3,0),BF$3+6)),"◆",""))</f>
      </c>
      <c r="BG66" s="26">
        <f>IF(OR($A66="",BG$3=""),"",IF(AND($J66&lt;&gt;"",$K66&lt;&gt;"",$J66=$K66,$J66&gt;=BG$3,$J66&lt;=IF(param_mode_affichage="mois",EOMONTH(BG$3,0),BG$3+6)),"◆",""))</f>
      </c>
      <c r="BH66" s="26">
        <f>IF(OR($A66="",BH$3=""),"",IF(AND($J66&lt;&gt;"",$K66&lt;&gt;"",$J66=$K66,$J66&gt;=BH$3,$J66&lt;=IF(param_mode_affichage="mois",EOMONTH(BH$3,0),BH$3+6)),"◆",""))</f>
      </c>
      <c r="BI66" s="26">
        <f>IF(OR($A66="",BI$3=""),"",IF(AND($J66&lt;&gt;"",$K66&lt;&gt;"",$J66=$K66,$J66&gt;=BI$3,$J66&lt;=IF(param_mode_affichage="mois",EOMONTH(BI$3,0),BI$3+6)),"◆",""))</f>
      </c>
      <c r="BJ66" s="26">
        <f>IF(OR($A66="",BJ$3=""),"",IF(AND($J66&lt;&gt;"",$K66&lt;&gt;"",$J66=$K66,$J66&gt;=BJ$3,$J66&lt;=IF(param_mode_affichage="mois",EOMONTH(BJ$3,0),BJ$3+6)),"◆",""))</f>
      </c>
      <c r="BK66" s="26">
        <f>IF(OR($A66="",BK$3=""),"",IF(AND($J66&lt;&gt;"",$K66&lt;&gt;"",$J66=$K66,$J66&gt;=BK$3,$J66&lt;=IF(param_mode_affichage="mois",EOMONTH(BK$3,0),BK$3+6)),"◆",""))</f>
      </c>
      <c r="BL66" s="26">
        <f>IF(OR($A66="",BL$3=""),"",IF(AND($J66&lt;&gt;"",$K66&lt;&gt;"",$J66=$K66,$J66&gt;=BL$3,$J66&lt;=IF(param_mode_affichage="mois",EOMONTH(BL$3,0),BL$3+6)),"◆",""))</f>
      </c>
    </row>
    <row r="67" spans="1:64" x14ac:dyDescent="0.25">
      <c r="A67" s="23">
        <f>IFERROR(INDEX(tblTasks[ID],ROW()-4),"")</f>
      </c>
      <c r="B67" s="24">
        <f>IF($A67="","",INDEX(tblTasks[Sujet],ROW()-4))</f>
      </c>
      <c r="C67" s="23">
        <f>IF($A67="","",INDEX(tblTasks[Responsable],ROW()-4))</f>
      </c>
      <c r="D67" s="23">
        <f>IF($A67="","",INDEX(tblTasks[Statut],ROW()-4))</f>
      </c>
      <c r="E67" s="23">
        <f>IF($A67="","",INDEX(tblTasks[Depend_de],ROW()-4))</f>
      </c>
      <c r="F67" s="23">
        <f>IF($A67="","",INDEX(tblTasks[Blocage],ROW()-4))</f>
      </c>
      <c r="G67" s="23">
        <f>IF($A67="","",INDEX(tblTasks[Niveau_criticite],ROW()-4))</f>
      </c>
      <c r="H67" s="23">
        <f>IF($A67="","",INDEX(tblTasks[Goulot],ROW()-4))</f>
      </c>
      <c r="I67" s="23">
        <f>IF($A67="","",IF(LOWER($F67)="oui","non",IF($E67="","oui",IFERROR(IF(LOWER(INDEX(tblTasks[Statut],MATCH($E67,tblTasks[ID],0)))="clos","oui","non"),"non"))))</f>
      </c>
      <c r="J67" s="25">
        <f>IF($A67="","",INDEX(tblTasks[Date_debut_prevue],ROW()-4))</f>
      </c>
      <c r="K67" s="25">
        <f>IF($A67="","",INDEX(tblTasks[Date_fin_prevue],ROW()-4))</f>
      </c>
      <c r="L67" s="23">
        <f>IF($A67="","",INDEX(tblTasks[Irreversibilite],ROW()-4))</f>
      </c>
      <c r="M67" s="26">
        <f>IF(OR($A67="",M$3=""),"",IF(AND($J67&lt;&gt;"",$K67&lt;&gt;"",$J67=$K67,$J67&gt;=M$3,$J67&lt;=IF(param_mode_affichage="mois",EOMONTH(M$3,0),M$3+6)),"◆",""))</f>
      </c>
      <c r="N67" s="26">
        <f>IF(OR($A67="",N$3=""),"",IF(AND($J67&lt;&gt;"",$K67&lt;&gt;"",$J67=$K67,$J67&gt;=N$3,$J67&lt;=IF(param_mode_affichage="mois",EOMONTH(N$3,0),N$3+6)),"◆",""))</f>
      </c>
      <c r="O67" s="26">
        <f>IF(OR($A67="",O$3=""),"",IF(AND($J67&lt;&gt;"",$K67&lt;&gt;"",$J67=$K67,$J67&gt;=O$3,$J67&lt;=IF(param_mode_affichage="mois",EOMONTH(O$3,0),O$3+6)),"◆",""))</f>
      </c>
      <c r="P67" s="26">
        <f>IF(OR($A67="",P$3=""),"",IF(AND($J67&lt;&gt;"",$K67&lt;&gt;"",$J67=$K67,$J67&gt;=P$3,$J67&lt;=IF(param_mode_affichage="mois",EOMONTH(P$3,0),P$3+6)),"◆",""))</f>
      </c>
      <c r="Q67" s="26">
        <f>IF(OR($A67="",Q$3=""),"",IF(AND($J67&lt;&gt;"",$K67&lt;&gt;"",$J67=$K67,$J67&gt;=Q$3,$J67&lt;=IF(param_mode_affichage="mois",EOMONTH(Q$3,0),Q$3+6)),"◆",""))</f>
      </c>
      <c r="R67" s="26">
        <f>IF(OR($A67="",R$3=""),"",IF(AND($J67&lt;&gt;"",$K67&lt;&gt;"",$J67=$K67,$J67&gt;=R$3,$J67&lt;=IF(param_mode_affichage="mois",EOMONTH(R$3,0),R$3+6)),"◆",""))</f>
      </c>
      <c r="S67" s="26">
        <f>IF(OR($A67="",S$3=""),"",IF(AND($J67&lt;&gt;"",$K67&lt;&gt;"",$J67=$K67,$J67&gt;=S$3,$J67&lt;=IF(param_mode_affichage="mois",EOMONTH(S$3,0),S$3+6)),"◆",""))</f>
      </c>
      <c r="T67" s="26">
        <f>IF(OR($A67="",T$3=""),"",IF(AND($J67&lt;&gt;"",$K67&lt;&gt;"",$J67=$K67,$J67&gt;=T$3,$J67&lt;=IF(param_mode_affichage="mois",EOMONTH(T$3,0),T$3+6)),"◆",""))</f>
      </c>
      <c r="U67" s="26">
        <f>IF(OR($A67="",U$3=""),"",IF(AND($J67&lt;&gt;"",$K67&lt;&gt;"",$J67=$K67,$J67&gt;=U$3,$J67&lt;=IF(param_mode_affichage="mois",EOMONTH(U$3,0),U$3+6)),"◆",""))</f>
      </c>
      <c r="V67" s="26">
        <f>IF(OR($A67="",V$3=""),"",IF(AND($J67&lt;&gt;"",$K67&lt;&gt;"",$J67=$K67,$J67&gt;=V$3,$J67&lt;=IF(param_mode_affichage="mois",EOMONTH(V$3,0),V$3+6)),"◆",""))</f>
      </c>
      <c r="W67" s="26">
        <f>IF(OR($A67="",W$3=""),"",IF(AND($J67&lt;&gt;"",$K67&lt;&gt;"",$J67=$K67,$J67&gt;=W$3,$J67&lt;=IF(param_mode_affichage="mois",EOMONTH(W$3,0),W$3+6)),"◆",""))</f>
      </c>
      <c r="X67" s="26">
        <f>IF(OR($A67="",X$3=""),"",IF(AND($J67&lt;&gt;"",$K67&lt;&gt;"",$J67=$K67,$J67&gt;=X$3,$J67&lt;=IF(param_mode_affichage="mois",EOMONTH(X$3,0),X$3+6)),"◆",""))</f>
      </c>
      <c r="Y67" s="26">
        <f>IF(OR($A67="",Y$3=""),"",IF(AND($J67&lt;&gt;"",$K67&lt;&gt;"",$J67=$K67,$J67&gt;=Y$3,$J67&lt;=IF(param_mode_affichage="mois",EOMONTH(Y$3,0),Y$3+6)),"◆",""))</f>
      </c>
      <c r="Z67" s="26">
        <f>IF(OR($A67="",Z$3=""),"",IF(AND($J67&lt;&gt;"",$K67&lt;&gt;"",$J67=$K67,$J67&gt;=Z$3,$J67&lt;=IF(param_mode_affichage="mois",EOMONTH(Z$3,0),Z$3+6)),"◆",""))</f>
      </c>
      <c r="AA67" s="26">
        <f>IF(OR($A67="",AA$3=""),"",IF(AND($J67&lt;&gt;"",$K67&lt;&gt;"",$J67=$K67,$J67&gt;=AA$3,$J67&lt;=IF(param_mode_affichage="mois",EOMONTH(AA$3,0),AA$3+6)),"◆",""))</f>
      </c>
      <c r="AB67" s="26">
        <f>IF(OR($A67="",AB$3=""),"",IF(AND($J67&lt;&gt;"",$K67&lt;&gt;"",$J67=$K67,$J67&gt;=AB$3,$J67&lt;=IF(param_mode_affichage="mois",EOMONTH(AB$3,0),AB$3+6)),"◆",""))</f>
      </c>
      <c r="AC67" s="26">
        <f>IF(OR($A67="",AC$3=""),"",IF(AND($J67&lt;&gt;"",$K67&lt;&gt;"",$J67=$K67,$J67&gt;=AC$3,$J67&lt;=IF(param_mode_affichage="mois",EOMONTH(AC$3,0),AC$3+6)),"◆",""))</f>
      </c>
      <c r="AD67" s="26">
        <f>IF(OR($A67="",AD$3=""),"",IF(AND($J67&lt;&gt;"",$K67&lt;&gt;"",$J67=$K67,$J67&gt;=AD$3,$J67&lt;=IF(param_mode_affichage="mois",EOMONTH(AD$3,0),AD$3+6)),"◆",""))</f>
      </c>
      <c r="AE67" s="26">
        <f>IF(OR($A67="",AE$3=""),"",IF(AND($J67&lt;&gt;"",$K67&lt;&gt;"",$J67=$K67,$J67&gt;=AE$3,$J67&lt;=IF(param_mode_affichage="mois",EOMONTH(AE$3,0),AE$3+6)),"◆",""))</f>
      </c>
      <c r="AF67" s="26">
        <f>IF(OR($A67="",AF$3=""),"",IF(AND($J67&lt;&gt;"",$K67&lt;&gt;"",$J67=$K67,$J67&gt;=AF$3,$J67&lt;=IF(param_mode_affichage="mois",EOMONTH(AF$3,0),AF$3+6)),"◆",""))</f>
      </c>
      <c r="AG67" s="26">
        <f>IF(OR($A67="",AG$3=""),"",IF(AND($J67&lt;&gt;"",$K67&lt;&gt;"",$J67=$K67,$J67&gt;=AG$3,$J67&lt;=IF(param_mode_affichage="mois",EOMONTH(AG$3,0),AG$3+6)),"◆",""))</f>
      </c>
      <c r="AH67" s="26">
        <f>IF(OR($A67="",AH$3=""),"",IF(AND($J67&lt;&gt;"",$K67&lt;&gt;"",$J67=$K67,$J67&gt;=AH$3,$J67&lt;=IF(param_mode_affichage="mois",EOMONTH(AH$3,0),AH$3+6)),"◆",""))</f>
      </c>
      <c r="AI67" s="26">
        <f>IF(OR($A67="",AI$3=""),"",IF(AND($J67&lt;&gt;"",$K67&lt;&gt;"",$J67=$K67,$J67&gt;=AI$3,$J67&lt;=IF(param_mode_affichage="mois",EOMONTH(AI$3,0),AI$3+6)),"◆",""))</f>
      </c>
      <c r="AJ67" s="26">
        <f>IF(OR($A67="",AJ$3=""),"",IF(AND($J67&lt;&gt;"",$K67&lt;&gt;"",$J67=$K67,$J67&gt;=AJ$3,$J67&lt;=IF(param_mode_affichage="mois",EOMONTH(AJ$3,0),AJ$3+6)),"◆",""))</f>
      </c>
      <c r="AK67" s="26">
        <f>IF(OR($A67="",AK$3=""),"",IF(AND($J67&lt;&gt;"",$K67&lt;&gt;"",$J67=$K67,$J67&gt;=AK$3,$J67&lt;=IF(param_mode_affichage="mois",EOMONTH(AK$3,0),AK$3+6)),"◆",""))</f>
      </c>
      <c r="AL67" s="26">
        <f>IF(OR($A67="",AL$3=""),"",IF(AND($J67&lt;&gt;"",$K67&lt;&gt;"",$J67=$K67,$J67&gt;=AL$3,$J67&lt;=IF(param_mode_affichage="mois",EOMONTH(AL$3,0),AL$3+6)),"◆",""))</f>
      </c>
      <c r="AM67" s="26">
        <f>IF(OR($A67="",AM$3=""),"",IF(AND($J67&lt;&gt;"",$K67&lt;&gt;"",$J67=$K67,$J67&gt;=AM$3,$J67&lt;=IF(param_mode_affichage="mois",EOMONTH(AM$3,0),AM$3+6)),"◆",""))</f>
      </c>
      <c r="AN67" s="26">
        <f>IF(OR($A67="",AN$3=""),"",IF(AND($J67&lt;&gt;"",$K67&lt;&gt;"",$J67=$K67,$J67&gt;=AN$3,$J67&lt;=IF(param_mode_affichage="mois",EOMONTH(AN$3,0),AN$3+6)),"◆",""))</f>
      </c>
      <c r="AO67" s="26">
        <f>IF(OR($A67="",AO$3=""),"",IF(AND($J67&lt;&gt;"",$K67&lt;&gt;"",$J67=$K67,$J67&gt;=AO$3,$J67&lt;=IF(param_mode_affichage="mois",EOMONTH(AO$3,0),AO$3+6)),"◆",""))</f>
      </c>
      <c r="AP67" s="26">
        <f>IF(OR($A67="",AP$3=""),"",IF(AND($J67&lt;&gt;"",$K67&lt;&gt;"",$J67=$K67,$J67&gt;=AP$3,$J67&lt;=IF(param_mode_affichage="mois",EOMONTH(AP$3,0),AP$3+6)),"◆",""))</f>
      </c>
      <c r="AQ67" s="26">
        <f>IF(OR($A67="",AQ$3=""),"",IF(AND($J67&lt;&gt;"",$K67&lt;&gt;"",$J67=$K67,$J67&gt;=AQ$3,$J67&lt;=IF(param_mode_affichage="mois",EOMONTH(AQ$3,0),AQ$3+6)),"◆",""))</f>
      </c>
      <c r="AR67" s="26">
        <f>IF(OR($A67="",AR$3=""),"",IF(AND($J67&lt;&gt;"",$K67&lt;&gt;"",$J67=$K67,$J67&gt;=AR$3,$J67&lt;=IF(param_mode_affichage="mois",EOMONTH(AR$3,0),AR$3+6)),"◆",""))</f>
      </c>
      <c r="AS67" s="26">
        <f>IF(OR($A67="",AS$3=""),"",IF(AND($J67&lt;&gt;"",$K67&lt;&gt;"",$J67=$K67,$J67&gt;=AS$3,$J67&lt;=IF(param_mode_affichage="mois",EOMONTH(AS$3,0),AS$3+6)),"◆",""))</f>
      </c>
      <c r="AT67" s="26">
        <f>IF(OR($A67="",AT$3=""),"",IF(AND($J67&lt;&gt;"",$K67&lt;&gt;"",$J67=$K67,$J67&gt;=AT$3,$J67&lt;=IF(param_mode_affichage="mois",EOMONTH(AT$3,0),AT$3+6)),"◆",""))</f>
      </c>
      <c r="AU67" s="26">
        <f>IF(OR($A67="",AU$3=""),"",IF(AND($J67&lt;&gt;"",$K67&lt;&gt;"",$J67=$K67,$J67&gt;=AU$3,$J67&lt;=IF(param_mode_affichage="mois",EOMONTH(AU$3,0),AU$3+6)),"◆",""))</f>
      </c>
      <c r="AV67" s="26">
        <f>IF(OR($A67="",AV$3=""),"",IF(AND($J67&lt;&gt;"",$K67&lt;&gt;"",$J67=$K67,$J67&gt;=AV$3,$J67&lt;=IF(param_mode_affichage="mois",EOMONTH(AV$3,0),AV$3+6)),"◆",""))</f>
      </c>
      <c r="AW67" s="26">
        <f>IF(OR($A67="",AW$3=""),"",IF(AND($J67&lt;&gt;"",$K67&lt;&gt;"",$J67=$K67,$J67&gt;=AW$3,$J67&lt;=IF(param_mode_affichage="mois",EOMONTH(AW$3,0),AW$3+6)),"◆",""))</f>
      </c>
      <c r="AX67" s="26">
        <f>IF(OR($A67="",AX$3=""),"",IF(AND($J67&lt;&gt;"",$K67&lt;&gt;"",$J67=$K67,$J67&gt;=AX$3,$J67&lt;=IF(param_mode_affichage="mois",EOMONTH(AX$3,0),AX$3+6)),"◆",""))</f>
      </c>
      <c r="AY67" s="26">
        <f>IF(OR($A67="",AY$3=""),"",IF(AND($J67&lt;&gt;"",$K67&lt;&gt;"",$J67=$K67,$J67&gt;=AY$3,$J67&lt;=IF(param_mode_affichage="mois",EOMONTH(AY$3,0),AY$3+6)),"◆",""))</f>
      </c>
      <c r="AZ67" s="26">
        <f>IF(OR($A67="",AZ$3=""),"",IF(AND($J67&lt;&gt;"",$K67&lt;&gt;"",$J67=$K67,$J67&gt;=AZ$3,$J67&lt;=IF(param_mode_affichage="mois",EOMONTH(AZ$3,0),AZ$3+6)),"◆",""))</f>
      </c>
      <c r="BA67" s="26">
        <f>IF(OR($A67="",BA$3=""),"",IF(AND($J67&lt;&gt;"",$K67&lt;&gt;"",$J67=$K67,$J67&gt;=BA$3,$J67&lt;=IF(param_mode_affichage="mois",EOMONTH(BA$3,0),BA$3+6)),"◆",""))</f>
      </c>
      <c r="BB67" s="26">
        <f>IF(OR($A67="",BB$3=""),"",IF(AND($J67&lt;&gt;"",$K67&lt;&gt;"",$J67=$K67,$J67&gt;=BB$3,$J67&lt;=IF(param_mode_affichage="mois",EOMONTH(BB$3,0),BB$3+6)),"◆",""))</f>
      </c>
      <c r="BC67" s="26">
        <f>IF(OR($A67="",BC$3=""),"",IF(AND($J67&lt;&gt;"",$K67&lt;&gt;"",$J67=$K67,$J67&gt;=BC$3,$J67&lt;=IF(param_mode_affichage="mois",EOMONTH(BC$3,0),BC$3+6)),"◆",""))</f>
      </c>
      <c r="BD67" s="26">
        <f>IF(OR($A67="",BD$3=""),"",IF(AND($J67&lt;&gt;"",$K67&lt;&gt;"",$J67=$K67,$J67&gt;=BD$3,$J67&lt;=IF(param_mode_affichage="mois",EOMONTH(BD$3,0),BD$3+6)),"◆",""))</f>
      </c>
      <c r="BE67" s="26">
        <f>IF(OR($A67="",BE$3=""),"",IF(AND($J67&lt;&gt;"",$K67&lt;&gt;"",$J67=$K67,$J67&gt;=BE$3,$J67&lt;=IF(param_mode_affichage="mois",EOMONTH(BE$3,0),BE$3+6)),"◆",""))</f>
      </c>
      <c r="BF67" s="26">
        <f>IF(OR($A67="",BF$3=""),"",IF(AND($J67&lt;&gt;"",$K67&lt;&gt;"",$J67=$K67,$J67&gt;=BF$3,$J67&lt;=IF(param_mode_affichage="mois",EOMONTH(BF$3,0),BF$3+6)),"◆",""))</f>
      </c>
      <c r="BG67" s="26">
        <f>IF(OR($A67="",BG$3=""),"",IF(AND($J67&lt;&gt;"",$K67&lt;&gt;"",$J67=$K67,$J67&gt;=BG$3,$J67&lt;=IF(param_mode_affichage="mois",EOMONTH(BG$3,0),BG$3+6)),"◆",""))</f>
      </c>
      <c r="BH67" s="26">
        <f>IF(OR($A67="",BH$3=""),"",IF(AND($J67&lt;&gt;"",$K67&lt;&gt;"",$J67=$K67,$J67&gt;=BH$3,$J67&lt;=IF(param_mode_affichage="mois",EOMONTH(BH$3,0),BH$3+6)),"◆",""))</f>
      </c>
      <c r="BI67" s="26">
        <f>IF(OR($A67="",BI$3=""),"",IF(AND($J67&lt;&gt;"",$K67&lt;&gt;"",$J67=$K67,$J67&gt;=BI$3,$J67&lt;=IF(param_mode_affichage="mois",EOMONTH(BI$3,0),BI$3+6)),"◆",""))</f>
      </c>
      <c r="BJ67" s="26">
        <f>IF(OR($A67="",BJ$3=""),"",IF(AND($J67&lt;&gt;"",$K67&lt;&gt;"",$J67=$K67,$J67&gt;=BJ$3,$J67&lt;=IF(param_mode_affichage="mois",EOMONTH(BJ$3,0),BJ$3+6)),"◆",""))</f>
      </c>
      <c r="BK67" s="26">
        <f>IF(OR($A67="",BK$3=""),"",IF(AND($J67&lt;&gt;"",$K67&lt;&gt;"",$J67=$K67,$J67&gt;=BK$3,$J67&lt;=IF(param_mode_affichage="mois",EOMONTH(BK$3,0),BK$3+6)),"◆",""))</f>
      </c>
      <c r="BL67" s="26">
        <f>IF(OR($A67="",BL$3=""),"",IF(AND($J67&lt;&gt;"",$K67&lt;&gt;"",$J67=$K67,$J67&gt;=BL$3,$J67&lt;=IF(param_mode_affichage="mois",EOMONTH(BL$3,0),BL$3+6)),"◆",""))</f>
      </c>
    </row>
    <row r="68" spans="1:64" x14ac:dyDescent="0.25">
      <c r="A68" s="23">
        <f>IFERROR(INDEX(tblTasks[ID],ROW()-4),"")</f>
      </c>
      <c r="B68" s="24">
        <f>IF($A68="","",INDEX(tblTasks[Sujet],ROW()-4))</f>
      </c>
      <c r="C68" s="23">
        <f>IF($A68="","",INDEX(tblTasks[Responsable],ROW()-4))</f>
      </c>
      <c r="D68" s="23">
        <f>IF($A68="","",INDEX(tblTasks[Statut],ROW()-4))</f>
      </c>
      <c r="E68" s="23">
        <f>IF($A68="","",INDEX(tblTasks[Depend_de],ROW()-4))</f>
      </c>
      <c r="F68" s="23">
        <f>IF($A68="","",INDEX(tblTasks[Blocage],ROW()-4))</f>
      </c>
      <c r="G68" s="23">
        <f>IF($A68="","",INDEX(tblTasks[Niveau_criticite],ROW()-4))</f>
      </c>
      <c r="H68" s="23">
        <f>IF($A68="","",INDEX(tblTasks[Goulot],ROW()-4))</f>
      </c>
      <c r="I68" s="23">
        <f>IF($A68="","",IF(LOWER($F68)="oui","non",IF($E68="","oui",IFERROR(IF(LOWER(INDEX(tblTasks[Statut],MATCH($E68,tblTasks[ID],0)))="clos","oui","non"),"non"))))</f>
      </c>
      <c r="J68" s="25">
        <f>IF($A68="","",INDEX(tblTasks[Date_debut_prevue],ROW()-4))</f>
      </c>
      <c r="K68" s="25">
        <f>IF($A68="","",INDEX(tblTasks[Date_fin_prevue],ROW()-4))</f>
      </c>
      <c r="L68" s="23">
        <f>IF($A68="","",INDEX(tblTasks[Irreversibilite],ROW()-4))</f>
      </c>
      <c r="M68" s="26">
        <f>IF(OR($A68="",M$3=""),"",IF(AND($J68&lt;&gt;"",$K68&lt;&gt;"",$J68=$K68,$J68&gt;=M$3,$J68&lt;=IF(param_mode_affichage="mois",EOMONTH(M$3,0),M$3+6)),"◆",""))</f>
      </c>
      <c r="N68" s="26">
        <f>IF(OR($A68="",N$3=""),"",IF(AND($J68&lt;&gt;"",$K68&lt;&gt;"",$J68=$K68,$J68&gt;=N$3,$J68&lt;=IF(param_mode_affichage="mois",EOMONTH(N$3,0),N$3+6)),"◆",""))</f>
      </c>
      <c r="O68" s="26">
        <f>IF(OR($A68="",O$3=""),"",IF(AND($J68&lt;&gt;"",$K68&lt;&gt;"",$J68=$K68,$J68&gt;=O$3,$J68&lt;=IF(param_mode_affichage="mois",EOMONTH(O$3,0),O$3+6)),"◆",""))</f>
      </c>
      <c r="P68" s="26">
        <f>IF(OR($A68="",P$3=""),"",IF(AND($J68&lt;&gt;"",$K68&lt;&gt;"",$J68=$K68,$J68&gt;=P$3,$J68&lt;=IF(param_mode_affichage="mois",EOMONTH(P$3,0),P$3+6)),"◆",""))</f>
      </c>
      <c r="Q68" s="26">
        <f>IF(OR($A68="",Q$3=""),"",IF(AND($J68&lt;&gt;"",$K68&lt;&gt;"",$J68=$K68,$J68&gt;=Q$3,$J68&lt;=IF(param_mode_affichage="mois",EOMONTH(Q$3,0),Q$3+6)),"◆",""))</f>
      </c>
      <c r="R68" s="26">
        <f>IF(OR($A68="",R$3=""),"",IF(AND($J68&lt;&gt;"",$K68&lt;&gt;"",$J68=$K68,$J68&gt;=R$3,$J68&lt;=IF(param_mode_affichage="mois",EOMONTH(R$3,0),R$3+6)),"◆",""))</f>
      </c>
      <c r="S68" s="26">
        <f>IF(OR($A68="",S$3=""),"",IF(AND($J68&lt;&gt;"",$K68&lt;&gt;"",$J68=$K68,$J68&gt;=S$3,$J68&lt;=IF(param_mode_affichage="mois",EOMONTH(S$3,0),S$3+6)),"◆",""))</f>
      </c>
      <c r="T68" s="26">
        <f>IF(OR($A68="",T$3=""),"",IF(AND($J68&lt;&gt;"",$K68&lt;&gt;"",$J68=$K68,$J68&gt;=T$3,$J68&lt;=IF(param_mode_affichage="mois",EOMONTH(T$3,0),T$3+6)),"◆",""))</f>
      </c>
      <c r="U68" s="26">
        <f>IF(OR($A68="",U$3=""),"",IF(AND($J68&lt;&gt;"",$K68&lt;&gt;"",$J68=$K68,$J68&gt;=U$3,$J68&lt;=IF(param_mode_affichage="mois",EOMONTH(U$3,0),U$3+6)),"◆",""))</f>
      </c>
      <c r="V68" s="26">
        <f>IF(OR($A68="",V$3=""),"",IF(AND($J68&lt;&gt;"",$K68&lt;&gt;"",$J68=$K68,$J68&gt;=V$3,$J68&lt;=IF(param_mode_affichage="mois",EOMONTH(V$3,0),V$3+6)),"◆",""))</f>
      </c>
      <c r="W68" s="26">
        <f>IF(OR($A68="",W$3=""),"",IF(AND($J68&lt;&gt;"",$K68&lt;&gt;"",$J68=$K68,$J68&gt;=W$3,$J68&lt;=IF(param_mode_affichage="mois",EOMONTH(W$3,0),W$3+6)),"◆",""))</f>
      </c>
      <c r="X68" s="26">
        <f>IF(OR($A68="",X$3=""),"",IF(AND($J68&lt;&gt;"",$K68&lt;&gt;"",$J68=$K68,$J68&gt;=X$3,$J68&lt;=IF(param_mode_affichage="mois",EOMONTH(X$3,0),X$3+6)),"◆",""))</f>
      </c>
      <c r="Y68" s="26">
        <f>IF(OR($A68="",Y$3=""),"",IF(AND($J68&lt;&gt;"",$K68&lt;&gt;"",$J68=$K68,$J68&gt;=Y$3,$J68&lt;=IF(param_mode_affichage="mois",EOMONTH(Y$3,0),Y$3+6)),"◆",""))</f>
      </c>
      <c r="Z68" s="26">
        <f>IF(OR($A68="",Z$3=""),"",IF(AND($J68&lt;&gt;"",$K68&lt;&gt;"",$J68=$K68,$J68&gt;=Z$3,$J68&lt;=IF(param_mode_affichage="mois",EOMONTH(Z$3,0),Z$3+6)),"◆",""))</f>
      </c>
      <c r="AA68" s="26">
        <f>IF(OR($A68="",AA$3=""),"",IF(AND($J68&lt;&gt;"",$K68&lt;&gt;"",$J68=$K68,$J68&gt;=AA$3,$J68&lt;=IF(param_mode_affichage="mois",EOMONTH(AA$3,0),AA$3+6)),"◆",""))</f>
      </c>
      <c r="AB68" s="26">
        <f>IF(OR($A68="",AB$3=""),"",IF(AND($J68&lt;&gt;"",$K68&lt;&gt;"",$J68=$K68,$J68&gt;=AB$3,$J68&lt;=IF(param_mode_affichage="mois",EOMONTH(AB$3,0),AB$3+6)),"◆",""))</f>
      </c>
      <c r="AC68" s="26">
        <f>IF(OR($A68="",AC$3=""),"",IF(AND($J68&lt;&gt;"",$K68&lt;&gt;"",$J68=$K68,$J68&gt;=AC$3,$J68&lt;=IF(param_mode_affichage="mois",EOMONTH(AC$3,0),AC$3+6)),"◆",""))</f>
      </c>
      <c r="AD68" s="26">
        <f>IF(OR($A68="",AD$3=""),"",IF(AND($J68&lt;&gt;"",$K68&lt;&gt;"",$J68=$K68,$J68&gt;=AD$3,$J68&lt;=IF(param_mode_affichage="mois",EOMONTH(AD$3,0),AD$3+6)),"◆",""))</f>
      </c>
      <c r="AE68" s="26">
        <f>IF(OR($A68="",AE$3=""),"",IF(AND($J68&lt;&gt;"",$K68&lt;&gt;"",$J68=$K68,$J68&gt;=AE$3,$J68&lt;=IF(param_mode_affichage="mois",EOMONTH(AE$3,0),AE$3+6)),"◆",""))</f>
      </c>
      <c r="AF68" s="26">
        <f>IF(OR($A68="",AF$3=""),"",IF(AND($J68&lt;&gt;"",$K68&lt;&gt;"",$J68=$K68,$J68&gt;=AF$3,$J68&lt;=IF(param_mode_affichage="mois",EOMONTH(AF$3,0),AF$3+6)),"◆",""))</f>
      </c>
      <c r="AG68" s="26">
        <f>IF(OR($A68="",AG$3=""),"",IF(AND($J68&lt;&gt;"",$K68&lt;&gt;"",$J68=$K68,$J68&gt;=AG$3,$J68&lt;=IF(param_mode_affichage="mois",EOMONTH(AG$3,0),AG$3+6)),"◆",""))</f>
      </c>
      <c r="AH68" s="26">
        <f>IF(OR($A68="",AH$3=""),"",IF(AND($J68&lt;&gt;"",$K68&lt;&gt;"",$J68=$K68,$J68&gt;=AH$3,$J68&lt;=IF(param_mode_affichage="mois",EOMONTH(AH$3,0),AH$3+6)),"◆",""))</f>
      </c>
      <c r="AI68" s="26">
        <f>IF(OR($A68="",AI$3=""),"",IF(AND($J68&lt;&gt;"",$K68&lt;&gt;"",$J68=$K68,$J68&gt;=AI$3,$J68&lt;=IF(param_mode_affichage="mois",EOMONTH(AI$3,0),AI$3+6)),"◆",""))</f>
      </c>
      <c r="AJ68" s="26">
        <f>IF(OR($A68="",AJ$3=""),"",IF(AND($J68&lt;&gt;"",$K68&lt;&gt;"",$J68=$K68,$J68&gt;=AJ$3,$J68&lt;=IF(param_mode_affichage="mois",EOMONTH(AJ$3,0),AJ$3+6)),"◆",""))</f>
      </c>
      <c r="AK68" s="26">
        <f>IF(OR($A68="",AK$3=""),"",IF(AND($J68&lt;&gt;"",$K68&lt;&gt;"",$J68=$K68,$J68&gt;=AK$3,$J68&lt;=IF(param_mode_affichage="mois",EOMONTH(AK$3,0),AK$3+6)),"◆",""))</f>
      </c>
      <c r="AL68" s="26">
        <f>IF(OR($A68="",AL$3=""),"",IF(AND($J68&lt;&gt;"",$K68&lt;&gt;"",$J68=$K68,$J68&gt;=AL$3,$J68&lt;=IF(param_mode_affichage="mois",EOMONTH(AL$3,0),AL$3+6)),"◆",""))</f>
      </c>
      <c r="AM68" s="26">
        <f>IF(OR($A68="",AM$3=""),"",IF(AND($J68&lt;&gt;"",$K68&lt;&gt;"",$J68=$K68,$J68&gt;=AM$3,$J68&lt;=IF(param_mode_affichage="mois",EOMONTH(AM$3,0),AM$3+6)),"◆",""))</f>
      </c>
      <c r="AN68" s="26">
        <f>IF(OR($A68="",AN$3=""),"",IF(AND($J68&lt;&gt;"",$K68&lt;&gt;"",$J68=$K68,$J68&gt;=AN$3,$J68&lt;=IF(param_mode_affichage="mois",EOMONTH(AN$3,0),AN$3+6)),"◆",""))</f>
      </c>
      <c r="AO68" s="26">
        <f>IF(OR($A68="",AO$3=""),"",IF(AND($J68&lt;&gt;"",$K68&lt;&gt;"",$J68=$K68,$J68&gt;=AO$3,$J68&lt;=IF(param_mode_affichage="mois",EOMONTH(AO$3,0),AO$3+6)),"◆",""))</f>
      </c>
      <c r="AP68" s="26">
        <f>IF(OR($A68="",AP$3=""),"",IF(AND($J68&lt;&gt;"",$K68&lt;&gt;"",$J68=$K68,$J68&gt;=AP$3,$J68&lt;=IF(param_mode_affichage="mois",EOMONTH(AP$3,0),AP$3+6)),"◆",""))</f>
      </c>
      <c r="AQ68" s="26">
        <f>IF(OR($A68="",AQ$3=""),"",IF(AND($J68&lt;&gt;"",$K68&lt;&gt;"",$J68=$K68,$J68&gt;=AQ$3,$J68&lt;=IF(param_mode_affichage="mois",EOMONTH(AQ$3,0),AQ$3+6)),"◆",""))</f>
      </c>
      <c r="AR68" s="26">
        <f>IF(OR($A68="",AR$3=""),"",IF(AND($J68&lt;&gt;"",$K68&lt;&gt;"",$J68=$K68,$J68&gt;=AR$3,$J68&lt;=IF(param_mode_affichage="mois",EOMONTH(AR$3,0),AR$3+6)),"◆",""))</f>
      </c>
      <c r="AS68" s="26">
        <f>IF(OR($A68="",AS$3=""),"",IF(AND($J68&lt;&gt;"",$K68&lt;&gt;"",$J68=$K68,$J68&gt;=AS$3,$J68&lt;=IF(param_mode_affichage="mois",EOMONTH(AS$3,0),AS$3+6)),"◆",""))</f>
      </c>
      <c r="AT68" s="26">
        <f>IF(OR($A68="",AT$3=""),"",IF(AND($J68&lt;&gt;"",$K68&lt;&gt;"",$J68=$K68,$J68&gt;=AT$3,$J68&lt;=IF(param_mode_affichage="mois",EOMONTH(AT$3,0),AT$3+6)),"◆",""))</f>
      </c>
      <c r="AU68" s="26">
        <f>IF(OR($A68="",AU$3=""),"",IF(AND($J68&lt;&gt;"",$K68&lt;&gt;"",$J68=$K68,$J68&gt;=AU$3,$J68&lt;=IF(param_mode_affichage="mois",EOMONTH(AU$3,0),AU$3+6)),"◆",""))</f>
      </c>
      <c r="AV68" s="26">
        <f>IF(OR($A68="",AV$3=""),"",IF(AND($J68&lt;&gt;"",$K68&lt;&gt;"",$J68=$K68,$J68&gt;=AV$3,$J68&lt;=IF(param_mode_affichage="mois",EOMONTH(AV$3,0),AV$3+6)),"◆",""))</f>
      </c>
      <c r="AW68" s="26">
        <f>IF(OR($A68="",AW$3=""),"",IF(AND($J68&lt;&gt;"",$K68&lt;&gt;"",$J68=$K68,$J68&gt;=AW$3,$J68&lt;=IF(param_mode_affichage="mois",EOMONTH(AW$3,0),AW$3+6)),"◆",""))</f>
      </c>
      <c r="AX68" s="26">
        <f>IF(OR($A68="",AX$3=""),"",IF(AND($J68&lt;&gt;"",$K68&lt;&gt;"",$J68=$K68,$J68&gt;=AX$3,$J68&lt;=IF(param_mode_affichage="mois",EOMONTH(AX$3,0),AX$3+6)),"◆",""))</f>
      </c>
      <c r="AY68" s="26">
        <f>IF(OR($A68="",AY$3=""),"",IF(AND($J68&lt;&gt;"",$K68&lt;&gt;"",$J68=$K68,$J68&gt;=AY$3,$J68&lt;=IF(param_mode_affichage="mois",EOMONTH(AY$3,0),AY$3+6)),"◆",""))</f>
      </c>
      <c r="AZ68" s="26">
        <f>IF(OR($A68="",AZ$3=""),"",IF(AND($J68&lt;&gt;"",$K68&lt;&gt;"",$J68=$K68,$J68&gt;=AZ$3,$J68&lt;=IF(param_mode_affichage="mois",EOMONTH(AZ$3,0),AZ$3+6)),"◆",""))</f>
      </c>
      <c r="BA68" s="26">
        <f>IF(OR($A68="",BA$3=""),"",IF(AND($J68&lt;&gt;"",$K68&lt;&gt;"",$J68=$K68,$J68&gt;=BA$3,$J68&lt;=IF(param_mode_affichage="mois",EOMONTH(BA$3,0),BA$3+6)),"◆",""))</f>
      </c>
      <c r="BB68" s="26">
        <f>IF(OR($A68="",BB$3=""),"",IF(AND($J68&lt;&gt;"",$K68&lt;&gt;"",$J68=$K68,$J68&gt;=BB$3,$J68&lt;=IF(param_mode_affichage="mois",EOMONTH(BB$3,0),BB$3+6)),"◆",""))</f>
      </c>
      <c r="BC68" s="26">
        <f>IF(OR($A68="",BC$3=""),"",IF(AND($J68&lt;&gt;"",$K68&lt;&gt;"",$J68=$K68,$J68&gt;=BC$3,$J68&lt;=IF(param_mode_affichage="mois",EOMONTH(BC$3,0),BC$3+6)),"◆",""))</f>
      </c>
      <c r="BD68" s="26">
        <f>IF(OR($A68="",BD$3=""),"",IF(AND($J68&lt;&gt;"",$K68&lt;&gt;"",$J68=$K68,$J68&gt;=BD$3,$J68&lt;=IF(param_mode_affichage="mois",EOMONTH(BD$3,0),BD$3+6)),"◆",""))</f>
      </c>
      <c r="BE68" s="26">
        <f>IF(OR($A68="",BE$3=""),"",IF(AND($J68&lt;&gt;"",$K68&lt;&gt;"",$J68=$K68,$J68&gt;=BE$3,$J68&lt;=IF(param_mode_affichage="mois",EOMONTH(BE$3,0),BE$3+6)),"◆",""))</f>
      </c>
      <c r="BF68" s="26">
        <f>IF(OR($A68="",BF$3=""),"",IF(AND($J68&lt;&gt;"",$K68&lt;&gt;"",$J68=$K68,$J68&gt;=BF$3,$J68&lt;=IF(param_mode_affichage="mois",EOMONTH(BF$3,0),BF$3+6)),"◆",""))</f>
      </c>
      <c r="BG68" s="26">
        <f>IF(OR($A68="",BG$3=""),"",IF(AND($J68&lt;&gt;"",$K68&lt;&gt;"",$J68=$K68,$J68&gt;=BG$3,$J68&lt;=IF(param_mode_affichage="mois",EOMONTH(BG$3,0),BG$3+6)),"◆",""))</f>
      </c>
      <c r="BH68" s="26">
        <f>IF(OR($A68="",BH$3=""),"",IF(AND($J68&lt;&gt;"",$K68&lt;&gt;"",$J68=$K68,$J68&gt;=BH$3,$J68&lt;=IF(param_mode_affichage="mois",EOMONTH(BH$3,0),BH$3+6)),"◆",""))</f>
      </c>
      <c r="BI68" s="26">
        <f>IF(OR($A68="",BI$3=""),"",IF(AND($J68&lt;&gt;"",$K68&lt;&gt;"",$J68=$K68,$J68&gt;=BI$3,$J68&lt;=IF(param_mode_affichage="mois",EOMONTH(BI$3,0),BI$3+6)),"◆",""))</f>
      </c>
      <c r="BJ68" s="26">
        <f>IF(OR($A68="",BJ$3=""),"",IF(AND($J68&lt;&gt;"",$K68&lt;&gt;"",$J68=$K68,$J68&gt;=BJ$3,$J68&lt;=IF(param_mode_affichage="mois",EOMONTH(BJ$3,0),BJ$3+6)),"◆",""))</f>
      </c>
      <c r="BK68" s="26">
        <f>IF(OR($A68="",BK$3=""),"",IF(AND($J68&lt;&gt;"",$K68&lt;&gt;"",$J68=$K68,$J68&gt;=BK$3,$J68&lt;=IF(param_mode_affichage="mois",EOMONTH(BK$3,0),BK$3+6)),"◆",""))</f>
      </c>
      <c r="BL68" s="26">
        <f>IF(OR($A68="",BL$3=""),"",IF(AND($J68&lt;&gt;"",$K68&lt;&gt;"",$J68=$K68,$J68&gt;=BL$3,$J68&lt;=IF(param_mode_affichage="mois",EOMONTH(BL$3,0),BL$3+6)),"◆",""))</f>
      </c>
    </row>
    <row r="69" spans="1:64" x14ac:dyDescent="0.25">
      <c r="A69" s="23">
        <f>IFERROR(INDEX(tblTasks[ID],ROW()-4),"")</f>
      </c>
      <c r="B69" s="24">
        <f>IF($A69="","",INDEX(tblTasks[Sujet],ROW()-4))</f>
      </c>
      <c r="C69" s="23">
        <f>IF($A69="","",INDEX(tblTasks[Responsable],ROW()-4))</f>
      </c>
      <c r="D69" s="23">
        <f>IF($A69="","",INDEX(tblTasks[Statut],ROW()-4))</f>
      </c>
      <c r="E69" s="23">
        <f>IF($A69="","",INDEX(tblTasks[Depend_de],ROW()-4))</f>
      </c>
      <c r="F69" s="23">
        <f>IF($A69="","",INDEX(tblTasks[Blocage],ROW()-4))</f>
      </c>
      <c r="G69" s="23">
        <f>IF($A69="","",INDEX(tblTasks[Niveau_criticite],ROW()-4))</f>
      </c>
      <c r="H69" s="23">
        <f>IF($A69="","",INDEX(tblTasks[Goulot],ROW()-4))</f>
      </c>
      <c r="I69" s="23">
        <f>IF($A69="","",IF(LOWER($F69)="oui","non",IF($E69="","oui",IFERROR(IF(LOWER(INDEX(tblTasks[Statut],MATCH($E69,tblTasks[ID],0)))="clos","oui","non"),"non"))))</f>
      </c>
      <c r="J69" s="25">
        <f>IF($A69="","",INDEX(tblTasks[Date_debut_prevue],ROW()-4))</f>
      </c>
      <c r="K69" s="25">
        <f>IF($A69="","",INDEX(tblTasks[Date_fin_prevue],ROW()-4))</f>
      </c>
      <c r="L69" s="23">
        <f>IF($A69="","",INDEX(tblTasks[Irreversibilite],ROW()-4))</f>
      </c>
      <c r="M69" s="26">
        <f>IF(OR($A69="",M$3=""),"",IF(AND($J69&lt;&gt;"",$K69&lt;&gt;"",$J69=$K69,$J69&gt;=M$3,$J69&lt;=IF(param_mode_affichage="mois",EOMONTH(M$3,0),M$3+6)),"◆",""))</f>
      </c>
      <c r="N69" s="26">
        <f>IF(OR($A69="",N$3=""),"",IF(AND($J69&lt;&gt;"",$K69&lt;&gt;"",$J69=$K69,$J69&gt;=N$3,$J69&lt;=IF(param_mode_affichage="mois",EOMONTH(N$3,0),N$3+6)),"◆",""))</f>
      </c>
      <c r="O69" s="26">
        <f>IF(OR($A69="",O$3=""),"",IF(AND($J69&lt;&gt;"",$K69&lt;&gt;"",$J69=$K69,$J69&gt;=O$3,$J69&lt;=IF(param_mode_affichage="mois",EOMONTH(O$3,0),O$3+6)),"◆",""))</f>
      </c>
      <c r="P69" s="26">
        <f>IF(OR($A69="",P$3=""),"",IF(AND($J69&lt;&gt;"",$K69&lt;&gt;"",$J69=$K69,$J69&gt;=P$3,$J69&lt;=IF(param_mode_affichage="mois",EOMONTH(P$3,0),P$3+6)),"◆",""))</f>
      </c>
      <c r="Q69" s="26">
        <f>IF(OR($A69="",Q$3=""),"",IF(AND($J69&lt;&gt;"",$K69&lt;&gt;"",$J69=$K69,$J69&gt;=Q$3,$J69&lt;=IF(param_mode_affichage="mois",EOMONTH(Q$3,0),Q$3+6)),"◆",""))</f>
      </c>
      <c r="R69" s="26">
        <f>IF(OR($A69="",R$3=""),"",IF(AND($J69&lt;&gt;"",$K69&lt;&gt;"",$J69=$K69,$J69&gt;=R$3,$J69&lt;=IF(param_mode_affichage="mois",EOMONTH(R$3,0),R$3+6)),"◆",""))</f>
      </c>
      <c r="S69" s="26">
        <f>IF(OR($A69="",S$3=""),"",IF(AND($J69&lt;&gt;"",$K69&lt;&gt;"",$J69=$K69,$J69&gt;=S$3,$J69&lt;=IF(param_mode_affichage="mois",EOMONTH(S$3,0),S$3+6)),"◆",""))</f>
      </c>
      <c r="T69" s="26">
        <f>IF(OR($A69="",T$3=""),"",IF(AND($J69&lt;&gt;"",$K69&lt;&gt;"",$J69=$K69,$J69&gt;=T$3,$J69&lt;=IF(param_mode_affichage="mois",EOMONTH(T$3,0),T$3+6)),"◆",""))</f>
      </c>
      <c r="U69" s="26">
        <f>IF(OR($A69="",U$3=""),"",IF(AND($J69&lt;&gt;"",$K69&lt;&gt;"",$J69=$K69,$J69&gt;=U$3,$J69&lt;=IF(param_mode_affichage="mois",EOMONTH(U$3,0),U$3+6)),"◆",""))</f>
      </c>
      <c r="V69" s="26">
        <f>IF(OR($A69="",V$3=""),"",IF(AND($J69&lt;&gt;"",$K69&lt;&gt;"",$J69=$K69,$J69&gt;=V$3,$J69&lt;=IF(param_mode_affichage="mois",EOMONTH(V$3,0),V$3+6)),"◆",""))</f>
      </c>
      <c r="W69" s="26">
        <f>IF(OR($A69="",W$3=""),"",IF(AND($J69&lt;&gt;"",$K69&lt;&gt;"",$J69=$K69,$J69&gt;=W$3,$J69&lt;=IF(param_mode_affichage="mois",EOMONTH(W$3,0),W$3+6)),"◆",""))</f>
      </c>
      <c r="X69" s="26">
        <f>IF(OR($A69="",X$3=""),"",IF(AND($J69&lt;&gt;"",$K69&lt;&gt;"",$J69=$K69,$J69&gt;=X$3,$J69&lt;=IF(param_mode_affichage="mois",EOMONTH(X$3,0),X$3+6)),"◆",""))</f>
      </c>
      <c r="Y69" s="26">
        <f>IF(OR($A69="",Y$3=""),"",IF(AND($J69&lt;&gt;"",$K69&lt;&gt;"",$J69=$K69,$J69&gt;=Y$3,$J69&lt;=IF(param_mode_affichage="mois",EOMONTH(Y$3,0),Y$3+6)),"◆",""))</f>
      </c>
      <c r="Z69" s="26">
        <f>IF(OR($A69="",Z$3=""),"",IF(AND($J69&lt;&gt;"",$K69&lt;&gt;"",$J69=$K69,$J69&gt;=Z$3,$J69&lt;=IF(param_mode_affichage="mois",EOMONTH(Z$3,0),Z$3+6)),"◆",""))</f>
      </c>
      <c r="AA69" s="26">
        <f>IF(OR($A69="",AA$3=""),"",IF(AND($J69&lt;&gt;"",$K69&lt;&gt;"",$J69=$K69,$J69&gt;=AA$3,$J69&lt;=IF(param_mode_affichage="mois",EOMONTH(AA$3,0),AA$3+6)),"◆",""))</f>
      </c>
      <c r="AB69" s="26">
        <f>IF(OR($A69="",AB$3=""),"",IF(AND($J69&lt;&gt;"",$K69&lt;&gt;"",$J69=$K69,$J69&gt;=AB$3,$J69&lt;=IF(param_mode_affichage="mois",EOMONTH(AB$3,0),AB$3+6)),"◆",""))</f>
      </c>
      <c r="AC69" s="26">
        <f>IF(OR($A69="",AC$3=""),"",IF(AND($J69&lt;&gt;"",$K69&lt;&gt;"",$J69=$K69,$J69&gt;=AC$3,$J69&lt;=IF(param_mode_affichage="mois",EOMONTH(AC$3,0),AC$3+6)),"◆",""))</f>
      </c>
      <c r="AD69" s="26">
        <f>IF(OR($A69="",AD$3=""),"",IF(AND($J69&lt;&gt;"",$K69&lt;&gt;"",$J69=$K69,$J69&gt;=AD$3,$J69&lt;=IF(param_mode_affichage="mois",EOMONTH(AD$3,0),AD$3+6)),"◆",""))</f>
      </c>
      <c r="AE69" s="26">
        <f>IF(OR($A69="",AE$3=""),"",IF(AND($J69&lt;&gt;"",$K69&lt;&gt;"",$J69=$K69,$J69&gt;=AE$3,$J69&lt;=IF(param_mode_affichage="mois",EOMONTH(AE$3,0),AE$3+6)),"◆",""))</f>
      </c>
      <c r="AF69" s="26">
        <f>IF(OR($A69="",AF$3=""),"",IF(AND($J69&lt;&gt;"",$K69&lt;&gt;"",$J69=$K69,$J69&gt;=AF$3,$J69&lt;=IF(param_mode_affichage="mois",EOMONTH(AF$3,0),AF$3+6)),"◆",""))</f>
      </c>
      <c r="AG69" s="26">
        <f>IF(OR($A69="",AG$3=""),"",IF(AND($J69&lt;&gt;"",$K69&lt;&gt;"",$J69=$K69,$J69&gt;=AG$3,$J69&lt;=IF(param_mode_affichage="mois",EOMONTH(AG$3,0),AG$3+6)),"◆",""))</f>
      </c>
      <c r="AH69" s="26">
        <f>IF(OR($A69="",AH$3=""),"",IF(AND($J69&lt;&gt;"",$K69&lt;&gt;"",$J69=$K69,$J69&gt;=AH$3,$J69&lt;=IF(param_mode_affichage="mois",EOMONTH(AH$3,0),AH$3+6)),"◆",""))</f>
      </c>
      <c r="AI69" s="26">
        <f>IF(OR($A69="",AI$3=""),"",IF(AND($J69&lt;&gt;"",$K69&lt;&gt;"",$J69=$K69,$J69&gt;=AI$3,$J69&lt;=IF(param_mode_affichage="mois",EOMONTH(AI$3,0),AI$3+6)),"◆",""))</f>
      </c>
      <c r="AJ69" s="26">
        <f>IF(OR($A69="",AJ$3=""),"",IF(AND($J69&lt;&gt;"",$K69&lt;&gt;"",$J69=$K69,$J69&gt;=AJ$3,$J69&lt;=IF(param_mode_affichage="mois",EOMONTH(AJ$3,0),AJ$3+6)),"◆",""))</f>
      </c>
      <c r="AK69" s="26">
        <f>IF(OR($A69="",AK$3=""),"",IF(AND($J69&lt;&gt;"",$K69&lt;&gt;"",$J69=$K69,$J69&gt;=AK$3,$J69&lt;=IF(param_mode_affichage="mois",EOMONTH(AK$3,0),AK$3+6)),"◆",""))</f>
      </c>
      <c r="AL69" s="26">
        <f>IF(OR($A69="",AL$3=""),"",IF(AND($J69&lt;&gt;"",$K69&lt;&gt;"",$J69=$K69,$J69&gt;=AL$3,$J69&lt;=IF(param_mode_affichage="mois",EOMONTH(AL$3,0),AL$3+6)),"◆",""))</f>
      </c>
      <c r="AM69" s="26">
        <f>IF(OR($A69="",AM$3=""),"",IF(AND($J69&lt;&gt;"",$K69&lt;&gt;"",$J69=$K69,$J69&gt;=AM$3,$J69&lt;=IF(param_mode_affichage="mois",EOMONTH(AM$3,0),AM$3+6)),"◆",""))</f>
      </c>
      <c r="AN69" s="26">
        <f>IF(OR($A69="",AN$3=""),"",IF(AND($J69&lt;&gt;"",$K69&lt;&gt;"",$J69=$K69,$J69&gt;=AN$3,$J69&lt;=IF(param_mode_affichage="mois",EOMONTH(AN$3,0),AN$3+6)),"◆",""))</f>
      </c>
      <c r="AO69" s="26">
        <f>IF(OR($A69="",AO$3=""),"",IF(AND($J69&lt;&gt;"",$K69&lt;&gt;"",$J69=$K69,$J69&gt;=AO$3,$J69&lt;=IF(param_mode_affichage="mois",EOMONTH(AO$3,0),AO$3+6)),"◆",""))</f>
      </c>
      <c r="AP69" s="26">
        <f>IF(OR($A69="",AP$3=""),"",IF(AND($J69&lt;&gt;"",$K69&lt;&gt;"",$J69=$K69,$J69&gt;=AP$3,$J69&lt;=IF(param_mode_affichage="mois",EOMONTH(AP$3,0),AP$3+6)),"◆",""))</f>
      </c>
      <c r="AQ69" s="26">
        <f>IF(OR($A69="",AQ$3=""),"",IF(AND($J69&lt;&gt;"",$K69&lt;&gt;"",$J69=$K69,$J69&gt;=AQ$3,$J69&lt;=IF(param_mode_affichage="mois",EOMONTH(AQ$3,0),AQ$3+6)),"◆",""))</f>
      </c>
      <c r="AR69" s="26">
        <f>IF(OR($A69="",AR$3=""),"",IF(AND($J69&lt;&gt;"",$K69&lt;&gt;"",$J69=$K69,$J69&gt;=AR$3,$J69&lt;=IF(param_mode_affichage="mois",EOMONTH(AR$3,0),AR$3+6)),"◆",""))</f>
      </c>
      <c r="AS69" s="26">
        <f>IF(OR($A69="",AS$3=""),"",IF(AND($J69&lt;&gt;"",$K69&lt;&gt;"",$J69=$K69,$J69&gt;=AS$3,$J69&lt;=IF(param_mode_affichage="mois",EOMONTH(AS$3,0),AS$3+6)),"◆",""))</f>
      </c>
      <c r="AT69" s="26">
        <f>IF(OR($A69="",AT$3=""),"",IF(AND($J69&lt;&gt;"",$K69&lt;&gt;"",$J69=$K69,$J69&gt;=AT$3,$J69&lt;=IF(param_mode_affichage="mois",EOMONTH(AT$3,0),AT$3+6)),"◆",""))</f>
      </c>
      <c r="AU69" s="26">
        <f>IF(OR($A69="",AU$3=""),"",IF(AND($J69&lt;&gt;"",$K69&lt;&gt;"",$J69=$K69,$J69&gt;=AU$3,$J69&lt;=IF(param_mode_affichage="mois",EOMONTH(AU$3,0),AU$3+6)),"◆",""))</f>
      </c>
      <c r="AV69" s="26">
        <f>IF(OR($A69="",AV$3=""),"",IF(AND($J69&lt;&gt;"",$K69&lt;&gt;"",$J69=$K69,$J69&gt;=AV$3,$J69&lt;=IF(param_mode_affichage="mois",EOMONTH(AV$3,0),AV$3+6)),"◆",""))</f>
      </c>
      <c r="AW69" s="26">
        <f>IF(OR($A69="",AW$3=""),"",IF(AND($J69&lt;&gt;"",$K69&lt;&gt;"",$J69=$K69,$J69&gt;=AW$3,$J69&lt;=IF(param_mode_affichage="mois",EOMONTH(AW$3,0),AW$3+6)),"◆",""))</f>
      </c>
      <c r="AX69" s="26">
        <f>IF(OR($A69="",AX$3=""),"",IF(AND($J69&lt;&gt;"",$K69&lt;&gt;"",$J69=$K69,$J69&gt;=AX$3,$J69&lt;=IF(param_mode_affichage="mois",EOMONTH(AX$3,0),AX$3+6)),"◆",""))</f>
      </c>
      <c r="AY69" s="26">
        <f>IF(OR($A69="",AY$3=""),"",IF(AND($J69&lt;&gt;"",$K69&lt;&gt;"",$J69=$K69,$J69&gt;=AY$3,$J69&lt;=IF(param_mode_affichage="mois",EOMONTH(AY$3,0),AY$3+6)),"◆",""))</f>
      </c>
      <c r="AZ69" s="26">
        <f>IF(OR($A69="",AZ$3=""),"",IF(AND($J69&lt;&gt;"",$K69&lt;&gt;"",$J69=$K69,$J69&gt;=AZ$3,$J69&lt;=IF(param_mode_affichage="mois",EOMONTH(AZ$3,0),AZ$3+6)),"◆",""))</f>
      </c>
      <c r="BA69" s="26">
        <f>IF(OR($A69="",BA$3=""),"",IF(AND($J69&lt;&gt;"",$K69&lt;&gt;"",$J69=$K69,$J69&gt;=BA$3,$J69&lt;=IF(param_mode_affichage="mois",EOMONTH(BA$3,0),BA$3+6)),"◆",""))</f>
      </c>
      <c r="BB69" s="26">
        <f>IF(OR($A69="",BB$3=""),"",IF(AND($J69&lt;&gt;"",$K69&lt;&gt;"",$J69=$K69,$J69&gt;=BB$3,$J69&lt;=IF(param_mode_affichage="mois",EOMONTH(BB$3,0),BB$3+6)),"◆",""))</f>
      </c>
      <c r="BC69" s="26">
        <f>IF(OR($A69="",BC$3=""),"",IF(AND($J69&lt;&gt;"",$K69&lt;&gt;"",$J69=$K69,$J69&gt;=BC$3,$J69&lt;=IF(param_mode_affichage="mois",EOMONTH(BC$3,0),BC$3+6)),"◆",""))</f>
      </c>
      <c r="BD69" s="26">
        <f>IF(OR($A69="",BD$3=""),"",IF(AND($J69&lt;&gt;"",$K69&lt;&gt;"",$J69=$K69,$J69&gt;=BD$3,$J69&lt;=IF(param_mode_affichage="mois",EOMONTH(BD$3,0),BD$3+6)),"◆",""))</f>
      </c>
      <c r="BE69" s="26">
        <f>IF(OR($A69="",BE$3=""),"",IF(AND($J69&lt;&gt;"",$K69&lt;&gt;"",$J69=$K69,$J69&gt;=BE$3,$J69&lt;=IF(param_mode_affichage="mois",EOMONTH(BE$3,0),BE$3+6)),"◆",""))</f>
      </c>
      <c r="BF69" s="26">
        <f>IF(OR($A69="",BF$3=""),"",IF(AND($J69&lt;&gt;"",$K69&lt;&gt;"",$J69=$K69,$J69&gt;=BF$3,$J69&lt;=IF(param_mode_affichage="mois",EOMONTH(BF$3,0),BF$3+6)),"◆",""))</f>
      </c>
      <c r="BG69" s="26">
        <f>IF(OR($A69="",BG$3=""),"",IF(AND($J69&lt;&gt;"",$K69&lt;&gt;"",$J69=$K69,$J69&gt;=BG$3,$J69&lt;=IF(param_mode_affichage="mois",EOMONTH(BG$3,0),BG$3+6)),"◆",""))</f>
      </c>
      <c r="BH69" s="26">
        <f>IF(OR($A69="",BH$3=""),"",IF(AND($J69&lt;&gt;"",$K69&lt;&gt;"",$J69=$K69,$J69&gt;=BH$3,$J69&lt;=IF(param_mode_affichage="mois",EOMONTH(BH$3,0),BH$3+6)),"◆",""))</f>
      </c>
      <c r="BI69" s="26">
        <f>IF(OR($A69="",BI$3=""),"",IF(AND($J69&lt;&gt;"",$K69&lt;&gt;"",$J69=$K69,$J69&gt;=BI$3,$J69&lt;=IF(param_mode_affichage="mois",EOMONTH(BI$3,0),BI$3+6)),"◆",""))</f>
      </c>
      <c r="BJ69" s="26">
        <f>IF(OR($A69="",BJ$3=""),"",IF(AND($J69&lt;&gt;"",$K69&lt;&gt;"",$J69=$K69,$J69&gt;=BJ$3,$J69&lt;=IF(param_mode_affichage="mois",EOMONTH(BJ$3,0),BJ$3+6)),"◆",""))</f>
      </c>
      <c r="BK69" s="26">
        <f>IF(OR($A69="",BK$3=""),"",IF(AND($J69&lt;&gt;"",$K69&lt;&gt;"",$J69=$K69,$J69&gt;=BK$3,$J69&lt;=IF(param_mode_affichage="mois",EOMONTH(BK$3,0),BK$3+6)),"◆",""))</f>
      </c>
      <c r="BL69" s="26">
        <f>IF(OR($A69="",BL$3=""),"",IF(AND($J69&lt;&gt;"",$K69&lt;&gt;"",$J69=$K69,$J69&gt;=BL$3,$J69&lt;=IF(param_mode_affichage="mois",EOMONTH(BL$3,0),BL$3+6)),"◆",""))</f>
      </c>
    </row>
    <row r="70" spans="1:64" x14ac:dyDescent="0.25">
      <c r="A70" s="23">
        <f>IFERROR(INDEX(tblTasks[ID],ROW()-4),"")</f>
      </c>
      <c r="B70" s="24">
        <f>IF($A70="","",INDEX(tblTasks[Sujet],ROW()-4))</f>
      </c>
      <c r="C70" s="23">
        <f>IF($A70="","",INDEX(tblTasks[Responsable],ROW()-4))</f>
      </c>
      <c r="D70" s="23">
        <f>IF($A70="","",INDEX(tblTasks[Statut],ROW()-4))</f>
      </c>
      <c r="E70" s="23">
        <f>IF($A70="","",INDEX(tblTasks[Depend_de],ROW()-4))</f>
      </c>
      <c r="F70" s="23">
        <f>IF($A70="","",INDEX(tblTasks[Blocage],ROW()-4))</f>
      </c>
      <c r="G70" s="23">
        <f>IF($A70="","",INDEX(tblTasks[Niveau_criticite],ROW()-4))</f>
      </c>
      <c r="H70" s="23">
        <f>IF($A70="","",INDEX(tblTasks[Goulot],ROW()-4))</f>
      </c>
      <c r="I70" s="23">
        <f>IF($A70="","",IF(LOWER($F70)="oui","non",IF($E70="","oui",IFERROR(IF(LOWER(INDEX(tblTasks[Statut],MATCH($E70,tblTasks[ID],0)))="clos","oui","non"),"non"))))</f>
      </c>
      <c r="J70" s="25">
        <f>IF($A70="","",INDEX(tblTasks[Date_debut_prevue],ROW()-4))</f>
      </c>
      <c r="K70" s="25">
        <f>IF($A70="","",INDEX(tblTasks[Date_fin_prevue],ROW()-4))</f>
      </c>
      <c r="L70" s="23">
        <f>IF($A70="","",INDEX(tblTasks[Irreversibilite],ROW()-4))</f>
      </c>
      <c r="M70" s="26">
        <f>IF(OR($A70="",M$3=""),"",IF(AND($J70&lt;&gt;"",$K70&lt;&gt;"",$J70=$K70,$J70&gt;=M$3,$J70&lt;=IF(param_mode_affichage="mois",EOMONTH(M$3,0),M$3+6)),"◆",""))</f>
      </c>
      <c r="N70" s="26">
        <f>IF(OR($A70="",N$3=""),"",IF(AND($J70&lt;&gt;"",$K70&lt;&gt;"",$J70=$K70,$J70&gt;=N$3,$J70&lt;=IF(param_mode_affichage="mois",EOMONTH(N$3,0),N$3+6)),"◆",""))</f>
      </c>
      <c r="O70" s="26">
        <f>IF(OR($A70="",O$3=""),"",IF(AND($J70&lt;&gt;"",$K70&lt;&gt;"",$J70=$K70,$J70&gt;=O$3,$J70&lt;=IF(param_mode_affichage="mois",EOMONTH(O$3,0),O$3+6)),"◆",""))</f>
      </c>
      <c r="P70" s="26">
        <f>IF(OR($A70="",P$3=""),"",IF(AND($J70&lt;&gt;"",$K70&lt;&gt;"",$J70=$K70,$J70&gt;=P$3,$J70&lt;=IF(param_mode_affichage="mois",EOMONTH(P$3,0),P$3+6)),"◆",""))</f>
      </c>
      <c r="Q70" s="26">
        <f>IF(OR($A70="",Q$3=""),"",IF(AND($J70&lt;&gt;"",$K70&lt;&gt;"",$J70=$K70,$J70&gt;=Q$3,$J70&lt;=IF(param_mode_affichage="mois",EOMONTH(Q$3,0),Q$3+6)),"◆",""))</f>
      </c>
      <c r="R70" s="26">
        <f>IF(OR($A70="",R$3=""),"",IF(AND($J70&lt;&gt;"",$K70&lt;&gt;"",$J70=$K70,$J70&gt;=R$3,$J70&lt;=IF(param_mode_affichage="mois",EOMONTH(R$3,0),R$3+6)),"◆",""))</f>
      </c>
      <c r="S70" s="26">
        <f>IF(OR($A70="",S$3=""),"",IF(AND($J70&lt;&gt;"",$K70&lt;&gt;"",$J70=$K70,$J70&gt;=S$3,$J70&lt;=IF(param_mode_affichage="mois",EOMONTH(S$3,0),S$3+6)),"◆",""))</f>
      </c>
      <c r="T70" s="26">
        <f>IF(OR($A70="",T$3=""),"",IF(AND($J70&lt;&gt;"",$K70&lt;&gt;"",$J70=$K70,$J70&gt;=T$3,$J70&lt;=IF(param_mode_affichage="mois",EOMONTH(T$3,0),T$3+6)),"◆",""))</f>
      </c>
      <c r="U70" s="26">
        <f>IF(OR($A70="",U$3=""),"",IF(AND($J70&lt;&gt;"",$K70&lt;&gt;"",$J70=$K70,$J70&gt;=U$3,$J70&lt;=IF(param_mode_affichage="mois",EOMONTH(U$3,0),U$3+6)),"◆",""))</f>
      </c>
      <c r="V70" s="26">
        <f>IF(OR($A70="",V$3=""),"",IF(AND($J70&lt;&gt;"",$K70&lt;&gt;"",$J70=$K70,$J70&gt;=V$3,$J70&lt;=IF(param_mode_affichage="mois",EOMONTH(V$3,0),V$3+6)),"◆",""))</f>
      </c>
      <c r="W70" s="26">
        <f>IF(OR($A70="",W$3=""),"",IF(AND($J70&lt;&gt;"",$K70&lt;&gt;"",$J70=$K70,$J70&gt;=W$3,$J70&lt;=IF(param_mode_affichage="mois",EOMONTH(W$3,0),W$3+6)),"◆",""))</f>
      </c>
      <c r="X70" s="26">
        <f>IF(OR($A70="",X$3=""),"",IF(AND($J70&lt;&gt;"",$K70&lt;&gt;"",$J70=$K70,$J70&gt;=X$3,$J70&lt;=IF(param_mode_affichage="mois",EOMONTH(X$3,0),X$3+6)),"◆",""))</f>
      </c>
      <c r="Y70" s="26">
        <f>IF(OR($A70="",Y$3=""),"",IF(AND($J70&lt;&gt;"",$K70&lt;&gt;"",$J70=$K70,$J70&gt;=Y$3,$J70&lt;=IF(param_mode_affichage="mois",EOMONTH(Y$3,0),Y$3+6)),"◆",""))</f>
      </c>
      <c r="Z70" s="26">
        <f>IF(OR($A70="",Z$3=""),"",IF(AND($J70&lt;&gt;"",$K70&lt;&gt;"",$J70=$K70,$J70&gt;=Z$3,$J70&lt;=IF(param_mode_affichage="mois",EOMONTH(Z$3,0),Z$3+6)),"◆",""))</f>
      </c>
      <c r="AA70" s="26">
        <f>IF(OR($A70="",AA$3=""),"",IF(AND($J70&lt;&gt;"",$K70&lt;&gt;"",$J70=$K70,$J70&gt;=AA$3,$J70&lt;=IF(param_mode_affichage="mois",EOMONTH(AA$3,0),AA$3+6)),"◆",""))</f>
      </c>
      <c r="AB70" s="26">
        <f>IF(OR($A70="",AB$3=""),"",IF(AND($J70&lt;&gt;"",$K70&lt;&gt;"",$J70=$K70,$J70&gt;=AB$3,$J70&lt;=IF(param_mode_affichage="mois",EOMONTH(AB$3,0),AB$3+6)),"◆",""))</f>
      </c>
      <c r="AC70" s="26">
        <f>IF(OR($A70="",AC$3=""),"",IF(AND($J70&lt;&gt;"",$K70&lt;&gt;"",$J70=$K70,$J70&gt;=AC$3,$J70&lt;=IF(param_mode_affichage="mois",EOMONTH(AC$3,0),AC$3+6)),"◆",""))</f>
      </c>
      <c r="AD70" s="26">
        <f>IF(OR($A70="",AD$3=""),"",IF(AND($J70&lt;&gt;"",$K70&lt;&gt;"",$J70=$K70,$J70&gt;=AD$3,$J70&lt;=IF(param_mode_affichage="mois",EOMONTH(AD$3,0),AD$3+6)),"◆",""))</f>
      </c>
      <c r="AE70" s="26">
        <f>IF(OR($A70="",AE$3=""),"",IF(AND($J70&lt;&gt;"",$K70&lt;&gt;"",$J70=$K70,$J70&gt;=AE$3,$J70&lt;=IF(param_mode_affichage="mois",EOMONTH(AE$3,0),AE$3+6)),"◆",""))</f>
      </c>
      <c r="AF70" s="26">
        <f>IF(OR($A70="",AF$3=""),"",IF(AND($J70&lt;&gt;"",$K70&lt;&gt;"",$J70=$K70,$J70&gt;=AF$3,$J70&lt;=IF(param_mode_affichage="mois",EOMONTH(AF$3,0),AF$3+6)),"◆",""))</f>
      </c>
      <c r="AG70" s="26">
        <f>IF(OR($A70="",AG$3=""),"",IF(AND($J70&lt;&gt;"",$K70&lt;&gt;"",$J70=$K70,$J70&gt;=AG$3,$J70&lt;=IF(param_mode_affichage="mois",EOMONTH(AG$3,0),AG$3+6)),"◆",""))</f>
      </c>
      <c r="AH70" s="26">
        <f>IF(OR($A70="",AH$3=""),"",IF(AND($J70&lt;&gt;"",$K70&lt;&gt;"",$J70=$K70,$J70&gt;=AH$3,$J70&lt;=IF(param_mode_affichage="mois",EOMONTH(AH$3,0),AH$3+6)),"◆",""))</f>
      </c>
      <c r="AI70" s="26">
        <f>IF(OR($A70="",AI$3=""),"",IF(AND($J70&lt;&gt;"",$K70&lt;&gt;"",$J70=$K70,$J70&gt;=AI$3,$J70&lt;=IF(param_mode_affichage="mois",EOMONTH(AI$3,0),AI$3+6)),"◆",""))</f>
      </c>
      <c r="AJ70" s="26">
        <f>IF(OR($A70="",AJ$3=""),"",IF(AND($J70&lt;&gt;"",$K70&lt;&gt;"",$J70=$K70,$J70&gt;=AJ$3,$J70&lt;=IF(param_mode_affichage="mois",EOMONTH(AJ$3,0),AJ$3+6)),"◆",""))</f>
      </c>
      <c r="AK70" s="26">
        <f>IF(OR($A70="",AK$3=""),"",IF(AND($J70&lt;&gt;"",$K70&lt;&gt;"",$J70=$K70,$J70&gt;=AK$3,$J70&lt;=IF(param_mode_affichage="mois",EOMONTH(AK$3,0),AK$3+6)),"◆",""))</f>
      </c>
      <c r="AL70" s="26">
        <f>IF(OR($A70="",AL$3=""),"",IF(AND($J70&lt;&gt;"",$K70&lt;&gt;"",$J70=$K70,$J70&gt;=AL$3,$J70&lt;=IF(param_mode_affichage="mois",EOMONTH(AL$3,0),AL$3+6)),"◆",""))</f>
      </c>
      <c r="AM70" s="26">
        <f>IF(OR($A70="",AM$3=""),"",IF(AND($J70&lt;&gt;"",$K70&lt;&gt;"",$J70=$K70,$J70&gt;=AM$3,$J70&lt;=IF(param_mode_affichage="mois",EOMONTH(AM$3,0),AM$3+6)),"◆",""))</f>
      </c>
      <c r="AN70" s="26">
        <f>IF(OR($A70="",AN$3=""),"",IF(AND($J70&lt;&gt;"",$K70&lt;&gt;"",$J70=$K70,$J70&gt;=AN$3,$J70&lt;=IF(param_mode_affichage="mois",EOMONTH(AN$3,0),AN$3+6)),"◆",""))</f>
      </c>
      <c r="AO70" s="26">
        <f>IF(OR($A70="",AO$3=""),"",IF(AND($J70&lt;&gt;"",$K70&lt;&gt;"",$J70=$K70,$J70&gt;=AO$3,$J70&lt;=IF(param_mode_affichage="mois",EOMONTH(AO$3,0),AO$3+6)),"◆",""))</f>
      </c>
      <c r="AP70" s="26">
        <f>IF(OR($A70="",AP$3=""),"",IF(AND($J70&lt;&gt;"",$K70&lt;&gt;"",$J70=$K70,$J70&gt;=AP$3,$J70&lt;=IF(param_mode_affichage="mois",EOMONTH(AP$3,0),AP$3+6)),"◆",""))</f>
      </c>
      <c r="AQ70" s="26">
        <f>IF(OR($A70="",AQ$3=""),"",IF(AND($J70&lt;&gt;"",$K70&lt;&gt;"",$J70=$K70,$J70&gt;=AQ$3,$J70&lt;=IF(param_mode_affichage="mois",EOMONTH(AQ$3,0),AQ$3+6)),"◆",""))</f>
      </c>
      <c r="AR70" s="26">
        <f>IF(OR($A70="",AR$3=""),"",IF(AND($J70&lt;&gt;"",$K70&lt;&gt;"",$J70=$K70,$J70&gt;=AR$3,$J70&lt;=IF(param_mode_affichage="mois",EOMONTH(AR$3,0),AR$3+6)),"◆",""))</f>
      </c>
      <c r="AS70" s="26">
        <f>IF(OR($A70="",AS$3=""),"",IF(AND($J70&lt;&gt;"",$K70&lt;&gt;"",$J70=$K70,$J70&gt;=AS$3,$J70&lt;=IF(param_mode_affichage="mois",EOMONTH(AS$3,0),AS$3+6)),"◆",""))</f>
      </c>
      <c r="AT70" s="26">
        <f>IF(OR($A70="",AT$3=""),"",IF(AND($J70&lt;&gt;"",$K70&lt;&gt;"",$J70=$K70,$J70&gt;=AT$3,$J70&lt;=IF(param_mode_affichage="mois",EOMONTH(AT$3,0),AT$3+6)),"◆",""))</f>
      </c>
      <c r="AU70" s="26">
        <f>IF(OR($A70="",AU$3=""),"",IF(AND($J70&lt;&gt;"",$K70&lt;&gt;"",$J70=$K70,$J70&gt;=AU$3,$J70&lt;=IF(param_mode_affichage="mois",EOMONTH(AU$3,0),AU$3+6)),"◆",""))</f>
      </c>
      <c r="AV70" s="26">
        <f>IF(OR($A70="",AV$3=""),"",IF(AND($J70&lt;&gt;"",$K70&lt;&gt;"",$J70=$K70,$J70&gt;=AV$3,$J70&lt;=IF(param_mode_affichage="mois",EOMONTH(AV$3,0),AV$3+6)),"◆",""))</f>
      </c>
      <c r="AW70" s="26">
        <f>IF(OR($A70="",AW$3=""),"",IF(AND($J70&lt;&gt;"",$K70&lt;&gt;"",$J70=$K70,$J70&gt;=AW$3,$J70&lt;=IF(param_mode_affichage="mois",EOMONTH(AW$3,0),AW$3+6)),"◆",""))</f>
      </c>
      <c r="AX70" s="26">
        <f>IF(OR($A70="",AX$3=""),"",IF(AND($J70&lt;&gt;"",$K70&lt;&gt;"",$J70=$K70,$J70&gt;=AX$3,$J70&lt;=IF(param_mode_affichage="mois",EOMONTH(AX$3,0),AX$3+6)),"◆",""))</f>
      </c>
      <c r="AY70" s="26">
        <f>IF(OR($A70="",AY$3=""),"",IF(AND($J70&lt;&gt;"",$K70&lt;&gt;"",$J70=$K70,$J70&gt;=AY$3,$J70&lt;=IF(param_mode_affichage="mois",EOMONTH(AY$3,0),AY$3+6)),"◆",""))</f>
      </c>
      <c r="AZ70" s="26">
        <f>IF(OR($A70="",AZ$3=""),"",IF(AND($J70&lt;&gt;"",$K70&lt;&gt;"",$J70=$K70,$J70&gt;=AZ$3,$J70&lt;=IF(param_mode_affichage="mois",EOMONTH(AZ$3,0),AZ$3+6)),"◆",""))</f>
      </c>
      <c r="BA70" s="26">
        <f>IF(OR($A70="",BA$3=""),"",IF(AND($J70&lt;&gt;"",$K70&lt;&gt;"",$J70=$K70,$J70&gt;=BA$3,$J70&lt;=IF(param_mode_affichage="mois",EOMONTH(BA$3,0),BA$3+6)),"◆",""))</f>
      </c>
      <c r="BB70" s="26">
        <f>IF(OR($A70="",BB$3=""),"",IF(AND($J70&lt;&gt;"",$K70&lt;&gt;"",$J70=$K70,$J70&gt;=BB$3,$J70&lt;=IF(param_mode_affichage="mois",EOMONTH(BB$3,0),BB$3+6)),"◆",""))</f>
      </c>
      <c r="BC70" s="26">
        <f>IF(OR($A70="",BC$3=""),"",IF(AND($J70&lt;&gt;"",$K70&lt;&gt;"",$J70=$K70,$J70&gt;=BC$3,$J70&lt;=IF(param_mode_affichage="mois",EOMONTH(BC$3,0),BC$3+6)),"◆",""))</f>
      </c>
      <c r="BD70" s="26">
        <f>IF(OR($A70="",BD$3=""),"",IF(AND($J70&lt;&gt;"",$K70&lt;&gt;"",$J70=$K70,$J70&gt;=BD$3,$J70&lt;=IF(param_mode_affichage="mois",EOMONTH(BD$3,0),BD$3+6)),"◆",""))</f>
      </c>
      <c r="BE70" s="26">
        <f>IF(OR($A70="",BE$3=""),"",IF(AND($J70&lt;&gt;"",$K70&lt;&gt;"",$J70=$K70,$J70&gt;=BE$3,$J70&lt;=IF(param_mode_affichage="mois",EOMONTH(BE$3,0),BE$3+6)),"◆",""))</f>
      </c>
      <c r="BF70" s="26">
        <f>IF(OR($A70="",BF$3=""),"",IF(AND($J70&lt;&gt;"",$K70&lt;&gt;"",$J70=$K70,$J70&gt;=BF$3,$J70&lt;=IF(param_mode_affichage="mois",EOMONTH(BF$3,0),BF$3+6)),"◆",""))</f>
      </c>
      <c r="BG70" s="26">
        <f>IF(OR($A70="",BG$3=""),"",IF(AND($J70&lt;&gt;"",$K70&lt;&gt;"",$J70=$K70,$J70&gt;=BG$3,$J70&lt;=IF(param_mode_affichage="mois",EOMONTH(BG$3,0),BG$3+6)),"◆",""))</f>
      </c>
      <c r="BH70" s="26">
        <f>IF(OR($A70="",BH$3=""),"",IF(AND($J70&lt;&gt;"",$K70&lt;&gt;"",$J70=$K70,$J70&gt;=BH$3,$J70&lt;=IF(param_mode_affichage="mois",EOMONTH(BH$3,0),BH$3+6)),"◆",""))</f>
      </c>
      <c r="BI70" s="26">
        <f>IF(OR($A70="",BI$3=""),"",IF(AND($J70&lt;&gt;"",$K70&lt;&gt;"",$J70=$K70,$J70&gt;=BI$3,$J70&lt;=IF(param_mode_affichage="mois",EOMONTH(BI$3,0),BI$3+6)),"◆",""))</f>
      </c>
      <c r="BJ70" s="26">
        <f>IF(OR($A70="",BJ$3=""),"",IF(AND($J70&lt;&gt;"",$K70&lt;&gt;"",$J70=$K70,$J70&gt;=BJ$3,$J70&lt;=IF(param_mode_affichage="mois",EOMONTH(BJ$3,0),BJ$3+6)),"◆",""))</f>
      </c>
      <c r="BK70" s="26">
        <f>IF(OR($A70="",BK$3=""),"",IF(AND($J70&lt;&gt;"",$K70&lt;&gt;"",$J70=$K70,$J70&gt;=BK$3,$J70&lt;=IF(param_mode_affichage="mois",EOMONTH(BK$3,0),BK$3+6)),"◆",""))</f>
      </c>
      <c r="BL70" s="26">
        <f>IF(OR($A70="",BL$3=""),"",IF(AND($J70&lt;&gt;"",$K70&lt;&gt;"",$J70=$K70,$J70&gt;=BL$3,$J70&lt;=IF(param_mode_affichage="mois",EOMONTH(BL$3,0),BL$3+6)),"◆",""))</f>
      </c>
    </row>
    <row r="71" spans="1:64" x14ac:dyDescent="0.25">
      <c r="A71" s="23">
        <f>IFERROR(INDEX(tblTasks[ID],ROW()-4),"")</f>
      </c>
      <c r="B71" s="24">
        <f>IF($A71="","",INDEX(tblTasks[Sujet],ROW()-4))</f>
      </c>
      <c r="C71" s="23">
        <f>IF($A71="","",INDEX(tblTasks[Responsable],ROW()-4))</f>
      </c>
      <c r="D71" s="23">
        <f>IF($A71="","",INDEX(tblTasks[Statut],ROW()-4))</f>
      </c>
      <c r="E71" s="23">
        <f>IF($A71="","",INDEX(tblTasks[Depend_de],ROW()-4))</f>
      </c>
      <c r="F71" s="23">
        <f>IF($A71="","",INDEX(tblTasks[Blocage],ROW()-4))</f>
      </c>
      <c r="G71" s="23">
        <f>IF($A71="","",INDEX(tblTasks[Niveau_criticite],ROW()-4))</f>
      </c>
      <c r="H71" s="23">
        <f>IF($A71="","",INDEX(tblTasks[Goulot],ROW()-4))</f>
      </c>
      <c r="I71" s="23">
        <f>IF($A71="","",IF(LOWER($F71)="oui","non",IF($E71="","oui",IFERROR(IF(LOWER(INDEX(tblTasks[Statut],MATCH($E71,tblTasks[ID],0)))="clos","oui","non"),"non"))))</f>
      </c>
      <c r="J71" s="25">
        <f>IF($A71="","",INDEX(tblTasks[Date_debut_prevue],ROW()-4))</f>
      </c>
      <c r="K71" s="25">
        <f>IF($A71="","",INDEX(tblTasks[Date_fin_prevue],ROW()-4))</f>
      </c>
      <c r="L71" s="23">
        <f>IF($A71="","",INDEX(tblTasks[Irreversibilite],ROW()-4))</f>
      </c>
      <c r="M71" s="26">
        <f>IF(OR($A71="",M$3=""),"",IF(AND($J71&lt;&gt;"",$K71&lt;&gt;"",$J71=$K71,$J71&gt;=M$3,$J71&lt;=IF(param_mode_affichage="mois",EOMONTH(M$3,0),M$3+6)),"◆",""))</f>
      </c>
      <c r="N71" s="26">
        <f>IF(OR($A71="",N$3=""),"",IF(AND($J71&lt;&gt;"",$K71&lt;&gt;"",$J71=$K71,$J71&gt;=N$3,$J71&lt;=IF(param_mode_affichage="mois",EOMONTH(N$3,0),N$3+6)),"◆",""))</f>
      </c>
      <c r="O71" s="26">
        <f>IF(OR($A71="",O$3=""),"",IF(AND($J71&lt;&gt;"",$K71&lt;&gt;"",$J71=$K71,$J71&gt;=O$3,$J71&lt;=IF(param_mode_affichage="mois",EOMONTH(O$3,0),O$3+6)),"◆",""))</f>
      </c>
      <c r="P71" s="26">
        <f>IF(OR($A71="",P$3=""),"",IF(AND($J71&lt;&gt;"",$K71&lt;&gt;"",$J71=$K71,$J71&gt;=P$3,$J71&lt;=IF(param_mode_affichage="mois",EOMONTH(P$3,0),P$3+6)),"◆",""))</f>
      </c>
      <c r="Q71" s="26">
        <f>IF(OR($A71="",Q$3=""),"",IF(AND($J71&lt;&gt;"",$K71&lt;&gt;"",$J71=$K71,$J71&gt;=Q$3,$J71&lt;=IF(param_mode_affichage="mois",EOMONTH(Q$3,0),Q$3+6)),"◆",""))</f>
      </c>
      <c r="R71" s="26">
        <f>IF(OR($A71="",R$3=""),"",IF(AND($J71&lt;&gt;"",$K71&lt;&gt;"",$J71=$K71,$J71&gt;=R$3,$J71&lt;=IF(param_mode_affichage="mois",EOMONTH(R$3,0),R$3+6)),"◆",""))</f>
      </c>
      <c r="S71" s="26">
        <f>IF(OR($A71="",S$3=""),"",IF(AND($J71&lt;&gt;"",$K71&lt;&gt;"",$J71=$K71,$J71&gt;=S$3,$J71&lt;=IF(param_mode_affichage="mois",EOMONTH(S$3,0),S$3+6)),"◆",""))</f>
      </c>
      <c r="T71" s="26">
        <f>IF(OR($A71="",T$3=""),"",IF(AND($J71&lt;&gt;"",$K71&lt;&gt;"",$J71=$K71,$J71&gt;=T$3,$J71&lt;=IF(param_mode_affichage="mois",EOMONTH(T$3,0),T$3+6)),"◆",""))</f>
      </c>
      <c r="U71" s="26">
        <f>IF(OR($A71="",U$3=""),"",IF(AND($J71&lt;&gt;"",$K71&lt;&gt;"",$J71=$K71,$J71&gt;=U$3,$J71&lt;=IF(param_mode_affichage="mois",EOMONTH(U$3,0),U$3+6)),"◆",""))</f>
      </c>
      <c r="V71" s="26">
        <f>IF(OR($A71="",V$3=""),"",IF(AND($J71&lt;&gt;"",$K71&lt;&gt;"",$J71=$K71,$J71&gt;=V$3,$J71&lt;=IF(param_mode_affichage="mois",EOMONTH(V$3,0),V$3+6)),"◆",""))</f>
      </c>
      <c r="W71" s="26">
        <f>IF(OR($A71="",W$3=""),"",IF(AND($J71&lt;&gt;"",$K71&lt;&gt;"",$J71=$K71,$J71&gt;=W$3,$J71&lt;=IF(param_mode_affichage="mois",EOMONTH(W$3,0),W$3+6)),"◆",""))</f>
      </c>
      <c r="X71" s="26">
        <f>IF(OR($A71="",X$3=""),"",IF(AND($J71&lt;&gt;"",$K71&lt;&gt;"",$J71=$K71,$J71&gt;=X$3,$J71&lt;=IF(param_mode_affichage="mois",EOMONTH(X$3,0),X$3+6)),"◆",""))</f>
      </c>
      <c r="Y71" s="26">
        <f>IF(OR($A71="",Y$3=""),"",IF(AND($J71&lt;&gt;"",$K71&lt;&gt;"",$J71=$K71,$J71&gt;=Y$3,$J71&lt;=IF(param_mode_affichage="mois",EOMONTH(Y$3,0),Y$3+6)),"◆",""))</f>
      </c>
      <c r="Z71" s="26">
        <f>IF(OR($A71="",Z$3=""),"",IF(AND($J71&lt;&gt;"",$K71&lt;&gt;"",$J71=$K71,$J71&gt;=Z$3,$J71&lt;=IF(param_mode_affichage="mois",EOMONTH(Z$3,0),Z$3+6)),"◆",""))</f>
      </c>
      <c r="AA71" s="26">
        <f>IF(OR($A71="",AA$3=""),"",IF(AND($J71&lt;&gt;"",$K71&lt;&gt;"",$J71=$K71,$J71&gt;=AA$3,$J71&lt;=IF(param_mode_affichage="mois",EOMONTH(AA$3,0),AA$3+6)),"◆",""))</f>
      </c>
      <c r="AB71" s="26">
        <f>IF(OR($A71="",AB$3=""),"",IF(AND($J71&lt;&gt;"",$K71&lt;&gt;"",$J71=$K71,$J71&gt;=AB$3,$J71&lt;=IF(param_mode_affichage="mois",EOMONTH(AB$3,0),AB$3+6)),"◆",""))</f>
      </c>
      <c r="AC71" s="26">
        <f>IF(OR($A71="",AC$3=""),"",IF(AND($J71&lt;&gt;"",$K71&lt;&gt;"",$J71=$K71,$J71&gt;=AC$3,$J71&lt;=IF(param_mode_affichage="mois",EOMONTH(AC$3,0),AC$3+6)),"◆",""))</f>
      </c>
      <c r="AD71" s="26">
        <f>IF(OR($A71="",AD$3=""),"",IF(AND($J71&lt;&gt;"",$K71&lt;&gt;"",$J71=$K71,$J71&gt;=AD$3,$J71&lt;=IF(param_mode_affichage="mois",EOMONTH(AD$3,0),AD$3+6)),"◆",""))</f>
      </c>
      <c r="AE71" s="26">
        <f>IF(OR($A71="",AE$3=""),"",IF(AND($J71&lt;&gt;"",$K71&lt;&gt;"",$J71=$K71,$J71&gt;=AE$3,$J71&lt;=IF(param_mode_affichage="mois",EOMONTH(AE$3,0),AE$3+6)),"◆",""))</f>
      </c>
      <c r="AF71" s="26">
        <f>IF(OR($A71="",AF$3=""),"",IF(AND($J71&lt;&gt;"",$K71&lt;&gt;"",$J71=$K71,$J71&gt;=AF$3,$J71&lt;=IF(param_mode_affichage="mois",EOMONTH(AF$3,0),AF$3+6)),"◆",""))</f>
      </c>
      <c r="AG71" s="26">
        <f>IF(OR($A71="",AG$3=""),"",IF(AND($J71&lt;&gt;"",$K71&lt;&gt;"",$J71=$K71,$J71&gt;=AG$3,$J71&lt;=IF(param_mode_affichage="mois",EOMONTH(AG$3,0),AG$3+6)),"◆",""))</f>
      </c>
      <c r="AH71" s="26">
        <f>IF(OR($A71="",AH$3=""),"",IF(AND($J71&lt;&gt;"",$K71&lt;&gt;"",$J71=$K71,$J71&gt;=AH$3,$J71&lt;=IF(param_mode_affichage="mois",EOMONTH(AH$3,0),AH$3+6)),"◆",""))</f>
      </c>
      <c r="AI71" s="26">
        <f>IF(OR($A71="",AI$3=""),"",IF(AND($J71&lt;&gt;"",$K71&lt;&gt;"",$J71=$K71,$J71&gt;=AI$3,$J71&lt;=IF(param_mode_affichage="mois",EOMONTH(AI$3,0),AI$3+6)),"◆",""))</f>
      </c>
      <c r="AJ71" s="26">
        <f>IF(OR($A71="",AJ$3=""),"",IF(AND($J71&lt;&gt;"",$K71&lt;&gt;"",$J71=$K71,$J71&gt;=AJ$3,$J71&lt;=IF(param_mode_affichage="mois",EOMONTH(AJ$3,0),AJ$3+6)),"◆",""))</f>
      </c>
      <c r="AK71" s="26">
        <f>IF(OR($A71="",AK$3=""),"",IF(AND($J71&lt;&gt;"",$K71&lt;&gt;"",$J71=$K71,$J71&gt;=AK$3,$J71&lt;=IF(param_mode_affichage="mois",EOMONTH(AK$3,0),AK$3+6)),"◆",""))</f>
      </c>
      <c r="AL71" s="26">
        <f>IF(OR($A71="",AL$3=""),"",IF(AND($J71&lt;&gt;"",$K71&lt;&gt;"",$J71=$K71,$J71&gt;=AL$3,$J71&lt;=IF(param_mode_affichage="mois",EOMONTH(AL$3,0),AL$3+6)),"◆",""))</f>
      </c>
      <c r="AM71" s="26">
        <f>IF(OR($A71="",AM$3=""),"",IF(AND($J71&lt;&gt;"",$K71&lt;&gt;"",$J71=$K71,$J71&gt;=AM$3,$J71&lt;=IF(param_mode_affichage="mois",EOMONTH(AM$3,0),AM$3+6)),"◆",""))</f>
      </c>
      <c r="AN71" s="26">
        <f>IF(OR($A71="",AN$3=""),"",IF(AND($J71&lt;&gt;"",$K71&lt;&gt;"",$J71=$K71,$J71&gt;=AN$3,$J71&lt;=IF(param_mode_affichage="mois",EOMONTH(AN$3,0),AN$3+6)),"◆",""))</f>
      </c>
      <c r="AO71" s="26">
        <f>IF(OR($A71="",AO$3=""),"",IF(AND($J71&lt;&gt;"",$K71&lt;&gt;"",$J71=$K71,$J71&gt;=AO$3,$J71&lt;=IF(param_mode_affichage="mois",EOMONTH(AO$3,0),AO$3+6)),"◆",""))</f>
      </c>
      <c r="AP71" s="26">
        <f>IF(OR($A71="",AP$3=""),"",IF(AND($J71&lt;&gt;"",$K71&lt;&gt;"",$J71=$K71,$J71&gt;=AP$3,$J71&lt;=IF(param_mode_affichage="mois",EOMONTH(AP$3,0),AP$3+6)),"◆",""))</f>
      </c>
      <c r="AQ71" s="26">
        <f>IF(OR($A71="",AQ$3=""),"",IF(AND($J71&lt;&gt;"",$K71&lt;&gt;"",$J71=$K71,$J71&gt;=AQ$3,$J71&lt;=IF(param_mode_affichage="mois",EOMONTH(AQ$3,0),AQ$3+6)),"◆",""))</f>
      </c>
      <c r="AR71" s="26">
        <f>IF(OR($A71="",AR$3=""),"",IF(AND($J71&lt;&gt;"",$K71&lt;&gt;"",$J71=$K71,$J71&gt;=AR$3,$J71&lt;=IF(param_mode_affichage="mois",EOMONTH(AR$3,0),AR$3+6)),"◆",""))</f>
      </c>
      <c r="AS71" s="26">
        <f>IF(OR($A71="",AS$3=""),"",IF(AND($J71&lt;&gt;"",$K71&lt;&gt;"",$J71=$K71,$J71&gt;=AS$3,$J71&lt;=IF(param_mode_affichage="mois",EOMONTH(AS$3,0),AS$3+6)),"◆",""))</f>
      </c>
      <c r="AT71" s="26">
        <f>IF(OR($A71="",AT$3=""),"",IF(AND($J71&lt;&gt;"",$K71&lt;&gt;"",$J71=$K71,$J71&gt;=AT$3,$J71&lt;=IF(param_mode_affichage="mois",EOMONTH(AT$3,0),AT$3+6)),"◆",""))</f>
      </c>
      <c r="AU71" s="26">
        <f>IF(OR($A71="",AU$3=""),"",IF(AND($J71&lt;&gt;"",$K71&lt;&gt;"",$J71=$K71,$J71&gt;=AU$3,$J71&lt;=IF(param_mode_affichage="mois",EOMONTH(AU$3,0),AU$3+6)),"◆",""))</f>
      </c>
      <c r="AV71" s="26">
        <f>IF(OR($A71="",AV$3=""),"",IF(AND($J71&lt;&gt;"",$K71&lt;&gt;"",$J71=$K71,$J71&gt;=AV$3,$J71&lt;=IF(param_mode_affichage="mois",EOMONTH(AV$3,0),AV$3+6)),"◆",""))</f>
      </c>
      <c r="AW71" s="26">
        <f>IF(OR($A71="",AW$3=""),"",IF(AND($J71&lt;&gt;"",$K71&lt;&gt;"",$J71=$K71,$J71&gt;=AW$3,$J71&lt;=IF(param_mode_affichage="mois",EOMONTH(AW$3,0),AW$3+6)),"◆",""))</f>
      </c>
      <c r="AX71" s="26">
        <f>IF(OR($A71="",AX$3=""),"",IF(AND($J71&lt;&gt;"",$K71&lt;&gt;"",$J71=$K71,$J71&gt;=AX$3,$J71&lt;=IF(param_mode_affichage="mois",EOMONTH(AX$3,0),AX$3+6)),"◆",""))</f>
      </c>
      <c r="AY71" s="26">
        <f>IF(OR($A71="",AY$3=""),"",IF(AND($J71&lt;&gt;"",$K71&lt;&gt;"",$J71=$K71,$J71&gt;=AY$3,$J71&lt;=IF(param_mode_affichage="mois",EOMONTH(AY$3,0),AY$3+6)),"◆",""))</f>
      </c>
      <c r="AZ71" s="26">
        <f>IF(OR($A71="",AZ$3=""),"",IF(AND($J71&lt;&gt;"",$K71&lt;&gt;"",$J71=$K71,$J71&gt;=AZ$3,$J71&lt;=IF(param_mode_affichage="mois",EOMONTH(AZ$3,0),AZ$3+6)),"◆",""))</f>
      </c>
      <c r="BA71" s="26">
        <f>IF(OR($A71="",BA$3=""),"",IF(AND($J71&lt;&gt;"",$K71&lt;&gt;"",$J71=$K71,$J71&gt;=BA$3,$J71&lt;=IF(param_mode_affichage="mois",EOMONTH(BA$3,0),BA$3+6)),"◆",""))</f>
      </c>
      <c r="BB71" s="26">
        <f>IF(OR($A71="",BB$3=""),"",IF(AND($J71&lt;&gt;"",$K71&lt;&gt;"",$J71=$K71,$J71&gt;=BB$3,$J71&lt;=IF(param_mode_affichage="mois",EOMONTH(BB$3,0),BB$3+6)),"◆",""))</f>
      </c>
      <c r="BC71" s="26">
        <f>IF(OR($A71="",BC$3=""),"",IF(AND($J71&lt;&gt;"",$K71&lt;&gt;"",$J71=$K71,$J71&gt;=BC$3,$J71&lt;=IF(param_mode_affichage="mois",EOMONTH(BC$3,0),BC$3+6)),"◆",""))</f>
      </c>
      <c r="BD71" s="26">
        <f>IF(OR($A71="",BD$3=""),"",IF(AND($J71&lt;&gt;"",$K71&lt;&gt;"",$J71=$K71,$J71&gt;=BD$3,$J71&lt;=IF(param_mode_affichage="mois",EOMONTH(BD$3,0),BD$3+6)),"◆",""))</f>
      </c>
      <c r="BE71" s="26">
        <f>IF(OR($A71="",BE$3=""),"",IF(AND($J71&lt;&gt;"",$K71&lt;&gt;"",$J71=$K71,$J71&gt;=BE$3,$J71&lt;=IF(param_mode_affichage="mois",EOMONTH(BE$3,0),BE$3+6)),"◆",""))</f>
      </c>
      <c r="BF71" s="26">
        <f>IF(OR($A71="",BF$3=""),"",IF(AND($J71&lt;&gt;"",$K71&lt;&gt;"",$J71=$K71,$J71&gt;=BF$3,$J71&lt;=IF(param_mode_affichage="mois",EOMONTH(BF$3,0),BF$3+6)),"◆",""))</f>
      </c>
      <c r="BG71" s="26">
        <f>IF(OR($A71="",BG$3=""),"",IF(AND($J71&lt;&gt;"",$K71&lt;&gt;"",$J71=$K71,$J71&gt;=BG$3,$J71&lt;=IF(param_mode_affichage="mois",EOMONTH(BG$3,0),BG$3+6)),"◆",""))</f>
      </c>
      <c r="BH71" s="26">
        <f>IF(OR($A71="",BH$3=""),"",IF(AND($J71&lt;&gt;"",$K71&lt;&gt;"",$J71=$K71,$J71&gt;=BH$3,$J71&lt;=IF(param_mode_affichage="mois",EOMONTH(BH$3,0),BH$3+6)),"◆",""))</f>
      </c>
      <c r="BI71" s="26">
        <f>IF(OR($A71="",BI$3=""),"",IF(AND($J71&lt;&gt;"",$K71&lt;&gt;"",$J71=$K71,$J71&gt;=BI$3,$J71&lt;=IF(param_mode_affichage="mois",EOMONTH(BI$3,0),BI$3+6)),"◆",""))</f>
      </c>
      <c r="BJ71" s="26">
        <f>IF(OR($A71="",BJ$3=""),"",IF(AND($J71&lt;&gt;"",$K71&lt;&gt;"",$J71=$K71,$J71&gt;=BJ$3,$J71&lt;=IF(param_mode_affichage="mois",EOMONTH(BJ$3,0),BJ$3+6)),"◆",""))</f>
      </c>
      <c r="BK71" s="26">
        <f>IF(OR($A71="",BK$3=""),"",IF(AND($J71&lt;&gt;"",$K71&lt;&gt;"",$J71=$K71,$J71&gt;=BK$3,$J71&lt;=IF(param_mode_affichage="mois",EOMONTH(BK$3,0),BK$3+6)),"◆",""))</f>
      </c>
      <c r="BL71" s="26">
        <f>IF(OR($A71="",BL$3=""),"",IF(AND($J71&lt;&gt;"",$K71&lt;&gt;"",$J71=$K71,$J71&gt;=BL$3,$J71&lt;=IF(param_mode_affichage="mois",EOMONTH(BL$3,0),BL$3+6)),"◆",""))</f>
      </c>
    </row>
    <row r="72" spans="1:64" x14ac:dyDescent="0.25">
      <c r="A72" s="23">
        <f>IFERROR(INDEX(tblTasks[ID],ROW()-4),"")</f>
      </c>
      <c r="B72" s="24">
        <f>IF($A72="","",INDEX(tblTasks[Sujet],ROW()-4))</f>
      </c>
      <c r="C72" s="23">
        <f>IF($A72="","",INDEX(tblTasks[Responsable],ROW()-4))</f>
      </c>
      <c r="D72" s="23">
        <f>IF($A72="","",INDEX(tblTasks[Statut],ROW()-4))</f>
      </c>
      <c r="E72" s="23">
        <f>IF($A72="","",INDEX(tblTasks[Depend_de],ROW()-4))</f>
      </c>
      <c r="F72" s="23">
        <f>IF($A72="","",INDEX(tblTasks[Blocage],ROW()-4))</f>
      </c>
      <c r="G72" s="23">
        <f>IF($A72="","",INDEX(tblTasks[Niveau_criticite],ROW()-4))</f>
      </c>
      <c r="H72" s="23">
        <f>IF($A72="","",INDEX(tblTasks[Goulot],ROW()-4))</f>
      </c>
      <c r="I72" s="23">
        <f>IF($A72="","",IF(LOWER($F72)="oui","non",IF($E72="","oui",IFERROR(IF(LOWER(INDEX(tblTasks[Statut],MATCH($E72,tblTasks[ID],0)))="clos","oui","non"),"non"))))</f>
      </c>
      <c r="J72" s="25">
        <f>IF($A72="","",INDEX(tblTasks[Date_debut_prevue],ROW()-4))</f>
      </c>
      <c r="K72" s="25">
        <f>IF($A72="","",INDEX(tblTasks[Date_fin_prevue],ROW()-4))</f>
      </c>
      <c r="L72" s="23">
        <f>IF($A72="","",INDEX(tblTasks[Irreversibilite],ROW()-4))</f>
      </c>
      <c r="M72" s="26">
        <f>IF(OR($A72="",M$3=""),"",IF(AND($J72&lt;&gt;"",$K72&lt;&gt;"",$J72=$K72,$J72&gt;=M$3,$J72&lt;=IF(param_mode_affichage="mois",EOMONTH(M$3,0),M$3+6)),"◆",""))</f>
      </c>
      <c r="N72" s="26">
        <f>IF(OR($A72="",N$3=""),"",IF(AND($J72&lt;&gt;"",$K72&lt;&gt;"",$J72=$K72,$J72&gt;=N$3,$J72&lt;=IF(param_mode_affichage="mois",EOMONTH(N$3,0),N$3+6)),"◆",""))</f>
      </c>
      <c r="O72" s="26">
        <f>IF(OR($A72="",O$3=""),"",IF(AND($J72&lt;&gt;"",$K72&lt;&gt;"",$J72=$K72,$J72&gt;=O$3,$J72&lt;=IF(param_mode_affichage="mois",EOMONTH(O$3,0),O$3+6)),"◆",""))</f>
      </c>
      <c r="P72" s="26">
        <f>IF(OR($A72="",P$3=""),"",IF(AND($J72&lt;&gt;"",$K72&lt;&gt;"",$J72=$K72,$J72&gt;=P$3,$J72&lt;=IF(param_mode_affichage="mois",EOMONTH(P$3,0),P$3+6)),"◆",""))</f>
      </c>
      <c r="Q72" s="26">
        <f>IF(OR($A72="",Q$3=""),"",IF(AND($J72&lt;&gt;"",$K72&lt;&gt;"",$J72=$K72,$J72&gt;=Q$3,$J72&lt;=IF(param_mode_affichage="mois",EOMONTH(Q$3,0),Q$3+6)),"◆",""))</f>
      </c>
      <c r="R72" s="26">
        <f>IF(OR($A72="",R$3=""),"",IF(AND($J72&lt;&gt;"",$K72&lt;&gt;"",$J72=$K72,$J72&gt;=R$3,$J72&lt;=IF(param_mode_affichage="mois",EOMONTH(R$3,0),R$3+6)),"◆",""))</f>
      </c>
      <c r="S72" s="26">
        <f>IF(OR($A72="",S$3=""),"",IF(AND($J72&lt;&gt;"",$K72&lt;&gt;"",$J72=$K72,$J72&gt;=S$3,$J72&lt;=IF(param_mode_affichage="mois",EOMONTH(S$3,0),S$3+6)),"◆",""))</f>
      </c>
      <c r="T72" s="26">
        <f>IF(OR($A72="",T$3=""),"",IF(AND($J72&lt;&gt;"",$K72&lt;&gt;"",$J72=$K72,$J72&gt;=T$3,$J72&lt;=IF(param_mode_affichage="mois",EOMONTH(T$3,0),T$3+6)),"◆",""))</f>
      </c>
      <c r="U72" s="26">
        <f>IF(OR($A72="",U$3=""),"",IF(AND($J72&lt;&gt;"",$K72&lt;&gt;"",$J72=$K72,$J72&gt;=U$3,$J72&lt;=IF(param_mode_affichage="mois",EOMONTH(U$3,0),U$3+6)),"◆",""))</f>
      </c>
      <c r="V72" s="26">
        <f>IF(OR($A72="",V$3=""),"",IF(AND($J72&lt;&gt;"",$K72&lt;&gt;"",$J72=$K72,$J72&gt;=V$3,$J72&lt;=IF(param_mode_affichage="mois",EOMONTH(V$3,0),V$3+6)),"◆",""))</f>
      </c>
      <c r="W72" s="26">
        <f>IF(OR($A72="",W$3=""),"",IF(AND($J72&lt;&gt;"",$K72&lt;&gt;"",$J72=$K72,$J72&gt;=W$3,$J72&lt;=IF(param_mode_affichage="mois",EOMONTH(W$3,0),W$3+6)),"◆",""))</f>
      </c>
      <c r="X72" s="26">
        <f>IF(OR($A72="",X$3=""),"",IF(AND($J72&lt;&gt;"",$K72&lt;&gt;"",$J72=$K72,$J72&gt;=X$3,$J72&lt;=IF(param_mode_affichage="mois",EOMONTH(X$3,0),X$3+6)),"◆",""))</f>
      </c>
      <c r="Y72" s="26">
        <f>IF(OR($A72="",Y$3=""),"",IF(AND($J72&lt;&gt;"",$K72&lt;&gt;"",$J72=$K72,$J72&gt;=Y$3,$J72&lt;=IF(param_mode_affichage="mois",EOMONTH(Y$3,0),Y$3+6)),"◆",""))</f>
      </c>
      <c r="Z72" s="26">
        <f>IF(OR($A72="",Z$3=""),"",IF(AND($J72&lt;&gt;"",$K72&lt;&gt;"",$J72=$K72,$J72&gt;=Z$3,$J72&lt;=IF(param_mode_affichage="mois",EOMONTH(Z$3,0),Z$3+6)),"◆",""))</f>
      </c>
      <c r="AA72" s="26">
        <f>IF(OR($A72="",AA$3=""),"",IF(AND($J72&lt;&gt;"",$K72&lt;&gt;"",$J72=$K72,$J72&gt;=AA$3,$J72&lt;=IF(param_mode_affichage="mois",EOMONTH(AA$3,0),AA$3+6)),"◆",""))</f>
      </c>
      <c r="AB72" s="26">
        <f>IF(OR($A72="",AB$3=""),"",IF(AND($J72&lt;&gt;"",$K72&lt;&gt;"",$J72=$K72,$J72&gt;=AB$3,$J72&lt;=IF(param_mode_affichage="mois",EOMONTH(AB$3,0),AB$3+6)),"◆",""))</f>
      </c>
      <c r="AC72" s="26">
        <f>IF(OR($A72="",AC$3=""),"",IF(AND($J72&lt;&gt;"",$K72&lt;&gt;"",$J72=$K72,$J72&gt;=AC$3,$J72&lt;=IF(param_mode_affichage="mois",EOMONTH(AC$3,0),AC$3+6)),"◆",""))</f>
      </c>
      <c r="AD72" s="26">
        <f>IF(OR($A72="",AD$3=""),"",IF(AND($J72&lt;&gt;"",$K72&lt;&gt;"",$J72=$K72,$J72&gt;=AD$3,$J72&lt;=IF(param_mode_affichage="mois",EOMONTH(AD$3,0),AD$3+6)),"◆",""))</f>
      </c>
      <c r="AE72" s="26">
        <f>IF(OR($A72="",AE$3=""),"",IF(AND($J72&lt;&gt;"",$K72&lt;&gt;"",$J72=$K72,$J72&gt;=AE$3,$J72&lt;=IF(param_mode_affichage="mois",EOMONTH(AE$3,0),AE$3+6)),"◆",""))</f>
      </c>
      <c r="AF72" s="26">
        <f>IF(OR($A72="",AF$3=""),"",IF(AND($J72&lt;&gt;"",$K72&lt;&gt;"",$J72=$K72,$J72&gt;=AF$3,$J72&lt;=IF(param_mode_affichage="mois",EOMONTH(AF$3,0),AF$3+6)),"◆",""))</f>
      </c>
      <c r="AG72" s="26">
        <f>IF(OR($A72="",AG$3=""),"",IF(AND($J72&lt;&gt;"",$K72&lt;&gt;"",$J72=$K72,$J72&gt;=AG$3,$J72&lt;=IF(param_mode_affichage="mois",EOMONTH(AG$3,0),AG$3+6)),"◆",""))</f>
      </c>
      <c r="AH72" s="26">
        <f>IF(OR($A72="",AH$3=""),"",IF(AND($J72&lt;&gt;"",$K72&lt;&gt;"",$J72=$K72,$J72&gt;=AH$3,$J72&lt;=IF(param_mode_affichage="mois",EOMONTH(AH$3,0),AH$3+6)),"◆",""))</f>
      </c>
      <c r="AI72" s="26">
        <f>IF(OR($A72="",AI$3=""),"",IF(AND($J72&lt;&gt;"",$K72&lt;&gt;"",$J72=$K72,$J72&gt;=AI$3,$J72&lt;=IF(param_mode_affichage="mois",EOMONTH(AI$3,0),AI$3+6)),"◆",""))</f>
      </c>
      <c r="AJ72" s="26">
        <f>IF(OR($A72="",AJ$3=""),"",IF(AND($J72&lt;&gt;"",$K72&lt;&gt;"",$J72=$K72,$J72&gt;=AJ$3,$J72&lt;=IF(param_mode_affichage="mois",EOMONTH(AJ$3,0),AJ$3+6)),"◆",""))</f>
      </c>
      <c r="AK72" s="26">
        <f>IF(OR($A72="",AK$3=""),"",IF(AND($J72&lt;&gt;"",$K72&lt;&gt;"",$J72=$K72,$J72&gt;=AK$3,$J72&lt;=IF(param_mode_affichage="mois",EOMONTH(AK$3,0),AK$3+6)),"◆",""))</f>
      </c>
      <c r="AL72" s="26">
        <f>IF(OR($A72="",AL$3=""),"",IF(AND($J72&lt;&gt;"",$K72&lt;&gt;"",$J72=$K72,$J72&gt;=AL$3,$J72&lt;=IF(param_mode_affichage="mois",EOMONTH(AL$3,0),AL$3+6)),"◆",""))</f>
      </c>
      <c r="AM72" s="26">
        <f>IF(OR($A72="",AM$3=""),"",IF(AND($J72&lt;&gt;"",$K72&lt;&gt;"",$J72=$K72,$J72&gt;=AM$3,$J72&lt;=IF(param_mode_affichage="mois",EOMONTH(AM$3,0),AM$3+6)),"◆",""))</f>
      </c>
      <c r="AN72" s="26">
        <f>IF(OR($A72="",AN$3=""),"",IF(AND($J72&lt;&gt;"",$K72&lt;&gt;"",$J72=$K72,$J72&gt;=AN$3,$J72&lt;=IF(param_mode_affichage="mois",EOMONTH(AN$3,0),AN$3+6)),"◆",""))</f>
      </c>
      <c r="AO72" s="26">
        <f>IF(OR($A72="",AO$3=""),"",IF(AND($J72&lt;&gt;"",$K72&lt;&gt;"",$J72=$K72,$J72&gt;=AO$3,$J72&lt;=IF(param_mode_affichage="mois",EOMONTH(AO$3,0),AO$3+6)),"◆",""))</f>
      </c>
      <c r="AP72" s="26">
        <f>IF(OR($A72="",AP$3=""),"",IF(AND($J72&lt;&gt;"",$K72&lt;&gt;"",$J72=$K72,$J72&gt;=AP$3,$J72&lt;=IF(param_mode_affichage="mois",EOMONTH(AP$3,0),AP$3+6)),"◆",""))</f>
      </c>
      <c r="AQ72" s="26">
        <f>IF(OR($A72="",AQ$3=""),"",IF(AND($J72&lt;&gt;"",$K72&lt;&gt;"",$J72=$K72,$J72&gt;=AQ$3,$J72&lt;=IF(param_mode_affichage="mois",EOMONTH(AQ$3,0),AQ$3+6)),"◆",""))</f>
      </c>
      <c r="AR72" s="26">
        <f>IF(OR($A72="",AR$3=""),"",IF(AND($J72&lt;&gt;"",$K72&lt;&gt;"",$J72=$K72,$J72&gt;=AR$3,$J72&lt;=IF(param_mode_affichage="mois",EOMONTH(AR$3,0),AR$3+6)),"◆",""))</f>
      </c>
      <c r="AS72" s="26">
        <f>IF(OR($A72="",AS$3=""),"",IF(AND($J72&lt;&gt;"",$K72&lt;&gt;"",$J72=$K72,$J72&gt;=AS$3,$J72&lt;=IF(param_mode_affichage="mois",EOMONTH(AS$3,0),AS$3+6)),"◆",""))</f>
      </c>
      <c r="AT72" s="26">
        <f>IF(OR($A72="",AT$3=""),"",IF(AND($J72&lt;&gt;"",$K72&lt;&gt;"",$J72=$K72,$J72&gt;=AT$3,$J72&lt;=IF(param_mode_affichage="mois",EOMONTH(AT$3,0),AT$3+6)),"◆",""))</f>
      </c>
      <c r="AU72" s="26">
        <f>IF(OR($A72="",AU$3=""),"",IF(AND($J72&lt;&gt;"",$K72&lt;&gt;"",$J72=$K72,$J72&gt;=AU$3,$J72&lt;=IF(param_mode_affichage="mois",EOMONTH(AU$3,0),AU$3+6)),"◆",""))</f>
      </c>
      <c r="AV72" s="26">
        <f>IF(OR($A72="",AV$3=""),"",IF(AND($J72&lt;&gt;"",$K72&lt;&gt;"",$J72=$K72,$J72&gt;=AV$3,$J72&lt;=IF(param_mode_affichage="mois",EOMONTH(AV$3,0),AV$3+6)),"◆",""))</f>
      </c>
      <c r="AW72" s="26">
        <f>IF(OR($A72="",AW$3=""),"",IF(AND($J72&lt;&gt;"",$K72&lt;&gt;"",$J72=$K72,$J72&gt;=AW$3,$J72&lt;=IF(param_mode_affichage="mois",EOMONTH(AW$3,0),AW$3+6)),"◆",""))</f>
      </c>
      <c r="AX72" s="26">
        <f>IF(OR($A72="",AX$3=""),"",IF(AND($J72&lt;&gt;"",$K72&lt;&gt;"",$J72=$K72,$J72&gt;=AX$3,$J72&lt;=IF(param_mode_affichage="mois",EOMONTH(AX$3,0),AX$3+6)),"◆",""))</f>
      </c>
      <c r="AY72" s="26">
        <f>IF(OR($A72="",AY$3=""),"",IF(AND($J72&lt;&gt;"",$K72&lt;&gt;"",$J72=$K72,$J72&gt;=AY$3,$J72&lt;=IF(param_mode_affichage="mois",EOMONTH(AY$3,0),AY$3+6)),"◆",""))</f>
      </c>
      <c r="AZ72" s="26">
        <f>IF(OR($A72="",AZ$3=""),"",IF(AND($J72&lt;&gt;"",$K72&lt;&gt;"",$J72=$K72,$J72&gt;=AZ$3,$J72&lt;=IF(param_mode_affichage="mois",EOMONTH(AZ$3,0),AZ$3+6)),"◆",""))</f>
      </c>
      <c r="BA72" s="26">
        <f>IF(OR($A72="",BA$3=""),"",IF(AND($J72&lt;&gt;"",$K72&lt;&gt;"",$J72=$K72,$J72&gt;=BA$3,$J72&lt;=IF(param_mode_affichage="mois",EOMONTH(BA$3,0),BA$3+6)),"◆",""))</f>
      </c>
      <c r="BB72" s="26">
        <f>IF(OR($A72="",BB$3=""),"",IF(AND($J72&lt;&gt;"",$K72&lt;&gt;"",$J72=$K72,$J72&gt;=BB$3,$J72&lt;=IF(param_mode_affichage="mois",EOMONTH(BB$3,0),BB$3+6)),"◆",""))</f>
      </c>
      <c r="BC72" s="26">
        <f>IF(OR($A72="",BC$3=""),"",IF(AND($J72&lt;&gt;"",$K72&lt;&gt;"",$J72=$K72,$J72&gt;=BC$3,$J72&lt;=IF(param_mode_affichage="mois",EOMONTH(BC$3,0),BC$3+6)),"◆",""))</f>
      </c>
      <c r="BD72" s="26">
        <f>IF(OR($A72="",BD$3=""),"",IF(AND($J72&lt;&gt;"",$K72&lt;&gt;"",$J72=$K72,$J72&gt;=BD$3,$J72&lt;=IF(param_mode_affichage="mois",EOMONTH(BD$3,0),BD$3+6)),"◆",""))</f>
      </c>
      <c r="BE72" s="26">
        <f>IF(OR($A72="",BE$3=""),"",IF(AND($J72&lt;&gt;"",$K72&lt;&gt;"",$J72=$K72,$J72&gt;=BE$3,$J72&lt;=IF(param_mode_affichage="mois",EOMONTH(BE$3,0),BE$3+6)),"◆",""))</f>
      </c>
      <c r="BF72" s="26">
        <f>IF(OR($A72="",BF$3=""),"",IF(AND($J72&lt;&gt;"",$K72&lt;&gt;"",$J72=$K72,$J72&gt;=BF$3,$J72&lt;=IF(param_mode_affichage="mois",EOMONTH(BF$3,0),BF$3+6)),"◆",""))</f>
      </c>
      <c r="BG72" s="26">
        <f>IF(OR($A72="",BG$3=""),"",IF(AND($J72&lt;&gt;"",$K72&lt;&gt;"",$J72=$K72,$J72&gt;=BG$3,$J72&lt;=IF(param_mode_affichage="mois",EOMONTH(BG$3,0),BG$3+6)),"◆",""))</f>
      </c>
      <c r="BH72" s="26">
        <f>IF(OR($A72="",BH$3=""),"",IF(AND($J72&lt;&gt;"",$K72&lt;&gt;"",$J72=$K72,$J72&gt;=BH$3,$J72&lt;=IF(param_mode_affichage="mois",EOMONTH(BH$3,0),BH$3+6)),"◆",""))</f>
      </c>
      <c r="BI72" s="26">
        <f>IF(OR($A72="",BI$3=""),"",IF(AND($J72&lt;&gt;"",$K72&lt;&gt;"",$J72=$K72,$J72&gt;=BI$3,$J72&lt;=IF(param_mode_affichage="mois",EOMONTH(BI$3,0),BI$3+6)),"◆",""))</f>
      </c>
      <c r="BJ72" s="26">
        <f>IF(OR($A72="",BJ$3=""),"",IF(AND($J72&lt;&gt;"",$K72&lt;&gt;"",$J72=$K72,$J72&gt;=BJ$3,$J72&lt;=IF(param_mode_affichage="mois",EOMONTH(BJ$3,0),BJ$3+6)),"◆",""))</f>
      </c>
      <c r="BK72" s="26">
        <f>IF(OR($A72="",BK$3=""),"",IF(AND($J72&lt;&gt;"",$K72&lt;&gt;"",$J72=$K72,$J72&gt;=BK$3,$J72&lt;=IF(param_mode_affichage="mois",EOMONTH(BK$3,0),BK$3+6)),"◆",""))</f>
      </c>
      <c r="BL72" s="26">
        <f>IF(OR($A72="",BL$3=""),"",IF(AND($J72&lt;&gt;"",$K72&lt;&gt;"",$J72=$K72,$J72&gt;=BL$3,$J72&lt;=IF(param_mode_affichage="mois",EOMONTH(BL$3,0),BL$3+6)),"◆",""))</f>
      </c>
    </row>
    <row r="73" spans="1:64" x14ac:dyDescent="0.25">
      <c r="A73" s="23">
        <f>IFERROR(INDEX(tblTasks[ID],ROW()-4),"")</f>
      </c>
      <c r="B73" s="24">
        <f>IF($A73="","",INDEX(tblTasks[Sujet],ROW()-4))</f>
      </c>
      <c r="C73" s="23">
        <f>IF($A73="","",INDEX(tblTasks[Responsable],ROW()-4))</f>
      </c>
      <c r="D73" s="23">
        <f>IF($A73="","",INDEX(tblTasks[Statut],ROW()-4))</f>
      </c>
      <c r="E73" s="23">
        <f>IF($A73="","",INDEX(tblTasks[Depend_de],ROW()-4))</f>
      </c>
      <c r="F73" s="23">
        <f>IF($A73="","",INDEX(tblTasks[Blocage],ROW()-4))</f>
      </c>
      <c r="G73" s="23">
        <f>IF($A73="","",INDEX(tblTasks[Niveau_criticite],ROW()-4))</f>
      </c>
      <c r="H73" s="23">
        <f>IF($A73="","",INDEX(tblTasks[Goulot],ROW()-4))</f>
      </c>
      <c r="I73" s="23">
        <f>IF($A73="","",IF(LOWER($F73)="oui","non",IF($E73="","oui",IFERROR(IF(LOWER(INDEX(tblTasks[Statut],MATCH($E73,tblTasks[ID],0)))="clos","oui","non"),"non"))))</f>
      </c>
      <c r="J73" s="25">
        <f>IF($A73="","",INDEX(tblTasks[Date_debut_prevue],ROW()-4))</f>
      </c>
      <c r="K73" s="25">
        <f>IF($A73="","",INDEX(tblTasks[Date_fin_prevue],ROW()-4))</f>
      </c>
      <c r="L73" s="23">
        <f>IF($A73="","",INDEX(tblTasks[Irreversibilite],ROW()-4))</f>
      </c>
      <c r="M73" s="26">
        <f>IF(OR($A73="",M$3=""),"",IF(AND($J73&lt;&gt;"",$K73&lt;&gt;"",$J73=$K73,$J73&gt;=M$3,$J73&lt;=IF(param_mode_affichage="mois",EOMONTH(M$3,0),M$3+6)),"◆",""))</f>
      </c>
      <c r="N73" s="26">
        <f>IF(OR($A73="",N$3=""),"",IF(AND($J73&lt;&gt;"",$K73&lt;&gt;"",$J73=$K73,$J73&gt;=N$3,$J73&lt;=IF(param_mode_affichage="mois",EOMONTH(N$3,0),N$3+6)),"◆",""))</f>
      </c>
      <c r="O73" s="26">
        <f>IF(OR($A73="",O$3=""),"",IF(AND($J73&lt;&gt;"",$K73&lt;&gt;"",$J73=$K73,$J73&gt;=O$3,$J73&lt;=IF(param_mode_affichage="mois",EOMONTH(O$3,0),O$3+6)),"◆",""))</f>
      </c>
      <c r="P73" s="26">
        <f>IF(OR($A73="",P$3=""),"",IF(AND($J73&lt;&gt;"",$K73&lt;&gt;"",$J73=$K73,$J73&gt;=P$3,$J73&lt;=IF(param_mode_affichage="mois",EOMONTH(P$3,0),P$3+6)),"◆",""))</f>
      </c>
      <c r="Q73" s="26">
        <f>IF(OR($A73="",Q$3=""),"",IF(AND($J73&lt;&gt;"",$K73&lt;&gt;"",$J73=$K73,$J73&gt;=Q$3,$J73&lt;=IF(param_mode_affichage="mois",EOMONTH(Q$3,0),Q$3+6)),"◆",""))</f>
      </c>
      <c r="R73" s="26">
        <f>IF(OR($A73="",R$3=""),"",IF(AND($J73&lt;&gt;"",$K73&lt;&gt;"",$J73=$K73,$J73&gt;=R$3,$J73&lt;=IF(param_mode_affichage="mois",EOMONTH(R$3,0),R$3+6)),"◆",""))</f>
      </c>
      <c r="S73" s="26">
        <f>IF(OR($A73="",S$3=""),"",IF(AND($J73&lt;&gt;"",$K73&lt;&gt;"",$J73=$K73,$J73&gt;=S$3,$J73&lt;=IF(param_mode_affichage="mois",EOMONTH(S$3,0),S$3+6)),"◆",""))</f>
      </c>
      <c r="T73" s="26">
        <f>IF(OR($A73="",T$3=""),"",IF(AND($J73&lt;&gt;"",$K73&lt;&gt;"",$J73=$K73,$J73&gt;=T$3,$J73&lt;=IF(param_mode_affichage="mois",EOMONTH(T$3,0),T$3+6)),"◆",""))</f>
      </c>
      <c r="U73" s="26">
        <f>IF(OR($A73="",U$3=""),"",IF(AND($J73&lt;&gt;"",$K73&lt;&gt;"",$J73=$K73,$J73&gt;=U$3,$J73&lt;=IF(param_mode_affichage="mois",EOMONTH(U$3,0),U$3+6)),"◆",""))</f>
      </c>
      <c r="V73" s="26">
        <f>IF(OR($A73="",V$3=""),"",IF(AND($J73&lt;&gt;"",$K73&lt;&gt;"",$J73=$K73,$J73&gt;=V$3,$J73&lt;=IF(param_mode_affichage="mois",EOMONTH(V$3,0),V$3+6)),"◆",""))</f>
      </c>
      <c r="W73" s="26">
        <f>IF(OR($A73="",W$3=""),"",IF(AND($J73&lt;&gt;"",$K73&lt;&gt;"",$J73=$K73,$J73&gt;=W$3,$J73&lt;=IF(param_mode_affichage="mois",EOMONTH(W$3,0),W$3+6)),"◆",""))</f>
      </c>
      <c r="X73" s="26">
        <f>IF(OR($A73="",X$3=""),"",IF(AND($J73&lt;&gt;"",$K73&lt;&gt;"",$J73=$K73,$J73&gt;=X$3,$J73&lt;=IF(param_mode_affichage="mois",EOMONTH(X$3,0),X$3+6)),"◆",""))</f>
      </c>
      <c r="Y73" s="26">
        <f>IF(OR($A73="",Y$3=""),"",IF(AND($J73&lt;&gt;"",$K73&lt;&gt;"",$J73=$K73,$J73&gt;=Y$3,$J73&lt;=IF(param_mode_affichage="mois",EOMONTH(Y$3,0),Y$3+6)),"◆",""))</f>
      </c>
      <c r="Z73" s="26">
        <f>IF(OR($A73="",Z$3=""),"",IF(AND($J73&lt;&gt;"",$K73&lt;&gt;"",$J73=$K73,$J73&gt;=Z$3,$J73&lt;=IF(param_mode_affichage="mois",EOMONTH(Z$3,0),Z$3+6)),"◆",""))</f>
      </c>
      <c r="AA73" s="26">
        <f>IF(OR($A73="",AA$3=""),"",IF(AND($J73&lt;&gt;"",$K73&lt;&gt;"",$J73=$K73,$J73&gt;=AA$3,$J73&lt;=IF(param_mode_affichage="mois",EOMONTH(AA$3,0),AA$3+6)),"◆",""))</f>
      </c>
      <c r="AB73" s="26">
        <f>IF(OR($A73="",AB$3=""),"",IF(AND($J73&lt;&gt;"",$K73&lt;&gt;"",$J73=$K73,$J73&gt;=AB$3,$J73&lt;=IF(param_mode_affichage="mois",EOMONTH(AB$3,0),AB$3+6)),"◆",""))</f>
      </c>
      <c r="AC73" s="26">
        <f>IF(OR($A73="",AC$3=""),"",IF(AND($J73&lt;&gt;"",$K73&lt;&gt;"",$J73=$K73,$J73&gt;=AC$3,$J73&lt;=IF(param_mode_affichage="mois",EOMONTH(AC$3,0),AC$3+6)),"◆",""))</f>
      </c>
      <c r="AD73" s="26">
        <f>IF(OR($A73="",AD$3=""),"",IF(AND($J73&lt;&gt;"",$K73&lt;&gt;"",$J73=$K73,$J73&gt;=AD$3,$J73&lt;=IF(param_mode_affichage="mois",EOMONTH(AD$3,0),AD$3+6)),"◆",""))</f>
      </c>
      <c r="AE73" s="26">
        <f>IF(OR($A73="",AE$3=""),"",IF(AND($J73&lt;&gt;"",$K73&lt;&gt;"",$J73=$K73,$J73&gt;=AE$3,$J73&lt;=IF(param_mode_affichage="mois",EOMONTH(AE$3,0),AE$3+6)),"◆",""))</f>
      </c>
      <c r="AF73" s="26">
        <f>IF(OR($A73="",AF$3=""),"",IF(AND($J73&lt;&gt;"",$K73&lt;&gt;"",$J73=$K73,$J73&gt;=AF$3,$J73&lt;=IF(param_mode_affichage="mois",EOMONTH(AF$3,0),AF$3+6)),"◆",""))</f>
      </c>
      <c r="AG73" s="26">
        <f>IF(OR($A73="",AG$3=""),"",IF(AND($J73&lt;&gt;"",$K73&lt;&gt;"",$J73=$K73,$J73&gt;=AG$3,$J73&lt;=IF(param_mode_affichage="mois",EOMONTH(AG$3,0),AG$3+6)),"◆",""))</f>
      </c>
      <c r="AH73" s="26">
        <f>IF(OR($A73="",AH$3=""),"",IF(AND($J73&lt;&gt;"",$K73&lt;&gt;"",$J73=$K73,$J73&gt;=AH$3,$J73&lt;=IF(param_mode_affichage="mois",EOMONTH(AH$3,0),AH$3+6)),"◆",""))</f>
      </c>
      <c r="AI73" s="26">
        <f>IF(OR($A73="",AI$3=""),"",IF(AND($J73&lt;&gt;"",$K73&lt;&gt;"",$J73=$K73,$J73&gt;=AI$3,$J73&lt;=IF(param_mode_affichage="mois",EOMONTH(AI$3,0),AI$3+6)),"◆",""))</f>
      </c>
      <c r="AJ73" s="26">
        <f>IF(OR($A73="",AJ$3=""),"",IF(AND($J73&lt;&gt;"",$K73&lt;&gt;"",$J73=$K73,$J73&gt;=AJ$3,$J73&lt;=IF(param_mode_affichage="mois",EOMONTH(AJ$3,0),AJ$3+6)),"◆",""))</f>
      </c>
      <c r="AK73" s="26">
        <f>IF(OR($A73="",AK$3=""),"",IF(AND($J73&lt;&gt;"",$K73&lt;&gt;"",$J73=$K73,$J73&gt;=AK$3,$J73&lt;=IF(param_mode_affichage="mois",EOMONTH(AK$3,0),AK$3+6)),"◆",""))</f>
      </c>
      <c r="AL73" s="26">
        <f>IF(OR($A73="",AL$3=""),"",IF(AND($J73&lt;&gt;"",$K73&lt;&gt;"",$J73=$K73,$J73&gt;=AL$3,$J73&lt;=IF(param_mode_affichage="mois",EOMONTH(AL$3,0),AL$3+6)),"◆",""))</f>
      </c>
      <c r="AM73" s="26">
        <f>IF(OR($A73="",AM$3=""),"",IF(AND($J73&lt;&gt;"",$K73&lt;&gt;"",$J73=$K73,$J73&gt;=AM$3,$J73&lt;=IF(param_mode_affichage="mois",EOMONTH(AM$3,0),AM$3+6)),"◆",""))</f>
      </c>
      <c r="AN73" s="26">
        <f>IF(OR($A73="",AN$3=""),"",IF(AND($J73&lt;&gt;"",$K73&lt;&gt;"",$J73=$K73,$J73&gt;=AN$3,$J73&lt;=IF(param_mode_affichage="mois",EOMONTH(AN$3,0),AN$3+6)),"◆",""))</f>
      </c>
      <c r="AO73" s="26">
        <f>IF(OR($A73="",AO$3=""),"",IF(AND($J73&lt;&gt;"",$K73&lt;&gt;"",$J73=$K73,$J73&gt;=AO$3,$J73&lt;=IF(param_mode_affichage="mois",EOMONTH(AO$3,0),AO$3+6)),"◆",""))</f>
      </c>
      <c r="AP73" s="26">
        <f>IF(OR($A73="",AP$3=""),"",IF(AND($J73&lt;&gt;"",$K73&lt;&gt;"",$J73=$K73,$J73&gt;=AP$3,$J73&lt;=IF(param_mode_affichage="mois",EOMONTH(AP$3,0),AP$3+6)),"◆",""))</f>
      </c>
      <c r="AQ73" s="26">
        <f>IF(OR($A73="",AQ$3=""),"",IF(AND($J73&lt;&gt;"",$K73&lt;&gt;"",$J73=$K73,$J73&gt;=AQ$3,$J73&lt;=IF(param_mode_affichage="mois",EOMONTH(AQ$3,0),AQ$3+6)),"◆",""))</f>
      </c>
      <c r="AR73" s="26">
        <f>IF(OR($A73="",AR$3=""),"",IF(AND($J73&lt;&gt;"",$K73&lt;&gt;"",$J73=$K73,$J73&gt;=AR$3,$J73&lt;=IF(param_mode_affichage="mois",EOMONTH(AR$3,0),AR$3+6)),"◆",""))</f>
      </c>
      <c r="AS73" s="26">
        <f>IF(OR($A73="",AS$3=""),"",IF(AND($J73&lt;&gt;"",$K73&lt;&gt;"",$J73=$K73,$J73&gt;=AS$3,$J73&lt;=IF(param_mode_affichage="mois",EOMONTH(AS$3,0),AS$3+6)),"◆",""))</f>
      </c>
      <c r="AT73" s="26">
        <f>IF(OR($A73="",AT$3=""),"",IF(AND($J73&lt;&gt;"",$K73&lt;&gt;"",$J73=$K73,$J73&gt;=AT$3,$J73&lt;=IF(param_mode_affichage="mois",EOMONTH(AT$3,0),AT$3+6)),"◆",""))</f>
      </c>
      <c r="AU73" s="26">
        <f>IF(OR($A73="",AU$3=""),"",IF(AND($J73&lt;&gt;"",$K73&lt;&gt;"",$J73=$K73,$J73&gt;=AU$3,$J73&lt;=IF(param_mode_affichage="mois",EOMONTH(AU$3,0),AU$3+6)),"◆",""))</f>
      </c>
      <c r="AV73" s="26">
        <f>IF(OR($A73="",AV$3=""),"",IF(AND($J73&lt;&gt;"",$K73&lt;&gt;"",$J73=$K73,$J73&gt;=AV$3,$J73&lt;=IF(param_mode_affichage="mois",EOMONTH(AV$3,0),AV$3+6)),"◆",""))</f>
      </c>
      <c r="AW73" s="26">
        <f>IF(OR($A73="",AW$3=""),"",IF(AND($J73&lt;&gt;"",$K73&lt;&gt;"",$J73=$K73,$J73&gt;=AW$3,$J73&lt;=IF(param_mode_affichage="mois",EOMONTH(AW$3,0),AW$3+6)),"◆",""))</f>
      </c>
      <c r="AX73" s="26">
        <f>IF(OR($A73="",AX$3=""),"",IF(AND($J73&lt;&gt;"",$K73&lt;&gt;"",$J73=$K73,$J73&gt;=AX$3,$J73&lt;=IF(param_mode_affichage="mois",EOMONTH(AX$3,0),AX$3+6)),"◆",""))</f>
      </c>
      <c r="AY73" s="26">
        <f>IF(OR($A73="",AY$3=""),"",IF(AND($J73&lt;&gt;"",$K73&lt;&gt;"",$J73=$K73,$J73&gt;=AY$3,$J73&lt;=IF(param_mode_affichage="mois",EOMONTH(AY$3,0),AY$3+6)),"◆",""))</f>
      </c>
      <c r="AZ73" s="26">
        <f>IF(OR($A73="",AZ$3=""),"",IF(AND($J73&lt;&gt;"",$K73&lt;&gt;"",$J73=$K73,$J73&gt;=AZ$3,$J73&lt;=IF(param_mode_affichage="mois",EOMONTH(AZ$3,0),AZ$3+6)),"◆",""))</f>
      </c>
      <c r="BA73" s="26">
        <f>IF(OR($A73="",BA$3=""),"",IF(AND($J73&lt;&gt;"",$K73&lt;&gt;"",$J73=$K73,$J73&gt;=BA$3,$J73&lt;=IF(param_mode_affichage="mois",EOMONTH(BA$3,0),BA$3+6)),"◆",""))</f>
      </c>
      <c r="BB73" s="26">
        <f>IF(OR($A73="",BB$3=""),"",IF(AND($J73&lt;&gt;"",$K73&lt;&gt;"",$J73=$K73,$J73&gt;=BB$3,$J73&lt;=IF(param_mode_affichage="mois",EOMONTH(BB$3,0),BB$3+6)),"◆",""))</f>
      </c>
      <c r="BC73" s="26">
        <f>IF(OR($A73="",BC$3=""),"",IF(AND($J73&lt;&gt;"",$K73&lt;&gt;"",$J73=$K73,$J73&gt;=BC$3,$J73&lt;=IF(param_mode_affichage="mois",EOMONTH(BC$3,0),BC$3+6)),"◆",""))</f>
      </c>
      <c r="BD73" s="26">
        <f>IF(OR($A73="",BD$3=""),"",IF(AND($J73&lt;&gt;"",$K73&lt;&gt;"",$J73=$K73,$J73&gt;=BD$3,$J73&lt;=IF(param_mode_affichage="mois",EOMONTH(BD$3,0),BD$3+6)),"◆",""))</f>
      </c>
      <c r="BE73" s="26">
        <f>IF(OR($A73="",BE$3=""),"",IF(AND($J73&lt;&gt;"",$K73&lt;&gt;"",$J73=$K73,$J73&gt;=BE$3,$J73&lt;=IF(param_mode_affichage="mois",EOMONTH(BE$3,0),BE$3+6)),"◆",""))</f>
      </c>
      <c r="BF73" s="26">
        <f>IF(OR($A73="",BF$3=""),"",IF(AND($J73&lt;&gt;"",$K73&lt;&gt;"",$J73=$K73,$J73&gt;=BF$3,$J73&lt;=IF(param_mode_affichage="mois",EOMONTH(BF$3,0),BF$3+6)),"◆",""))</f>
      </c>
      <c r="BG73" s="26">
        <f>IF(OR($A73="",BG$3=""),"",IF(AND($J73&lt;&gt;"",$K73&lt;&gt;"",$J73=$K73,$J73&gt;=BG$3,$J73&lt;=IF(param_mode_affichage="mois",EOMONTH(BG$3,0),BG$3+6)),"◆",""))</f>
      </c>
      <c r="BH73" s="26">
        <f>IF(OR($A73="",BH$3=""),"",IF(AND($J73&lt;&gt;"",$K73&lt;&gt;"",$J73=$K73,$J73&gt;=BH$3,$J73&lt;=IF(param_mode_affichage="mois",EOMONTH(BH$3,0),BH$3+6)),"◆",""))</f>
      </c>
      <c r="BI73" s="26">
        <f>IF(OR($A73="",BI$3=""),"",IF(AND($J73&lt;&gt;"",$K73&lt;&gt;"",$J73=$K73,$J73&gt;=BI$3,$J73&lt;=IF(param_mode_affichage="mois",EOMONTH(BI$3,0),BI$3+6)),"◆",""))</f>
      </c>
      <c r="BJ73" s="26">
        <f>IF(OR($A73="",BJ$3=""),"",IF(AND($J73&lt;&gt;"",$K73&lt;&gt;"",$J73=$K73,$J73&gt;=BJ$3,$J73&lt;=IF(param_mode_affichage="mois",EOMONTH(BJ$3,0),BJ$3+6)),"◆",""))</f>
      </c>
      <c r="BK73" s="26">
        <f>IF(OR($A73="",BK$3=""),"",IF(AND($J73&lt;&gt;"",$K73&lt;&gt;"",$J73=$K73,$J73&gt;=BK$3,$J73&lt;=IF(param_mode_affichage="mois",EOMONTH(BK$3,0),BK$3+6)),"◆",""))</f>
      </c>
      <c r="BL73" s="26">
        <f>IF(OR($A73="",BL$3=""),"",IF(AND($J73&lt;&gt;"",$K73&lt;&gt;"",$J73=$K73,$J73&gt;=BL$3,$J73&lt;=IF(param_mode_affichage="mois",EOMONTH(BL$3,0),BL$3+6)),"◆",""))</f>
      </c>
    </row>
    <row r="74" spans="1:64" x14ac:dyDescent="0.25">
      <c r="A74" s="23">
        <f>IFERROR(INDEX(tblTasks[ID],ROW()-4),"")</f>
      </c>
      <c r="B74" s="24">
        <f>IF($A74="","",INDEX(tblTasks[Sujet],ROW()-4))</f>
      </c>
      <c r="C74" s="23">
        <f>IF($A74="","",INDEX(tblTasks[Responsable],ROW()-4))</f>
      </c>
      <c r="D74" s="23">
        <f>IF($A74="","",INDEX(tblTasks[Statut],ROW()-4))</f>
      </c>
      <c r="E74" s="23">
        <f>IF($A74="","",INDEX(tblTasks[Depend_de],ROW()-4))</f>
      </c>
      <c r="F74" s="23">
        <f>IF($A74="","",INDEX(tblTasks[Blocage],ROW()-4))</f>
      </c>
      <c r="G74" s="23">
        <f>IF($A74="","",INDEX(tblTasks[Niveau_criticite],ROW()-4))</f>
      </c>
      <c r="H74" s="23">
        <f>IF($A74="","",INDEX(tblTasks[Goulot],ROW()-4))</f>
      </c>
      <c r="I74" s="23">
        <f>IF($A74="","",IF(LOWER($F74)="oui","non",IF($E74="","oui",IFERROR(IF(LOWER(INDEX(tblTasks[Statut],MATCH($E74,tblTasks[ID],0)))="clos","oui","non"),"non"))))</f>
      </c>
      <c r="J74" s="25">
        <f>IF($A74="","",INDEX(tblTasks[Date_debut_prevue],ROW()-4))</f>
      </c>
      <c r="K74" s="25">
        <f>IF($A74="","",INDEX(tblTasks[Date_fin_prevue],ROW()-4))</f>
      </c>
      <c r="L74" s="23">
        <f>IF($A74="","",INDEX(tblTasks[Irreversibilite],ROW()-4))</f>
      </c>
      <c r="M74" s="26">
        <f>IF(OR($A74="",M$3=""),"",IF(AND($J74&lt;&gt;"",$K74&lt;&gt;"",$J74=$K74,$J74&gt;=M$3,$J74&lt;=IF(param_mode_affichage="mois",EOMONTH(M$3,0),M$3+6)),"◆",""))</f>
      </c>
      <c r="N74" s="26">
        <f>IF(OR($A74="",N$3=""),"",IF(AND($J74&lt;&gt;"",$K74&lt;&gt;"",$J74=$K74,$J74&gt;=N$3,$J74&lt;=IF(param_mode_affichage="mois",EOMONTH(N$3,0),N$3+6)),"◆",""))</f>
      </c>
      <c r="O74" s="26">
        <f>IF(OR($A74="",O$3=""),"",IF(AND($J74&lt;&gt;"",$K74&lt;&gt;"",$J74=$K74,$J74&gt;=O$3,$J74&lt;=IF(param_mode_affichage="mois",EOMONTH(O$3,0),O$3+6)),"◆",""))</f>
      </c>
      <c r="P74" s="26">
        <f>IF(OR($A74="",P$3=""),"",IF(AND($J74&lt;&gt;"",$K74&lt;&gt;"",$J74=$K74,$J74&gt;=P$3,$J74&lt;=IF(param_mode_affichage="mois",EOMONTH(P$3,0),P$3+6)),"◆",""))</f>
      </c>
      <c r="Q74" s="26">
        <f>IF(OR($A74="",Q$3=""),"",IF(AND($J74&lt;&gt;"",$K74&lt;&gt;"",$J74=$K74,$J74&gt;=Q$3,$J74&lt;=IF(param_mode_affichage="mois",EOMONTH(Q$3,0),Q$3+6)),"◆",""))</f>
      </c>
      <c r="R74" s="26">
        <f>IF(OR($A74="",R$3=""),"",IF(AND($J74&lt;&gt;"",$K74&lt;&gt;"",$J74=$K74,$J74&gt;=R$3,$J74&lt;=IF(param_mode_affichage="mois",EOMONTH(R$3,0),R$3+6)),"◆",""))</f>
      </c>
      <c r="S74" s="26">
        <f>IF(OR($A74="",S$3=""),"",IF(AND($J74&lt;&gt;"",$K74&lt;&gt;"",$J74=$K74,$J74&gt;=S$3,$J74&lt;=IF(param_mode_affichage="mois",EOMONTH(S$3,0),S$3+6)),"◆",""))</f>
      </c>
      <c r="T74" s="26">
        <f>IF(OR($A74="",T$3=""),"",IF(AND($J74&lt;&gt;"",$K74&lt;&gt;"",$J74=$K74,$J74&gt;=T$3,$J74&lt;=IF(param_mode_affichage="mois",EOMONTH(T$3,0),T$3+6)),"◆",""))</f>
      </c>
      <c r="U74" s="26">
        <f>IF(OR($A74="",U$3=""),"",IF(AND($J74&lt;&gt;"",$K74&lt;&gt;"",$J74=$K74,$J74&gt;=U$3,$J74&lt;=IF(param_mode_affichage="mois",EOMONTH(U$3,0),U$3+6)),"◆",""))</f>
      </c>
      <c r="V74" s="26">
        <f>IF(OR($A74="",V$3=""),"",IF(AND($J74&lt;&gt;"",$K74&lt;&gt;"",$J74=$K74,$J74&gt;=V$3,$J74&lt;=IF(param_mode_affichage="mois",EOMONTH(V$3,0),V$3+6)),"◆",""))</f>
      </c>
      <c r="W74" s="26">
        <f>IF(OR($A74="",W$3=""),"",IF(AND($J74&lt;&gt;"",$K74&lt;&gt;"",$J74=$K74,$J74&gt;=W$3,$J74&lt;=IF(param_mode_affichage="mois",EOMONTH(W$3,0),W$3+6)),"◆",""))</f>
      </c>
      <c r="X74" s="26">
        <f>IF(OR($A74="",X$3=""),"",IF(AND($J74&lt;&gt;"",$K74&lt;&gt;"",$J74=$K74,$J74&gt;=X$3,$J74&lt;=IF(param_mode_affichage="mois",EOMONTH(X$3,0),X$3+6)),"◆",""))</f>
      </c>
      <c r="Y74" s="26">
        <f>IF(OR($A74="",Y$3=""),"",IF(AND($J74&lt;&gt;"",$K74&lt;&gt;"",$J74=$K74,$J74&gt;=Y$3,$J74&lt;=IF(param_mode_affichage="mois",EOMONTH(Y$3,0),Y$3+6)),"◆",""))</f>
      </c>
      <c r="Z74" s="26">
        <f>IF(OR($A74="",Z$3=""),"",IF(AND($J74&lt;&gt;"",$K74&lt;&gt;"",$J74=$K74,$J74&gt;=Z$3,$J74&lt;=IF(param_mode_affichage="mois",EOMONTH(Z$3,0),Z$3+6)),"◆",""))</f>
      </c>
      <c r="AA74" s="26">
        <f>IF(OR($A74="",AA$3=""),"",IF(AND($J74&lt;&gt;"",$K74&lt;&gt;"",$J74=$K74,$J74&gt;=AA$3,$J74&lt;=IF(param_mode_affichage="mois",EOMONTH(AA$3,0),AA$3+6)),"◆",""))</f>
      </c>
      <c r="AB74" s="26">
        <f>IF(OR($A74="",AB$3=""),"",IF(AND($J74&lt;&gt;"",$K74&lt;&gt;"",$J74=$K74,$J74&gt;=AB$3,$J74&lt;=IF(param_mode_affichage="mois",EOMONTH(AB$3,0),AB$3+6)),"◆",""))</f>
      </c>
      <c r="AC74" s="26">
        <f>IF(OR($A74="",AC$3=""),"",IF(AND($J74&lt;&gt;"",$K74&lt;&gt;"",$J74=$K74,$J74&gt;=AC$3,$J74&lt;=IF(param_mode_affichage="mois",EOMONTH(AC$3,0),AC$3+6)),"◆",""))</f>
      </c>
      <c r="AD74" s="26">
        <f>IF(OR($A74="",AD$3=""),"",IF(AND($J74&lt;&gt;"",$K74&lt;&gt;"",$J74=$K74,$J74&gt;=AD$3,$J74&lt;=IF(param_mode_affichage="mois",EOMONTH(AD$3,0),AD$3+6)),"◆",""))</f>
      </c>
      <c r="AE74" s="26">
        <f>IF(OR($A74="",AE$3=""),"",IF(AND($J74&lt;&gt;"",$K74&lt;&gt;"",$J74=$K74,$J74&gt;=AE$3,$J74&lt;=IF(param_mode_affichage="mois",EOMONTH(AE$3,0),AE$3+6)),"◆",""))</f>
      </c>
      <c r="AF74" s="26">
        <f>IF(OR($A74="",AF$3=""),"",IF(AND($J74&lt;&gt;"",$K74&lt;&gt;"",$J74=$K74,$J74&gt;=AF$3,$J74&lt;=IF(param_mode_affichage="mois",EOMONTH(AF$3,0),AF$3+6)),"◆",""))</f>
      </c>
      <c r="AG74" s="26">
        <f>IF(OR($A74="",AG$3=""),"",IF(AND($J74&lt;&gt;"",$K74&lt;&gt;"",$J74=$K74,$J74&gt;=AG$3,$J74&lt;=IF(param_mode_affichage="mois",EOMONTH(AG$3,0),AG$3+6)),"◆",""))</f>
      </c>
      <c r="AH74" s="26">
        <f>IF(OR($A74="",AH$3=""),"",IF(AND($J74&lt;&gt;"",$K74&lt;&gt;"",$J74=$K74,$J74&gt;=AH$3,$J74&lt;=IF(param_mode_affichage="mois",EOMONTH(AH$3,0),AH$3+6)),"◆",""))</f>
      </c>
      <c r="AI74" s="26">
        <f>IF(OR($A74="",AI$3=""),"",IF(AND($J74&lt;&gt;"",$K74&lt;&gt;"",$J74=$K74,$J74&gt;=AI$3,$J74&lt;=IF(param_mode_affichage="mois",EOMONTH(AI$3,0),AI$3+6)),"◆",""))</f>
      </c>
      <c r="AJ74" s="26">
        <f>IF(OR($A74="",AJ$3=""),"",IF(AND($J74&lt;&gt;"",$K74&lt;&gt;"",$J74=$K74,$J74&gt;=AJ$3,$J74&lt;=IF(param_mode_affichage="mois",EOMONTH(AJ$3,0),AJ$3+6)),"◆",""))</f>
      </c>
      <c r="AK74" s="26">
        <f>IF(OR($A74="",AK$3=""),"",IF(AND($J74&lt;&gt;"",$K74&lt;&gt;"",$J74=$K74,$J74&gt;=AK$3,$J74&lt;=IF(param_mode_affichage="mois",EOMONTH(AK$3,0),AK$3+6)),"◆",""))</f>
      </c>
      <c r="AL74" s="26">
        <f>IF(OR($A74="",AL$3=""),"",IF(AND($J74&lt;&gt;"",$K74&lt;&gt;"",$J74=$K74,$J74&gt;=AL$3,$J74&lt;=IF(param_mode_affichage="mois",EOMONTH(AL$3,0),AL$3+6)),"◆",""))</f>
      </c>
      <c r="AM74" s="26">
        <f>IF(OR($A74="",AM$3=""),"",IF(AND($J74&lt;&gt;"",$K74&lt;&gt;"",$J74=$K74,$J74&gt;=AM$3,$J74&lt;=IF(param_mode_affichage="mois",EOMONTH(AM$3,0),AM$3+6)),"◆",""))</f>
      </c>
      <c r="AN74" s="26">
        <f>IF(OR($A74="",AN$3=""),"",IF(AND($J74&lt;&gt;"",$K74&lt;&gt;"",$J74=$K74,$J74&gt;=AN$3,$J74&lt;=IF(param_mode_affichage="mois",EOMONTH(AN$3,0),AN$3+6)),"◆",""))</f>
      </c>
      <c r="AO74" s="26">
        <f>IF(OR($A74="",AO$3=""),"",IF(AND($J74&lt;&gt;"",$K74&lt;&gt;"",$J74=$K74,$J74&gt;=AO$3,$J74&lt;=IF(param_mode_affichage="mois",EOMONTH(AO$3,0),AO$3+6)),"◆",""))</f>
      </c>
      <c r="AP74" s="26">
        <f>IF(OR($A74="",AP$3=""),"",IF(AND($J74&lt;&gt;"",$K74&lt;&gt;"",$J74=$K74,$J74&gt;=AP$3,$J74&lt;=IF(param_mode_affichage="mois",EOMONTH(AP$3,0),AP$3+6)),"◆",""))</f>
      </c>
      <c r="AQ74" s="26">
        <f>IF(OR($A74="",AQ$3=""),"",IF(AND($J74&lt;&gt;"",$K74&lt;&gt;"",$J74=$K74,$J74&gt;=AQ$3,$J74&lt;=IF(param_mode_affichage="mois",EOMONTH(AQ$3,0),AQ$3+6)),"◆",""))</f>
      </c>
      <c r="AR74" s="26">
        <f>IF(OR($A74="",AR$3=""),"",IF(AND($J74&lt;&gt;"",$K74&lt;&gt;"",$J74=$K74,$J74&gt;=AR$3,$J74&lt;=IF(param_mode_affichage="mois",EOMONTH(AR$3,0),AR$3+6)),"◆",""))</f>
      </c>
      <c r="AS74" s="26">
        <f>IF(OR($A74="",AS$3=""),"",IF(AND($J74&lt;&gt;"",$K74&lt;&gt;"",$J74=$K74,$J74&gt;=AS$3,$J74&lt;=IF(param_mode_affichage="mois",EOMONTH(AS$3,0),AS$3+6)),"◆",""))</f>
      </c>
      <c r="AT74" s="26">
        <f>IF(OR($A74="",AT$3=""),"",IF(AND($J74&lt;&gt;"",$K74&lt;&gt;"",$J74=$K74,$J74&gt;=AT$3,$J74&lt;=IF(param_mode_affichage="mois",EOMONTH(AT$3,0),AT$3+6)),"◆",""))</f>
      </c>
      <c r="AU74" s="26">
        <f>IF(OR($A74="",AU$3=""),"",IF(AND($J74&lt;&gt;"",$K74&lt;&gt;"",$J74=$K74,$J74&gt;=AU$3,$J74&lt;=IF(param_mode_affichage="mois",EOMONTH(AU$3,0),AU$3+6)),"◆",""))</f>
      </c>
      <c r="AV74" s="26">
        <f>IF(OR($A74="",AV$3=""),"",IF(AND($J74&lt;&gt;"",$K74&lt;&gt;"",$J74=$K74,$J74&gt;=AV$3,$J74&lt;=IF(param_mode_affichage="mois",EOMONTH(AV$3,0),AV$3+6)),"◆",""))</f>
      </c>
      <c r="AW74" s="26">
        <f>IF(OR($A74="",AW$3=""),"",IF(AND($J74&lt;&gt;"",$K74&lt;&gt;"",$J74=$K74,$J74&gt;=AW$3,$J74&lt;=IF(param_mode_affichage="mois",EOMONTH(AW$3,0),AW$3+6)),"◆",""))</f>
      </c>
      <c r="AX74" s="26">
        <f>IF(OR($A74="",AX$3=""),"",IF(AND($J74&lt;&gt;"",$K74&lt;&gt;"",$J74=$K74,$J74&gt;=AX$3,$J74&lt;=IF(param_mode_affichage="mois",EOMONTH(AX$3,0),AX$3+6)),"◆",""))</f>
      </c>
      <c r="AY74" s="26">
        <f>IF(OR($A74="",AY$3=""),"",IF(AND($J74&lt;&gt;"",$K74&lt;&gt;"",$J74=$K74,$J74&gt;=AY$3,$J74&lt;=IF(param_mode_affichage="mois",EOMONTH(AY$3,0),AY$3+6)),"◆",""))</f>
      </c>
      <c r="AZ74" s="26">
        <f>IF(OR($A74="",AZ$3=""),"",IF(AND($J74&lt;&gt;"",$K74&lt;&gt;"",$J74=$K74,$J74&gt;=AZ$3,$J74&lt;=IF(param_mode_affichage="mois",EOMONTH(AZ$3,0),AZ$3+6)),"◆",""))</f>
      </c>
      <c r="BA74" s="26">
        <f>IF(OR($A74="",BA$3=""),"",IF(AND($J74&lt;&gt;"",$K74&lt;&gt;"",$J74=$K74,$J74&gt;=BA$3,$J74&lt;=IF(param_mode_affichage="mois",EOMONTH(BA$3,0),BA$3+6)),"◆",""))</f>
      </c>
      <c r="BB74" s="26">
        <f>IF(OR($A74="",BB$3=""),"",IF(AND($J74&lt;&gt;"",$K74&lt;&gt;"",$J74=$K74,$J74&gt;=BB$3,$J74&lt;=IF(param_mode_affichage="mois",EOMONTH(BB$3,0),BB$3+6)),"◆",""))</f>
      </c>
      <c r="BC74" s="26">
        <f>IF(OR($A74="",BC$3=""),"",IF(AND($J74&lt;&gt;"",$K74&lt;&gt;"",$J74=$K74,$J74&gt;=BC$3,$J74&lt;=IF(param_mode_affichage="mois",EOMONTH(BC$3,0),BC$3+6)),"◆",""))</f>
      </c>
      <c r="BD74" s="26">
        <f>IF(OR($A74="",BD$3=""),"",IF(AND($J74&lt;&gt;"",$K74&lt;&gt;"",$J74=$K74,$J74&gt;=BD$3,$J74&lt;=IF(param_mode_affichage="mois",EOMONTH(BD$3,0),BD$3+6)),"◆",""))</f>
      </c>
      <c r="BE74" s="26">
        <f>IF(OR($A74="",BE$3=""),"",IF(AND($J74&lt;&gt;"",$K74&lt;&gt;"",$J74=$K74,$J74&gt;=BE$3,$J74&lt;=IF(param_mode_affichage="mois",EOMONTH(BE$3,0),BE$3+6)),"◆",""))</f>
      </c>
      <c r="BF74" s="26">
        <f>IF(OR($A74="",BF$3=""),"",IF(AND($J74&lt;&gt;"",$K74&lt;&gt;"",$J74=$K74,$J74&gt;=BF$3,$J74&lt;=IF(param_mode_affichage="mois",EOMONTH(BF$3,0),BF$3+6)),"◆",""))</f>
      </c>
      <c r="BG74" s="26">
        <f>IF(OR($A74="",BG$3=""),"",IF(AND($J74&lt;&gt;"",$K74&lt;&gt;"",$J74=$K74,$J74&gt;=BG$3,$J74&lt;=IF(param_mode_affichage="mois",EOMONTH(BG$3,0),BG$3+6)),"◆",""))</f>
      </c>
      <c r="BH74" s="26">
        <f>IF(OR($A74="",BH$3=""),"",IF(AND($J74&lt;&gt;"",$K74&lt;&gt;"",$J74=$K74,$J74&gt;=BH$3,$J74&lt;=IF(param_mode_affichage="mois",EOMONTH(BH$3,0),BH$3+6)),"◆",""))</f>
      </c>
      <c r="BI74" s="26">
        <f>IF(OR($A74="",BI$3=""),"",IF(AND($J74&lt;&gt;"",$K74&lt;&gt;"",$J74=$K74,$J74&gt;=BI$3,$J74&lt;=IF(param_mode_affichage="mois",EOMONTH(BI$3,0),BI$3+6)),"◆",""))</f>
      </c>
      <c r="BJ74" s="26">
        <f>IF(OR($A74="",BJ$3=""),"",IF(AND($J74&lt;&gt;"",$K74&lt;&gt;"",$J74=$K74,$J74&gt;=BJ$3,$J74&lt;=IF(param_mode_affichage="mois",EOMONTH(BJ$3,0),BJ$3+6)),"◆",""))</f>
      </c>
      <c r="BK74" s="26">
        <f>IF(OR($A74="",BK$3=""),"",IF(AND($J74&lt;&gt;"",$K74&lt;&gt;"",$J74=$K74,$J74&gt;=BK$3,$J74&lt;=IF(param_mode_affichage="mois",EOMONTH(BK$3,0),BK$3+6)),"◆",""))</f>
      </c>
      <c r="BL74" s="26">
        <f>IF(OR($A74="",BL$3=""),"",IF(AND($J74&lt;&gt;"",$K74&lt;&gt;"",$J74=$K74,$J74&gt;=BL$3,$J74&lt;=IF(param_mode_affichage="mois",EOMONTH(BL$3,0),BL$3+6)),"◆",""))</f>
      </c>
    </row>
    <row r="75" spans="1:64" x14ac:dyDescent="0.25">
      <c r="A75" s="23">
        <f>IFERROR(INDEX(tblTasks[ID],ROW()-4),"")</f>
      </c>
      <c r="B75" s="24">
        <f>IF($A75="","",INDEX(tblTasks[Sujet],ROW()-4))</f>
      </c>
      <c r="C75" s="23">
        <f>IF($A75="","",INDEX(tblTasks[Responsable],ROW()-4))</f>
      </c>
      <c r="D75" s="23">
        <f>IF($A75="","",INDEX(tblTasks[Statut],ROW()-4))</f>
      </c>
      <c r="E75" s="23">
        <f>IF($A75="","",INDEX(tblTasks[Depend_de],ROW()-4))</f>
      </c>
      <c r="F75" s="23">
        <f>IF($A75="","",INDEX(tblTasks[Blocage],ROW()-4))</f>
      </c>
      <c r="G75" s="23">
        <f>IF($A75="","",INDEX(tblTasks[Niveau_criticite],ROW()-4))</f>
      </c>
      <c r="H75" s="23">
        <f>IF($A75="","",INDEX(tblTasks[Goulot],ROW()-4))</f>
      </c>
      <c r="I75" s="23">
        <f>IF($A75="","",IF(LOWER($F75)="oui","non",IF($E75="","oui",IFERROR(IF(LOWER(INDEX(tblTasks[Statut],MATCH($E75,tblTasks[ID],0)))="clos","oui","non"),"non"))))</f>
      </c>
      <c r="J75" s="25">
        <f>IF($A75="","",INDEX(tblTasks[Date_debut_prevue],ROW()-4))</f>
      </c>
      <c r="K75" s="25">
        <f>IF($A75="","",INDEX(tblTasks[Date_fin_prevue],ROW()-4))</f>
      </c>
      <c r="L75" s="23">
        <f>IF($A75="","",INDEX(tblTasks[Irreversibilite],ROW()-4))</f>
      </c>
      <c r="M75" s="26">
        <f>IF(OR($A75="",M$3=""),"",IF(AND($J75&lt;&gt;"",$K75&lt;&gt;"",$J75=$K75,$J75&gt;=M$3,$J75&lt;=IF(param_mode_affichage="mois",EOMONTH(M$3,0),M$3+6)),"◆",""))</f>
      </c>
      <c r="N75" s="26">
        <f>IF(OR($A75="",N$3=""),"",IF(AND($J75&lt;&gt;"",$K75&lt;&gt;"",$J75=$K75,$J75&gt;=N$3,$J75&lt;=IF(param_mode_affichage="mois",EOMONTH(N$3,0),N$3+6)),"◆",""))</f>
      </c>
      <c r="O75" s="26">
        <f>IF(OR($A75="",O$3=""),"",IF(AND($J75&lt;&gt;"",$K75&lt;&gt;"",$J75=$K75,$J75&gt;=O$3,$J75&lt;=IF(param_mode_affichage="mois",EOMONTH(O$3,0),O$3+6)),"◆",""))</f>
      </c>
      <c r="P75" s="26">
        <f>IF(OR($A75="",P$3=""),"",IF(AND($J75&lt;&gt;"",$K75&lt;&gt;"",$J75=$K75,$J75&gt;=P$3,$J75&lt;=IF(param_mode_affichage="mois",EOMONTH(P$3,0),P$3+6)),"◆",""))</f>
      </c>
      <c r="Q75" s="26">
        <f>IF(OR($A75="",Q$3=""),"",IF(AND($J75&lt;&gt;"",$K75&lt;&gt;"",$J75=$K75,$J75&gt;=Q$3,$J75&lt;=IF(param_mode_affichage="mois",EOMONTH(Q$3,0),Q$3+6)),"◆",""))</f>
      </c>
      <c r="R75" s="26">
        <f>IF(OR($A75="",R$3=""),"",IF(AND($J75&lt;&gt;"",$K75&lt;&gt;"",$J75=$K75,$J75&gt;=R$3,$J75&lt;=IF(param_mode_affichage="mois",EOMONTH(R$3,0),R$3+6)),"◆",""))</f>
      </c>
      <c r="S75" s="26">
        <f>IF(OR($A75="",S$3=""),"",IF(AND($J75&lt;&gt;"",$K75&lt;&gt;"",$J75=$K75,$J75&gt;=S$3,$J75&lt;=IF(param_mode_affichage="mois",EOMONTH(S$3,0),S$3+6)),"◆",""))</f>
      </c>
      <c r="T75" s="26">
        <f>IF(OR($A75="",T$3=""),"",IF(AND($J75&lt;&gt;"",$K75&lt;&gt;"",$J75=$K75,$J75&gt;=T$3,$J75&lt;=IF(param_mode_affichage="mois",EOMONTH(T$3,0),T$3+6)),"◆",""))</f>
      </c>
      <c r="U75" s="26">
        <f>IF(OR($A75="",U$3=""),"",IF(AND($J75&lt;&gt;"",$K75&lt;&gt;"",$J75=$K75,$J75&gt;=U$3,$J75&lt;=IF(param_mode_affichage="mois",EOMONTH(U$3,0),U$3+6)),"◆",""))</f>
      </c>
      <c r="V75" s="26">
        <f>IF(OR($A75="",V$3=""),"",IF(AND($J75&lt;&gt;"",$K75&lt;&gt;"",$J75=$K75,$J75&gt;=V$3,$J75&lt;=IF(param_mode_affichage="mois",EOMONTH(V$3,0),V$3+6)),"◆",""))</f>
      </c>
      <c r="W75" s="26">
        <f>IF(OR($A75="",W$3=""),"",IF(AND($J75&lt;&gt;"",$K75&lt;&gt;"",$J75=$K75,$J75&gt;=W$3,$J75&lt;=IF(param_mode_affichage="mois",EOMONTH(W$3,0),W$3+6)),"◆",""))</f>
      </c>
      <c r="X75" s="26">
        <f>IF(OR($A75="",X$3=""),"",IF(AND($J75&lt;&gt;"",$K75&lt;&gt;"",$J75=$K75,$J75&gt;=X$3,$J75&lt;=IF(param_mode_affichage="mois",EOMONTH(X$3,0),X$3+6)),"◆",""))</f>
      </c>
      <c r="Y75" s="26">
        <f>IF(OR($A75="",Y$3=""),"",IF(AND($J75&lt;&gt;"",$K75&lt;&gt;"",$J75=$K75,$J75&gt;=Y$3,$J75&lt;=IF(param_mode_affichage="mois",EOMONTH(Y$3,0),Y$3+6)),"◆",""))</f>
      </c>
      <c r="Z75" s="26">
        <f>IF(OR($A75="",Z$3=""),"",IF(AND($J75&lt;&gt;"",$K75&lt;&gt;"",$J75=$K75,$J75&gt;=Z$3,$J75&lt;=IF(param_mode_affichage="mois",EOMONTH(Z$3,0),Z$3+6)),"◆",""))</f>
      </c>
      <c r="AA75" s="26">
        <f>IF(OR($A75="",AA$3=""),"",IF(AND($J75&lt;&gt;"",$K75&lt;&gt;"",$J75=$K75,$J75&gt;=AA$3,$J75&lt;=IF(param_mode_affichage="mois",EOMONTH(AA$3,0),AA$3+6)),"◆",""))</f>
      </c>
      <c r="AB75" s="26">
        <f>IF(OR($A75="",AB$3=""),"",IF(AND($J75&lt;&gt;"",$K75&lt;&gt;"",$J75=$K75,$J75&gt;=AB$3,$J75&lt;=IF(param_mode_affichage="mois",EOMONTH(AB$3,0),AB$3+6)),"◆",""))</f>
      </c>
      <c r="AC75" s="26">
        <f>IF(OR($A75="",AC$3=""),"",IF(AND($J75&lt;&gt;"",$K75&lt;&gt;"",$J75=$K75,$J75&gt;=AC$3,$J75&lt;=IF(param_mode_affichage="mois",EOMONTH(AC$3,0),AC$3+6)),"◆",""))</f>
      </c>
      <c r="AD75" s="26">
        <f>IF(OR($A75="",AD$3=""),"",IF(AND($J75&lt;&gt;"",$K75&lt;&gt;"",$J75=$K75,$J75&gt;=AD$3,$J75&lt;=IF(param_mode_affichage="mois",EOMONTH(AD$3,0),AD$3+6)),"◆",""))</f>
      </c>
      <c r="AE75" s="26">
        <f>IF(OR($A75="",AE$3=""),"",IF(AND($J75&lt;&gt;"",$K75&lt;&gt;"",$J75=$K75,$J75&gt;=AE$3,$J75&lt;=IF(param_mode_affichage="mois",EOMONTH(AE$3,0),AE$3+6)),"◆",""))</f>
      </c>
      <c r="AF75" s="26">
        <f>IF(OR($A75="",AF$3=""),"",IF(AND($J75&lt;&gt;"",$K75&lt;&gt;"",$J75=$K75,$J75&gt;=AF$3,$J75&lt;=IF(param_mode_affichage="mois",EOMONTH(AF$3,0),AF$3+6)),"◆",""))</f>
      </c>
      <c r="AG75" s="26">
        <f>IF(OR($A75="",AG$3=""),"",IF(AND($J75&lt;&gt;"",$K75&lt;&gt;"",$J75=$K75,$J75&gt;=AG$3,$J75&lt;=IF(param_mode_affichage="mois",EOMONTH(AG$3,0),AG$3+6)),"◆",""))</f>
      </c>
      <c r="AH75" s="26">
        <f>IF(OR($A75="",AH$3=""),"",IF(AND($J75&lt;&gt;"",$K75&lt;&gt;"",$J75=$K75,$J75&gt;=AH$3,$J75&lt;=IF(param_mode_affichage="mois",EOMONTH(AH$3,0),AH$3+6)),"◆",""))</f>
      </c>
      <c r="AI75" s="26">
        <f>IF(OR($A75="",AI$3=""),"",IF(AND($J75&lt;&gt;"",$K75&lt;&gt;"",$J75=$K75,$J75&gt;=AI$3,$J75&lt;=IF(param_mode_affichage="mois",EOMONTH(AI$3,0),AI$3+6)),"◆",""))</f>
      </c>
      <c r="AJ75" s="26">
        <f>IF(OR($A75="",AJ$3=""),"",IF(AND($J75&lt;&gt;"",$K75&lt;&gt;"",$J75=$K75,$J75&gt;=AJ$3,$J75&lt;=IF(param_mode_affichage="mois",EOMONTH(AJ$3,0),AJ$3+6)),"◆",""))</f>
      </c>
      <c r="AK75" s="26">
        <f>IF(OR($A75="",AK$3=""),"",IF(AND($J75&lt;&gt;"",$K75&lt;&gt;"",$J75=$K75,$J75&gt;=AK$3,$J75&lt;=IF(param_mode_affichage="mois",EOMONTH(AK$3,0),AK$3+6)),"◆",""))</f>
      </c>
      <c r="AL75" s="26">
        <f>IF(OR($A75="",AL$3=""),"",IF(AND($J75&lt;&gt;"",$K75&lt;&gt;"",$J75=$K75,$J75&gt;=AL$3,$J75&lt;=IF(param_mode_affichage="mois",EOMONTH(AL$3,0),AL$3+6)),"◆",""))</f>
      </c>
      <c r="AM75" s="26">
        <f>IF(OR($A75="",AM$3=""),"",IF(AND($J75&lt;&gt;"",$K75&lt;&gt;"",$J75=$K75,$J75&gt;=AM$3,$J75&lt;=IF(param_mode_affichage="mois",EOMONTH(AM$3,0),AM$3+6)),"◆",""))</f>
      </c>
      <c r="AN75" s="26">
        <f>IF(OR($A75="",AN$3=""),"",IF(AND($J75&lt;&gt;"",$K75&lt;&gt;"",$J75=$K75,$J75&gt;=AN$3,$J75&lt;=IF(param_mode_affichage="mois",EOMONTH(AN$3,0),AN$3+6)),"◆",""))</f>
      </c>
      <c r="AO75" s="26">
        <f>IF(OR($A75="",AO$3=""),"",IF(AND($J75&lt;&gt;"",$K75&lt;&gt;"",$J75=$K75,$J75&gt;=AO$3,$J75&lt;=IF(param_mode_affichage="mois",EOMONTH(AO$3,0),AO$3+6)),"◆",""))</f>
      </c>
      <c r="AP75" s="26">
        <f>IF(OR($A75="",AP$3=""),"",IF(AND($J75&lt;&gt;"",$K75&lt;&gt;"",$J75=$K75,$J75&gt;=AP$3,$J75&lt;=IF(param_mode_affichage="mois",EOMONTH(AP$3,0),AP$3+6)),"◆",""))</f>
      </c>
      <c r="AQ75" s="26">
        <f>IF(OR($A75="",AQ$3=""),"",IF(AND($J75&lt;&gt;"",$K75&lt;&gt;"",$J75=$K75,$J75&gt;=AQ$3,$J75&lt;=IF(param_mode_affichage="mois",EOMONTH(AQ$3,0),AQ$3+6)),"◆",""))</f>
      </c>
      <c r="AR75" s="26">
        <f>IF(OR($A75="",AR$3=""),"",IF(AND($J75&lt;&gt;"",$K75&lt;&gt;"",$J75=$K75,$J75&gt;=AR$3,$J75&lt;=IF(param_mode_affichage="mois",EOMONTH(AR$3,0),AR$3+6)),"◆",""))</f>
      </c>
      <c r="AS75" s="26">
        <f>IF(OR($A75="",AS$3=""),"",IF(AND($J75&lt;&gt;"",$K75&lt;&gt;"",$J75=$K75,$J75&gt;=AS$3,$J75&lt;=IF(param_mode_affichage="mois",EOMONTH(AS$3,0),AS$3+6)),"◆",""))</f>
      </c>
      <c r="AT75" s="26">
        <f>IF(OR($A75="",AT$3=""),"",IF(AND($J75&lt;&gt;"",$K75&lt;&gt;"",$J75=$K75,$J75&gt;=AT$3,$J75&lt;=IF(param_mode_affichage="mois",EOMONTH(AT$3,0),AT$3+6)),"◆",""))</f>
      </c>
      <c r="AU75" s="26">
        <f>IF(OR($A75="",AU$3=""),"",IF(AND($J75&lt;&gt;"",$K75&lt;&gt;"",$J75=$K75,$J75&gt;=AU$3,$J75&lt;=IF(param_mode_affichage="mois",EOMONTH(AU$3,0),AU$3+6)),"◆",""))</f>
      </c>
      <c r="AV75" s="26">
        <f>IF(OR($A75="",AV$3=""),"",IF(AND($J75&lt;&gt;"",$K75&lt;&gt;"",$J75=$K75,$J75&gt;=AV$3,$J75&lt;=IF(param_mode_affichage="mois",EOMONTH(AV$3,0),AV$3+6)),"◆",""))</f>
      </c>
      <c r="AW75" s="26">
        <f>IF(OR($A75="",AW$3=""),"",IF(AND($J75&lt;&gt;"",$K75&lt;&gt;"",$J75=$K75,$J75&gt;=AW$3,$J75&lt;=IF(param_mode_affichage="mois",EOMONTH(AW$3,0),AW$3+6)),"◆",""))</f>
      </c>
      <c r="AX75" s="26">
        <f>IF(OR($A75="",AX$3=""),"",IF(AND($J75&lt;&gt;"",$K75&lt;&gt;"",$J75=$K75,$J75&gt;=AX$3,$J75&lt;=IF(param_mode_affichage="mois",EOMONTH(AX$3,0),AX$3+6)),"◆",""))</f>
      </c>
      <c r="AY75" s="26">
        <f>IF(OR($A75="",AY$3=""),"",IF(AND($J75&lt;&gt;"",$K75&lt;&gt;"",$J75=$K75,$J75&gt;=AY$3,$J75&lt;=IF(param_mode_affichage="mois",EOMONTH(AY$3,0),AY$3+6)),"◆",""))</f>
      </c>
      <c r="AZ75" s="26">
        <f>IF(OR($A75="",AZ$3=""),"",IF(AND($J75&lt;&gt;"",$K75&lt;&gt;"",$J75=$K75,$J75&gt;=AZ$3,$J75&lt;=IF(param_mode_affichage="mois",EOMONTH(AZ$3,0),AZ$3+6)),"◆",""))</f>
      </c>
      <c r="BA75" s="26">
        <f>IF(OR($A75="",BA$3=""),"",IF(AND($J75&lt;&gt;"",$K75&lt;&gt;"",$J75=$K75,$J75&gt;=BA$3,$J75&lt;=IF(param_mode_affichage="mois",EOMONTH(BA$3,0),BA$3+6)),"◆",""))</f>
      </c>
      <c r="BB75" s="26">
        <f>IF(OR($A75="",BB$3=""),"",IF(AND($J75&lt;&gt;"",$K75&lt;&gt;"",$J75=$K75,$J75&gt;=BB$3,$J75&lt;=IF(param_mode_affichage="mois",EOMONTH(BB$3,0),BB$3+6)),"◆",""))</f>
      </c>
      <c r="BC75" s="26">
        <f>IF(OR($A75="",BC$3=""),"",IF(AND($J75&lt;&gt;"",$K75&lt;&gt;"",$J75=$K75,$J75&gt;=BC$3,$J75&lt;=IF(param_mode_affichage="mois",EOMONTH(BC$3,0),BC$3+6)),"◆",""))</f>
      </c>
      <c r="BD75" s="26">
        <f>IF(OR($A75="",BD$3=""),"",IF(AND($J75&lt;&gt;"",$K75&lt;&gt;"",$J75=$K75,$J75&gt;=BD$3,$J75&lt;=IF(param_mode_affichage="mois",EOMONTH(BD$3,0),BD$3+6)),"◆",""))</f>
      </c>
      <c r="BE75" s="26">
        <f>IF(OR($A75="",BE$3=""),"",IF(AND($J75&lt;&gt;"",$K75&lt;&gt;"",$J75=$K75,$J75&gt;=BE$3,$J75&lt;=IF(param_mode_affichage="mois",EOMONTH(BE$3,0),BE$3+6)),"◆",""))</f>
      </c>
      <c r="BF75" s="26">
        <f>IF(OR($A75="",BF$3=""),"",IF(AND($J75&lt;&gt;"",$K75&lt;&gt;"",$J75=$K75,$J75&gt;=BF$3,$J75&lt;=IF(param_mode_affichage="mois",EOMONTH(BF$3,0),BF$3+6)),"◆",""))</f>
      </c>
      <c r="BG75" s="26">
        <f>IF(OR($A75="",BG$3=""),"",IF(AND($J75&lt;&gt;"",$K75&lt;&gt;"",$J75=$K75,$J75&gt;=BG$3,$J75&lt;=IF(param_mode_affichage="mois",EOMONTH(BG$3,0),BG$3+6)),"◆",""))</f>
      </c>
      <c r="BH75" s="26">
        <f>IF(OR($A75="",BH$3=""),"",IF(AND($J75&lt;&gt;"",$K75&lt;&gt;"",$J75=$K75,$J75&gt;=BH$3,$J75&lt;=IF(param_mode_affichage="mois",EOMONTH(BH$3,0),BH$3+6)),"◆",""))</f>
      </c>
      <c r="BI75" s="26">
        <f>IF(OR($A75="",BI$3=""),"",IF(AND($J75&lt;&gt;"",$K75&lt;&gt;"",$J75=$K75,$J75&gt;=BI$3,$J75&lt;=IF(param_mode_affichage="mois",EOMONTH(BI$3,0),BI$3+6)),"◆",""))</f>
      </c>
      <c r="BJ75" s="26">
        <f>IF(OR($A75="",BJ$3=""),"",IF(AND($J75&lt;&gt;"",$K75&lt;&gt;"",$J75=$K75,$J75&gt;=BJ$3,$J75&lt;=IF(param_mode_affichage="mois",EOMONTH(BJ$3,0),BJ$3+6)),"◆",""))</f>
      </c>
      <c r="BK75" s="26">
        <f>IF(OR($A75="",BK$3=""),"",IF(AND($J75&lt;&gt;"",$K75&lt;&gt;"",$J75=$K75,$J75&gt;=BK$3,$J75&lt;=IF(param_mode_affichage="mois",EOMONTH(BK$3,0),BK$3+6)),"◆",""))</f>
      </c>
      <c r="BL75" s="26">
        <f>IF(OR($A75="",BL$3=""),"",IF(AND($J75&lt;&gt;"",$K75&lt;&gt;"",$J75=$K75,$J75&gt;=BL$3,$J75&lt;=IF(param_mode_affichage="mois",EOMONTH(BL$3,0),BL$3+6)),"◆",""))</f>
      </c>
    </row>
    <row r="76" spans="1:64" x14ac:dyDescent="0.25">
      <c r="A76" s="23">
        <f>IFERROR(INDEX(tblTasks[ID],ROW()-4),"")</f>
      </c>
      <c r="B76" s="24">
        <f>IF($A76="","",INDEX(tblTasks[Sujet],ROW()-4))</f>
      </c>
      <c r="C76" s="23">
        <f>IF($A76="","",INDEX(tblTasks[Responsable],ROW()-4))</f>
      </c>
      <c r="D76" s="23">
        <f>IF($A76="","",INDEX(tblTasks[Statut],ROW()-4))</f>
      </c>
      <c r="E76" s="23">
        <f>IF($A76="","",INDEX(tblTasks[Depend_de],ROW()-4))</f>
      </c>
      <c r="F76" s="23">
        <f>IF($A76="","",INDEX(tblTasks[Blocage],ROW()-4))</f>
      </c>
      <c r="G76" s="23">
        <f>IF($A76="","",INDEX(tblTasks[Niveau_criticite],ROW()-4))</f>
      </c>
      <c r="H76" s="23">
        <f>IF($A76="","",INDEX(tblTasks[Goulot],ROW()-4))</f>
      </c>
      <c r="I76" s="23">
        <f>IF($A76="","",IF(LOWER($F76)="oui","non",IF($E76="","oui",IFERROR(IF(LOWER(INDEX(tblTasks[Statut],MATCH($E76,tblTasks[ID],0)))="clos","oui","non"),"non"))))</f>
      </c>
      <c r="J76" s="25">
        <f>IF($A76="","",INDEX(tblTasks[Date_debut_prevue],ROW()-4))</f>
      </c>
      <c r="K76" s="25">
        <f>IF($A76="","",INDEX(tblTasks[Date_fin_prevue],ROW()-4))</f>
      </c>
      <c r="L76" s="23">
        <f>IF($A76="","",INDEX(tblTasks[Irreversibilite],ROW()-4))</f>
      </c>
      <c r="M76" s="26">
        <f>IF(OR($A76="",M$3=""),"",IF(AND($J76&lt;&gt;"",$K76&lt;&gt;"",$J76=$K76,$J76&gt;=M$3,$J76&lt;=IF(param_mode_affichage="mois",EOMONTH(M$3,0),M$3+6)),"◆",""))</f>
      </c>
      <c r="N76" s="26">
        <f>IF(OR($A76="",N$3=""),"",IF(AND($J76&lt;&gt;"",$K76&lt;&gt;"",$J76=$K76,$J76&gt;=N$3,$J76&lt;=IF(param_mode_affichage="mois",EOMONTH(N$3,0),N$3+6)),"◆",""))</f>
      </c>
      <c r="O76" s="26">
        <f>IF(OR($A76="",O$3=""),"",IF(AND($J76&lt;&gt;"",$K76&lt;&gt;"",$J76=$K76,$J76&gt;=O$3,$J76&lt;=IF(param_mode_affichage="mois",EOMONTH(O$3,0),O$3+6)),"◆",""))</f>
      </c>
      <c r="P76" s="26">
        <f>IF(OR($A76="",P$3=""),"",IF(AND($J76&lt;&gt;"",$K76&lt;&gt;"",$J76=$K76,$J76&gt;=P$3,$J76&lt;=IF(param_mode_affichage="mois",EOMONTH(P$3,0),P$3+6)),"◆",""))</f>
      </c>
      <c r="Q76" s="26">
        <f>IF(OR($A76="",Q$3=""),"",IF(AND($J76&lt;&gt;"",$K76&lt;&gt;"",$J76=$K76,$J76&gt;=Q$3,$J76&lt;=IF(param_mode_affichage="mois",EOMONTH(Q$3,0),Q$3+6)),"◆",""))</f>
      </c>
      <c r="R76" s="26">
        <f>IF(OR($A76="",R$3=""),"",IF(AND($J76&lt;&gt;"",$K76&lt;&gt;"",$J76=$K76,$J76&gt;=R$3,$J76&lt;=IF(param_mode_affichage="mois",EOMONTH(R$3,0),R$3+6)),"◆",""))</f>
      </c>
      <c r="S76" s="26">
        <f>IF(OR($A76="",S$3=""),"",IF(AND($J76&lt;&gt;"",$K76&lt;&gt;"",$J76=$K76,$J76&gt;=S$3,$J76&lt;=IF(param_mode_affichage="mois",EOMONTH(S$3,0),S$3+6)),"◆",""))</f>
      </c>
      <c r="T76" s="26">
        <f>IF(OR($A76="",T$3=""),"",IF(AND($J76&lt;&gt;"",$K76&lt;&gt;"",$J76=$K76,$J76&gt;=T$3,$J76&lt;=IF(param_mode_affichage="mois",EOMONTH(T$3,0),T$3+6)),"◆",""))</f>
      </c>
      <c r="U76" s="26">
        <f>IF(OR($A76="",U$3=""),"",IF(AND($J76&lt;&gt;"",$K76&lt;&gt;"",$J76=$K76,$J76&gt;=U$3,$J76&lt;=IF(param_mode_affichage="mois",EOMONTH(U$3,0),U$3+6)),"◆",""))</f>
      </c>
      <c r="V76" s="26">
        <f>IF(OR($A76="",V$3=""),"",IF(AND($J76&lt;&gt;"",$K76&lt;&gt;"",$J76=$K76,$J76&gt;=V$3,$J76&lt;=IF(param_mode_affichage="mois",EOMONTH(V$3,0),V$3+6)),"◆",""))</f>
      </c>
      <c r="W76" s="26">
        <f>IF(OR($A76="",W$3=""),"",IF(AND($J76&lt;&gt;"",$K76&lt;&gt;"",$J76=$K76,$J76&gt;=W$3,$J76&lt;=IF(param_mode_affichage="mois",EOMONTH(W$3,0),W$3+6)),"◆",""))</f>
      </c>
      <c r="X76" s="26">
        <f>IF(OR($A76="",X$3=""),"",IF(AND($J76&lt;&gt;"",$K76&lt;&gt;"",$J76=$K76,$J76&gt;=X$3,$J76&lt;=IF(param_mode_affichage="mois",EOMONTH(X$3,0),X$3+6)),"◆",""))</f>
      </c>
      <c r="Y76" s="26">
        <f>IF(OR($A76="",Y$3=""),"",IF(AND($J76&lt;&gt;"",$K76&lt;&gt;"",$J76=$K76,$J76&gt;=Y$3,$J76&lt;=IF(param_mode_affichage="mois",EOMONTH(Y$3,0),Y$3+6)),"◆",""))</f>
      </c>
      <c r="Z76" s="26">
        <f>IF(OR($A76="",Z$3=""),"",IF(AND($J76&lt;&gt;"",$K76&lt;&gt;"",$J76=$K76,$J76&gt;=Z$3,$J76&lt;=IF(param_mode_affichage="mois",EOMONTH(Z$3,0),Z$3+6)),"◆",""))</f>
      </c>
      <c r="AA76" s="26">
        <f>IF(OR($A76="",AA$3=""),"",IF(AND($J76&lt;&gt;"",$K76&lt;&gt;"",$J76=$K76,$J76&gt;=AA$3,$J76&lt;=IF(param_mode_affichage="mois",EOMONTH(AA$3,0),AA$3+6)),"◆",""))</f>
      </c>
      <c r="AB76" s="26">
        <f>IF(OR($A76="",AB$3=""),"",IF(AND($J76&lt;&gt;"",$K76&lt;&gt;"",$J76=$K76,$J76&gt;=AB$3,$J76&lt;=IF(param_mode_affichage="mois",EOMONTH(AB$3,0),AB$3+6)),"◆",""))</f>
      </c>
      <c r="AC76" s="26">
        <f>IF(OR($A76="",AC$3=""),"",IF(AND($J76&lt;&gt;"",$K76&lt;&gt;"",$J76=$K76,$J76&gt;=AC$3,$J76&lt;=IF(param_mode_affichage="mois",EOMONTH(AC$3,0),AC$3+6)),"◆",""))</f>
      </c>
      <c r="AD76" s="26">
        <f>IF(OR($A76="",AD$3=""),"",IF(AND($J76&lt;&gt;"",$K76&lt;&gt;"",$J76=$K76,$J76&gt;=AD$3,$J76&lt;=IF(param_mode_affichage="mois",EOMONTH(AD$3,0),AD$3+6)),"◆",""))</f>
      </c>
      <c r="AE76" s="26">
        <f>IF(OR($A76="",AE$3=""),"",IF(AND($J76&lt;&gt;"",$K76&lt;&gt;"",$J76=$K76,$J76&gt;=AE$3,$J76&lt;=IF(param_mode_affichage="mois",EOMONTH(AE$3,0),AE$3+6)),"◆",""))</f>
      </c>
      <c r="AF76" s="26">
        <f>IF(OR($A76="",AF$3=""),"",IF(AND($J76&lt;&gt;"",$K76&lt;&gt;"",$J76=$K76,$J76&gt;=AF$3,$J76&lt;=IF(param_mode_affichage="mois",EOMONTH(AF$3,0),AF$3+6)),"◆",""))</f>
      </c>
      <c r="AG76" s="26">
        <f>IF(OR($A76="",AG$3=""),"",IF(AND($J76&lt;&gt;"",$K76&lt;&gt;"",$J76=$K76,$J76&gt;=AG$3,$J76&lt;=IF(param_mode_affichage="mois",EOMONTH(AG$3,0),AG$3+6)),"◆",""))</f>
      </c>
      <c r="AH76" s="26">
        <f>IF(OR($A76="",AH$3=""),"",IF(AND($J76&lt;&gt;"",$K76&lt;&gt;"",$J76=$K76,$J76&gt;=AH$3,$J76&lt;=IF(param_mode_affichage="mois",EOMONTH(AH$3,0),AH$3+6)),"◆",""))</f>
      </c>
      <c r="AI76" s="26">
        <f>IF(OR($A76="",AI$3=""),"",IF(AND($J76&lt;&gt;"",$K76&lt;&gt;"",$J76=$K76,$J76&gt;=AI$3,$J76&lt;=IF(param_mode_affichage="mois",EOMONTH(AI$3,0),AI$3+6)),"◆",""))</f>
      </c>
      <c r="AJ76" s="26">
        <f>IF(OR($A76="",AJ$3=""),"",IF(AND($J76&lt;&gt;"",$K76&lt;&gt;"",$J76=$K76,$J76&gt;=AJ$3,$J76&lt;=IF(param_mode_affichage="mois",EOMONTH(AJ$3,0),AJ$3+6)),"◆",""))</f>
      </c>
      <c r="AK76" s="26">
        <f>IF(OR($A76="",AK$3=""),"",IF(AND($J76&lt;&gt;"",$K76&lt;&gt;"",$J76=$K76,$J76&gt;=AK$3,$J76&lt;=IF(param_mode_affichage="mois",EOMONTH(AK$3,0),AK$3+6)),"◆",""))</f>
      </c>
      <c r="AL76" s="26">
        <f>IF(OR($A76="",AL$3=""),"",IF(AND($J76&lt;&gt;"",$K76&lt;&gt;"",$J76=$K76,$J76&gt;=AL$3,$J76&lt;=IF(param_mode_affichage="mois",EOMONTH(AL$3,0),AL$3+6)),"◆",""))</f>
      </c>
      <c r="AM76" s="26">
        <f>IF(OR($A76="",AM$3=""),"",IF(AND($J76&lt;&gt;"",$K76&lt;&gt;"",$J76=$K76,$J76&gt;=AM$3,$J76&lt;=IF(param_mode_affichage="mois",EOMONTH(AM$3,0),AM$3+6)),"◆",""))</f>
      </c>
      <c r="AN76" s="26">
        <f>IF(OR($A76="",AN$3=""),"",IF(AND($J76&lt;&gt;"",$K76&lt;&gt;"",$J76=$K76,$J76&gt;=AN$3,$J76&lt;=IF(param_mode_affichage="mois",EOMONTH(AN$3,0),AN$3+6)),"◆",""))</f>
      </c>
      <c r="AO76" s="26">
        <f>IF(OR($A76="",AO$3=""),"",IF(AND($J76&lt;&gt;"",$K76&lt;&gt;"",$J76=$K76,$J76&gt;=AO$3,$J76&lt;=IF(param_mode_affichage="mois",EOMONTH(AO$3,0),AO$3+6)),"◆",""))</f>
      </c>
      <c r="AP76" s="26">
        <f>IF(OR($A76="",AP$3=""),"",IF(AND($J76&lt;&gt;"",$K76&lt;&gt;"",$J76=$K76,$J76&gt;=AP$3,$J76&lt;=IF(param_mode_affichage="mois",EOMONTH(AP$3,0),AP$3+6)),"◆",""))</f>
      </c>
      <c r="AQ76" s="26">
        <f>IF(OR($A76="",AQ$3=""),"",IF(AND($J76&lt;&gt;"",$K76&lt;&gt;"",$J76=$K76,$J76&gt;=AQ$3,$J76&lt;=IF(param_mode_affichage="mois",EOMONTH(AQ$3,0),AQ$3+6)),"◆",""))</f>
      </c>
      <c r="AR76" s="26">
        <f>IF(OR($A76="",AR$3=""),"",IF(AND($J76&lt;&gt;"",$K76&lt;&gt;"",$J76=$K76,$J76&gt;=AR$3,$J76&lt;=IF(param_mode_affichage="mois",EOMONTH(AR$3,0),AR$3+6)),"◆",""))</f>
      </c>
      <c r="AS76" s="26">
        <f>IF(OR($A76="",AS$3=""),"",IF(AND($J76&lt;&gt;"",$K76&lt;&gt;"",$J76=$K76,$J76&gt;=AS$3,$J76&lt;=IF(param_mode_affichage="mois",EOMONTH(AS$3,0),AS$3+6)),"◆",""))</f>
      </c>
      <c r="AT76" s="26">
        <f>IF(OR($A76="",AT$3=""),"",IF(AND($J76&lt;&gt;"",$K76&lt;&gt;"",$J76=$K76,$J76&gt;=AT$3,$J76&lt;=IF(param_mode_affichage="mois",EOMONTH(AT$3,0),AT$3+6)),"◆",""))</f>
      </c>
      <c r="AU76" s="26">
        <f>IF(OR($A76="",AU$3=""),"",IF(AND($J76&lt;&gt;"",$K76&lt;&gt;"",$J76=$K76,$J76&gt;=AU$3,$J76&lt;=IF(param_mode_affichage="mois",EOMONTH(AU$3,0),AU$3+6)),"◆",""))</f>
      </c>
      <c r="AV76" s="26">
        <f>IF(OR($A76="",AV$3=""),"",IF(AND($J76&lt;&gt;"",$K76&lt;&gt;"",$J76=$K76,$J76&gt;=AV$3,$J76&lt;=IF(param_mode_affichage="mois",EOMONTH(AV$3,0),AV$3+6)),"◆",""))</f>
      </c>
      <c r="AW76" s="26">
        <f>IF(OR($A76="",AW$3=""),"",IF(AND($J76&lt;&gt;"",$K76&lt;&gt;"",$J76=$K76,$J76&gt;=AW$3,$J76&lt;=IF(param_mode_affichage="mois",EOMONTH(AW$3,0),AW$3+6)),"◆",""))</f>
      </c>
      <c r="AX76" s="26">
        <f>IF(OR($A76="",AX$3=""),"",IF(AND($J76&lt;&gt;"",$K76&lt;&gt;"",$J76=$K76,$J76&gt;=AX$3,$J76&lt;=IF(param_mode_affichage="mois",EOMONTH(AX$3,0),AX$3+6)),"◆",""))</f>
      </c>
      <c r="AY76" s="26">
        <f>IF(OR($A76="",AY$3=""),"",IF(AND($J76&lt;&gt;"",$K76&lt;&gt;"",$J76=$K76,$J76&gt;=AY$3,$J76&lt;=IF(param_mode_affichage="mois",EOMONTH(AY$3,0),AY$3+6)),"◆",""))</f>
      </c>
      <c r="AZ76" s="26">
        <f>IF(OR($A76="",AZ$3=""),"",IF(AND($J76&lt;&gt;"",$K76&lt;&gt;"",$J76=$K76,$J76&gt;=AZ$3,$J76&lt;=IF(param_mode_affichage="mois",EOMONTH(AZ$3,0),AZ$3+6)),"◆",""))</f>
      </c>
      <c r="BA76" s="26">
        <f>IF(OR($A76="",BA$3=""),"",IF(AND($J76&lt;&gt;"",$K76&lt;&gt;"",$J76=$K76,$J76&gt;=BA$3,$J76&lt;=IF(param_mode_affichage="mois",EOMONTH(BA$3,0),BA$3+6)),"◆",""))</f>
      </c>
      <c r="BB76" s="26">
        <f>IF(OR($A76="",BB$3=""),"",IF(AND($J76&lt;&gt;"",$K76&lt;&gt;"",$J76=$K76,$J76&gt;=BB$3,$J76&lt;=IF(param_mode_affichage="mois",EOMONTH(BB$3,0),BB$3+6)),"◆",""))</f>
      </c>
      <c r="BC76" s="26">
        <f>IF(OR($A76="",BC$3=""),"",IF(AND($J76&lt;&gt;"",$K76&lt;&gt;"",$J76=$K76,$J76&gt;=BC$3,$J76&lt;=IF(param_mode_affichage="mois",EOMONTH(BC$3,0),BC$3+6)),"◆",""))</f>
      </c>
      <c r="BD76" s="26">
        <f>IF(OR($A76="",BD$3=""),"",IF(AND($J76&lt;&gt;"",$K76&lt;&gt;"",$J76=$K76,$J76&gt;=BD$3,$J76&lt;=IF(param_mode_affichage="mois",EOMONTH(BD$3,0),BD$3+6)),"◆",""))</f>
      </c>
      <c r="BE76" s="26">
        <f>IF(OR($A76="",BE$3=""),"",IF(AND($J76&lt;&gt;"",$K76&lt;&gt;"",$J76=$K76,$J76&gt;=BE$3,$J76&lt;=IF(param_mode_affichage="mois",EOMONTH(BE$3,0),BE$3+6)),"◆",""))</f>
      </c>
      <c r="BF76" s="26">
        <f>IF(OR($A76="",BF$3=""),"",IF(AND($J76&lt;&gt;"",$K76&lt;&gt;"",$J76=$K76,$J76&gt;=BF$3,$J76&lt;=IF(param_mode_affichage="mois",EOMONTH(BF$3,0),BF$3+6)),"◆",""))</f>
      </c>
      <c r="BG76" s="26">
        <f>IF(OR($A76="",BG$3=""),"",IF(AND($J76&lt;&gt;"",$K76&lt;&gt;"",$J76=$K76,$J76&gt;=BG$3,$J76&lt;=IF(param_mode_affichage="mois",EOMONTH(BG$3,0),BG$3+6)),"◆",""))</f>
      </c>
      <c r="BH76" s="26">
        <f>IF(OR($A76="",BH$3=""),"",IF(AND($J76&lt;&gt;"",$K76&lt;&gt;"",$J76=$K76,$J76&gt;=BH$3,$J76&lt;=IF(param_mode_affichage="mois",EOMONTH(BH$3,0),BH$3+6)),"◆",""))</f>
      </c>
      <c r="BI76" s="26">
        <f>IF(OR($A76="",BI$3=""),"",IF(AND($J76&lt;&gt;"",$K76&lt;&gt;"",$J76=$K76,$J76&gt;=BI$3,$J76&lt;=IF(param_mode_affichage="mois",EOMONTH(BI$3,0),BI$3+6)),"◆",""))</f>
      </c>
      <c r="BJ76" s="26">
        <f>IF(OR($A76="",BJ$3=""),"",IF(AND($J76&lt;&gt;"",$K76&lt;&gt;"",$J76=$K76,$J76&gt;=BJ$3,$J76&lt;=IF(param_mode_affichage="mois",EOMONTH(BJ$3,0),BJ$3+6)),"◆",""))</f>
      </c>
      <c r="BK76" s="26">
        <f>IF(OR($A76="",BK$3=""),"",IF(AND($J76&lt;&gt;"",$K76&lt;&gt;"",$J76=$K76,$J76&gt;=BK$3,$J76&lt;=IF(param_mode_affichage="mois",EOMONTH(BK$3,0),BK$3+6)),"◆",""))</f>
      </c>
      <c r="BL76" s="26">
        <f>IF(OR($A76="",BL$3=""),"",IF(AND($J76&lt;&gt;"",$K76&lt;&gt;"",$J76=$K76,$J76&gt;=BL$3,$J76&lt;=IF(param_mode_affichage="mois",EOMONTH(BL$3,0),BL$3+6)),"◆",""))</f>
      </c>
    </row>
    <row r="77" spans="1:64" x14ac:dyDescent="0.25">
      <c r="A77" s="23">
        <f>IFERROR(INDEX(tblTasks[ID],ROW()-4),"")</f>
      </c>
      <c r="B77" s="24">
        <f>IF($A77="","",INDEX(tblTasks[Sujet],ROW()-4))</f>
      </c>
      <c r="C77" s="23">
        <f>IF($A77="","",INDEX(tblTasks[Responsable],ROW()-4))</f>
      </c>
      <c r="D77" s="23">
        <f>IF($A77="","",INDEX(tblTasks[Statut],ROW()-4))</f>
      </c>
      <c r="E77" s="23">
        <f>IF($A77="","",INDEX(tblTasks[Depend_de],ROW()-4))</f>
      </c>
      <c r="F77" s="23">
        <f>IF($A77="","",INDEX(tblTasks[Blocage],ROW()-4))</f>
      </c>
      <c r="G77" s="23">
        <f>IF($A77="","",INDEX(tblTasks[Niveau_criticite],ROW()-4))</f>
      </c>
      <c r="H77" s="23">
        <f>IF($A77="","",INDEX(tblTasks[Goulot],ROW()-4))</f>
      </c>
      <c r="I77" s="23">
        <f>IF($A77="","",IF(LOWER($F77)="oui","non",IF($E77="","oui",IFERROR(IF(LOWER(INDEX(tblTasks[Statut],MATCH($E77,tblTasks[ID],0)))="clos","oui","non"),"non"))))</f>
      </c>
      <c r="J77" s="25">
        <f>IF($A77="","",INDEX(tblTasks[Date_debut_prevue],ROW()-4))</f>
      </c>
      <c r="K77" s="25">
        <f>IF($A77="","",INDEX(tblTasks[Date_fin_prevue],ROW()-4))</f>
      </c>
      <c r="L77" s="23">
        <f>IF($A77="","",INDEX(tblTasks[Irreversibilite],ROW()-4))</f>
      </c>
      <c r="M77" s="26">
        <f>IF(OR($A77="",M$3=""),"",IF(AND($J77&lt;&gt;"",$K77&lt;&gt;"",$J77=$K77,$J77&gt;=M$3,$J77&lt;=IF(param_mode_affichage="mois",EOMONTH(M$3,0),M$3+6)),"◆",""))</f>
      </c>
      <c r="N77" s="26">
        <f>IF(OR($A77="",N$3=""),"",IF(AND($J77&lt;&gt;"",$K77&lt;&gt;"",$J77=$K77,$J77&gt;=N$3,$J77&lt;=IF(param_mode_affichage="mois",EOMONTH(N$3,0),N$3+6)),"◆",""))</f>
      </c>
      <c r="O77" s="26">
        <f>IF(OR($A77="",O$3=""),"",IF(AND($J77&lt;&gt;"",$K77&lt;&gt;"",$J77=$K77,$J77&gt;=O$3,$J77&lt;=IF(param_mode_affichage="mois",EOMONTH(O$3,0),O$3+6)),"◆",""))</f>
      </c>
      <c r="P77" s="26">
        <f>IF(OR($A77="",P$3=""),"",IF(AND($J77&lt;&gt;"",$K77&lt;&gt;"",$J77=$K77,$J77&gt;=P$3,$J77&lt;=IF(param_mode_affichage="mois",EOMONTH(P$3,0),P$3+6)),"◆",""))</f>
      </c>
      <c r="Q77" s="26">
        <f>IF(OR($A77="",Q$3=""),"",IF(AND($J77&lt;&gt;"",$K77&lt;&gt;"",$J77=$K77,$J77&gt;=Q$3,$J77&lt;=IF(param_mode_affichage="mois",EOMONTH(Q$3,0),Q$3+6)),"◆",""))</f>
      </c>
      <c r="R77" s="26">
        <f>IF(OR($A77="",R$3=""),"",IF(AND($J77&lt;&gt;"",$K77&lt;&gt;"",$J77=$K77,$J77&gt;=R$3,$J77&lt;=IF(param_mode_affichage="mois",EOMONTH(R$3,0),R$3+6)),"◆",""))</f>
      </c>
      <c r="S77" s="26">
        <f>IF(OR($A77="",S$3=""),"",IF(AND($J77&lt;&gt;"",$K77&lt;&gt;"",$J77=$K77,$J77&gt;=S$3,$J77&lt;=IF(param_mode_affichage="mois",EOMONTH(S$3,0),S$3+6)),"◆",""))</f>
      </c>
      <c r="T77" s="26">
        <f>IF(OR($A77="",T$3=""),"",IF(AND($J77&lt;&gt;"",$K77&lt;&gt;"",$J77=$K77,$J77&gt;=T$3,$J77&lt;=IF(param_mode_affichage="mois",EOMONTH(T$3,0),T$3+6)),"◆",""))</f>
      </c>
      <c r="U77" s="26">
        <f>IF(OR($A77="",U$3=""),"",IF(AND($J77&lt;&gt;"",$K77&lt;&gt;"",$J77=$K77,$J77&gt;=U$3,$J77&lt;=IF(param_mode_affichage="mois",EOMONTH(U$3,0),U$3+6)),"◆",""))</f>
      </c>
      <c r="V77" s="26">
        <f>IF(OR($A77="",V$3=""),"",IF(AND($J77&lt;&gt;"",$K77&lt;&gt;"",$J77=$K77,$J77&gt;=V$3,$J77&lt;=IF(param_mode_affichage="mois",EOMONTH(V$3,0),V$3+6)),"◆",""))</f>
      </c>
      <c r="W77" s="26">
        <f>IF(OR($A77="",W$3=""),"",IF(AND($J77&lt;&gt;"",$K77&lt;&gt;"",$J77=$K77,$J77&gt;=W$3,$J77&lt;=IF(param_mode_affichage="mois",EOMONTH(W$3,0),W$3+6)),"◆",""))</f>
      </c>
      <c r="X77" s="26">
        <f>IF(OR($A77="",X$3=""),"",IF(AND($J77&lt;&gt;"",$K77&lt;&gt;"",$J77=$K77,$J77&gt;=X$3,$J77&lt;=IF(param_mode_affichage="mois",EOMONTH(X$3,0),X$3+6)),"◆",""))</f>
      </c>
      <c r="Y77" s="26">
        <f>IF(OR($A77="",Y$3=""),"",IF(AND($J77&lt;&gt;"",$K77&lt;&gt;"",$J77=$K77,$J77&gt;=Y$3,$J77&lt;=IF(param_mode_affichage="mois",EOMONTH(Y$3,0),Y$3+6)),"◆",""))</f>
      </c>
      <c r="Z77" s="26">
        <f>IF(OR($A77="",Z$3=""),"",IF(AND($J77&lt;&gt;"",$K77&lt;&gt;"",$J77=$K77,$J77&gt;=Z$3,$J77&lt;=IF(param_mode_affichage="mois",EOMONTH(Z$3,0),Z$3+6)),"◆",""))</f>
      </c>
      <c r="AA77" s="26">
        <f>IF(OR($A77="",AA$3=""),"",IF(AND($J77&lt;&gt;"",$K77&lt;&gt;"",$J77=$K77,$J77&gt;=AA$3,$J77&lt;=IF(param_mode_affichage="mois",EOMONTH(AA$3,0),AA$3+6)),"◆",""))</f>
      </c>
      <c r="AB77" s="26">
        <f>IF(OR($A77="",AB$3=""),"",IF(AND($J77&lt;&gt;"",$K77&lt;&gt;"",$J77=$K77,$J77&gt;=AB$3,$J77&lt;=IF(param_mode_affichage="mois",EOMONTH(AB$3,0),AB$3+6)),"◆",""))</f>
      </c>
      <c r="AC77" s="26">
        <f>IF(OR($A77="",AC$3=""),"",IF(AND($J77&lt;&gt;"",$K77&lt;&gt;"",$J77=$K77,$J77&gt;=AC$3,$J77&lt;=IF(param_mode_affichage="mois",EOMONTH(AC$3,0),AC$3+6)),"◆",""))</f>
      </c>
      <c r="AD77" s="26">
        <f>IF(OR($A77="",AD$3=""),"",IF(AND($J77&lt;&gt;"",$K77&lt;&gt;"",$J77=$K77,$J77&gt;=AD$3,$J77&lt;=IF(param_mode_affichage="mois",EOMONTH(AD$3,0),AD$3+6)),"◆",""))</f>
      </c>
      <c r="AE77" s="26">
        <f>IF(OR($A77="",AE$3=""),"",IF(AND($J77&lt;&gt;"",$K77&lt;&gt;"",$J77=$K77,$J77&gt;=AE$3,$J77&lt;=IF(param_mode_affichage="mois",EOMONTH(AE$3,0),AE$3+6)),"◆",""))</f>
      </c>
      <c r="AF77" s="26">
        <f>IF(OR($A77="",AF$3=""),"",IF(AND($J77&lt;&gt;"",$K77&lt;&gt;"",$J77=$K77,$J77&gt;=AF$3,$J77&lt;=IF(param_mode_affichage="mois",EOMONTH(AF$3,0),AF$3+6)),"◆",""))</f>
      </c>
      <c r="AG77" s="26">
        <f>IF(OR($A77="",AG$3=""),"",IF(AND($J77&lt;&gt;"",$K77&lt;&gt;"",$J77=$K77,$J77&gt;=AG$3,$J77&lt;=IF(param_mode_affichage="mois",EOMONTH(AG$3,0),AG$3+6)),"◆",""))</f>
      </c>
      <c r="AH77" s="26">
        <f>IF(OR($A77="",AH$3=""),"",IF(AND($J77&lt;&gt;"",$K77&lt;&gt;"",$J77=$K77,$J77&gt;=AH$3,$J77&lt;=IF(param_mode_affichage="mois",EOMONTH(AH$3,0),AH$3+6)),"◆",""))</f>
      </c>
      <c r="AI77" s="26">
        <f>IF(OR($A77="",AI$3=""),"",IF(AND($J77&lt;&gt;"",$K77&lt;&gt;"",$J77=$K77,$J77&gt;=AI$3,$J77&lt;=IF(param_mode_affichage="mois",EOMONTH(AI$3,0),AI$3+6)),"◆",""))</f>
      </c>
      <c r="AJ77" s="26">
        <f>IF(OR($A77="",AJ$3=""),"",IF(AND($J77&lt;&gt;"",$K77&lt;&gt;"",$J77=$K77,$J77&gt;=AJ$3,$J77&lt;=IF(param_mode_affichage="mois",EOMONTH(AJ$3,0),AJ$3+6)),"◆",""))</f>
      </c>
      <c r="AK77" s="26">
        <f>IF(OR($A77="",AK$3=""),"",IF(AND($J77&lt;&gt;"",$K77&lt;&gt;"",$J77=$K77,$J77&gt;=AK$3,$J77&lt;=IF(param_mode_affichage="mois",EOMONTH(AK$3,0),AK$3+6)),"◆",""))</f>
      </c>
      <c r="AL77" s="26">
        <f>IF(OR($A77="",AL$3=""),"",IF(AND($J77&lt;&gt;"",$K77&lt;&gt;"",$J77=$K77,$J77&gt;=AL$3,$J77&lt;=IF(param_mode_affichage="mois",EOMONTH(AL$3,0),AL$3+6)),"◆",""))</f>
      </c>
      <c r="AM77" s="26">
        <f>IF(OR($A77="",AM$3=""),"",IF(AND($J77&lt;&gt;"",$K77&lt;&gt;"",$J77=$K77,$J77&gt;=AM$3,$J77&lt;=IF(param_mode_affichage="mois",EOMONTH(AM$3,0),AM$3+6)),"◆",""))</f>
      </c>
      <c r="AN77" s="26">
        <f>IF(OR($A77="",AN$3=""),"",IF(AND($J77&lt;&gt;"",$K77&lt;&gt;"",$J77=$K77,$J77&gt;=AN$3,$J77&lt;=IF(param_mode_affichage="mois",EOMONTH(AN$3,0),AN$3+6)),"◆",""))</f>
      </c>
      <c r="AO77" s="26">
        <f>IF(OR($A77="",AO$3=""),"",IF(AND($J77&lt;&gt;"",$K77&lt;&gt;"",$J77=$K77,$J77&gt;=AO$3,$J77&lt;=IF(param_mode_affichage="mois",EOMONTH(AO$3,0),AO$3+6)),"◆",""))</f>
      </c>
      <c r="AP77" s="26">
        <f>IF(OR($A77="",AP$3=""),"",IF(AND($J77&lt;&gt;"",$K77&lt;&gt;"",$J77=$K77,$J77&gt;=AP$3,$J77&lt;=IF(param_mode_affichage="mois",EOMONTH(AP$3,0),AP$3+6)),"◆",""))</f>
      </c>
      <c r="AQ77" s="26">
        <f>IF(OR($A77="",AQ$3=""),"",IF(AND($J77&lt;&gt;"",$K77&lt;&gt;"",$J77=$K77,$J77&gt;=AQ$3,$J77&lt;=IF(param_mode_affichage="mois",EOMONTH(AQ$3,0),AQ$3+6)),"◆",""))</f>
      </c>
      <c r="AR77" s="26">
        <f>IF(OR($A77="",AR$3=""),"",IF(AND($J77&lt;&gt;"",$K77&lt;&gt;"",$J77=$K77,$J77&gt;=AR$3,$J77&lt;=IF(param_mode_affichage="mois",EOMONTH(AR$3,0),AR$3+6)),"◆",""))</f>
      </c>
      <c r="AS77" s="26">
        <f>IF(OR($A77="",AS$3=""),"",IF(AND($J77&lt;&gt;"",$K77&lt;&gt;"",$J77=$K77,$J77&gt;=AS$3,$J77&lt;=IF(param_mode_affichage="mois",EOMONTH(AS$3,0),AS$3+6)),"◆",""))</f>
      </c>
      <c r="AT77" s="26">
        <f>IF(OR($A77="",AT$3=""),"",IF(AND($J77&lt;&gt;"",$K77&lt;&gt;"",$J77=$K77,$J77&gt;=AT$3,$J77&lt;=IF(param_mode_affichage="mois",EOMONTH(AT$3,0),AT$3+6)),"◆",""))</f>
      </c>
      <c r="AU77" s="26">
        <f>IF(OR($A77="",AU$3=""),"",IF(AND($J77&lt;&gt;"",$K77&lt;&gt;"",$J77=$K77,$J77&gt;=AU$3,$J77&lt;=IF(param_mode_affichage="mois",EOMONTH(AU$3,0),AU$3+6)),"◆",""))</f>
      </c>
      <c r="AV77" s="26">
        <f>IF(OR($A77="",AV$3=""),"",IF(AND($J77&lt;&gt;"",$K77&lt;&gt;"",$J77=$K77,$J77&gt;=AV$3,$J77&lt;=IF(param_mode_affichage="mois",EOMONTH(AV$3,0),AV$3+6)),"◆",""))</f>
      </c>
      <c r="AW77" s="26">
        <f>IF(OR($A77="",AW$3=""),"",IF(AND($J77&lt;&gt;"",$K77&lt;&gt;"",$J77=$K77,$J77&gt;=AW$3,$J77&lt;=IF(param_mode_affichage="mois",EOMONTH(AW$3,0),AW$3+6)),"◆",""))</f>
      </c>
      <c r="AX77" s="26">
        <f>IF(OR($A77="",AX$3=""),"",IF(AND($J77&lt;&gt;"",$K77&lt;&gt;"",$J77=$K77,$J77&gt;=AX$3,$J77&lt;=IF(param_mode_affichage="mois",EOMONTH(AX$3,0),AX$3+6)),"◆",""))</f>
      </c>
      <c r="AY77" s="26">
        <f>IF(OR($A77="",AY$3=""),"",IF(AND($J77&lt;&gt;"",$K77&lt;&gt;"",$J77=$K77,$J77&gt;=AY$3,$J77&lt;=IF(param_mode_affichage="mois",EOMONTH(AY$3,0),AY$3+6)),"◆",""))</f>
      </c>
      <c r="AZ77" s="26">
        <f>IF(OR($A77="",AZ$3=""),"",IF(AND($J77&lt;&gt;"",$K77&lt;&gt;"",$J77=$K77,$J77&gt;=AZ$3,$J77&lt;=IF(param_mode_affichage="mois",EOMONTH(AZ$3,0),AZ$3+6)),"◆",""))</f>
      </c>
      <c r="BA77" s="26">
        <f>IF(OR($A77="",BA$3=""),"",IF(AND($J77&lt;&gt;"",$K77&lt;&gt;"",$J77=$K77,$J77&gt;=BA$3,$J77&lt;=IF(param_mode_affichage="mois",EOMONTH(BA$3,0),BA$3+6)),"◆",""))</f>
      </c>
      <c r="BB77" s="26">
        <f>IF(OR($A77="",BB$3=""),"",IF(AND($J77&lt;&gt;"",$K77&lt;&gt;"",$J77=$K77,$J77&gt;=BB$3,$J77&lt;=IF(param_mode_affichage="mois",EOMONTH(BB$3,0),BB$3+6)),"◆",""))</f>
      </c>
      <c r="BC77" s="26">
        <f>IF(OR($A77="",BC$3=""),"",IF(AND($J77&lt;&gt;"",$K77&lt;&gt;"",$J77=$K77,$J77&gt;=BC$3,$J77&lt;=IF(param_mode_affichage="mois",EOMONTH(BC$3,0),BC$3+6)),"◆",""))</f>
      </c>
      <c r="BD77" s="26">
        <f>IF(OR($A77="",BD$3=""),"",IF(AND($J77&lt;&gt;"",$K77&lt;&gt;"",$J77=$K77,$J77&gt;=BD$3,$J77&lt;=IF(param_mode_affichage="mois",EOMONTH(BD$3,0),BD$3+6)),"◆",""))</f>
      </c>
      <c r="BE77" s="26">
        <f>IF(OR($A77="",BE$3=""),"",IF(AND($J77&lt;&gt;"",$K77&lt;&gt;"",$J77=$K77,$J77&gt;=BE$3,$J77&lt;=IF(param_mode_affichage="mois",EOMONTH(BE$3,0),BE$3+6)),"◆",""))</f>
      </c>
      <c r="BF77" s="26">
        <f>IF(OR($A77="",BF$3=""),"",IF(AND($J77&lt;&gt;"",$K77&lt;&gt;"",$J77=$K77,$J77&gt;=BF$3,$J77&lt;=IF(param_mode_affichage="mois",EOMONTH(BF$3,0),BF$3+6)),"◆",""))</f>
      </c>
      <c r="BG77" s="26">
        <f>IF(OR($A77="",BG$3=""),"",IF(AND($J77&lt;&gt;"",$K77&lt;&gt;"",$J77=$K77,$J77&gt;=BG$3,$J77&lt;=IF(param_mode_affichage="mois",EOMONTH(BG$3,0),BG$3+6)),"◆",""))</f>
      </c>
      <c r="BH77" s="26">
        <f>IF(OR($A77="",BH$3=""),"",IF(AND($J77&lt;&gt;"",$K77&lt;&gt;"",$J77=$K77,$J77&gt;=BH$3,$J77&lt;=IF(param_mode_affichage="mois",EOMONTH(BH$3,0),BH$3+6)),"◆",""))</f>
      </c>
      <c r="BI77" s="26">
        <f>IF(OR($A77="",BI$3=""),"",IF(AND($J77&lt;&gt;"",$K77&lt;&gt;"",$J77=$K77,$J77&gt;=BI$3,$J77&lt;=IF(param_mode_affichage="mois",EOMONTH(BI$3,0),BI$3+6)),"◆",""))</f>
      </c>
      <c r="BJ77" s="26">
        <f>IF(OR($A77="",BJ$3=""),"",IF(AND($J77&lt;&gt;"",$K77&lt;&gt;"",$J77=$K77,$J77&gt;=BJ$3,$J77&lt;=IF(param_mode_affichage="mois",EOMONTH(BJ$3,0),BJ$3+6)),"◆",""))</f>
      </c>
      <c r="BK77" s="26">
        <f>IF(OR($A77="",BK$3=""),"",IF(AND($J77&lt;&gt;"",$K77&lt;&gt;"",$J77=$K77,$J77&gt;=BK$3,$J77&lt;=IF(param_mode_affichage="mois",EOMONTH(BK$3,0),BK$3+6)),"◆",""))</f>
      </c>
      <c r="BL77" s="26">
        <f>IF(OR($A77="",BL$3=""),"",IF(AND($J77&lt;&gt;"",$K77&lt;&gt;"",$J77=$K77,$J77&gt;=BL$3,$J77&lt;=IF(param_mode_affichage="mois",EOMONTH(BL$3,0),BL$3+6)),"◆",""))</f>
      </c>
    </row>
    <row r="78" spans="1:64" x14ac:dyDescent="0.25">
      <c r="A78" s="23">
        <f>IFERROR(INDEX(tblTasks[ID],ROW()-4),"")</f>
      </c>
      <c r="B78" s="24">
        <f>IF($A78="","",INDEX(tblTasks[Sujet],ROW()-4))</f>
      </c>
      <c r="C78" s="23">
        <f>IF($A78="","",INDEX(tblTasks[Responsable],ROW()-4))</f>
      </c>
      <c r="D78" s="23">
        <f>IF($A78="","",INDEX(tblTasks[Statut],ROW()-4))</f>
      </c>
      <c r="E78" s="23">
        <f>IF($A78="","",INDEX(tblTasks[Depend_de],ROW()-4))</f>
      </c>
      <c r="F78" s="23">
        <f>IF($A78="","",INDEX(tblTasks[Blocage],ROW()-4))</f>
      </c>
      <c r="G78" s="23">
        <f>IF($A78="","",INDEX(tblTasks[Niveau_criticite],ROW()-4))</f>
      </c>
      <c r="H78" s="23">
        <f>IF($A78="","",INDEX(tblTasks[Goulot],ROW()-4))</f>
      </c>
      <c r="I78" s="23">
        <f>IF($A78="","",IF(LOWER($F78)="oui","non",IF($E78="","oui",IFERROR(IF(LOWER(INDEX(tblTasks[Statut],MATCH($E78,tblTasks[ID],0)))="clos","oui","non"),"non"))))</f>
      </c>
      <c r="J78" s="25">
        <f>IF($A78="","",INDEX(tblTasks[Date_debut_prevue],ROW()-4))</f>
      </c>
      <c r="K78" s="25">
        <f>IF($A78="","",INDEX(tblTasks[Date_fin_prevue],ROW()-4))</f>
      </c>
      <c r="L78" s="23">
        <f>IF($A78="","",INDEX(tblTasks[Irreversibilite],ROW()-4))</f>
      </c>
      <c r="M78" s="26">
        <f>IF(OR($A78="",M$3=""),"",IF(AND($J78&lt;&gt;"",$K78&lt;&gt;"",$J78=$K78,$J78&gt;=M$3,$J78&lt;=IF(param_mode_affichage="mois",EOMONTH(M$3,0),M$3+6)),"◆",""))</f>
      </c>
      <c r="N78" s="26">
        <f>IF(OR($A78="",N$3=""),"",IF(AND($J78&lt;&gt;"",$K78&lt;&gt;"",$J78=$K78,$J78&gt;=N$3,$J78&lt;=IF(param_mode_affichage="mois",EOMONTH(N$3,0),N$3+6)),"◆",""))</f>
      </c>
      <c r="O78" s="26">
        <f>IF(OR($A78="",O$3=""),"",IF(AND($J78&lt;&gt;"",$K78&lt;&gt;"",$J78=$K78,$J78&gt;=O$3,$J78&lt;=IF(param_mode_affichage="mois",EOMONTH(O$3,0),O$3+6)),"◆",""))</f>
      </c>
      <c r="P78" s="26">
        <f>IF(OR($A78="",P$3=""),"",IF(AND($J78&lt;&gt;"",$K78&lt;&gt;"",$J78=$K78,$J78&gt;=P$3,$J78&lt;=IF(param_mode_affichage="mois",EOMONTH(P$3,0),P$3+6)),"◆",""))</f>
      </c>
      <c r="Q78" s="26">
        <f>IF(OR($A78="",Q$3=""),"",IF(AND($J78&lt;&gt;"",$K78&lt;&gt;"",$J78=$K78,$J78&gt;=Q$3,$J78&lt;=IF(param_mode_affichage="mois",EOMONTH(Q$3,0),Q$3+6)),"◆",""))</f>
      </c>
      <c r="R78" s="26">
        <f>IF(OR($A78="",R$3=""),"",IF(AND($J78&lt;&gt;"",$K78&lt;&gt;"",$J78=$K78,$J78&gt;=R$3,$J78&lt;=IF(param_mode_affichage="mois",EOMONTH(R$3,0),R$3+6)),"◆",""))</f>
      </c>
      <c r="S78" s="26">
        <f>IF(OR($A78="",S$3=""),"",IF(AND($J78&lt;&gt;"",$K78&lt;&gt;"",$J78=$K78,$J78&gt;=S$3,$J78&lt;=IF(param_mode_affichage="mois",EOMONTH(S$3,0),S$3+6)),"◆",""))</f>
      </c>
      <c r="T78" s="26">
        <f>IF(OR($A78="",T$3=""),"",IF(AND($J78&lt;&gt;"",$K78&lt;&gt;"",$J78=$K78,$J78&gt;=T$3,$J78&lt;=IF(param_mode_affichage="mois",EOMONTH(T$3,0),T$3+6)),"◆",""))</f>
      </c>
      <c r="U78" s="26">
        <f>IF(OR($A78="",U$3=""),"",IF(AND($J78&lt;&gt;"",$K78&lt;&gt;"",$J78=$K78,$J78&gt;=U$3,$J78&lt;=IF(param_mode_affichage="mois",EOMONTH(U$3,0),U$3+6)),"◆",""))</f>
      </c>
      <c r="V78" s="26">
        <f>IF(OR($A78="",V$3=""),"",IF(AND($J78&lt;&gt;"",$K78&lt;&gt;"",$J78=$K78,$J78&gt;=V$3,$J78&lt;=IF(param_mode_affichage="mois",EOMONTH(V$3,0),V$3+6)),"◆",""))</f>
      </c>
      <c r="W78" s="26">
        <f>IF(OR($A78="",W$3=""),"",IF(AND($J78&lt;&gt;"",$K78&lt;&gt;"",$J78=$K78,$J78&gt;=W$3,$J78&lt;=IF(param_mode_affichage="mois",EOMONTH(W$3,0),W$3+6)),"◆",""))</f>
      </c>
      <c r="X78" s="26">
        <f>IF(OR($A78="",X$3=""),"",IF(AND($J78&lt;&gt;"",$K78&lt;&gt;"",$J78=$K78,$J78&gt;=X$3,$J78&lt;=IF(param_mode_affichage="mois",EOMONTH(X$3,0),X$3+6)),"◆",""))</f>
      </c>
      <c r="Y78" s="26">
        <f>IF(OR($A78="",Y$3=""),"",IF(AND($J78&lt;&gt;"",$K78&lt;&gt;"",$J78=$K78,$J78&gt;=Y$3,$J78&lt;=IF(param_mode_affichage="mois",EOMONTH(Y$3,0),Y$3+6)),"◆",""))</f>
      </c>
      <c r="Z78" s="26">
        <f>IF(OR($A78="",Z$3=""),"",IF(AND($J78&lt;&gt;"",$K78&lt;&gt;"",$J78=$K78,$J78&gt;=Z$3,$J78&lt;=IF(param_mode_affichage="mois",EOMONTH(Z$3,0),Z$3+6)),"◆",""))</f>
      </c>
      <c r="AA78" s="26">
        <f>IF(OR($A78="",AA$3=""),"",IF(AND($J78&lt;&gt;"",$K78&lt;&gt;"",$J78=$K78,$J78&gt;=AA$3,$J78&lt;=IF(param_mode_affichage="mois",EOMONTH(AA$3,0),AA$3+6)),"◆",""))</f>
      </c>
      <c r="AB78" s="26">
        <f>IF(OR($A78="",AB$3=""),"",IF(AND($J78&lt;&gt;"",$K78&lt;&gt;"",$J78=$K78,$J78&gt;=AB$3,$J78&lt;=IF(param_mode_affichage="mois",EOMONTH(AB$3,0),AB$3+6)),"◆",""))</f>
      </c>
      <c r="AC78" s="26">
        <f>IF(OR($A78="",AC$3=""),"",IF(AND($J78&lt;&gt;"",$K78&lt;&gt;"",$J78=$K78,$J78&gt;=AC$3,$J78&lt;=IF(param_mode_affichage="mois",EOMONTH(AC$3,0),AC$3+6)),"◆",""))</f>
      </c>
      <c r="AD78" s="26">
        <f>IF(OR($A78="",AD$3=""),"",IF(AND($J78&lt;&gt;"",$K78&lt;&gt;"",$J78=$K78,$J78&gt;=AD$3,$J78&lt;=IF(param_mode_affichage="mois",EOMONTH(AD$3,0),AD$3+6)),"◆",""))</f>
      </c>
      <c r="AE78" s="26">
        <f>IF(OR($A78="",AE$3=""),"",IF(AND($J78&lt;&gt;"",$K78&lt;&gt;"",$J78=$K78,$J78&gt;=AE$3,$J78&lt;=IF(param_mode_affichage="mois",EOMONTH(AE$3,0),AE$3+6)),"◆",""))</f>
      </c>
      <c r="AF78" s="26">
        <f>IF(OR($A78="",AF$3=""),"",IF(AND($J78&lt;&gt;"",$K78&lt;&gt;"",$J78=$K78,$J78&gt;=AF$3,$J78&lt;=IF(param_mode_affichage="mois",EOMONTH(AF$3,0),AF$3+6)),"◆",""))</f>
      </c>
      <c r="AG78" s="26">
        <f>IF(OR($A78="",AG$3=""),"",IF(AND($J78&lt;&gt;"",$K78&lt;&gt;"",$J78=$K78,$J78&gt;=AG$3,$J78&lt;=IF(param_mode_affichage="mois",EOMONTH(AG$3,0),AG$3+6)),"◆",""))</f>
      </c>
      <c r="AH78" s="26">
        <f>IF(OR($A78="",AH$3=""),"",IF(AND($J78&lt;&gt;"",$K78&lt;&gt;"",$J78=$K78,$J78&gt;=AH$3,$J78&lt;=IF(param_mode_affichage="mois",EOMONTH(AH$3,0),AH$3+6)),"◆",""))</f>
      </c>
      <c r="AI78" s="26">
        <f>IF(OR($A78="",AI$3=""),"",IF(AND($J78&lt;&gt;"",$K78&lt;&gt;"",$J78=$K78,$J78&gt;=AI$3,$J78&lt;=IF(param_mode_affichage="mois",EOMONTH(AI$3,0),AI$3+6)),"◆",""))</f>
      </c>
      <c r="AJ78" s="26">
        <f>IF(OR($A78="",AJ$3=""),"",IF(AND($J78&lt;&gt;"",$K78&lt;&gt;"",$J78=$K78,$J78&gt;=AJ$3,$J78&lt;=IF(param_mode_affichage="mois",EOMONTH(AJ$3,0),AJ$3+6)),"◆",""))</f>
      </c>
      <c r="AK78" s="26">
        <f>IF(OR($A78="",AK$3=""),"",IF(AND($J78&lt;&gt;"",$K78&lt;&gt;"",$J78=$K78,$J78&gt;=AK$3,$J78&lt;=IF(param_mode_affichage="mois",EOMONTH(AK$3,0),AK$3+6)),"◆",""))</f>
      </c>
      <c r="AL78" s="26">
        <f>IF(OR($A78="",AL$3=""),"",IF(AND($J78&lt;&gt;"",$K78&lt;&gt;"",$J78=$K78,$J78&gt;=AL$3,$J78&lt;=IF(param_mode_affichage="mois",EOMONTH(AL$3,0),AL$3+6)),"◆",""))</f>
      </c>
      <c r="AM78" s="26">
        <f>IF(OR($A78="",AM$3=""),"",IF(AND($J78&lt;&gt;"",$K78&lt;&gt;"",$J78=$K78,$J78&gt;=AM$3,$J78&lt;=IF(param_mode_affichage="mois",EOMONTH(AM$3,0),AM$3+6)),"◆",""))</f>
      </c>
      <c r="AN78" s="26">
        <f>IF(OR($A78="",AN$3=""),"",IF(AND($J78&lt;&gt;"",$K78&lt;&gt;"",$J78=$K78,$J78&gt;=AN$3,$J78&lt;=IF(param_mode_affichage="mois",EOMONTH(AN$3,0),AN$3+6)),"◆",""))</f>
      </c>
      <c r="AO78" s="26">
        <f>IF(OR($A78="",AO$3=""),"",IF(AND($J78&lt;&gt;"",$K78&lt;&gt;"",$J78=$K78,$J78&gt;=AO$3,$J78&lt;=IF(param_mode_affichage="mois",EOMONTH(AO$3,0),AO$3+6)),"◆",""))</f>
      </c>
      <c r="AP78" s="26">
        <f>IF(OR($A78="",AP$3=""),"",IF(AND($J78&lt;&gt;"",$K78&lt;&gt;"",$J78=$K78,$J78&gt;=AP$3,$J78&lt;=IF(param_mode_affichage="mois",EOMONTH(AP$3,0),AP$3+6)),"◆",""))</f>
      </c>
      <c r="AQ78" s="26">
        <f>IF(OR($A78="",AQ$3=""),"",IF(AND($J78&lt;&gt;"",$K78&lt;&gt;"",$J78=$K78,$J78&gt;=AQ$3,$J78&lt;=IF(param_mode_affichage="mois",EOMONTH(AQ$3,0),AQ$3+6)),"◆",""))</f>
      </c>
      <c r="AR78" s="26">
        <f>IF(OR($A78="",AR$3=""),"",IF(AND($J78&lt;&gt;"",$K78&lt;&gt;"",$J78=$K78,$J78&gt;=AR$3,$J78&lt;=IF(param_mode_affichage="mois",EOMONTH(AR$3,0),AR$3+6)),"◆",""))</f>
      </c>
      <c r="AS78" s="26">
        <f>IF(OR($A78="",AS$3=""),"",IF(AND($J78&lt;&gt;"",$K78&lt;&gt;"",$J78=$K78,$J78&gt;=AS$3,$J78&lt;=IF(param_mode_affichage="mois",EOMONTH(AS$3,0),AS$3+6)),"◆",""))</f>
      </c>
      <c r="AT78" s="26">
        <f>IF(OR($A78="",AT$3=""),"",IF(AND($J78&lt;&gt;"",$K78&lt;&gt;"",$J78=$K78,$J78&gt;=AT$3,$J78&lt;=IF(param_mode_affichage="mois",EOMONTH(AT$3,0),AT$3+6)),"◆",""))</f>
      </c>
      <c r="AU78" s="26">
        <f>IF(OR($A78="",AU$3=""),"",IF(AND($J78&lt;&gt;"",$K78&lt;&gt;"",$J78=$K78,$J78&gt;=AU$3,$J78&lt;=IF(param_mode_affichage="mois",EOMONTH(AU$3,0),AU$3+6)),"◆",""))</f>
      </c>
      <c r="AV78" s="26">
        <f>IF(OR($A78="",AV$3=""),"",IF(AND($J78&lt;&gt;"",$K78&lt;&gt;"",$J78=$K78,$J78&gt;=AV$3,$J78&lt;=IF(param_mode_affichage="mois",EOMONTH(AV$3,0),AV$3+6)),"◆",""))</f>
      </c>
      <c r="AW78" s="26">
        <f>IF(OR($A78="",AW$3=""),"",IF(AND($J78&lt;&gt;"",$K78&lt;&gt;"",$J78=$K78,$J78&gt;=AW$3,$J78&lt;=IF(param_mode_affichage="mois",EOMONTH(AW$3,0),AW$3+6)),"◆",""))</f>
      </c>
      <c r="AX78" s="26">
        <f>IF(OR($A78="",AX$3=""),"",IF(AND($J78&lt;&gt;"",$K78&lt;&gt;"",$J78=$K78,$J78&gt;=AX$3,$J78&lt;=IF(param_mode_affichage="mois",EOMONTH(AX$3,0),AX$3+6)),"◆",""))</f>
      </c>
      <c r="AY78" s="26">
        <f>IF(OR($A78="",AY$3=""),"",IF(AND($J78&lt;&gt;"",$K78&lt;&gt;"",$J78=$K78,$J78&gt;=AY$3,$J78&lt;=IF(param_mode_affichage="mois",EOMONTH(AY$3,0),AY$3+6)),"◆",""))</f>
      </c>
      <c r="AZ78" s="26">
        <f>IF(OR($A78="",AZ$3=""),"",IF(AND($J78&lt;&gt;"",$K78&lt;&gt;"",$J78=$K78,$J78&gt;=AZ$3,$J78&lt;=IF(param_mode_affichage="mois",EOMONTH(AZ$3,0),AZ$3+6)),"◆",""))</f>
      </c>
      <c r="BA78" s="26">
        <f>IF(OR($A78="",BA$3=""),"",IF(AND($J78&lt;&gt;"",$K78&lt;&gt;"",$J78=$K78,$J78&gt;=BA$3,$J78&lt;=IF(param_mode_affichage="mois",EOMONTH(BA$3,0),BA$3+6)),"◆",""))</f>
      </c>
      <c r="BB78" s="26">
        <f>IF(OR($A78="",BB$3=""),"",IF(AND($J78&lt;&gt;"",$K78&lt;&gt;"",$J78=$K78,$J78&gt;=BB$3,$J78&lt;=IF(param_mode_affichage="mois",EOMONTH(BB$3,0),BB$3+6)),"◆",""))</f>
      </c>
      <c r="BC78" s="26">
        <f>IF(OR($A78="",BC$3=""),"",IF(AND($J78&lt;&gt;"",$K78&lt;&gt;"",$J78=$K78,$J78&gt;=BC$3,$J78&lt;=IF(param_mode_affichage="mois",EOMONTH(BC$3,0),BC$3+6)),"◆",""))</f>
      </c>
      <c r="BD78" s="26">
        <f>IF(OR($A78="",BD$3=""),"",IF(AND($J78&lt;&gt;"",$K78&lt;&gt;"",$J78=$K78,$J78&gt;=BD$3,$J78&lt;=IF(param_mode_affichage="mois",EOMONTH(BD$3,0),BD$3+6)),"◆",""))</f>
      </c>
      <c r="BE78" s="26">
        <f>IF(OR($A78="",BE$3=""),"",IF(AND($J78&lt;&gt;"",$K78&lt;&gt;"",$J78=$K78,$J78&gt;=BE$3,$J78&lt;=IF(param_mode_affichage="mois",EOMONTH(BE$3,0),BE$3+6)),"◆",""))</f>
      </c>
      <c r="BF78" s="26">
        <f>IF(OR($A78="",BF$3=""),"",IF(AND($J78&lt;&gt;"",$K78&lt;&gt;"",$J78=$K78,$J78&gt;=BF$3,$J78&lt;=IF(param_mode_affichage="mois",EOMONTH(BF$3,0),BF$3+6)),"◆",""))</f>
      </c>
      <c r="BG78" s="26">
        <f>IF(OR($A78="",BG$3=""),"",IF(AND($J78&lt;&gt;"",$K78&lt;&gt;"",$J78=$K78,$J78&gt;=BG$3,$J78&lt;=IF(param_mode_affichage="mois",EOMONTH(BG$3,0),BG$3+6)),"◆",""))</f>
      </c>
      <c r="BH78" s="26">
        <f>IF(OR($A78="",BH$3=""),"",IF(AND($J78&lt;&gt;"",$K78&lt;&gt;"",$J78=$K78,$J78&gt;=BH$3,$J78&lt;=IF(param_mode_affichage="mois",EOMONTH(BH$3,0),BH$3+6)),"◆",""))</f>
      </c>
      <c r="BI78" s="26">
        <f>IF(OR($A78="",BI$3=""),"",IF(AND($J78&lt;&gt;"",$K78&lt;&gt;"",$J78=$K78,$J78&gt;=BI$3,$J78&lt;=IF(param_mode_affichage="mois",EOMONTH(BI$3,0),BI$3+6)),"◆",""))</f>
      </c>
      <c r="BJ78" s="26">
        <f>IF(OR($A78="",BJ$3=""),"",IF(AND($J78&lt;&gt;"",$K78&lt;&gt;"",$J78=$K78,$J78&gt;=BJ$3,$J78&lt;=IF(param_mode_affichage="mois",EOMONTH(BJ$3,0),BJ$3+6)),"◆",""))</f>
      </c>
      <c r="BK78" s="26">
        <f>IF(OR($A78="",BK$3=""),"",IF(AND($J78&lt;&gt;"",$K78&lt;&gt;"",$J78=$K78,$J78&gt;=BK$3,$J78&lt;=IF(param_mode_affichage="mois",EOMONTH(BK$3,0),BK$3+6)),"◆",""))</f>
      </c>
      <c r="BL78" s="26">
        <f>IF(OR($A78="",BL$3=""),"",IF(AND($J78&lt;&gt;"",$K78&lt;&gt;"",$J78=$K78,$J78&gt;=BL$3,$J78&lt;=IF(param_mode_affichage="mois",EOMONTH(BL$3,0),BL$3+6)),"◆",""))</f>
      </c>
    </row>
    <row r="79" spans="1:64" x14ac:dyDescent="0.25">
      <c r="A79" s="23">
        <f>IFERROR(INDEX(tblTasks[ID],ROW()-4),"")</f>
      </c>
      <c r="B79" s="24">
        <f>IF($A79="","",INDEX(tblTasks[Sujet],ROW()-4))</f>
      </c>
      <c r="C79" s="23">
        <f>IF($A79="","",INDEX(tblTasks[Responsable],ROW()-4))</f>
      </c>
      <c r="D79" s="23">
        <f>IF($A79="","",INDEX(tblTasks[Statut],ROW()-4))</f>
      </c>
      <c r="E79" s="23">
        <f>IF($A79="","",INDEX(tblTasks[Depend_de],ROW()-4))</f>
      </c>
      <c r="F79" s="23">
        <f>IF($A79="","",INDEX(tblTasks[Blocage],ROW()-4))</f>
      </c>
      <c r="G79" s="23">
        <f>IF($A79="","",INDEX(tblTasks[Niveau_criticite],ROW()-4))</f>
      </c>
      <c r="H79" s="23">
        <f>IF($A79="","",INDEX(tblTasks[Goulot],ROW()-4))</f>
      </c>
      <c r="I79" s="23">
        <f>IF($A79="","",IF(LOWER($F79)="oui","non",IF($E79="","oui",IFERROR(IF(LOWER(INDEX(tblTasks[Statut],MATCH($E79,tblTasks[ID],0)))="clos","oui","non"),"non"))))</f>
      </c>
      <c r="J79" s="25">
        <f>IF($A79="","",INDEX(tblTasks[Date_debut_prevue],ROW()-4))</f>
      </c>
      <c r="K79" s="25">
        <f>IF($A79="","",INDEX(tblTasks[Date_fin_prevue],ROW()-4))</f>
      </c>
      <c r="L79" s="23">
        <f>IF($A79="","",INDEX(tblTasks[Irreversibilite],ROW()-4))</f>
      </c>
      <c r="M79" s="26">
        <f>IF(OR($A79="",M$3=""),"",IF(AND($J79&lt;&gt;"",$K79&lt;&gt;"",$J79=$K79,$J79&gt;=M$3,$J79&lt;=IF(param_mode_affichage="mois",EOMONTH(M$3,0),M$3+6)),"◆",""))</f>
      </c>
      <c r="N79" s="26">
        <f>IF(OR($A79="",N$3=""),"",IF(AND($J79&lt;&gt;"",$K79&lt;&gt;"",$J79=$K79,$J79&gt;=N$3,$J79&lt;=IF(param_mode_affichage="mois",EOMONTH(N$3,0),N$3+6)),"◆",""))</f>
      </c>
      <c r="O79" s="26">
        <f>IF(OR($A79="",O$3=""),"",IF(AND($J79&lt;&gt;"",$K79&lt;&gt;"",$J79=$K79,$J79&gt;=O$3,$J79&lt;=IF(param_mode_affichage="mois",EOMONTH(O$3,0),O$3+6)),"◆",""))</f>
      </c>
      <c r="P79" s="26">
        <f>IF(OR($A79="",P$3=""),"",IF(AND($J79&lt;&gt;"",$K79&lt;&gt;"",$J79=$K79,$J79&gt;=P$3,$J79&lt;=IF(param_mode_affichage="mois",EOMONTH(P$3,0),P$3+6)),"◆",""))</f>
      </c>
      <c r="Q79" s="26">
        <f>IF(OR($A79="",Q$3=""),"",IF(AND($J79&lt;&gt;"",$K79&lt;&gt;"",$J79=$K79,$J79&gt;=Q$3,$J79&lt;=IF(param_mode_affichage="mois",EOMONTH(Q$3,0),Q$3+6)),"◆",""))</f>
      </c>
      <c r="R79" s="26">
        <f>IF(OR($A79="",R$3=""),"",IF(AND($J79&lt;&gt;"",$K79&lt;&gt;"",$J79=$K79,$J79&gt;=R$3,$J79&lt;=IF(param_mode_affichage="mois",EOMONTH(R$3,0),R$3+6)),"◆",""))</f>
      </c>
      <c r="S79" s="26">
        <f>IF(OR($A79="",S$3=""),"",IF(AND($J79&lt;&gt;"",$K79&lt;&gt;"",$J79=$K79,$J79&gt;=S$3,$J79&lt;=IF(param_mode_affichage="mois",EOMONTH(S$3,0),S$3+6)),"◆",""))</f>
      </c>
      <c r="T79" s="26">
        <f>IF(OR($A79="",T$3=""),"",IF(AND($J79&lt;&gt;"",$K79&lt;&gt;"",$J79=$K79,$J79&gt;=T$3,$J79&lt;=IF(param_mode_affichage="mois",EOMONTH(T$3,0),T$3+6)),"◆",""))</f>
      </c>
      <c r="U79" s="26">
        <f>IF(OR($A79="",U$3=""),"",IF(AND($J79&lt;&gt;"",$K79&lt;&gt;"",$J79=$K79,$J79&gt;=U$3,$J79&lt;=IF(param_mode_affichage="mois",EOMONTH(U$3,0),U$3+6)),"◆",""))</f>
      </c>
      <c r="V79" s="26">
        <f>IF(OR($A79="",V$3=""),"",IF(AND($J79&lt;&gt;"",$K79&lt;&gt;"",$J79=$K79,$J79&gt;=V$3,$J79&lt;=IF(param_mode_affichage="mois",EOMONTH(V$3,0),V$3+6)),"◆",""))</f>
      </c>
      <c r="W79" s="26">
        <f>IF(OR($A79="",W$3=""),"",IF(AND($J79&lt;&gt;"",$K79&lt;&gt;"",$J79=$K79,$J79&gt;=W$3,$J79&lt;=IF(param_mode_affichage="mois",EOMONTH(W$3,0),W$3+6)),"◆",""))</f>
      </c>
      <c r="X79" s="26">
        <f>IF(OR($A79="",X$3=""),"",IF(AND($J79&lt;&gt;"",$K79&lt;&gt;"",$J79=$K79,$J79&gt;=X$3,$J79&lt;=IF(param_mode_affichage="mois",EOMONTH(X$3,0),X$3+6)),"◆",""))</f>
      </c>
      <c r="Y79" s="26">
        <f>IF(OR($A79="",Y$3=""),"",IF(AND($J79&lt;&gt;"",$K79&lt;&gt;"",$J79=$K79,$J79&gt;=Y$3,$J79&lt;=IF(param_mode_affichage="mois",EOMONTH(Y$3,0),Y$3+6)),"◆",""))</f>
      </c>
      <c r="Z79" s="26">
        <f>IF(OR($A79="",Z$3=""),"",IF(AND($J79&lt;&gt;"",$K79&lt;&gt;"",$J79=$K79,$J79&gt;=Z$3,$J79&lt;=IF(param_mode_affichage="mois",EOMONTH(Z$3,0),Z$3+6)),"◆",""))</f>
      </c>
      <c r="AA79" s="26">
        <f>IF(OR($A79="",AA$3=""),"",IF(AND($J79&lt;&gt;"",$K79&lt;&gt;"",$J79=$K79,$J79&gt;=AA$3,$J79&lt;=IF(param_mode_affichage="mois",EOMONTH(AA$3,0),AA$3+6)),"◆",""))</f>
      </c>
      <c r="AB79" s="26">
        <f>IF(OR($A79="",AB$3=""),"",IF(AND($J79&lt;&gt;"",$K79&lt;&gt;"",$J79=$K79,$J79&gt;=AB$3,$J79&lt;=IF(param_mode_affichage="mois",EOMONTH(AB$3,0),AB$3+6)),"◆",""))</f>
      </c>
      <c r="AC79" s="26">
        <f>IF(OR($A79="",AC$3=""),"",IF(AND($J79&lt;&gt;"",$K79&lt;&gt;"",$J79=$K79,$J79&gt;=AC$3,$J79&lt;=IF(param_mode_affichage="mois",EOMONTH(AC$3,0),AC$3+6)),"◆",""))</f>
      </c>
      <c r="AD79" s="26">
        <f>IF(OR($A79="",AD$3=""),"",IF(AND($J79&lt;&gt;"",$K79&lt;&gt;"",$J79=$K79,$J79&gt;=AD$3,$J79&lt;=IF(param_mode_affichage="mois",EOMONTH(AD$3,0),AD$3+6)),"◆",""))</f>
      </c>
      <c r="AE79" s="26">
        <f>IF(OR($A79="",AE$3=""),"",IF(AND($J79&lt;&gt;"",$K79&lt;&gt;"",$J79=$K79,$J79&gt;=AE$3,$J79&lt;=IF(param_mode_affichage="mois",EOMONTH(AE$3,0),AE$3+6)),"◆",""))</f>
      </c>
      <c r="AF79" s="26">
        <f>IF(OR($A79="",AF$3=""),"",IF(AND($J79&lt;&gt;"",$K79&lt;&gt;"",$J79=$K79,$J79&gt;=AF$3,$J79&lt;=IF(param_mode_affichage="mois",EOMONTH(AF$3,0),AF$3+6)),"◆",""))</f>
      </c>
      <c r="AG79" s="26">
        <f>IF(OR($A79="",AG$3=""),"",IF(AND($J79&lt;&gt;"",$K79&lt;&gt;"",$J79=$K79,$J79&gt;=AG$3,$J79&lt;=IF(param_mode_affichage="mois",EOMONTH(AG$3,0),AG$3+6)),"◆",""))</f>
      </c>
      <c r="AH79" s="26">
        <f>IF(OR($A79="",AH$3=""),"",IF(AND($J79&lt;&gt;"",$K79&lt;&gt;"",$J79=$K79,$J79&gt;=AH$3,$J79&lt;=IF(param_mode_affichage="mois",EOMONTH(AH$3,0),AH$3+6)),"◆",""))</f>
      </c>
      <c r="AI79" s="26">
        <f>IF(OR($A79="",AI$3=""),"",IF(AND($J79&lt;&gt;"",$K79&lt;&gt;"",$J79=$K79,$J79&gt;=AI$3,$J79&lt;=IF(param_mode_affichage="mois",EOMONTH(AI$3,0),AI$3+6)),"◆",""))</f>
      </c>
      <c r="AJ79" s="26">
        <f>IF(OR($A79="",AJ$3=""),"",IF(AND($J79&lt;&gt;"",$K79&lt;&gt;"",$J79=$K79,$J79&gt;=AJ$3,$J79&lt;=IF(param_mode_affichage="mois",EOMONTH(AJ$3,0),AJ$3+6)),"◆",""))</f>
      </c>
      <c r="AK79" s="26">
        <f>IF(OR($A79="",AK$3=""),"",IF(AND($J79&lt;&gt;"",$K79&lt;&gt;"",$J79=$K79,$J79&gt;=AK$3,$J79&lt;=IF(param_mode_affichage="mois",EOMONTH(AK$3,0),AK$3+6)),"◆",""))</f>
      </c>
      <c r="AL79" s="26">
        <f>IF(OR($A79="",AL$3=""),"",IF(AND($J79&lt;&gt;"",$K79&lt;&gt;"",$J79=$K79,$J79&gt;=AL$3,$J79&lt;=IF(param_mode_affichage="mois",EOMONTH(AL$3,0),AL$3+6)),"◆",""))</f>
      </c>
      <c r="AM79" s="26">
        <f>IF(OR($A79="",AM$3=""),"",IF(AND($J79&lt;&gt;"",$K79&lt;&gt;"",$J79=$K79,$J79&gt;=AM$3,$J79&lt;=IF(param_mode_affichage="mois",EOMONTH(AM$3,0),AM$3+6)),"◆",""))</f>
      </c>
      <c r="AN79" s="26">
        <f>IF(OR($A79="",AN$3=""),"",IF(AND($J79&lt;&gt;"",$K79&lt;&gt;"",$J79=$K79,$J79&gt;=AN$3,$J79&lt;=IF(param_mode_affichage="mois",EOMONTH(AN$3,0),AN$3+6)),"◆",""))</f>
      </c>
      <c r="AO79" s="26">
        <f>IF(OR($A79="",AO$3=""),"",IF(AND($J79&lt;&gt;"",$K79&lt;&gt;"",$J79=$K79,$J79&gt;=AO$3,$J79&lt;=IF(param_mode_affichage="mois",EOMONTH(AO$3,0),AO$3+6)),"◆",""))</f>
      </c>
      <c r="AP79" s="26">
        <f>IF(OR($A79="",AP$3=""),"",IF(AND($J79&lt;&gt;"",$K79&lt;&gt;"",$J79=$K79,$J79&gt;=AP$3,$J79&lt;=IF(param_mode_affichage="mois",EOMONTH(AP$3,0),AP$3+6)),"◆",""))</f>
      </c>
      <c r="AQ79" s="26">
        <f>IF(OR($A79="",AQ$3=""),"",IF(AND($J79&lt;&gt;"",$K79&lt;&gt;"",$J79=$K79,$J79&gt;=AQ$3,$J79&lt;=IF(param_mode_affichage="mois",EOMONTH(AQ$3,0),AQ$3+6)),"◆",""))</f>
      </c>
      <c r="AR79" s="26">
        <f>IF(OR($A79="",AR$3=""),"",IF(AND($J79&lt;&gt;"",$K79&lt;&gt;"",$J79=$K79,$J79&gt;=AR$3,$J79&lt;=IF(param_mode_affichage="mois",EOMONTH(AR$3,0),AR$3+6)),"◆",""))</f>
      </c>
      <c r="AS79" s="26">
        <f>IF(OR($A79="",AS$3=""),"",IF(AND($J79&lt;&gt;"",$K79&lt;&gt;"",$J79=$K79,$J79&gt;=AS$3,$J79&lt;=IF(param_mode_affichage="mois",EOMONTH(AS$3,0),AS$3+6)),"◆",""))</f>
      </c>
      <c r="AT79" s="26">
        <f>IF(OR($A79="",AT$3=""),"",IF(AND($J79&lt;&gt;"",$K79&lt;&gt;"",$J79=$K79,$J79&gt;=AT$3,$J79&lt;=IF(param_mode_affichage="mois",EOMONTH(AT$3,0),AT$3+6)),"◆",""))</f>
      </c>
      <c r="AU79" s="26">
        <f>IF(OR($A79="",AU$3=""),"",IF(AND($J79&lt;&gt;"",$K79&lt;&gt;"",$J79=$K79,$J79&gt;=AU$3,$J79&lt;=IF(param_mode_affichage="mois",EOMONTH(AU$3,0),AU$3+6)),"◆",""))</f>
      </c>
      <c r="AV79" s="26">
        <f>IF(OR($A79="",AV$3=""),"",IF(AND($J79&lt;&gt;"",$K79&lt;&gt;"",$J79=$K79,$J79&gt;=AV$3,$J79&lt;=IF(param_mode_affichage="mois",EOMONTH(AV$3,0),AV$3+6)),"◆",""))</f>
      </c>
      <c r="AW79" s="26">
        <f>IF(OR($A79="",AW$3=""),"",IF(AND($J79&lt;&gt;"",$K79&lt;&gt;"",$J79=$K79,$J79&gt;=AW$3,$J79&lt;=IF(param_mode_affichage="mois",EOMONTH(AW$3,0),AW$3+6)),"◆",""))</f>
      </c>
      <c r="AX79" s="26">
        <f>IF(OR($A79="",AX$3=""),"",IF(AND($J79&lt;&gt;"",$K79&lt;&gt;"",$J79=$K79,$J79&gt;=AX$3,$J79&lt;=IF(param_mode_affichage="mois",EOMONTH(AX$3,0),AX$3+6)),"◆",""))</f>
      </c>
      <c r="AY79" s="26">
        <f>IF(OR($A79="",AY$3=""),"",IF(AND($J79&lt;&gt;"",$K79&lt;&gt;"",$J79=$K79,$J79&gt;=AY$3,$J79&lt;=IF(param_mode_affichage="mois",EOMONTH(AY$3,0),AY$3+6)),"◆",""))</f>
      </c>
      <c r="AZ79" s="26">
        <f>IF(OR($A79="",AZ$3=""),"",IF(AND($J79&lt;&gt;"",$K79&lt;&gt;"",$J79=$K79,$J79&gt;=AZ$3,$J79&lt;=IF(param_mode_affichage="mois",EOMONTH(AZ$3,0),AZ$3+6)),"◆",""))</f>
      </c>
      <c r="BA79" s="26">
        <f>IF(OR($A79="",BA$3=""),"",IF(AND($J79&lt;&gt;"",$K79&lt;&gt;"",$J79=$K79,$J79&gt;=BA$3,$J79&lt;=IF(param_mode_affichage="mois",EOMONTH(BA$3,0),BA$3+6)),"◆",""))</f>
      </c>
      <c r="BB79" s="26">
        <f>IF(OR($A79="",BB$3=""),"",IF(AND($J79&lt;&gt;"",$K79&lt;&gt;"",$J79=$K79,$J79&gt;=BB$3,$J79&lt;=IF(param_mode_affichage="mois",EOMONTH(BB$3,0),BB$3+6)),"◆",""))</f>
      </c>
      <c r="BC79" s="26">
        <f>IF(OR($A79="",BC$3=""),"",IF(AND($J79&lt;&gt;"",$K79&lt;&gt;"",$J79=$K79,$J79&gt;=BC$3,$J79&lt;=IF(param_mode_affichage="mois",EOMONTH(BC$3,0),BC$3+6)),"◆",""))</f>
      </c>
      <c r="BD79" s="26">
        <f>IF(OR($A79="",BD$3=""),"",IF(AND($J79&lt;&gt;"",$K79&lt;&gt;"",$J79=$K79,$J79&gt;=BD$3,$J79&lt;=IF(param_mode_affichage="mois",EOMONTH(BD$3,0),BD$3+6)),"◆",""))</f>
      </c>
      <c r="BE79" s="26">
        <f>IF(OR($A79="",BE$3=""),"",IF(AND($J79&lt;&gt;"",$K79&lt;&gt;"",$J79=$K79,$J79&gt;=BE$3,$J79&lt;=IF(param_mode_affichage="mois",EOMONTH(BE$3,0),BE$3+6)),"◆",""))</f>
      </c>
      <c r="BF79" s="26">
        <f>IF(OR($A79="",BF$3=""),"",IF(AND($J79&lt;&gt;"",$K79&lt;&gt;"",$J79=$K79,$J79&gt;=BF$3,$J79&lt;=IF(param_mode_affichage="mois",EOMONTH(BF$3,0),BF$3+6)),"◆",""))</f>
      </c>
      <c r="BG79" s="26">
        <f>IF(OR($A79="",BG$3=""),"",IF(AND($J79&lt;&gt;"",$K79&lt;&gt;"",$J79=$K79,$J79&gt;=BG$3,$J79&lt;=IF(param_mode_affichage="mois",EOMONTH(BG$3,0),BG$3+6)),"◆",""))</f>
      </c>
      <c r="BH79" s="26">
        <f>IF(OR($A79="",BH$3=""),"",IF(AND($J79&lt;&gt;"",$K79&lt;&gt;"",$J79=$K79,$J79&gt;=BH$3,$J79&lt;=IF(param_mode_affichage="mois",EOMONTH(BH$3,0),BH$3+6)),"◆",""))</f>
      </c>
      <c r="BI79" s="26">
        <f>IF(OR($A79="",BI$3=""),"",IF(AND($J79&lt;&gt;"",$K79&lt;&gt;"",$J79=$K79,$J79&gt;=BI$3,$J79&lt;=IF(param_mode_affichage="mois",EOMONTH(BI$3,0),BI$3+6)),"◆",""))</f>
      </c>
      <c r="BJ79" s="26">
        <f>IF(OR($A79="",BJ$3=""),"",IF(AND($J79&lt;&gt;"",$K79&lt;&gt;"",$J79=$K79,$J79&gt;=BJ$3,$J79&lt;=IF(param_mode_affichage="mois",EOMONTH(BJ$3,0),BJ$3+6)),"◆",""))</f>
      </c>
      <c r="BK79" s="26">
        <f>IF(OR($A79="",BK$3=""),"",IF(AND($J79&lt;&gt;"",$K79&lt;&gt;"",$J79=$K79,$J79&gt;=BK$3,$J79&lt;=IF(param_mode_affichage="mois",EOMONTH(BK$3,0),BK$3+6)),"◆",""))</f>
      </c>
      <c r="BL79" s="26">
        <f>IF(OR($A79="",BL$3=""),"",IF(AND($J79&lt;&gt;"",$K79&lt;&gt;"",$J79=$K79,$J79&gt;=BL$3,$J79&lt;=IF(param_mode_affichage="mois",EOMONTH(BL$3,0),BL$3+6)),"◆",""))</f>
      </c>
    </row>
    <row r="80" spans="1:64" x14ac:dyDescent="0.25">
      <c r="A80" s="23">
        <f>IFERROR(INDEX(tblTasks[ID],ROW()-4),"")</f>
      </c>
      <c r="B80" s="24">
        <f>IF($A80="","",INDEX(tblTasks[Sujet],ROW()-4))</f>
      </c>
      <c r="C80" s="23">
        <f>IF($A80="","",INDEX(tblTasks[Responsable],ROW()-4))</f>
      </c>
      <c r="D80" s="23">
        <f>IF($A80="","",INDEX(tblTasks[Statut],ROW()-4))</f>
      </c>
      <c r="E80" s="23">
        <f>IF($A80="","",INDEX(tblTasks[Depend_de],ROW()-4))</f>
      </c>
      <c r="F80" s="23">
        <f>IF($A80="","",INDEX(tblTasks[Blocage],ROW()-4))</f>
      </c>
      <c r="G80" s="23">
        <f>IF($A80="","",INDEX(tblTasks[Niveau_criticite],ROW()-4))</f>
      </c>
      <c r="H80" s="23">
        <f>IF($A80="","",INDEX(tblTasks[Goulot],ROW()-4))</f>
      </c>
      <c r="I80" s="23">
        <f>IF($A80="","",IF(LOWER($F80)="oui","non",IF($E80="","oui",IFERROR(IF(LOWER(INDEX(tblTasks[Statut],MATCH($E80,tblTasks[ID],0)))="clos","oui","non"),"non"))))</f>
      </c>
      <c r="J80" s="25">
        <f>IF($A80="","",INDEX(tblTasks[Date_debut_prevue],ROW()-4))</f>
      </c>
      <c r="K80" s="25">
        <f>IF($A80="","",INDEX(tblTasks[Date_fin_prevue],ROW()-4))</f>
      </c>
      <c r="L80" s="23">
        <f>IF($A80="","",INDEX(tblTasks[Irreversibilite],ROW()-4))</f>
      </c>
      <c r="M80" s="26">
        <f>IF(OR($A80="",M$3=""),"",IF(AND($J80&lt;&gt;"",$K80&lt;&gt;"",$J80=$K80,$J80&gt;=M$3,$J80&lt;=IF(param_mode_affichage="mois",EOMONTH(M$3,0),M$3+6)),"◆",""))</f>
      </c>
      <c r="N80" s="26">
        <f>IF(OR($A80="",N$3=""),"",IF(AND($J80&lt;&gt;"",$K80&lt;&gt;"",$J80=$K80,$J80&gt;=N$3,$J80&lt;=IF(param_mode_affichage="mois",EOMONTH(N$3,0),N$3+6)),"◆",""))</f>
      </c>
      <c r="O80" s="26">
        <f>IF(OR($A80="",O$3=""),"",IF(AND($J80&lt;&gt;"",$K80&lt;&gt;"",$J80=$K80,$J80&gt;=O$3,$J80&lt;=IF(param_mode_affichage="mois",EOMONTH(O$3,0),O$3+6)),"◆",""))</f>
      </c>
      <c r="P80" s="26">
        <f>IF(OR($A80="",P$3=""),"",IF(AND($J80&lt;&gt;"",$K80&lt;&gt;"",$J80=$K80,$J80&gt;=P$3,$J80&lt;=IF(param_mode_affichage="mois",EOMONTH(P$3,0),P$3+6)),"◆",""))</f>
      </c>
      <c r="Q80" s="26">
        <f>IF(OR($A80="",Q$3=""),"",IF(AND($J80&lt;&gt;"",$K80&lt;&gt;"",$J80=$K80,$J80&gt;=Q$3,$J80&lt;=IF(param_mode_affichage="mois",EOMONTH(Q$3,0),Q$3+6)),"◆",""))</f>
      </c>
      <c r="R80" s="26">
        <f>IF(OR($A80="",R$3=""),"",IF(AND($J80&lt;&gt;"",$K80&lt;&gt;"",$J80=$K80,$J80&gt;=R$3,$J80&lt;=IF(param_mode_affichage="mois",EOMONTH(R$3,0),R$3+6)),"◆",""))</f>
      </c>
      <c r="S80" s="26">
        <f>IF(OR($A80="",S$3=""),"",IF(AND($J80&lt;&gt;"",$K80&lt;&gt;"",$J80=$K80,$J80&gt;=S$3,$J80&lt;=IF(param_mode_affichage="mois",EOMONTH(S$3,0),S$3+6)),"◆",""))</f>
      </c>
      <c r="T80" s="26">
        <f>IF(OR($A80="",T$3=""),"",IF(AND($J80&lt;&gt;"",$K80&lt;&gt;"",$J80=$K80,$J80&gt;=T$3,$J80&lt;=IF(param_mode_affichage="mois",EOMONTH(T$3,0),T$3+6)),"◆",""))</f>
      </c>
      <c r="U80" s="26">
        <f>IF(OR($A80="",U$3=""),"",IF(AND($J80&lt;&gt;"",$K80&lt;&gt;"",$J80=$K80,$J80&gt;=U$3,$J80&lt;=IF(param_mode_affichage="mois",EOMONTH(U$3,0),U$3+6)),"◆",""))</f>
      </c>
      <c r="V80" s="26">
        <f>IF(OR($A80="",V$3=""),"",IF(AND($J80&lt;&gt;"",$K80&lt;&gt;"",$J80=$K80,$J80&gt;=V$3,$J80&lt;=IF(param_mode_affichage="mois",EOMONTH(V$3,0),V$3+6)),"◆",""))</f>
      </c>
      <c r="W80" s="26">
        <f>IF(OR($A80="",W$3=""),"",IF(AND($J80&lt;&gt;"",$K80&lt;&gt;"",$J80=$K80,$J80&gt;=W$3,$J80&lt;=IF(param_mode_affichage="mois",EOMONTH(W$3,0),W$3+6)),"◆",""))</f>
      </c>
      <c r="X80" s="26">
        <f>IF(OR($A80="",X$3=""),"",IF(AND($J80&lt;&gt;"",$K80&lt;&gt;"",$J80=$K80,$J80&gt;=X$3,$J80&lt;=IF(param_mode_affichage="mois",EOMONTH(X$3,0),X$3+6)),"◆",""))</f>
      </c>
      <c r="Y80" s="26">
        <f>IF(OR($A80="",Y$3=""),"",IF(AND($J80&lt;&gt;"",$K80&lt;&gt;"",$J80=$K80,$J80&gt;=Y$3,$J80&lt;=IF(param_mode_affichage="mois",EOMONTH(Y$3,0),Y$3+6)),"◆",""))</f>
      </c>
      <c r="Z80" s="26">
        <f>IF(OR($A80="",Z$3=""),"",IF(AND($J80&lt;&gt;"",$K80&lt;&gt;"",$J80=$K80,$J80&gt;=Z$3,$J80&lt;=IF(param_mode_affichage="mois",EOMONTH(Z$3,0),Z$3+6)),"◆",""))</f>
      </c>
      <c r="AA80" s="26">
        <f>IF(OR($A80="",AA$3=""),"",IF(AND($J80&lt;&gt;"",$K80&lt;&gt;"",$J80=$K80,$J80&gt;=AA$3,$J80&lt;=IF(param_mode_affichage="mois",EOMONTH(AA$3,0),AA$3+6)),"◆",""))</f>
      </c>
      <c r="AB80" s="26">
        <f>IF(OR($A80="",AB$3=""),"",IF(AND($J80&lt;&gt;"",$K80&lt;&gt;"",$J80=$K80,$J80&gt;=AB$3,$J80&lt;=IF(param_mode_affichage="mois",EOMONTH(AB$3,0),AB$3+6)),"◆",""))</f>
      </c>
      <c r="AC80" s="26">
        <f>IF(OR($A80="",AC$3=""),"",IF(AND($J80&lt;&gt;"",$K80&lt;&gt;"",$J80=$K80,$J80&gt;=AC$3,$J80&lt;=IF(param_mode_affichage="mois",EOMONTH(AC$3,0),AC$3+6)),"◆",""))</f>
      </c>
      <c r="AD80" s="26">
        <f>IF(OR($A80="",AD$3=""),"",IF(AND($J80&lt;&gt;"",$K80&lt;&gt;"",$J80=$K80,$J80&gt;=AD$3,$J80&lt;=IF(param_mode_affichage="mois",EOMONTH(AD$3,0),AD$3+6)),"◆",""))</f>
      </c>
      <c r="AE80" s="26">
        <f>IF(OR($A80="",AE$3=""),"",IF(AND($J80&lt;&gt;"",$K80&lt;&gt;"",$J80=$K80,$J80&gt;=AE$3,$J80&lt;=IF(param_mode_affichage="mois",EOMONTH(AE$3,0),AE$3+6)),"◆",""))</f>
      </c>
      <c r="AF80" s="26">
        <f>IF(OR($A80="",AF$3=""),"",IF(AND($J80&lt;&gt;"",$K80&lt;&gt;"",$J80=$K80,$J80&gt;=AF$3,$J80&lt;=IF(param_mode_affichage="mois",EOMONTH(AF$3,0),AF$3+6)),"◆",""))</f>
      </c>
      <c r="AG80" s="26">
        <f>IF(OR($A80="",AG$3=""),"",IF(AND($J80&lt;&gt;"",$K80&lt;&gt;"",$J80=$K80,$J80&gt;=AG$3,$J80&lt;=IF(param_mode_affichage="mois",EOMONTH(AG$3,0),AG$3+6)),"◆",""))</f>
      </c>
      <c r="AH80" s="26">
        <f>IF(OR($A80="",AH$3=""),"",IF(AND($J80&lt;&gt;"",$K80&lt;&gt;"",$J80=$K80,$J80&gt;=AH$3,$J80&lt;=IF(param_mode_affichage="mois",EOMONTH(AH$3,0),AH$3+6)),"◆",""))</f>
      </c>
      <c r="AI80" s="26">
        <f>IF(OR($A80="",AI$3=""),"",IF(AND($J80&lt;&gt;"",$K80&lt;&gt;"",$J80=$K80,$J80&gt;=AI$3,$J80&lt;=IF(param_mode_affichage="mois",EOMONTH(AI$3,0),AI$3+6)),"◆",""))</f>
      </c>
      <c r="AJ80" s="26">
        <f>IF(OR($A80="",AJ$3=""),"",IF(AND($J80&lt;&gt;"",$K80&lt;&gt;"",$J80=$K80,$J80&gt;=AJ$3,$J80&lt;=IF(param_mode_affichage="mois",EOMONTH(AJ$3,0),AJ$3+6)),"◆",""))</f>
      </c>
      <c r="AK80" s="26">
        <f>IF(OR($A80="",AK$3=""),"",IF(AND($J80&lt;&gt;"",$K80&lt;&gt;"",$J80=$K80,$J80&gt;=AK$3,$J80&lt;=IF(param_mode_affichage="mois",EOMONTH(AK$3,0),AK$3+6)),"◆",""))</f>
      </c>
      <c r="AL80" s="26">
        <f>IF(OR($A80="",AL$3=""),"",IF(AND($J80&lt;&gt;"",$K80&lt;&gt;"",$J80=$K80,$J80&gt;=AL$3,$J80&lt;=IF(param_mode_affichage="mois",EOMONTH(AL$3,0),AL$3+6)),"◆",""))</f>
      </c>
      <c r="AM80" s="26">
        <f>IF(OR($A80="",AM$3=""),"",IF(AND($J80&lt;&gt;"",$K80&lt;&gt;"",$J80=$K80,$J80&gt;=AM$3,$J80&lt;=IF(param_mode_affichage="mois",EOMONTH(AM$3,0),AM$3+6)),"◆",""))</f>
      </c>
      <c r="AN80" s="26">
        <f>IF(OR($A80="",AN$3=""),"",IF(AND($J80&lt;&gt;"",$K80&lt;&gt;"",$J80=$K80,$J80&gt;=AN$3,$J80&lt;=IF(param_mode_affichage="mois",EOMONTH(AN$3,0),AN$3+6)),"◆",""))</f>
      </c>
      <c r="AO80" s="26">
        <f>IF(OR($A80="",AO$3=""),"",IF(AND($J80&lt;&gt;"",$K80&lt;&gt;"",$J80=$K80,$J80&gt;=AO$3,$J80&lt;=IF(param_mode_affichage="mois",EOMONTH(AO$3,0),AO$3+6)),"◆",""))</f>
      </c>
      <c r="AP80" s="26">
        <f>IF(OR($A80="",AP$3=""),"",IF(AND($J80&lt;&gt;"",$K80&lt;&gt;"",$J80=$K80,$J80&gt;=AP$3,$J80&lt;=IF(param_mode_affichage="mois",EOMONTH(AP$3,0),AP$3+6)),"◆",""))</f>
      </c>
      <c r="AQ80" s="26">
        <f>IF(OR($A80="",AQ$3=""),"",IF(AND($J80&lt;&gt;"",$K80&lt;&gt;"",$J80=$K80,$J80&gt;=AQ$3,$J80&lt;=IF(param_mode_affichage="mois",EOMONTH(AQ$3,0),AQ$3+6)),"◆",""))</f>
      </c>
      <c r="AR80" s="26">
        <f>IF(OR($A80="",AR$3=""),"",IF(AND($J80&lt;&gt;"",$K80&lt;&gt;"",$J80=$K80,$J80&gt;=AR$3,$J80&lt;=IF(param_mode_affichage="mois",EOMONTH(AR$3,0),AR$3+6)),"◆",""))</f>
      </c>
      <c r="AS80" s="26">
        <f>IF(OR($A80="",AS$3=""),"",IF(AND($J80&lt;&gt;"",$K80&lt;&gt;"",$J80=$K80,$J80&gt;=AS$3,$J80&lt;=IF(param_mode_affichage="mois",EOMONTH(AS$3,0),AS$3+6)),"◆",""))</f>
      </c>
      <c r="AT80" s="26">
        <f>IF(OR($A80="",AT$3=""),"",IF(AND($J80&lt;&gt;"",$K80&lt;&gt;"",$J80=$K80,$J80&gt;=AT$3,$J80&lt;=IF(param_mode_affichage="mois",EOMONTH(AT$3,0),AT$3+6)),"◆",""))</f>
      </c>
      <c r="AU80" s="26">
        <f>IF(OR($A80="",AU$3=""),"",IF(AND($J80&lt;&gt;"",$K80&lt;&gt;"",$J80=$K80,$J80&gt;=AU$3,$J80&lt;=IF(param_mode_affichage="mois",EOMONTH(AU$3,0),AU$3+6)),"◆",""))</f>
      </c>
      <c r="AV80" s="26">
        <f>IF(OR($A80="",AV$3=""),"",IF(AND($J80&lt;&gt;"",$K80&lt;&gt;"",$J80=$K80,$J80&gt;=AV$3,$J80&lt;=IF(param_mode_affichage="mois",EOMONTH(AV$3,0),AV$3+6)),"◆",""))</f>
      </c>
      <c r="AW80" s="26">
        <f>IF(OR($A80="",AW$3=""),"",IF(AND($J80&lt;&gt;"",$K80&lt;&gt;"",$J80=$K80,$J80&gt;=AW$3,$J80&lt;=IF(param_mode_affichage="mois",EOMONTH(AW$3,0),AW$3+6)),"◆",""))</f>
      </c>
      <c r="AX80" s="26">
        <f>IF(OR($A80="",AX$3=""),"",IF(AND($J80&lt;&gt;"",$K80&lt;&gt;"",$J80=$K80,$J80&gt;=AX$3,$J80&lt;=IF(param_mode_affichage="mois",EOMONTH(AX$3,0),AX$3+6)),"◆",""))</f>
      </c>
      <c r="AY80" s="26">
        <f>IF(OR($A80="",AY$3=""),"",IF(AND($J80&lt;&gt;"",$K80&lt;&gt;"",$J80=$K80,$J80&gt;=AY$3,$J80&lt;=IF(param_mode_affichage="mois",EOMONTH(AY$3,0),AY$3+6)),"◆",""))</f>
      </c>
      <c r="AZ80" s="26">
        <f>IF(OR($A80="",AZ$3=""),"",IF(AND($J80&lt;&gt;"",$K80&lt;&gt;"",$J80=$K80,$J80&gt;=AZ$3,$J80&lt;=IF(param_mode_affichage="mois",EOMONTH(AZ$3,0),AZ$3+6)),"◆",""))</f>
      </c>
      <c r="BA80" s="26">
        <f>IF(OR($A80="",BA$3=""),"",IF(AND($J80&lt;&gt;"",$K80&lt;&gt;"",$J80=$K80,$J80&gt;=BA$3,$J80&lt;=IF(param_mode_affichage="mois",EOMONTH(BA$3,0),BA$3+6)),"◆",""))</f>
      </c>
      <c r="BB80" s="26">
        <f>IF(OR($A80="",BB$3=""),"",IF(AND($J80&lt;&gt;"",$K80&lt;&gt;"",$J80=$K80,$J80&gt;=BB$3,$J80&lt;=IF(param_mode_affichage="mois",EOMONTH(BB$3,0),BB$3+6)),"◆",""))</f>
      </c>
      <c r="BC80" s="26">
        <f>IF(OR($A80="",BC$3=""),"",IF(AND($J80&lt;&gt;"",$K80&lt;&gt;"",$J80=$K80,$J80&gt;=BC$3,$J80&lt;=IF(param_mode_affichage="mois",EOMONTH(BC$3,0),BC$3+6)),"◆",""))</f>
      </c>
      <c r="BD80" s="26">
        <f>IF(OR($A80="",BD$3=""),"",IF(AND($J80&lt;&gt;"",$K80&lt;&gt;"",$J80=$K80,$J80&gt;=BD$3,$J80&lt;=IF(param_mode_affichage="mois",EOMONTH(BD$3,0),BD$3+6)),"◆",""))</f>
      </c>
      <c r="BE80" s="26">
        <f>IF(OR($A80="",BE$3=""),"",IF(AND($J80&lt;&gt;"",$K80&lt;&gt;"",$J80=$K80,$J80&gt;=BE$3,$J80&lt;=IF(param_mode_affichage="mois",EOMONTH(BE$3,0),BE$3+6)),"◆",""))</f>
      </c>
      <c r="BF80" s="26">
        <f>IF(OR($A80="",BF$3=""),"",IF(AND($J80&lt;&gt;"",$K80&lt;&gt;"",$J80=$K80,$J80&gt;=BF$3,$J80&lt;=IF(param_mode_affichage="mois",EOMONTH(BF$3,0),BF$3+6)),"◆",""))</f>
      </c>
      <c r="BG80" s="26">
        <f>IF(OR($A80="",BG$3=""),"",IF(AND($J80&lt;&gt;"",$K80&lt;&gt;"",$J80=$K80,$J80&gt;=BG$3,$J80&lt;=IF(param_mode_affichage="mois",EOMONTH(BG$3,0),BG$3+6)),"◆",""))</f>
      </c>
      <c r="BH80" s="26">
        <f>IF(OR($A80="",BH$3=""),"",IF(AND($J80&lt;&gt;"",$K80&lt;&gt;"",$J80=$K80,$J80&gt;=BH$3,$J80&lt;=IF(param_mode_affichage="mois",EOMONTH(BH$3,0),BH$3+6)),"◆",""))</f>
      </c>
      <c r="BI80" s="26">
        <f>IF(OR($A80="",BI$3=""),"",IF(AND($J80&lt;&gt;"",$K80&lt;&gt;"",$J80=$K80,$J80&gt;=BI$3,$J80&lt;=IF(param_mode_affichage="mois",EOMONTH(BI$3,0),BI$3+6)),"◆",""))</f>
      </c>
      <c r="BJ80" s="26">
        <f>IF(OR($A80="",BJ$3=""),"",IF(AND($J80&lt;&gt;"",$K80&lt;&gt;"",$J80=$K80,$J80&gt;=BJ$3,$J80&lt;=IF(param_mode_affichage="mois",EOMONTH(BJ$3,0),BJ$3+6)),"◆",""))</f>
      </c>
      <c r="BK80" s="26">
        <f>IF(OR($A80="",BK$3=""),"",IF(AND($J80&lt;&gt;"",$K80&lt;&gt;"",$J80=$K80,$J80&gt;=BK$3,$J80&lt;=IF(param_mode_affichage="mois",EOMONTH(BK$3,0),BK$3+6)),"◆",""))</f>
      </c>
      <c r="BL80" s="26">
        <f>IF(OR($A80="",BL$3=""),"",IF(AND($J80&lt;&gt;"",$K80&lt;&gt;"",$J80=$K80,$J80&gt;=BL$3,$J80&lt;=IF(param_mode_affichage="mois",EOMONTH(BL$3,0),BL$3+6)),"◆",""))</f>
      </c>
    </row>
    <row r="81" spans="1:64" x14ac:dyDescent="0.25">
      <c r="A81" s="23">
        <f>IFERROR(INDEX(tblTasks[ID],ROW()-4),"")</f>
      </c>
      <c r="B81" s="24">
        <f>IF($A81="","",INDEX(tblTasks[Sujet],ROW()-4))</f>
      </c>
      <c r="C81" s="23">
        <f>IF($A81="","",INDEX(tblTasks[Responsable],ROW()-4))</f>
      </c>
      <c r="D81" s="23">
        <f>IF($A81="","",INDEX(tblTasks[Statut],ROW()-4))</f>
      </c>
      <c r="E81" s="23">
        <f>IF($A81="","",INDEX(tblTasks[Depend_de],ROW()-4))</f>
      </c>
      <c r="F81" s="23">
        <f>IF($A81="","",INDEX(tblTasks[Blocage],ROW()-4))</f>
      </c>
      <c r="G81" s="23">
        <f>IF($A81="","",INDEX(tblTasks[Niveau_criticite],ROW()-4))</f>
      </c>
      <c r="H81" s="23">
        <f>IF($A81="","",INDEX(tblTasks[Goulot],ROW()-4))</f>
      </c>
      <c r="I81" s="23">
        <f>IF($A81="","",IF(LOWER($F81)="oui","non",IF($E81="","oui",IFERROR(IF(LOWER(INDEX(tblTasks[Statut],MATCH($E81,tblTasks[ID],0)))="clos","oui","non"),"non"))))</f>
      </c>
      <c r="J81" s="25">
        <f>IF($A81="","",INDEX(tblTasks[Date_debut_prevue],ROW()-4))</f>
      </c>
      <c r="K81" s="25">
        <f>IF($A81="","",INDEX(tblTasks[Date_fin_prevue],ROW()-4))</f>
      </c>
      <c r="L81" s="23">
        <f>IF($A81="","",INDEX(tblTasks[Irreversibilite],ROW()-4))</f>
      </c>
      <c r="M81" s="26">
        <f>IF(OR($A81="",M$3=""),"",IF(AND($J81&lt;&gt;"",$K81&lt;&gt;"",$J81=$K81,$J81&gt;=M$3,$J81&lt;=IF(param_mode_affichage="mois",EOMONTH(M$3,0),M$3+6)),"◆",""))</f>
      </c>
      <c r="N81" s="26">
        <f>IF(OR($A81="",N$3=""),"",IF(AND($J81&lt;&gt;"",$K81&lt;&gt;"",$J81=$K81,$J81&gt;=N$3,$J81&lt;=IF(param_mode_affichage="mois",EOMONTH(N$3,0),N$3+6)),"◆",""))</f>
      </c>
      <c r="O81" s="26">
        <f>IF(OR($A81="",O$3=""),"",IF(AND($J81&lt;&gt;"",$K81&lt;&gt;"",$J81=$K81,$J81&gt;=O$3,$J81&lt;=IF(param_mode_affichage="mois",EOMONTH(O$3,0),O$3+6)),"◆",""))</f>
      </c>
      <c r="P81" s="26">
        <f>IF(OR($A81="",P$3=""),"",IF(AND($J81&lt;&gt;"",$K81&lt;&gt;"",$J81=$K81,$J81&gt;=P$3,$J81&lt;=IF(param_mode_affichage="mois",EOMONTH(P$3,0),P$3+6)),"◆",""))</f>
      </c>
      <c r="Q81" s="26">
        <f>IF(OR($A81="",Q$3=""),"",IF(AND($J81&lt;&gt;"",$K81&lt;&gt;"",$J81=$K81,$J81&gt;=Q$3,$J81&lt;=IF(param_mode_affichage="mois",EOMONTH(Q$3,0),Q$3+6)),"◆",""))</f>
      </c>
      <c r="R81" s="26">
        <f>IF(OR($A81="",R$3=""),"",IF(AND($J81&lt;&gt;"",$K81&lt;&gt;"",$J81=$K81,$J81&gt;=R$3,$J81&lt;=IF(param_mode_affichage="mois",EOMONTH(R$3,0),R$3+6)),"◆",""))</f>
      </c>
      <c r="S81" s="26">
        <f>IF(OR($A81="",S$3=""),"",IF(AND($J81&lt;&gt;"",$K81&lt;&gt;"",$J81=$K81,$J81&gt;=S$3,$J81&lt;=IF(param_mode_affichage="mois",EOMONTH(S$3,0),S$3+6)),"◆",""))</f>
      </c>
      <c r="T81" s="26">
        <f>IF(OR($A81="",T$3=""),"",IF(AND($J81&lt;&gt;"",$K81&lt;&gt;"",$J81=$K81,$J81&gt;=T$3,$J81&lt;=IF(param_mode_affichage="mois",EOMONTH(T$3,0),T$3+6)),"◆",""))</f>
      </c>
      <c r="U81" s="26">
        <f>IF(OR($A81="",U$3=""),"",IF(AND($J81&lt;&gt;"",$K81&lt;&gt;"",$J81=$K81,$J81&gt;=U$3,$J81&lt;=IF(param_mode_affichage="mois",EOMONTH(U$3,0),U$3+6)),"◆",""))</f>
      </c>
      <c r="V81" s="26">
        <f>IF(OR($A81="",V$3=""),"",IF(AND($J81&lt;&gt;"",$K81&lt;&gt;"",$J81=$K81,$J81&gt;=V$3,$J81&lt;=IF(param_mode_affichage="mois",EOMONTH(V$3,0),V$3+6)),"◆",""))</f>
      </c>
      <c r="W81" s="26">
        <f>IF(OR($A81="",W$3=""),"",IF(AND($J81&lt;&gt;"",$K81&lt;&gt;"",$J81=$K81,$J81&gt;=W$3,$J81&lt;=IF(param_mode_affichage="mois",EOMONTH(W$3,0),W$3+6)),"◆",""))</f>
      </c>
      <c r="X81" s="26">
        <f>IF(OR($A81="",X$3=""),"",IF(AND($J81&lt;&gt;"",$K81&lt;&gt;"",$J81=$K81,$J81&gt;=X$3,$J81&lt;=IF(param_mode_affichage="mois",EOMONTH(X$3,0),X$3+6)),"◆",""))</f>
      </c>
      <c r="Y81" s="26">
        <f>IF(OR($A81="",Y$3=""),"",IF(AND($J81&lt;&gt;"",$K81&lt;&gt;"",$J81=$K81,$J81&gt;=Y$3,$J81&lt;=IF(param_mode_affichage="mois",EOMONTH(Y$3,0),Y$3+6)),"◆",""))</f>
      </c>
      <c r="Z81" s="26">
        <f>IF(OR($A81="",Z$3=""),"",IF(AND($J81&lt;&gt;"",$K81&lt;&gt;"",$J81=$K81,$J81&gt;=Z$3,$J81&lt;=IF(param_mode_affichage="mois",EOMONTH(Z$3,0),Z$3+6)),"◆",""))</f>
      </c>
      <c r="AA81" s="26">
        <f>IF(OR($A81="",AA$3=""),"",IF(AND($J81&lt;&gt;"",$K81&lt;&gt;"",$J81=$K81,$J81&gt;=AA$3,$J81&lt;=IF(param_mode_affichage="mois",EOMONTH(AA$3,0),AA$3+6)),"◆",""))</f>
      </c>
      <c r="AB81" s="26">
        <f>IF(OR($A81="",AB$3=""),"",IF(AND($J81&lt;&gt;"",$K81&lt;&gt;"",$J81=$K81,$J81&gt;=AB$3,$J81&lt;=IF(param_mode_affichage="mois",EOMONTH(AB$3,0),AB$3+6)),"◆",""))</f>
      </c>
      <c r="AC81" s="26">
        <f>IF(OR($A81="",AC$3=""),"",IF(AND($J81&lt;&gt;"",$K81&lt;&gt;"",$J81=$K81,$J81&gt;=AC$3,$J81&lt;=IF(param_mode_affichage="mois",EOMONTH(AC$3,0),AC$3+6)),"◆",""))</f>
      </c>
      <c r="AD81" s="26">
        <f>IF(OR($A81="",AD$3=""),"",IF(AND($J81&lt;&gt;"",$K81&lt;&gt;"",$J81=$K81,$J81&gt;=AD$3,$J81&lt;=IF(param_mode_affichage="mois",EOMONTH(AD$3,0),AD$3+6)),"◆",""))</f>
      </c>
      <c r="AE81" s="26">
        <f>IF(OR($A81="",AE$3=""),"",IF(AND($J81&lt;&gt;"",$K81&lt;&gt;"",$J81=$K81,$J81&gt;=AE$3,$J81&lt;=IF(param_mode_affichage="mois",EOMONTH(AE$3,0),AE$3+6)),"◆",""))</f>
      </c>
      <c r="AF81" s="26">
        <f>IF(OR($A81="",AF$3=""),"",IF(AND($J81&lt;&gt;"",$K81&lt;&gt;"",$J81=$K81,$J81&gt;=AF$3,$J81&lt;=IF(param_mode_affichage="mois",EOMONTH(AF$3,0),AF$3+6)),"◆",""))</f>
      </c>
      <c r="AG81" s="26">
        <f>IF(OR($A81="",AG$3=""),"",IF(AND($J81&lt;&gt;"",$K81&lt;&gt;"",$J81=$K81,$J81&gt;=AG$3,$J81&lt;=IF(param_mode_affichage="mois",EOMONTH(AG$3,0),AG$3+6)),"◆",""))</f>
      </c>
      <c r="AH81" s="26">
        <f>IF(OR($A81="",AH$3=""),"",IF(AND($J81&lt;&gt;"",$K81&lt;&gt;"",$J81=$K81,$J81&gt;=AH$3,$J81&lt;=IF(param_mode_affichage="mois",EOMONTH(AH$3,0),AH$3+6)),"◆",""))</f>
      </c>
      <c r="AI81" s="26">
        <f>IF(OR($A81="",AI$3=""),"",IF(AND($J81&lt;&gt;"",$K81&lt;&gt;"",$J81=$K81,$J81&gt;=AI$3,$J81&lt;=IF(param_mode_affichage="mois",EOMONTH(AI$3,0),AI$3+6)),"◆",""))</f>
      </c>
      <c r="AJ81" s="26">
        <f>IF(OR($A81="",AJ$3=""),"",IF(AND($J81&lt;&gt;"",$K81&lt;&gt;"",$J81=$K81,$J81&gt;=AJ$3,$J81&lt;=IF(param_mode_affichage="mois",EOMONTH(AJ$3,0),AJ$3+6)),"◆",""))</f>
      </c>
      <c r="AK81" s="26">
        <f>IF(OR($A81="",AK$3=""),"",IF(AND($J81&lt;&gt;"",$K81&lt;&gt;"",$J81=$K81,$J81&gt;=AK$3,$J81&lt;=IF(param_mode_affichage="mois",EOMONTH(AK$3,0),AK$3+6)),"◆",""))</f>
      </c>
      <c r="AL81" s="26">
        <f>IF(OR($A81="",AL$3=""),"",IF(AND($J81&lt;&gt;"",$K81&lt;&gt;"",$J81=$K81,$J81&gt;=AL$3,$J81&lt;=IF(param_mode_affichage="mois",EOMONTH(AL$3,0),AL$3+6)),"◆",""))</f>
      </c>
      <c r="AM81" s="26">
        <f>IF(OR($A81="",AM$3=""),"",IF(AND($J81&lt;&gt;"",$K81&lt;&gt;"",$J81=$K81,$J81&gt;=AM$3,$J81&lt;=IF(param_mode_affichage="mois",EOMONTH(AM$3,0),AM$3+6)),"◆",""))</f>
      </c>
      <c r="AN81" s="26">
        <f>IF(OR($A81="",AN$3=""),"",IF(AND($J81&lt;&gt;"",$K81&lt;&gt;"",$J81=$K81,$J81&gt;=AN$3,$J81&lt;=IF(param_mode_affichage="mois",EOMONTH(AN$3,0),AN$3+6)),"◆",""))</f>
      </c>
      <c r="AO81" s="26">
        <f>IF(OR($A81="",AO$3=""),"",IF(AND($J81&lt;&gt;"",$K81&lt;&gt;"",$J81=$K81,$J81&gt;=AO$3,$J81&lt;=IF(param_mode_affichage="mois",EOMONTH(AO$3,0),AO$3+6)),"◆",""))</f>
      </c>
      <c r="AP81" s="26">
        <f>IF(OR($A81="",AP$3=""),"",IF(AND($J81&lt;&gt;"",$K81&lt;&gt;"",$J81=$K81,$J81&gt;=AP$3,$J81&lt;=IF(param_mode_affichage="mois",EOMONTH(AP$3,0),AP$3+6)),"◆",""))</f>
      </c>
      <c r="AQ81" s="26">
        <f>IF(OR($A81="",AQ$3=""),"",IF(AND($J81&lt;&gt;"",$K81&lt;&gt;"",$J81=$K81,$J81&gt;=AQ$3,$J81&lt;=IF(param_mode_affichage="mois",EOMONTH(AQ$3,0),AQ$3+6)),"◆",""))</f>
      </c>
      <c r="AR81" s="26">
        <f>IF(OR($A81="",AR$3=""),"",IF(AND($J81&lt;&gt;"",$K81&lt;&gt;"",$J81=$K81,$J81&gt;=AR$3,$J81&lt;=IF(param_mode_affichage="mois",EOMONTH(AR$3,0),AR$3+6)),"◆",""))</f>
      </c>
      <c r="AS81" s="26">
        <f>IF(OR($A81="",AS$3=""),"",IF(AND($J81&lt;&gt;"",$K81&lt;&gt;"",$J81=$K81,$J81&gt;=AS$3,$J81&lt;=IF(param_mode_affichage="mois",EOMONTH(AS$3,0),AS$3+6)),"◆",""))</f>
      </c>
      <c r="AT81" s="26">
        <f>IF(OR($A81="",AT$3=""),"",IF(AND($J81&lt;&gt;"",$K81&lt;&gt;"",$J81=$K81,$J81&gt;=AT$3,$J81&lt;=IF(param_mode_affichage="mois",EOMONTH(AT$3,0),AT$3+6)),"◆",""))</f>
      </c>
      <c r="AU81" s="26">
        <f>IF(OR($A81="",AU$3=""),"",IF(AND($J81&lt;&gt;"",$K81&lt;&gt;"",$J81=$K81,$J81&gt;=AU$3,$J81&lt;=IF(param_mode_affichage="mois",EOMONTH(AU$3,0),AU$3+6)),"◆",""))</f>
      </c>
      <c r="AV81" s="26">
        <f>IF(OR($A81="",AV$3=""),"",IF(AND($J81&lt;&gt;"",$K81&lt;&gt;"",$J81=$K81,$J81&gt;=AV$3,$J81&lt;=IF(param_mode_affichage="mois",EOMONTH(AV$3,0),AV$3+6)),"◆",""))</f>
      </c>
      <c r="AW81" s="26">
        <f>IF(OR($A81="",AW$3=""),"",IF(AND($J81&lt;&gt;"",$K81&lt;&gt;"",$J81=$K81,$J81&gt;=AW$3,$J81&lt;=IF(param_mode_affichage="mois",EOMONTH(AW$3,0),AW$3+6)),"◆",""))</f>
      </c>
      <c r="AX81" s="26">
        <f>IF(OR($A81="",AX$3=""),"",IF(AND($J81&lt;&gt;"",$K81&lt;&gt;"",$J81=$K81,$J81&gt;=AX$3,$J81&lt;=IF(param_mode_affichage="mois",EOMONTH(AX$3,0),AX$3+6)),"◆",""))</f>
      </c>
      <c r="AY81" s="26">
        <f>IF(OR($A81="",AY$3=""),"",IF(AND($J81&lt;&gt;"",$K81&lt;&gt;"",$J81=$K81,$J81&gt;=AY$3,$J81&lt;=IF(param_mode_affichage="mois",EOMONTH(AY$3,0),AY$3+6)),"◆",""))</f>
      </c>
      <c r="AZ81" s="26">
        <f>IF(OR($A81="",AZ$3=""),"",IF(AND($J81&lt;&gt;"",$K81&lt;&gt;"",$J81=$K81,$J81&gt;=AZ$3,$J81&lt;=IF(param_mode_affichage="mois",EOMONTH(AZ$3,0),AZ$3+6)),"◆",""))</f>
      </c>
      <c r="BA81" s="26">
        <f>IF(OR($A81="",BA$3=""),"",IF(AND($J81&lt;&gt;"",$K81&lt;&gt;"",$J81=$K81,$J81&gt;=BA$3,$J81&lt;=IF(param_mode_affichage="mois",EOMONTH(BA$3,0),BA$3+6)),"◆",""))</f>
      </c>
      <c r="BB81" s="26">
        <f>IF(OR($A81="",BB$3=""),"",IF(AND($J81&lt;&gt;"",$K81&lt;&gt;"",$J81=$K81,$J81&gt;=BB$3,$J81&lt;=IF(param_mode_affichage="mois",EOMONTH(BB$3,0),BB$3+6)),"◆",""))</f>
      </c>
      <c r="BC81" s="26">
        <f>IF(OR($A81="",BC$3=""),"",IF(AND($J81&lt;&gt;"",$K81&lt;&gt;"",$J81=$K81,$J81&gt;=BC$3,$J81&lt;=IF(param_mode_affichage="mois",EOMONTH(BC$3,0),BC$3+6)),"◆",""))</f>
      </c>
      <c r="BD81" s="26">
        <f>IF(OR($A81="",BD$3=""),"",IF(AND($J81&lt;&gt;"",$K81&lt;&gt;"",$J81=$K81,$J81&gt;=BD$3,$J81&lt;=IF(param_mode_affichage="mois",EOMONTH(BD$3,0),BD$3+6)),"◆",""))</f>
      </c>
      <c r="BE81" s="26">
        <f>IF(OR($A81="",BE$3=""),"",IF(AND($J81&lt;&gt;"",$K81&lt;&gt;"",$J81=$K81,$J81&gt;=BE$3,$J81&lt;=IF(param_mode_affichage="mois",EOMONTH(BE$3,0),BE$3+6)),"◆",""))</f>
      </c>
      <c r="BF81" s="26">
        <f>IF(OR($A81="",BF$3=""),"",IF(AND($J81&lt;&gt;"",$K81&lt;&gt;"",$J81=$K81,$J81&gt;=BF$3,$J81&lt;=IF(param_mode_affichage="mois",EOMONTH(BF$3,0),BF$3+6)),"◆",""))</f>
      </c>
      <c r="BG81" s="26">
        <f>IF(OR($A81="",BG$3=""),"",IF(AND($J81&lt;&gt;"",$K81&lt;&gt;"",$J81=$K81,$J81&gt;=BG$3,$J81&lt;=IF(param_mode_affichage="mois",EOMONTH(BG$3,0),BG$3+6)),"◆",""))</f>
      </c>
      <c r="BH81" s="26">
        <f>IF(OR($A81="",BH$3=""),"",IF(AND($J81&lt;&gt;"",$K81&lt;&gt;"",$J81=$K81,$J81&gt;=BH$3,$J81&lt;=IF(param_mode_affichage="mois",EOMONTH(BH$3,0),BH$3+6)),"◆",""))</f>
      </c>
      <c r="BI81" s="26">
        <f>IF(OR($A81="",BI$3=""),"",IF(AND($J81&lt;&gt;"",$K81&lt;&gt;"",$J81=$K81,$J81&gt;=BI$3,$J81&lt;=IF(param_mode_affichage="mois",EOMONTH(BI$3,0),BI$3+6)),"◆",""))</f>
      </c>
      <c r="BJ81" s="26">
        <f>IF(OR($A81="",BJ$3=""),"",IF(AND($J81&lt;&gt;"",$K81&lt;&gt;"",$J81=$K81,$J81&gt;=BJ$3,$J81&lt;=IF(param_mode_affichage="mois",EOMONTH(BJ$3,0),BJ$3+6)),"◆",""))</f>
      </c>
      <c r="BK81" s="26">
        <f>IF(OR($A81="",BK$3=""),"",IF(AND($J81&lt;&gt;"",$K81&lt;&gt;"",$J81=$K81,$J81&gt;=BK$3,$J81&lt;=IF(param_mode_affichage="mois",EOMONTH(BK$3,0),BK$3+6)),"◆",""))</f>
      </c>
      <c r="BL81" s="26">
        <f>IF(OR($A81="",BL$3=""),"",IF(AND($J81&lt;&gt;"",$K81&lt;&gt;"",$J81=$K81,$J81&gt;=BL$3,$J81&lt;=IF(param_mode_affichage="mois",EOMONTH(BL$3,0),BL$3+6)),"◆",""))</f>
      </c>
    </row>
    <row r="82" spans="1:64" x14ac:dyDescent="0.25">
      <c r="A82" s="23">
        <f>IFERROR(INDEX(tblTasks[ID],ROW()-4),"")</f>
      </c>
      <c r="B82" s="24">
        <f>IF($A82="","",INDEX(tblTasks[Sujet],ROW()-4))</f>
      </c>
      <c r="C82" s="23">
        <f>IF($A82="","",INDEX(tblTasks[Responsable],ROW()-4))</f>
      </c>
      <c r="D82" s="23">
        <f>IF($A82="","",INDEX(tblTasks[Statut],ROW()-4))</f>
      </c>
      <c r="E82" s="23">
        <f>IF($A82="","",INDEX(tblTasks[Depend_de],ROW()-4))</f>
      </c>
      <c r="F82" s="23">
        <f>IF($A82="","",INDEX(tblTasks[Blocage],ROW()-4))</f>
      </c>
      <c r="G82" s="23">
        <f>IF($A82="","",INDEX(tblTasks[Niveau_criticite],ROW()-4))</f>
      </c>
      <c r="H82" s="23">
        <f>IF($A82="","",INDEX(tblTasks[Goulot],ROW()-4))</f>
      </c>
      <c r="I82" s="23">
        <f>IF($A82="","",IF(LOWER($F82)="oui","non",IF($E82="","oui",IFERROR(IF(LOWER(INDEX(tblTasks[Statut],MATCH($E82,tblTasks[ID],0)))="clos","oui","non"),"non"))))</f>
      </c>
      <c r="J82" s="25">
        <f>IF($A82="","",INDEX(tblTasks[Date_debut_prevue],ROW()-4))</f>
      </c>
      <c r="K82" s="25">
        <f>IF($A82="","",INDEX(tblTasks[Date_fin_prevue],ROW()-4))</f>
      </c>
      <c r="L82" s="23">
        <f>IF($A82="","",INDEX(tblTasks[Irreversibilite],ROW()-4))</f>
      </c>
      <c r="M82" s="26">
        <f>IF(OR($A82="",M$3=""),"",IF(AND($J82&lt;&gt;"",$K82&lt;&gt;"",$J82=$K82,$J82&gt;=M$3,$J82&lt;=IF(param_mode_affichage="mois",EOMONTH(M$3,0),M$3+6)),"◆",""))</f>
      </c>
      <c r="N82" s="26">
        <f>IF(OR($A82="",N$3=""),"",IF(AND($J82&lt;&gt;"",$K82&lt;&gt;"",$J82=$K82,$J82&gt;=N$3,$J82&lt;=IF(param_mode_affichage="mois",EOMONTH(N$3,0),N$3+6)),"◆",""))</f>
      </c>
      <c r="O82" s="26">
        <f>IF(OR($A82="",O$3=""),"",IF(AND($J82&lt;&gt;"",$K82&lt;&gt;"",$J82=$K82,$J82&gt;=O$3,$J82&lt;=IF(param_mode_affichage="mois",EOMONTH(O$3,0),O$3+6)),"◆",""))</f>
      </c>
      <c r="P82" s="26">
        <f>IF(OR($A82="",P$3=""),"",IF(AND($J82&lt;&gt;"",$K82&lt;&gt;"",$J82=$K82,$J82&gt;=P$3,$J82&lt;=IF(param_mode_affichage="mois",EOMONTH(P$3,0),P$3+6)),"◆",""))</f>
      </c>
      <c r="Q82" s="26">
        <f>IF(OR($A82="",Q$3=""),"",IF(AND($J82&lt;&gt;"",$K82&lt;&gt;"",$J82=$K82,$J82&gt;=Q$3,$J82&lt;=IF(param_mode_affichage="mois",EOMONTH(Q$3,0),Q$3+6)),"◆",""))</f>
      </c>
      <c r="R82" s="26">
        <f>IF(OR($A82="",R$3=""),"",IF(AND($J82&lt;&gt;"",$K82&lt;&gt;"",$J82=$K82,$J82&gt;=R$3,$J82&lt;=IF(param_mode_affichage="mois",EOMONTH(R$3,0),R$3+6)),"◆",""))</f>
      </c>
      <c r="S82" s="26">
        <f>IF(OR($A82="",S$3=""),"",IF(AND($J82&lt;&gt;"",$K82&lt;&gt;"",$J82=$K82,$J82&gt;=S$3,$J82&lt;=IF(param_mode_affichage="mois",EOMONTH(S$3,0),S$3+6)),"◆",""))</f>
      </c>
      <c r="T82" s="26">
        <f>IF(OR($A82="",T$3=""),"",IF(AND($J82&lt;&gt;"",$K82&lt;&gt;"",$J82=$K82,$J82&gt;=T$3,$J82&lt;=IF(param_mode_affichage="mois",EOMONTH(T$3,0),T$3+6)),"◆",""))</f>
      </c>
      <c r="U82" s="26">
        <f>IF(OR($A82="",U$3=""),"",IF(AND($J82&lt;&gt;"",$K82&lt;&gt;"",$J82=$K82,$J82&gt;=U$3,$J82&lt;=IF(param_mode_affichage="mois",EOMONTH(U$3,0),U$3+6)),"◆",""))</f>
      </c>
      <c r="V82" s="26">
        <f>IF(OR($A82="",V$3=""),"",IF(AND($J82&lt;&gt;"",$K82&lt;&gt;"",$J82=$K82,$J82&gt;=V$3,$J82&lt;=IF(param_mode_affichage="mois",EOMONTH(V$3,0),V$3+6)),"◆",""))</f>
      </c>
      <c r="W82" s="26">
        <f>IF(OR($A82="",W$3=""),"",IF(AND($J82&lt;&gt;"",$K82&lt;&gt;"",$J82=$K82,$J82&gt;=W$3,$J82&lt;=IF(param_mode_affichage="mois",EOMONTH(W$3,0),W$3+6)),"◆",""))</f>
      </c>
      <c r="X82" s="26">
        <f>IF(OR($A82="",X$3=""),"",IF(AND($J82&lt;&gt;"",$K82&lt;&gt;"",$J82=$K82,$J82&gt;=X$3,$J82&lt;=IF(param_mode_affichage="mois",EOMONTH(X$3,0),X$3+6)),"◆",""))</f>
      </c>
      <c r="Y82" s="26">
        <f>IF(OR($A82="",Y$3=""),"",IF(AND($J82&lt;&gt;"",$K82&lt;&gt;"",$J82=$K82,$J82&gt;=Y$3,$J82&lt;=IF(param_mode_affichage="mois",EOMONTH(Y$3,0),Y$3+6)),"◆",""))</f>
      </c>
      <c r="Z82" s="26">
        <f>IF(OR($A82="",Z$3=""),"",IF(AND($J82&lt;&gt;"",$K82&lt;&gt;"",$J82=$K82,$J82&gt;=Z$3,$J82&lt;=IF(param_mode_affichage="mois",EOMONTH(Z$3,0),Z$3+6)),"◆",""))</f>
      </c>
      <c r="AA82" s="26">
        <f>IF(OR($A82="",AA$3=""),"",IF(AND($J82&lt;&gt;"",$K82&lt;&gt;"",$J82=$K82,$J82&gt;=AA$3,$J82&lt;=IF(param_mode_affichage="mois",EOMONTH(AA$3,0),AA$3+6)),"◆",""))</f>
      </c>
      <c r="AB82" s="26">
        <f>IF(OR($A82="",AB$3=""),"",IF(AND($J82&lt;&gt;"",$K82&lt;&gt;"",$J82=$K82,$J82&gt;=AB$3,$J82&lt;=IF(param_mode_affichage="mois",EOMONTH(AB$3,0),AB$3+6)),"◆",""))</f>
      </c>
      <c r="AC82" s="26">
        <f>IF(OR($A82="",AC$3=""),"",IF(AND($J82&lt;&gt;"",$K82&lt;&gt;"",$J82=$K82,$J82&gt;=AC$3,$J82&lt;=IF(param_mode_affichage="mois",EOMONTH(AC$3,0),AC$3+6)),"◆",""))</f>
      </c>
      <c r="AD82" s="26">
        <f>IF(OR($A82="",AD$3=""),"",IF(AND($J82&lt;&gt;"",$K82&lt;&gt;"",$J82=$K82,$J82&gt;=AD$3,$J82&lt;=IF(param_mode_affichage="mois",EOMONTH(AD$3,0),AD$3+6)),"◆",""))</f>
      </c>
      <c r="AE82" s="26">
        <f>IF(OR($A82="",AE$3=""),"",IF(AND($J82&lt;&gt;"",$K82&lt;&gt;"",$J82=$K82,$J82&gt;=AE$3,$J82&lt;=IF(param_mode_affichage="mois",EOMONTH(AE$3,0),AE$3+6)),"◆",""))</f>
      </c>
      <c r="AF82" s="26">
        <f>IF(OR($A82="",AF$3=""),"",IF(AND($J82&lt;&gt;"",$K82&lt;&gt;"",$J82=$K82,$J82&gt;=AF$3,$J82&lt;=IF(param_mode_affichage="mois",EOMONTH(AF$3,0),AF$3+6)),"◆",""))</f>
      </c>
      <c r="AG82" s="26">
        <f>IF(OR($A82="",AG$3=""),"",IF(AND($J82&lt;&gt;"",$K82&lt;&gt;"",$J82=$K82,$J82&gt;=AG$3,$J82&lt;=IF(param_mode_affichage="mois",EOMONTH(AG$3,0),AG$3+6)),"◆",""))</f>
      </c>
      <c r="AH82" s="26">
        <f>IF(OR($A82="",AH$3=""),"",IF(AND($J82&lt;&gt;"",$K82&lt;&gt;"",$J82=$K82,$J82&gt;=AH$3,$J82&lt;=IF(param_mode_affichage="mois",EOMONTH(AH$3,0),AH$3+6)),"◆",""))</f>
      </c>
      <c r="AI82" s="26">
        <f>IF(OR($A82="",AI$3=""),"",IF(AND($J82&lt;&gt;"",$K82&lt;&gt;"",$J82=$K82,$J82&gt;=AI$3,$J82&lt;=IF(param_mode_affichage="mois",EOMONTH(AI$3,0),AI$3+6)),"◆",""))</f>
      </c>
      <c r="AJ82" s="26">
        <f>IF(OR($A82="",AJ$3=""),"",IF(AND($J82&lt;&gt;"",$K82&lt;&gt;"",$J82=$K82,$J82&gt;=AJ$3,$J82&lt;=IF(param_mode_affichage="mois",EOMONTH(AJ$3,0),AJ$3+6)),"◆",""))</f>
      </c>
      <c r="AK82" s="26">
        <f>IF(OR($A82="",AK$3=""),"",IF(AND($J82&lt;&gt;"",$K82&lt;&gt;"",$J82=$K82,$J82&gt;=AK$3,$J82&lt;=IF(param_mode_affichage="mois",EOMONTH(AK$3,0),AK$3+6)),"◆",""))</f>
      </c>
      <c r="AL82" s="26">
        <f>IF(OR($A82="",AL$3=""),"",IF(AND($J82&lt;&gt;"",$K82&lt;&gt;"",$J82=$K82,$J82&gt;=AL$3,$J82&lt;=IF(param_mode_affichage="mois",EOMONTH(AL$3,0),AL$3+6)),"◆",""))</f>
      </c>
      <c r="AM82" s="26">
        <f>IF(OR($A82="",AM$3=""),"",IF(AND($J82&lt;&gt;"",$K82&lt;&gt;"",$J82=$K82,$J82&gt;=AM$3,$J82&lt;=IF(param_mode_affichage="mois",EOMONTH(AM$3,0),AM$3+6)),"◆",""))</f>
      </c>
      <c r="AN82" s="26">
        <f>IF(OR($A82="",AN$3=""),"",IF(AND($J82&lt;&gt;"",$K82&lt;&gt;"",$J82=$K82,$J82&gt;=AN$3,$J82&lt;=IF(param_mode_affichage="mois",EOMONTH(AN$3,0),AN$3+6)),"◆",""))</f>
      </c>
      <c r="AO82" s="26">
        <f>IF(OR($A82="",AO$3=""),"",IF(AND($J82&lt;&gt;"",$K82&lt;&gt;"",$J82=$K82,$J82&gt;=AO$3,$J82&lt;=IF(param_mode_affichage="mois",EOMONTH(AO$3,0),AO$3+6)),"◆",""))</f>
      </c>
      <c r="AP82" s="26">
        <f>IF(OR($A82="",AP$3=""),"",IF(AND($J82&lt;&gt;"",$K82&lt;&gt;"",$J82=$K82,$J82&gt;=AP$3,$J82&lt;=IF(param_mode_affichage="mois",EOMONTH(AP$3,0),AP$3+6)),"◆",""))</f>
      </c>
      <c r="AQ82" s="26">
        <f>IF(OR($A82="",AQ$3=""),"",IF(AND($J82&lt;&gt;"",$K82&lt;&gt;"",$J82=$K82,$J82&gt;=AQ$3,$J82&lt;=IF(param_mode_affichage="mois",EOMONTH(AQ$3,0),AQ$3+6)),"◆",""))</f>
      </c>
      <c r="AR82" s="26">
        <f>IF(OR($A82="",AR$3=""),"",IF(AND($J82&lt;&gt;"",$K82&lt;&gt;"",$J82=$K82,$J82&gt;=AR$3,$J82&lt;=IF(param_mode_affichage="mois",EOMONTH(AR$3,0),AR$3+6)),"◆",""))</f>
      </c>
      <c r="AS82" s="26">
        <f>IF(OR($A82="",AS$3=""),"",IF(AND($J82&lt;&gt;"",$K82&lt;&gt;"",$J82=$K82,$J82&gt;=AS$3,$J82&lt;=IF(param_mode_affichage="mois",EOMONTH(AS$3,0),AS$3+6)),"◆",""))</f>
      </c>
      <c r="AT82" s="26">
        <f>IF(OR($A82="",AT$3=""),"",IF(AND($J82&lt;&gt;"",$K82&lt;&gt;"",$J82=$K82,$J82&gt;=AT$3,$J82&lt;=IF(param_mode_affichage="mois",EOMONTH(AT$3,0),AT$3+6)),"◆",""))</f>
      </c>
      <c r="AU82" s="26">
        <f>IF(OR($A82="",AU$3=""),"",IF(AND($J82&lt;&gt;"",$K82&lt;&gt;"",$J82=$K82,$J82&gt;=AU$3,$J82&lt;=IF(param_mode_affichage="mois",EOMONTH(AU$3,0),AU$3+6)),"◆",""))</f>
      </c>
      <c r="AV82" s="26">
        <f>IF(OR($A82="",AV$3=""),"",IF(AND($J82&lt;&gt;"",$K82&lt;&gt;"",$J82=$K82,$J82&gt;=AV$3,$J82&lt;=IF(param_mode_affichage="mois",EOMONTH(AV$3,0),AV$3+6)),"◆",""))</f>
      </c>
      <c r="AW82" s="26">
        <f>IF(OR($A82="",AW$3=""),"",IF(AND($J82&lt;&gt;"",$K82&lt;&gt;"",$J82=$K82,$J82&gt;=AW$3,$J82&lt;=IF(param_mode_affichage="mois",EOMONTH(AW$3,0),AW$3+6)),"◆",""))</f>
      </c>
      <c r="AX82" s="26">
        <f>IF(OR($A82="",AX$3=""),"",IF(AND($J82&lt;&gt;"",$K82&lt;&gt;"",$J82=$K82,$J82&gt;=AX$3,$J82&lt;=IF(param_mode_affichage="mois",EOMONTH(AX$3,0),AX$3+6)),"◆",""))</f>
      </c>
      <c r="AY82" s="26">
        <f>IF(OR($A82="",AY$3=""),"",IF(AND($J82&lt;&gt;"",$K82&lt;&gt;"",$J82=$K82,$J82&gt;=AY$3,$J82&lt;=IF(param_mode_affichage="mois",EOMONTH(AY$3,0),AY$3+6)),"◆",""))</f>
      </c>
      <c r="AZ82" s="26">
        <f>IF(OR($A82="",AZ$3=""),"",IF(AND($J82&lt;&gt;"",$K82&lt;&gt;"",$J82=$K82,$J82&gt;=AZ$3,$J82&lt;=IF(param_mode_affichage="mois",EOMONTH(AZ$3,0),AZ$3+6)),"◆",""))</f>
      </c>
      <c r="BA82" s="26">
        <f>IF(OR($A82="",BA$3=""),"",IF(AND($J82&lt;&gt;"",$K82&lt;&gt;"",$J82=$K82,$J82&gt;=BA$3,$J82&lt;=IF(param_mode_affichage="mois",EOMONTH(BA$3,0),BA$3+6)),"◆",""))</f>
      </c>
      <c r="BB82" s="26">
        <f>IF(OR($A82="",BB$3=""),"",IF(AND($J82&lt;&gt;"",$K82&lt;&gt;"",$J82=$K82,$J82&gt;=BB$3,$J82&lt;=IF(param_mode_affichage="mois",EOMONTH(BB$3,0),BB$3+6)),"◆",""))</f>
      </c>
      <c r="BC82" s="26">
        <f>IF(OR($A82="",BC$3=""),"",IF(AND($J82&lt;&gt;"",$K82&lt;&gt;"",$J82=$K82,$J82&gt;=BC$3,$J82&lt;=IF(param_mode_affichage="mois",EOMONTH(BC$3,0),BC$3+6)),"◆",""))</f>
      </c>
      <c r="BD82" s="26">
        <f>IF(OR($A82="",BD$3=""),"",IF(AND($J82&lt;&gt;"",$K82&lt;&gt;"",$J82=$K82,$J82&gt;=BD$3,$J82&lt;=IF(param_mode_affichage="mois",EOMONTH(BD$3,0),BD$3+6)),"◆",""))</f>
      </c>
      <c r="BE82" s="26">
        <f>IF(OR($A82="",BE$3=""),"",IF(AND($J82&lt;&gt;"",$K82&lt;&gt;"",$J82=$K82,$J82&gt;=BE$3,$J82&lt;=IF(param_mode_affichage="mois",EOMONTH(BE$3,0),BE$3+6)),"◆",""))</f>
      </c>
      <c r="BF82" s="26">
        <f>IF(OR($A82="",BF$3=""),"",IF(AND($J82&lt;&gt;"",$K82&lt;&gt;"",$J82=$K82,$J82&gt;=BF$3,$J82&lt;=IF(param_mode_affichage="mois",EOMONTH(BF$3,0),BF$3+6)),"◆",""))</f>
      </c>
      <c r="BG82" s="26">
        <f>IF(OR($A82="",BG$3=""),"",IF(AND($J82&lt;&gt;"",$K82&lt;&gt;"",$J82=$K82,$J82&gt;=BG$3,$J82&lt;=IF(param_mode_affichage="mois",EOMONTH(BG$3,0),BG$3+6)),"◆",""))</f>
      </c>
      <c r="BH82" s="26">
        <f>IF(OR($A82="",BH$3=""),"",IF(AND($J82&lt;&gt;"",$K82&lt;&gt;"",$J82=$K82,$J82&gt;=BH$3,$J82&lt;=IF(param_mode_affichage="mois",EOMONTH(BH$3,0),BH$3+6)),"◆",""))</f>
      </c>
      <c r="BI82" s="26">
        <f>IF(OR($A82="",BI$3=""),"",IF(AND($J82&lt;&gt;"",$K82&lt;&gt;"",$J82=$K82,$J82&gt;=BI$3,$J82&lt;=IF(param_mode_affichage="mois",EOMONTH(BI$3,0),BI$3+6)),"◆",""))</f>
      </c>
      <c r="BJ82" s="26">
        <f>IF(OR($A82="",BJ$3=""),"",IF(AND($J82&lt;&gt;"",$K82&lt;&gt;"",$J82=$K82,$J82&gt;=BJ$3,$J82&lt;=IF(param_mode_affichage="mois",EOMONTH(BJ$3,0),BJ$3+6)),"◆",""))</f>
      </c>
      <c r="BK82" s="26">
        <f>IF(OR($A82="",BK$3=""),"",IF(AND($J82&lt;&gt;"",$K82&lt;&gt;"",$J82=$K82,$J82&gt;=BK$3,$J82&lt;=IF(param_mode_affichage="mois",EOMONTH(BK$3,0),BK$3+6)),"◆",""))</f>
      </c>
      <c r="BL82" s="26">
        <f>IF(OR($A82="",BL$3=""),"",IF(AND($J82&lt;&gt;"",$K82&lt;&gt;"",$J82=$K82,$J82&gt;=BL$3,$J82&lt;=IF(param_mode_affichage="mois",EOMONTH(BL$3,0),BL$3+6)),"◆",""))</f>
      </c>
    </row>
    <row r="83" spans="1:64" x14ac:dyDescent="0.25">
      <c r="A83" s="23">
        <f>IFERROR(INDEX(tblTasks[ID],ROW()-4),"")</f>
      </c>
      <c r="B83" s="24">
        <f>IF($A83="","",INDEX(tblTasks[Sujet],ROW()-4))</f>
      </c>
      <c r="C83" s="23">
        <f>IF($A83="","",INDEX(tblTasks[Responsable],ROW()-4))</f>
      </c>
      <c r="D83" s="23">
        <f>IF($A83="","",INDEX(tblTasks[Statut],ROW()-4))</f>
      </c>
      <c r="E83" s="23">
        <f>IF($A83="","",INDEX(tblTasks[Depend_de],ROW()-4))</f>
      </c>
      <c r="F83" s="23">
        <f>IF($A83="","",INDEX(tblTasks[Blocage],ROW()-4))</f>
      </c>
      <c r="G83" s="23">
        <f>IF($A83="","",INDEX(tblTasks[Niveau_criticite],ROW()-4))</f>
      </c>
      <c r="H83" s="23">
        <f>IF($A83="","",INDEX(tblTasks[Goulot],ROW()-4))</f>
      </c>
      <c r="I83" s="23">
        <f>IF($A83="","",IF(LOWER($F83)="oui","non",IF($E83="","oui",IFERROR(IF(LOWER(INDEX(tblTasks[Statut],MATCH($E83,tblTasks[ID],0)))="clos","oui","non"),"non"))))</f>
      </c>
      <c r="J83" s="25">
        <f>IF($A83="","",INDEX(tblTasks[Date_debut_prevue],ROW()-4))</f>
      </c>
      <c r="K83" s="25">
        <f>IF($A83="","",INDEX(tblTasks[Date_fin_prevue],ROW()-4))</f>
      </c>
      <c r="L83" s="23">
        <f>IF($A83="","",INDEX(tblTasks[Irreversibilite],ROW()-4))</f>
      </c>
      <c r="M83" s="26">
        <f>IF(OR($A83="",M$3=""),"",IF(AND($J83&lt;&gt;"",$K83&lt;&gt;"",$J83=$K83,$J83&gt;=M$3,$J83&lt;=IF(param_mode_affichage="mois",EOMONTH(M$3,0),M$3+6)),"◆",""))</f>
      </c>
      <c r="N83" s="26">
        <f>IF(OR($A83="",N$3=""),"",IF(AND($J83&lt;&gt;"",$K83&lt;&gt;"",$J83=$K83,$J83&gt;=N$3,$J83&lt;=IF(param_mode_affichage="mois",EOMONTH(N$3,0),N$3+6)),"◆",""))</f>
      </c>
      <c r="O83" s="26">
        <f>IF(OR($A83="",O$3=""),"",IF(AND($J83&lt;&gt;"",$K83&lt;&gt;"",$J83=$K83,$J83&gt;=O$3,$J83&lt;=IF(param_mode_affichage="mois",EOMONTH(O$3,0),O$3+6)),"◆",""))</f>
      </c>
      <c r="P83" s="26">
        <f>IF(OR($A83="",P$3=""),"",IF(AND($J83&lt;&gt;"",$K83&lt;&gt;"",$J83=$K83,$J83&gt;=P$3,$J83&lt;=IF(param_mode_affichage="mois",EOMONTH(P$3,0),P$3+6)),"◆",""))</f>
      </c>
      <c r="Q83" s="26">
        <f>IF(OR($A83="",Q$3=""),"",IF(AND($J83&lt;&gt;"",$K83&lt;&gt;"",$J83=$K83,$J83&gt;=Q$3,$J83&lt;=IF(param_mode_affichage="mois",EOMONTH(Q$3,0),Q$3+6)),"◆",""))</f>
      </c>
      <c r="R83" s="26">
        <f>IF(OR($A83="",R$3=""),"",IF(AND($J83&lt;&gt;"",$K83&lt;&gt;"",$J83=$K83,$J83&gt;=R$3,$J83&lt;=IF(param_mode_affichage="mois",EOMONTH(R$3,0),R$3+6)),"◆",""))</f>
      </c>
      <c r="S83" s="26">
        <f>IF(OR($A83="",S$3=""),"",IF(AND($J83&lt;&gt;"",$K83&lt;&gt;"",$J83=$K83,$J83&gt;=S$3,$J83&lt;=IF(param_mode_affichage="mois",EOMONTH(S$3,0),S$3+6)),"◆",""))</f>
      </c>
      <c r="T83" s="26">
        <f>IF(OR($A83="",T$3=""),"",IF(AND($J83&lt;&gt;"",$K83&lt;&gt;"",$J83=$K83,$J83&gt;=T$3,$J83&lt;=IF(param_mode_affichage="mois",EOMONTH(T$3,0),T$3+6)),"◆",""))</f>
      </c>
      <c r="U83" s="26">
        <f>IF(OR($A83="",U$3=""),"",IF(AND($J83&lt;&gt;"",$K83&lt;&gt;"",$J83=$K83,$J83&gt;=U$3,$J83&lt;=IF(param_mode_affichage="mois",EOMONTH(U$3,0),U$3+6)),"◆",""))</f>
      </c>
      <c r="V83" s="26">
        <f>IF(OR($A83="",V$3=""),"",IF(AND($J83&lt;&gt;"",$K83&lt;&gt;"",$J83=$K83,$J83&gt;=V$3,$J83&lt;=IF(param_mode_affichage="mois",EOMONTH(V$3,0),V$3+6)),"◆",""))</f>
      </c>
      <c r="W83" s="26">
        <f>IF(OR($A83="",W$3=""),"",IF(AND($J83&lt;&gt;"",$K83&lt;&gt;"",$J83=$K83,$J83&gt;=W$3,$J83&lt;=IF(param_mode_affichage="mois",EOMONTH(W$3,0),W$3+6)),"◆",""))</f>
      </c>
      <c r="X83" s="26">
        <f>IF(OR($A83="",X$3=""),"",IF(AND($J83&lt;&gt;"",$K83&lt;&gt;"",$J83=$K83,$J83&gt;=X$3,$J83&lt;=IF(param_mode_affichage="mois",EOMONTH(X$3,0),X$3+6)),"◆",""))</f>
      </c>
      <c r="Y83" s="26">
        <f>IF(OR($A83="",Y$3=""),"",IF(AND($J83&lt;&gt;"",$K83&lt;&gt;"",$J83=$K83,$J83&gt;=Y$3,$J83&lt;=IF(param_mode_affichage="mois",EOMONTH(Y$3,0),Y$3+6)),"◆",""))</f>
      </c>
      <c r="Z83" s="26">
        <f>IF(OR($A83="",Z$3=""),"",IF(AND($J83&lt;&gt;"",$K83&lt;&gt;"",$J83=$K83,$J83&gt;=Z$3,$J83&lt;=IF(param_mode_affichage="mois",EOMONTH(Z$3,0),Z$3+6)),"◆",""))</f>
      </c>
      <c r="AA83" s="26">
        <f>IF(OR($A83="",AA$3=""),"",IF(AND($J83&lt;&gt;"",$K83&lt;&gt;"",$J83=$K83,$J83&gt;=AA$3,$J83&lt;=IF(param_mode_affichage="mois",EOMONTH(AA$3,0),AA$3+6)),"◆",""))</f>
      </c>
      <c r="AB83" s="26">
        <f>IF(OR($A83="",AB$3=""),"",IF(AND($J83&lt;&gt;"",$K83&lt;&gt;"",$J83=$K83,$J83&gt;=AB$3,$J83&lt;=IF(param_mode_affichage="mois",EOMONTH(AB$3,0),AB$3+6)),"◆",""))</f>
      </c>
      <c r="AC83" s="26">
        <f>IF(OR($A83="",AC$3=""),"",IF(AND($J83&lt;&gt;"",$K83&lt;&gt;"",$J83=$K83,$J83&gt;=AC$3,$J83&lt;=IF(param_mode_affichage="mois",EOMONTH(AC$3,0),AC$3+6)),"◆",""))</f>
      </c>
      <c r="AD83" s="26">
        <f>IF(OR($A83="",AD$3=""),"",IF(AND($J83&lt;&gt;"",$K83&lt;&gt;"",$J83=$K83,$J83&gt;=AD$3,$J83&lt;=IF(param_mode_affichage="mois",EOMONTH(AD$3,0),AD$3+6)),"◆",""))</f>
      </c>
      <c r="AE83" s="26">
        <f>IF(OR($A83="",AE$3=""),"",IF(AND($J83&lt;&gt;"",$K83&lt;&gt;"",$J83=$K83,$J83&gt;=AE$3,$J83&lt;=IF(param_mode_affichage="mois",EOMONTH(AE$3,0),AE$3+6)),"◆",""))</f>
      </c>
      <c r="AF83" s="26">
        <f>IF(OR($A83="",AF$3=""),"",IF(AND($J83&lt;&gt;"",$K83&lt;&gt;"",$J83=$K83,$J83&gt;=AF$3,$J83&lt;=IF(param_mode_affichage="mois",EOMONTH(AF$3,0),AF$3+6)),"◆",""))</f>
      </c>
      <c r="AG83" s="26">
        <f>IF(OR($A83="",AG$3=""),"",IF(AND($J83&lt;&gt;"",$K83&lt;&gt;"",$J83=$K83,$J83&gt;=AG$3,$J83&lt;=IF(param_mode_affichage="mois",EOMONTH(AG$3,0),AG$3+6)),"◆",""))</f>
      </c>
      <c r="AH83" s="26">
        <f>IF(OR($A83="",AH$3=""),"",IF(AND($J83&lt;&gt;"",$K83&lt;&gt;"",$J83=$K83,$J83&gt;=AH$3,$J83&lt;=IF(param_mode_affichage="mois",EOMONTH(AH$3,0),AH$3+6)),"◆",""))</f>
      </c>
      <c r="AI83" s="26">
        <f>IF(OR($A83="",AI$3=""),"",IF(AND($J83&lt;&gt;"",$K83&lt;&gt;"",$J83=$K83,$J83&gt;=AI$3,$J83&lt;=IF(param_mode_affichage="mois",EOMONTH(AI$3,0),AI$3+6)),"◆",""))</f>
      </c>
      <c r="AJ83" s="26">
        <f>IF(OR($A83="",AJ$3=""),"",IF(AND($J83&lt;&gt;"",$K83&lt;&gt;"",$J83=$K83,$J83&gt;=AJ$3,$J83&lt;=IF(param_mode_affichage="mois",EOMONTH(AJ$3,0),AJ$3+6)),"◆",""))</f>
      </c>
      <c r="AK83" s="26">
        <f>IF(OR($A83="",AK$3=""),"",IF(AND($J83&lt;&gt;"",$K83&lt;&gt;"",$J83=$K83,$J83&gt;=AK$3,$J83&lt;=IF(param_mode_affichage="mois",EOMONTH(AK$3,0),AK$3+6)),"◆",""))</f>
      </c>
      <c r="AL83" s="26">
        <f>IF(OR($A83="",AL$3=""),"",IF(AND($J83&lt;&gt;"",$K83&lt;&gt;"",$J83=$K83,$J83&gt;=AL$3,$J83&lt;=IF(param_mode_affichage="mois",EOMONTH(AL$3,0),AL$3+6)),"◆",""))</f>
      </c>
      <c r="AM83" s="26">
        <f>IF(OR($A83="",AM$3=""),"",IF(AND($J83&lt;&gt;"",$K83&lt;&gt;"",$J83=$K83,$J83&gt;=AM$3,$J83&lt;=IF(param_mode_affichage="mois",EOMONTH(AM$3,0),AM$3+6)),"◆",""))</f>
      </c>
      <c r="AN83" s="26">
        <f>IF(OR($A83="",AN$3=""),"",IF(AND($J83&lt;&gt;"",$K83&lt;&gt;"",$J83=$K83,$J83&gt;=AN$3,$J83&lt;=IF(param_mode_affichage="mois",EOMONTH(AN$3,0),AN$3+6)),"◆",""))</f>
      </c>
      <c r="AO83" s="26">
        <f>IF(OR($A83="",AO$3=""),"",IF(AND($J83&lt;&gt;"",$K83&lt;&gt;"",$J83=$K83,$J83&gt;=AO$3,$J83&lt;=IF(param_mode_affichage="mois",EOMONTH(AO$3,0),AO$3+6)),"◆",""))</f>
      </c>
      <c r="AP83" s="26">
        <f>IF(OR($A83="",AP$3=""),"",IF(AND($J83&lt;&gt;"",$K83&lt;&gt;"",$J83=$K83,$J83&gt;=AP$3,$J83&lt;=IF(param_mode_affichage="mois",EOMONTH(AP$3,0),AP$3+6)),"◆",""))</f>
      </c>
      <c r="AQ83" s="26">
        <f>IF(OR($A83="",AQ$3=""),"",IF(AND($J83&lt;&gt;"",$K83&lt;&gt;"",$J83=$K83,$J83&gt;=AQ$3,$J83&lt;=IF(param_mode_affichage="mois",EOMONTH(AQ$3,0),AQ$3+6)),"◆",""))</f>
      </c>
      <c r="AR83" s="26">
        <f>IF(OR($A83="",AR$3=""),"",IF(AND($J83&lt;&gt;"",$K83&lt;&gt;"",$J83=$K83,$J83&gt;=AR$3,$J83&lt;=IF(param_mode_affichage="mois",EOMONTH(AR$3,0),AR$3+6)),"◆",""))</f>
      </c>
      <c r="AS83" s="26">
        <f>IF(OR($A83="",AS$3=""),"",IF(AND($J83&lt;&gt;"",$K83&lt;&gt;"",$J83=$K83,$J83&gt;=AS$3,$J83&lt;=IF(param_mode_affichage="mois",EOMONTH(AS$3,0),AS$3+6)),"◆",""))</f>
      </c>
      <c r="AT83" s="26">
        <f>IF(OR($A83="",AT$3=""),"",IF(AND($J83&lt;&gt;"",$K83&lt;&gt;"",$J83=$K83,$J83&gt;=AT$3,$J83&lt;=IF(param_mode_affichage="mois",EOMONTH(AT$3,0),AT$3+6)),"◆",""))</f>
      </c>
      <c r="AU83" s="26">
        <f>IF(OR($A83="",AU$3=""),"",IF(AND($J83&lt;&gt;"",$K83&lt;&gt;"",$J83=$K83,$J83&gt;=AU$3,$J83&lt;=IF(param_mode_affichage="mois",EOMONTH(AU$3,0),AU$3+6)),"◆",""))</f>
      </c>
      <c r="AV83" s="26">
        <f>IF(OR($A83="",AV$3=""),"",IF(AND($J83&lt;&gt;"",$K83&lt;&gt;"",$J83=$K83,$J83&gt;=AV$3,$J83&lt;=IF(param_mode_affichage="mois",EOMONTH(AV$3,0),AV$3+6)),"◆",""))</f>
      </c>
      <c r="AW83" s="26">
        <f>IF(OR($A83="",AW$3=""),"",IF(AND($J83&lt;&gt;"",$K83&lt;&gt;"",$J83=$K83,$J83&gt;=AW$3,$J83&lt;=IF(param_mode_affichage="mois",EOMONTH(AW$3,0),AW$3+6)),"◆",""))</f>
      </c>
      <c r="AX83" s="26">
        <f>IF(OR($A83="",AX$3=""),"",IF(AND($J83&lt;&gt;"",$K83&lt;&gt;"",$J83=$K83,$J83&gt;=AX$3,$J83&lt;=IF(param_mode_affichage="mois",EOMONTH(AX$3,0),AX$3+6)),"◆",""))</f>
      </c>
      <c r="AY83" s="26">
        <f>IF(OR($A83="",AY$3=""),"",IF(AND($J83&lt;&gt;"",$K83&lt;&gt;"",$J83=$K83,$J83&gt;=AY$3,$J83&lt;=IF(param_mode_affichage="mois",EOMONTH(AY$3,0),AY$3+6)),"◆",""))</f>
      </c>
      <c r="AZ83" s="26">
        <f>IF(OR($A83="",AZ$3=""),"",IF(AND($J83&lt;&gt;"",$K83&lt;&gt;"",$J83=$K83,$J83&gt;=AZ$3,$J83&lt;=IF(param_mode_affichage="mois",EOMONTH(AZ$3,0),AZ$3+6)),"◆",""))</f>
      </c>
      <c r="BA83" s="26">
        <f>IF(OR($A83="",BA$3=""),"",IF(AND($J83&lt;&gt;"",$K83&lt;&gt;"",$J83=$K83,$J83&gt;=BA$3,$J83&lt;=IF(param_mode_affichage="mois",EOMONTH(BA$3,0),BA$3+6)),"◆",""))</f>
      </c>
      <c r="BB83" s="26">
        <f>IF(OR($A83="",BB$3=""),"",IF(AND($J83&lt;&gt;"",$K83&lt;&gt;"",$J83=$K83,$J83&gt;=BB$3,$J83&lt;=IF(param_mode_affichage="mois",EOMONTH(BB$3,0),BB$3+6)),"◆",""))</f>
      </c>
      <c r="BC83" s="26">
        <f>IF(OR($A83="",BC$3=""),"",IF(AND($J83&lt;&gt;"",$K83&lt;&gt;"",$J83=$K83,$J83&gt;=BC$3,$J83&lt;=IF(param_mode_affichage="mois",EOMONTH(BC$3,0),BC$3+6)),"◆",""))</f>
      </c>
      <c r="BD83" s="26">
        <f>IF(OR($A83="",BD$3=""),"",IF(AND($J83&lt;&gt;"",$K83&lt;&gt;"",$J83=$K83,$J83&gt;=BD$3,$J83&lt;=IF(param_mode_affichage="mois",EOMONTH(BD$3,0),BD$3+6)),"◆",""))</f>
      </c>
      <c r="BE83" s="26">
        <f>IF(OR($A83="",BE$3=""),"",IF(AND($J83&lt;&gt;"",$K83&lt;&gt;"",$J83=$K83,$J83&gt;=BE$3,$J83&lt;=IF(param_mode_affichage="mois",EOMONTH(BE$3,0),BE$3+6)),"◆",""))</f>
      </c>
      <c r="BF83" s="26">
        <f>IF(OR($A83="",BF$3=""),"",IF(AND($J83&lt;&gt;"",$K83&lt;&gt;"",$J83=$K83,$J83&gt;=BF$3,$J83&lt;=IF(param_mode_affichage="mois",EOMONTH(BF$3,0),BF$3+6)),"◆",""))</f>
      </c>
      <c r="BG83" s="26">
        <f>IF(OR($A83="",BG$3=""),"",IF(AND($J83&lt;&gt;"",$K83&lt;&gt;"",$J83=$K83,$J83&gt;=BG$3,$J83&lt;=IF(param_mode_affichage="mois",EOMONTH(BG$3,0),BG$3+6)),"◆",""))</f>
      </c>
      <c r="BH83" s="26">
        <f>IF(OR($A83="",BH$3=""),"",IF(AND($J83&lt;&gt;"",$K83&lt;&gt;"",$J83=$K83,$J83&gt;=BH$3,$J83&lt;=IF(param_mode_affichage="mois",EOMONTH(BH$3,0),BH$3+6)),"◆",""))</f>
      </c>
      <c r="BI83" s="26">
        <f>IF(OR($A83="",BI$3=""),"",IF(AND($J83&lt;&gt;"",$K83&lt;&gt;"",$J83=$K83,$J83&gt;=BI$3,$J83&lt;=IF(param_mode_affichage="mois",EOMONTH(BI$3,0),BI$3+6)),"◆",""))</f>
      </c>
      <c r="BJ83" s="26">
        <f>IF(OR($A83="",BJ$3=""),"",IF(AND($J83&lt;&gt;"",$K83&lt;&gt;"",$J83=$K83,$J83&gt;=BJ$3,$J83&lt;=IF(param_mode_affichage="mois",EOMONTH(BJ$3,0),BJ$3+6)),"◆",""))</f>
      </c>
      <c r="BK83" s="26">
        <f>IF(OR($A83="",BK$3=""),"",IF(AND($J83&lt;&gt;"",$K83&lt;&gt;"",$J83=$K83,$J83&gt;=BK$3,$J83&lt;=IF(param_mode_affichage="mois",EOMONTH(BK$3,0),BK$3+6)),"◆",""))</f>
      </c>
      <c r="BL83" s="26">
        <f>IF(OR($A83="",BL$3=""),"",IF(AND($J83&lt;&gt;"",$K83&lt;&gt;"",$J83=$K83,$J83&gt;=BL$3,$J83&lt;=IF(param_mode_affichage="mois",EOMONTH(BL$3,0),BL$3+6)),"◆",""))</f>
      </c>
    </row>
    <row r="84" spans="1:64" x14ac:dyDescent="0.25">
      <c r="A84" s="23">
        <f>IFERROR(INDEX(tblTasks[ID],ROW()-4),"")</f>
      </c>
      <c r="B84" s="24">
        <f>IF($A84="","",INDEX(tblTasks[Sujet],ROW()-4))</f>
      </c>
      <c r="C84" s="23">
        <f>IF($A84="","",INDEX(tblTasks[Responsable],ROW()-4))</f>
      </c>
      <c r="D84" s="23">
        <f>IF($A84="","",INDEX(tblTasks[Statut],ROW()-4))</f>
      </c>
      <c r="E84" s="23">
        <f>IF($A84="","",INDEX(tblTasks[Depend_de],ROW()-4))</f>
      </c>
      <c r="F84" s="23">
        <f>IF($A84="","",INDEX(tblTasks[Blocage],ROW()-4))</f>
      </c>
      <c r="G84" s="23">
        <f>IF($A84="","",INDEX(tblTasks[Niveau_criticite],ROW()-4))</f>
      </c>
      <c r="H84" s="23">
        <f>IF($A84="","",INDEX(tblTasks[Goulot],ROW()-4))</f>
      </c>
      <c r="I84" s="23">
        <f>IF($A84="","",IF(LOWER($F84)="oui","non",IF($E84="","oui",IFERROR(IF(LOWER(INDEX(tblTasks[Statut],MATCH($E84,tblTasks[ID],0)))="clos","oui","non"),"non"))))</f>
      </c>
      <c r="J84" s="25">
        <f>IF($A84="","",INDEX(tblTasks[Date_debut_prevue],ROW()-4))</f>
      </c>
      <c r="K84" s="25">
        <f>IF($A84="","",INDEX(tblTasks[Date_fin_prevue],ROW()-4))</f>
      </c>
      <c r="L84" s="23">
        <f>IF($A84="","",INDEX(tblTasks[Irreversibilite],ROW()-4))</f>
      </c>
      <c r="M84" s="26">
        <f>IF(OR($A84="",M$3=""),"",IF(AND($J84&lt;&gt;"",$K84&lt;&gt;"",$J84=$K84,$J84&gt;=M$3,$J84&lt;=IF(param_mode_affichage="mois",EOMONTH(M$3,0),M$3+6)),"◆",""))</f>
      </c>
      <c r="N84" s="26">
        <f>IF(OR($A84="",N$3=""),"",IF(AND($J84&lt;&gt;"",$K84&lt;&gt;"",$J84=$K84,$J84&gt;=N$3,$J84&lt;=IF(param_mode_affichage="mois",EOMONTH(N$3,0),N$3+6)),"◆",""))</f>
      </c>
      <c r="O84" s="26">
        <f>IF(OR($A84="",O$3=""),"",IF(AND($J84&lt;&gt;"",$K84&lt;&gt;"",$J84=$K84,$J84&gt;=O$3,$J84&lt;=IF(param_mode_affichage="mois",EOMONTH(O$3,0),O$3+6)),"◆",""))</f>
      </c>
      <c r="P84" s="26">
        <f>IF(OR($A84="",P$3=""),"",IF(AND($J84&lt;&gt;"",$K84&lt;&gt;"",$J84=$K84,$J84&gt;=P$3,$J84&lt;=IF(param_mode_affichage="mois",EOMONTH(P$3,0),P$3+6)),"◆",""))</f>
      </c>
      <c r="Q84" s="26">
        <f>IF(OR($A84="",Q$3=""),"",IF(AND($J84&lt;&gt;"",$K84&lt;&gt;"",$J84=$K84,$J84&gt;=Q$3,$J84&lt;=IF(param_mode_affichage="mois",EOMONTH(Q$3,0),Q$3+6)),"◆",""))</f>
      </c>
      <c r="R84" s="26">
        <f>IF(OR($A84="",R$3=""),"",IF(AND($J84&lt;&gt;"",$K84&lt;&gt;"",$J84=$K84,$J84&gt;=R$3,$J84&lt;=IF(param_mode_affichage="mois",EOMONTH(R$3,0),R$3+6)),"◆",""))</f>
      </c>
      <c r="S84" s="26">
        <f>IF(OR($A84="",S$3=""),"",IF(AND($J84&lt;&gt;"",$K84&lt;&gt;"",$J84=$K84,$J84&gt;=S$3,$J84&lt;=IF(param_mode_affichage="mois",EOMONTH(S$3,0),S$3+6)),"◆",""))</f>
      </c>
      <c r="T84" s="26">
        <f>IF(OR($A84="",T$3=""),"",IF(AND($J84&lt;&gt;"",$K84&lt;&gt;"",$J84=$K84,$J84&gt;=T$3,$J84&lt;=IF(param_mode_affichage="mois",EOMONTH(T$3,0),T$3+6)),"◆",""))</f>
      </c>
      <c r="U84" s="26">
        <f>IF(OR($A84="",U$3=""),"",IF(AND($J84&lt;&gt;"",$K84&lt;&gt;"",$J84=$K84,$J84&gt;=U$3,$J84&lt;=IF(param_mode_affichage="mois",EOMONTH(U$3,0),U$3+6)),"◆",""))</f>
      </c>
      <c r="V84" s="26">
        <f>IF(OR($A84="",V$3=""),"",IF(AND($J84&lt;&gt;"",$K84&lt;&gt;"",$J84=$K84,$J84&gt;=V$3,$J84&lt;=IF(param_mode_affichage="mois",EOMONTH(V$3,0),V$3+6)),"◆",""))</f>
      </c>
      <c r="W84" s="26">
        <f>IF(OR($A84="",W$3=""),"",IF(AND($J84&lt;&gt;"",$K84&lt;&gt;"",$J84=$K84,$J84&gt;=W$3,$J84&lt;=IF(param_mode_affichage="mois",EOMONTH(W$3,0),W$3+6)),"◆",""))</f>
      </c>
      <c r="X84" s="26">
        <f>IF(OR($A84="",X$3=""),"",IF(AND($J84&lt;&gt;"",$K84&lt;&gt;"",$J84=$K84,$J84&gt;=X$3,$J84&lt;=IF(param_mode_affichage="mois",EOMONTH(X$3,0),X$3+6)),"◆",""))</f>
      </c>
      <c r="Y84" s="26">
        <f>IF(OR($A84="",Y$3=""),"",IF(AND($J84&lt;&gt;"",$K84&lt;&gt;"",$J84=$K84,$J84&gt;=Y$3,$J84&lt;=IF(param_mode_affichage="mois",EOMONTH(Y$3,0),Y$3+6)),"◆",""))</f>
      </c>
      <c r="Z84" s="26">
        <f>IF(OR($A84="",Z$3=""),"",IF(AND($J84&lt;&gt;"",$K84&lt;&gt;"",$J84=$K84,$J84&gt;=Z$3,$J84&lt;=IF(param_mode_affichage="mois",EOMONTH(Z$3,0),Z$3+6)),"◆",""))</f>
      </c>
      <c r="AA84" s="26">
        <f>IF(OR($A84="",AA$3=""),"",IF(AND($J84&lt;&gt;"",$K84&lt;&gt;"",$J84=$K84,$J84&gt;=AA$3,$J84&lt;=IF(param_mode_affichage="mois",EOMONTH(AA$3,0),AA$3+6)),"◆",""))</f>
      </c>
      <c r="AB84" s="26">
        <f>IF(OR($A84="",AB$3=""),"",IF(AND($J84&lt;&gt;"",$K84&lt;&gt;"",$J84=$K84,$J84&gt;=AB$3,$J84&lt;=IF(param_mode_affichage="mois",EOMONTH(AB$3,0),AB$3+6)),"◆",""))</f>
      </c>
      <c r="AC84" s="26">
        <f>IF(OR($A84="",AC$3=""),"",IF(AND($J84&lt;&gt;"",$K84&lt;&gt;"",$J84=$K84,$J84&gt;=AC$3,$J84&lt;=IF(param_mode_affichage="mois",EOMONTH(AC$3,0),AC$3+6)),"◆",""))</f>
      </c>
      <c r="AD84" s="26">
        <f>IF(OR($A84="",AD$3=""),"",IF(AND($J84&lt;&gt;"",$K84&lt;&gt;"",$J84=$K84,$J84&gt;=AD$3,$J84&lt;=IF(param_mode_affichage="mois",EOMONTH(AD$3,0),AD$3+6)),"◆",""))</f>
      </c>
      <c r="AE84" s="26">
        <f>IF(OR($A84="",AE$3=""),"",IF(AND($J84&lt;&gt;"",$K84&lt;&gt;"",$J84=$K84,$J84&gt;=AE$3,$J84&lt;=IF(param_mode_affichage="mois",EOMONTH(AE$3,0),AE$3+6)),"◆",""))</f>
      </c>
      <c r="AF84" s="26">
        <f>IF(OR($A84="",AF$3=""),"",IF(AND($J84&lt;&gt;"",$K84&lt;&gt;"",$J84=$K84,$J84&gt;=AF$3,$J84&lt;=IF(param_mode_affichage="mois",EOMONTH(AF$3,0),AF$3+6)),"◆",""))</f>
      </c>
      <c r="AG84" s="26">
        <f>IF(OR($A84="",AG$3=""),"",IF(AND($J84&lt;&gt;"",$K84&lt;&gt;"",$J84=$K84,$J84&gt;=AG$3,$J84&lt;=IF(param_mode_affichage="mois",EOMONTH(AG$3,0),AG$3+6)),"◆",""))</f>
      </c>
      <c r="AH84" s="26">
        <f>IF(OR($A84="",AH$3=""),"",IF(AND($J84&lt;&gt;"",$K84&lt;&gt;"",$J84=$K84,$J84&gt;=AH$3,$J84&lt;=IF(param_mode_affichage="mois",EOMONTH(AH$3,0),AH$3+6)),"◆",""))</f>
      </c>
      <c r="AI84" s="26">
        <f>IF(OR($A84="",AI$3=""),"",IF(AND($J84&lt;&gt;"",$K84&lt;&gt;"",$J84=$K84,$J84&gt;=AI$3,$J84&lt;=IF(param_mode_affichage="mois",EOMONTH(AI$3,0),AI$3+6)),"◆",""))</f>
      </c>
      <c r="AJ84" s="26">
        <f>IF(OR($A84="",AJ$3=""),"",IF(AND($J84&lt;&gt;"",$K84&lt;&gt;"",$J84=$K84,$J84&gt;=AJ$3,$J84&lt;=IF(param_mode_affichage="mois",EOMONTH(AJ$3,0),AJ$3+6)),"◆",""))</f>
      </c>
      <c r="AK84" s="26">
        <f>IF(OR($A84="",AK$3=""),"",IF(AND($J84&lt;&gt;"",$K84&lt;&gt;"",$J84=$K84,$J84&gt;=AK$3,$J84&lt;=IF(param_mode_affichage="mois",EOMONTH(AK$3,0),AK$3+6)),"◆",""))</f>
      </c>
      <c r="AL84" s="26">
        <f>IF(OR($A84="",AL$3=""),"",IF(AND($J84&lt;&gt;"",$K84&lt;&gt;"",$J84=$K84,$J84&gt;=AL$3,$J84&lt;=IF(param_mode_affichage="mois",EOMONTH(AL$3,0),AL$3+6)),"◆",""))</f>
      </c>
      <c r="AM84" s="26">
        <f>IF(OR($A84="",AM$3=""),"",IF(AND($J84&lt;&gt;"",$K84&lt;&gt;"",$J84=$K84,$J84&gt;=AM$3,$J84&lt;=IF(param_mode_affichage="mois",EOMONTH(AM$3,0),AM$3+6)),"◆",""))</f>
      </c>
      <c r="AN84" s="26">
        <f>IF(OR($A84="",AN$3=""),"",IF(AND($J84&lt;&gt;"",$K84&lt;&gt;"",$J84=$K84,$J84&gt;=AN$3,$J84&lt;=IF(param_mode_affichage="mois",EOMONTH(AN$3,0),AN$3+6)),"◆",""))</f>
      </c>
      <c r="AO84" s="26">
        <f>IF(OR($A84="",AO$3=""),"",IF(AND($J84&lt;&gt;"",$K84&lt;&gt;"",$J84=$K84,$J84&gt;=AO$3,$J84&lt;=IF(param_mode_affichage="mois",EOMONTH(AO$3,0),AO$3+6)),"◆",""))</f>
      </c>
      <c r="AP84" s="26">
        <f>IF(OR($A84="",AP$3=""),"",IF(AND($J84&lt;&gt;"",$K84&lt;&gt;"",$J84=$K84,$J84&gt;=AP$3,$J84&lt;=IF(param_mode_affichage="mois",EOMONTH(AP$3,0),AP$3+6)),"◆",""))</f>
      </c>
      <c r="AQ84" s="26">
        <f>IF(OR($A84="",AQ$3=""),"",IF(AND($J84&lt;&gt;"",$K84&lt;&gt;"",$J84=$K84,$J84&gt;=AQ$3,$J84&lt;=IF(param_mode_affichage="mois",EOMONTH(AQ$3,0),AQ$3+6)),"◆",""))</f>
      </c>
      <c r="AR84" s="26">
        <f>IF(OR($A84="",AR$3=""),"",IF(AND($J84&lt;&gt;"",$K84&lt;&gt;"",$J84=$K84,$J84&gt;=AR$3,$J84&lt;=IF(param_mode_affichage="mois",EOMONTH(AR$3,0),AR$3+6)),"◆",""))</f>
      </c>
      <c r="AS84" s="26">
        <f>IF(OR($A84="",AS$3=""),"",IF(AND($J84&lt;&gt;"",$K84&lt;&gt;"",$J84=$K84,$J84&gt;=AS$3,$J84&lt;=IF(param_mode_affichage="mois",EOMONTH(AS$3,0),AS$3+6)),"◆",""))</f>
      </c>
      <c r="AT84" s="26">
        <f>IF(OR($A84="",AT$3=""),"",IF(AND($J84&lt;&gt;"",$K84&lt;&gt;"",$J84=$K84,$J84&gt;=AT$3,$J84&lt;=IF(param_mode_affichage="mois",EOMONTH(AT$3,0),AT$3+6)),"◆",""))</f>
      </c>
      <c r="AU84" s="26">
        <f>IF(OR($A84="",AU$3=""),"",IF(AND($J84&lt;&gt;"",$K84&lt;&gt;"",$J84=$K84,$J84&gt;=AU$3,$J84&lt;=IF(param_mode_affichage="mois",EOMONTH(AU$3,0),AU$3+6)),"◆",""))</f>
      </c>
      <c r="AV84" s="26">
        <f>IF(OR($A84="",AV$3=""),"",IF(AND($J84&lt;&gt;"",$K84&lt;&gt;"",$J84=$K84,$J84&gt;=AV$3,$J84&lt;=IF(param_mode_affichage="mois",EOMONTH(AV$3,0),AV$3+6)),"◆",""))</f>
      </c>
      <c r="AW84" s="26">
        <f>IF(OR($A84="",AW$3=""),"",IF(AND($J84&lt;&gt;"",$K84&lt;&gt;"",$J84=$K84,$J84&gt;=AW$3,$J84&lt;=IF(param_mode_affichage="mois",EOMONTH(AW$3,0),AW$3+6)),"◆",""))</f>
      </c>
      <c r="AX84" s="26">
        <f>IF(OR($A84="",AX$3=""),"",IF(AND($J84&lt;&gt;"",$K84&lt;&gt;"",$J84=$K84,$J84&gt;=AX$3,$J84&lt;=IF(param_mode_affichage="mois",EOMONTH(AX$3,0),AX$3+6)),"◆",""))</f>
      </c>
      <c r="AY84" s="26">
        <f>IF(OR($A84="",AY$3=""),"",IF(AND($J84&lt;&gt;"",$K84&lt;&gt;"",$J84=$K84,$J84&gt;=AY$3,$J84&lt;=IF(param_mode_affichage="mois",EOMONTH(AY$3,0),AY$3+6)),"◆",""))</f>
      </c>
      <c r="AZ84" s="26">
        <f>IF(OR($A84="",AZ$3=""),"",IF(AND($J84&lt;&gt;"",$K84&lt;&gt;"",$J84=$K84,$J84&gt;=AZ$3,$J84&lt;=IF(param_mode_affichage="mois",EOMONTH(AZ$3,0),AZ$3+6)),"◆",""))</f>
      </c>
      <c r="BA84" s="26">
        <f>IF(OR($A84="",BA$3=""),"",IF(AND($J84&lt;&gt;"",$K84&lt;&gt;"",$J84=$K84,$J84&gt;=BA$3,$J84&lt;=IF(param_mode_affichage="mois",EOMONTH(BA$3,0),BA$3+6)),"◆",""))</f>
      </c>
      <c r="BB84" s="26">
        <f>IF(OR($A84="",BB$3=""),"",IF(AND($J84&lt;&gt;"",$K84&lt;&gt;"",$J84=$K84,$J84&gt;=BB$3,$J84&lt;=IF(param_mode_affichage="mois",EOMONTH(BB$3,0),BB$3+6)),"◆",""))</f>
      </c>
      <c r="BC84" s="26">
        <f>IF(OR($A84="",BC$3=""),"",IF(AND($J84&lt;&gt;"",$K84&lt;&gt;"",$J84=$K84,$J84&gt;=BC$3,$J84&lt;=IF(param_mode_affichage="mois",EOMONTH(BC$3,0),BC$3+6)),"◆",""))</f>
      </c>
      <c r="BD84" s="26">
        <f>IF(OR($A84="",BD$3=""),"",IF(AND($J84&lt;&gt;"",$K84&lt;&gt;"",$J84=$K84,$J84&gt;=BD$3,$J84&lt;=IF(param_mode_affichage="mois",EOMONTH(BD$3,0),BD$3+6)),"◆",""))</f>
      </c>
      <c r="BE84" s="26">
        <f>IF(OR($A84="",BE$3=""),"",IF(AND($J84&lt;&gt;"",$K84&lt;&gt;"",$J84=$K84,$J84&gt;=BE$3,$J84&lt;=IF(param_mode_affichage="mois",EOMONTH(BE$3,0),BE$3+6)),"◆",""))</f>
      </c>
      <c r="BF84" s="26">
        <f>IF(OR($A84="",BF$3=""),"",IF(AND($J84&lt;&gt;"",$K84&lt;&gt;"",$J84=$K84,$J84&gt;=BF$3,$J84&lt;=IF(param_mode_affichage="mois",EOMONTH(BF$3,0),BF$3+6)),"◆",""))</f>
      </c>
      <c r="BG84" s="26">
        <f>IF(OR($A84="",BG$3=""),"",IF(AND($J84&lt;&gt;"",$K84&lt;&gt;"",$J84=$K84,$J84&gt;=BG$3,$J84&lt;=IF(param_mode_affichage="mois",EOMONTH(BG$3,0),BG$3+6)),"◆",""))</f>
      </c>
      <c r="BH84" s="26">
        <f>IF(OR($A84="",BH$3=""),"",IF(AND($J84&lt;&gt;"",$K84&lt;&gt;"",$J84=$K84,$J84&gt;=BH$3,$J84&lt;=IF(param_mode_affichage="mois",EOMONTH(BH$3,0),BH$3+6)),"◆",""))</f>
      </c>
      <c r="BI84" s="26">
        <f>IF(OR($A84="",BI$3=""),"",IF(AND($J84&lt;&gt;"",$K84&lt;&gt;"",$J84=$K84,$J84&gt;=BI$3,$J84&lt;=IF(param_mode_affichage="mois",EOMONTH(BI$3,0),BI$3+6)),"◆",""))</f>
      </c>
      <c r="BJ84" s="26">
        <f>IF(OR($A84="",BJ$3=""),"",IF(AND($J84&lt;&gt;"",$K84&lt;&gt;"",$J84=$K84,$J84&gt;=BJ$3,$J84&lt;=IF(param_mode_affichage="mois",EOMONTH(BJ$3,0),BJ$3+6)),"◆",""))</f>
      </c>
      <c r="BK84" s="26">
        <f>IF(OR($A84="",BK$3=""),"",IF(AND($J84&lt;&gt;"",$K84&lt;&gt;"",$J84=$K84,$J84&gt;=BK$3,$J84&lt;=IF(param_mode_affichage="mois",EOMONTH(BK$3,0),BK$3+6)),"◆",""))</f>
      </c>
      <c r="BL84" s="26">
        <f>IF(OR($A84="",BL$3=""),"",IF(AND($J84&lt;&gt;"",$K84&lt;&gt;"",$J84=$K84,$J84&gt;=BL$3,$J84&lt;=IF(param_mode_affichage="mois",EOMONTH(BL$3,0),BL$3+6)),"◆",""))</f>
      </c>
    </row>
    <row r="85" spans="1:64" x14ac:dyDescent="0.25">
      <c r="A85" s="23">
        <f>IFERROR(INDEX(tblTasks[ID],ROW()-4),"")</f>
      </c>
      <c r="B85" s="24">
        <f>IF($A85="","",INDEX(tblTasks[Sujet],ROW()-4))</f>
      </c>
      <c r="C85" s="23">
        <f>IF($A85="","",INDEX(tblTasks[Responsable],ROW()-4))</f>
      </c>
      <c r="D85" s="23">
        <f>IF($A85="","",INDEX(tblTasks[Statut],ROW()-4))</f>
      </c>
      <c r="E85" s="23">
        <f>IF($A85="","",INDEX(tblTasks[Depend_de],ROW()-4))</f>
      </c>
      <c r="F85" s="23">
        <f>IF($A85="","",INDEX(tblTasks[Blocage],ROW()-4))</f>
      </c>
      <c r="G85" s="23">
        <f>IF($A85="","",INDEX(tblTasks[Niveau_criticite],ROW()-4))</f>
      </c>
      <c r="H85" s="23">
        <f>IF($A85="","",INDEX(tblTasks[Goulot],ROW()-4))</f>
      </c>
      <c r="I85" s="23">
        <f>IF($A85="","",IF(LOWER($F85)="oui","non",IF($E85="","oui",IFERROR(IF(LOWER(INDEX(tblTasks[Statut],MATCH($E85,tblTasks[ID],0)))="clos","oui","non"),"non"))))</f>
      </c>
      <c r="J85" s="25">
        <f>IF($A85="","",INDEX(tblTasks[Date_debut_prevue],ROW()-4))</f>
      </c>
      <c r="K85" s="25">
        <f>IF($A85="","",INDEX(tblTasks[Date_fin_prevue],ROW()-4))</f>
      </c>
      <c r="L85" s="23">
        <f>IF($A85="","",INDEX(tblTasks[Irreversibilite],ROW()-4))</f>
      </c>
      <c r="M85" s="26">
        <f>IF(OR($A85="",M$3=""),"",IF(AND($J85&lt;&gt;"",$K85&lt;&gt;"",$J85=$K85,$J85&gt;=M$3,$J85&lt;=IF(param_mode_affichage="mois",EOMONTH(M$3,0),M$3+6)),"◆",""))</f>
      </c>
      <c r="N85" s="26">
        <f>IF(OR($A85="",N$3=""),"",IF(AND($J85&lt;&gt;"",$K85&lt;&gt;"",$J85=$K85,$J85&gt;=N$3,$J85&lt;=IF(param_mode_affichage="mois",EOMONTH(N$3,0),N$3+6)),"◆",""))</f>
      </c>
      <c r="O85" s="26">
        <f>IF(OR($A85="",O$3=""),"",IF(AND($J85&lt;&gt;"",$K85&lt;&gt;"",$J85=$K85,$J85&gt;=O$3,$J85&lt;=IF(param_mode_affichage="mois",EOMONTH(O$3,0),O$3+6)),"◆",""))</f>
      </c>
      <c r="P85" s="26">
        <f>IF(OR($A85="",P$3=""),"",IF(AND($J85&lt;&gt;"",$K85&lt;&gt;"",$J85=$K85,$J85&gt;=P$3,$J85&lt;=IF(param_mode_affichage="mois",EOMONTH(P$3,0),P$3+6)),"◆",""))</f>
      </c>
      <c r="Q85" s="26">
        <f>IF(OR($A85="",Q$3=""),"",IF(AND($J85&lt;&gt;"",$K85&lt;&gt;"",$J85=$K85,$J85&gt;=Q$3,$J85&lt;=IF(param_mode_affichage="mois",EOMONTH(Q$3,0),Q$3+6)),"◆",""))</f>
      </c>
      <c r="R85" s="26">
        <f>IF(OR($A85="",R$3=""),"",IF(AND($J85&lt;&gt;"",$K85&lt;&gt;"",$J85=$K85,$J85&gt;=R$3,$J85&lt;=IF(param_mode_affichage="mois",EOMONTH(R$3,0),R$3+6)),"◆",""))</f>
      </c>
      <c r="S85" s="26">
        <f>IF(OR($A85="",S$3=""),"",IF(AND($J85&lt;&gt;"",$K85&lt;&gt;"",$J85=$K85,$J85&gt;=S$3,$J85&lt;=IF(param_mode_affichage="mois",EOMONTH(S$3,0),S$3+6)),"◆",""))</f>
      </c>
      <c r="T85" s="26">
        <f>IF(OR($A85="",T$3=""),"",IF(AND($J85&lt;&gt;"",$K85&lt;&gt;"",$J85=$K85,$J85&gt;=T$3,$J85&lt;=IF(param_mode_affichage="mois",EOMONTH(T$3,0),T$3+6)),"◆",""))</f>
      </c>
      <c r="U85" s="26">
        <f>IF(OR($A85="",U$3=""),"",IF(AND($J85&lt;&gt;"",$K85&lt;&gt;"",$J85=$K85,$J85&gt;=U$3,$J85&lt;=IF(param_mode_affichage="mois",EOMONTH(U$3,0),U$3+6)),"◆",""))</f>
      </c>
      <c r="V85" s="26">
        <f>IF(OR($A85="",V$3=""),"",IF(AND($J85&lt;&gt;"",$K85&lt;&gt;"",$J85=$K85,$J85&gt;=V$3,$J85&lt;=IF(param_mode_affichage="mois",EOMONTH(V$3,0),V$3+6)),"◆",""))</f>
      </c>
      <c r="W85" s="26">
        <f>IF(OR($A85="",W$3=""),"",IF(AND($J85&lt;&gt;"",$K85&lt;&gt;"",$J85=$K85,$J85&gt;=W$3,$J85&lt;=IF(param_mode_affichage="mois",EOMONTH(W$3,0),W$3+6)),"◆",""))</f>
      </c>
      <c r="X85" s="26">
        <f>IF(OR($A85="",X$3=""),"",IF(AND($J85&lt;&gt;"",$K85&lt;&gt;"",$J85=$K85,$J85&gt;=X$3,$J85&lt;=IF(param_mode_affichage="mois",EOMONTH(X$3,0),X$3+6)),"◆",""))</f>
      </c>
      <c r="Y85" s="26">
        <f>IF(OR($A85="",Y$3=""),"",IF(AND($J85&lt;&gt;"",$K85&lt;&gt;"",$J85=$K85,$J85&gt;=Y$3,$J85&lt;=IF(param_mode_affichage="mois",EOMONTH(Y$3,0),Y$3+6)),"◆",""))</f>
      </c>
      <c r="Z85" s="26">
        <f>IF(OR($A85="",Z$3=""),"",IF(AND($J85&lt;&gt;"",$K85&lt;&gt;"",$J85=$K85,$J85&gt;=Z$3,$J85&lt;=IF(param_mode_affichage="mois",EOMONTH(Z$3,0),Z$3+6)),"◆",""))</f>
      </c>
      <c r="AA85" s="26">
        <f>IF(OR($A85="",AA$3=""),"",IF(AND($J85&lt;&gt;"",$K85&lt;&gt;"",$J85=$K85,$J85&gt;=AA$3,$J85&lt;=IF(param_mode_affichage="mois",EOMONTH(AA$3,0),AA$3+6)),"◆",""))</f>
      </c>
      <c r="AB85" s="26">
        <f>IF(OR($A85="",AB$3=""),"",IF(AND($J85&lt;&gt;"",$K85&lt;&gt;"",$J85=$K85,$J85&gt;=AB$3,$J85&lt;=IF(param_mode_affichage="mois",EOMONTH(AB$3,0),AB$3+6)),"◆",""))</f>
      </c>
      <c r="AC85" s="26">
        <f>IF(OR($A85="",AC$3=""),"",IF(AND($J85&lt;&gt;"",$K85&lt;&gt;"",$J85=$K85,$J85&gt;=AC$3,$J85&lt;=IF(param_mode_affichage="mois",EOMONTH(AC$3,0),AC$3+6)),"◆",""))</f>
      </c>
      <c r="AD85" s="26">
        <f>IF(OR($A85="",AD$3=""),"",IF(AND($J85&lt;&gt;"",$K85&lt;&gt;"",$J85=$K85,$J85&gt;=AD$3,$J85&lt;=IF(param_mode_affichage="mois",EOMONTH(AD$3,0),AD$3+6)),"◆",""))</f>
      </c>
      <c r="AE85" s="26">
        <f>IF(OR($A85="",AE$3=""),"",IF(AND($J85&lt;&gt;"",$K85&lt;&gt;"",$J85=$K85,$J85&gt;=AE$3,$J85&lt;=IF(param_mode_affichage="mois",EOMONTH(AE$3,0),AE$3+6)),"◆",""))</f>
      </c>
      <c r="AF85" s="26">
        <f>IF(OR($A85="",AF$3=""),"",IF(AND($J85&lt;&gt;"",$K85&lt;&gt;"",$J85=$K85,$J85&gt;=AF$3,$J85&lt;=IF(param_mode_affichage="mois",EOMONTH(AF$3,0),AF$3+6)),"◆",""))</f>
      </c>
      <c r="AG85" s="26">
        <f>IF(OR($A85="",AG$3=""),"",IF(AND($J85&lt;&gt;"",$K85&lt;&gt;"",$J85=$K85,$J85&gt;=AG$3,$J85&lt;=IF(param_mode_affichage="mois",EOMONTH(AG$3,0),AG$3+6)),"◆",""))</f>
      </c>
      <c r="AH85" s="26">
        <f>IF(OR($A85="",AH$3=""),"",IF(AND($J85&lt;&gt;"",$K85&lt;&gt;"",$J85=$K85,$J85&gt;=AH$3,$J85&lt;=IF(param_mode_affichage="mois",EOMONTH(AH$3,0),AH$3+6)),"◆",""))</f>
      </c>
      <c r="AI85" s="26">
        <f>IF(OR($A85="",AI$3=""),"",IF(AND($J85&lt;&gt;"",$K85&lt;&gt;"",$J85=$K85,$J85&gt;=AI$3,$J85&lt;=IF(param_mode_affichage="mois",EOMONTH(AI$3,0),AI$3+6)),"◆",""))</f>
      </c>
      <c r="AJ85" s="26">
        <f>IF(OR($A85="",AJ$3=""),"",IF(AND($J85&lt;&gt;"",$K85&lt;&gt;"",$J85=$K85,$J85&gt;=AJ$3,$J85&lt;=IF(param_mode_affichage="mois",EOMONTH(AJ$3,0),AJ$3+6)),"◆",""))</f>
      </c>
      <c r="AK85" s="26">
        <f>IF(OR($A85="",AK$3=""),"",IF(AND($J85&lt;&gt;"",$K85&lt;&gt;"",$J85=$K85,$J85&gt;=AK$3,$J85&lt;=IF(param_mode_affichage="mois",EOMONTH(AK$3,0),AK$3+6)),"◆",""))</f>
      </c>
      <c r="AL85" s="26">
        <f>IF(OR($A85="",AL$3=""),"",IF(AND($J85&lt;&gt;"",$K85&lt;&gt;"",$J85=$K85,$J85&gt;=AL$3,$J85&lt;=IF(param_mode_affichage="mois",EOMONTH(AL$3,0),AL$3+6)),"◆",""))</f>
      </c>
      <c r="AM85" s="26">
        <f>IF(OR($A85="",AM$3=""),"",IF(AND($J85&lt;&gt;"",$K85&lt;&gt;"",$J85=$K85,$J85&gt;=AM$3,$J85&lt;=IF(param_mode_affichage="mois",EOMONTH(AM$3,0),AM$3+6)),"◆",""))</f>
      </c>
      <c r="AN85" s="26">
        <f>IF(OR($A85="",AN$3=""),"",IF(AND($J85&lt;&gt;"",$K85&lt;&gt;"",$J85=$K85,$J85&gt;=AN$3,$J85&lt;=IF(param_mode_affichage="mois",EOMONTH(AN$3,0),AN$3+6)),"◆",""))</f>
      </c>
      <c r="AO85" s="26">
        <f>IF(OR($A85="",AO$3=""),"",IF(AND($J85&lt;&gt;"",$K85&lt;&gt;"",$J85=$K85,$J85&gt;=AO$3,$J85&lt;=IF(param_mode_affichage="mois",EOMONTH(AO$3,0),AO$3+6)),"◆",""))</f>
      </c>
      <c r="AP85" s="26">
        <f>IF(OR($A85="",AP$3=""),"",IF(AND($J85&lt;&gt;"",$K85&lt;&gt;"",$J85=$K85,$J85&gt;=AP$3,$J85&lt;=IF(param_mode_affichage="mois",EOMONTH(AP$3,0),AP$3+6)),"◆",""))</f>
      </c>
      <c r="AQ85" s="26">
        <f>IF(OR($A85="",AQ$3=""),"",IF(AND($J85&lt;&gt;"",$K85&lt;&gt;"",$J85=$K85,$J85&gt;=AQ$3,$J85&lt;=IF(param_mode_affichage="mois",EOMONTH(AQ$3,0),AQ$3+6)),"◆",""))</f>
      </c>
      <c r="AR85" s="26">
        <f>IF(OR($A85="",AR$3=""),"",IF(AND($J85&lt;&gt;"",$K85&lt;&gt;"",$J85=$K85,$J85&gt;=AR$3,$J85&lt;=IF(param_mode_affichage="mois",EOMONTH(AR$3,0),AR$3+6)),"◆",""))</f>
      </c>
      <c r="AS85" s="26">
        <f>IF(OR($A85="",AS$3=""),"",IF(AND($J85&lt;&gt;"",$K85&lt;&gt;"",$J85=$K85,$J85&gt;=AS$3,$J85&lt;=IF(param_mode_affichage="mois",EOMONTH(AS$3,0),AS$3+6)),"◆",""))</f>
      </c>
      <c r="AT85" s="26">
        <f>IF(OR($A85="",AT$3=""),"",IF(AND($J85&lt;&gt;"",$K85&lt;&gt;"",$J85=$K85,$J85&gt;=AT$3,$J85&lt;=IF(param_mode_affichage="mois",EOMONTH(AT$3,0),AT$3+6)),"◆",""))</f>
      </c>
      <c r="AU85" s="26">
        <f>IF(OR($A85="",AU$3=""),"",IF(AND($J85&lt;&gt;"",$K85&lt;&gt;"",$J85=$K85,$J85&gt;=AU$3,$J85&lt;=IF(param_mode_affichage="mois",EOMONTH(AU$3,0),AU$3+6)),"◆",""))</f>
      </c>
      <c r="AV85" s="26">
        <f>IF(OR($A85="",AV$3=""),"",IF(AND($J85&lt;&gt;"",$K85&lt;&gt;"",$J85=$K85,$J85&gt;=AV$3,$J85&lt;=IF(param_mode_affichage="mois",EOMONTH(AV$3,0),AV$3+6)),"◆",""))</f>
      </c>
      <c r="AW85" s="26">
        <f>IF(OR($A85="",AW$3=""),"",IF(AND($J85&lt;&gt;"",$K85&lt;&gt;"",$J85=$K85,$J85&gt;=AW$3,$J85&lt;=IF(param_mode_affichage="mois",EOMONTH(AW$3,0),AW$3+6)),"◆",""))</f>
      </c>
      <c r="AX85" s="26">
        <f>IF(OR($A85="",AX$3=""),"",IF(AND($J85&lt;&gt;"",$K85&lt;&gt;"",$J85=$K85,$J85&gt;=AX$3,$J85&lt;=IF(param_mode_affichage="mois",EOMONTH(AX$3,0),AX$3+6)),"◆",""))</f>
      </c>
      <c r="AY85" s="26">
        <f>IF(OR($A85="",AY$3=""),"",IF(AND($J85&lt;&gt;"",$K85&lt;&gt;"",$J85=$K85,$J85&gt;=AY$3,$J85&lt;=IF(param_mode_affichage="mois",EOMONTH(AY$3,0),AY$3+6)),"◆",""))</f>
      </c>
      <c r="AZ85" s="26">
        <f>IF(OR($A85="",AZ$3=""),"",IF(AND($J85&lt;&gt;"",$K85&lt;&gt;"",$J85=$K85,$J85&gt;=AZ$3,$J85&lt;=IF(param_mode_affichage="mois",EOMONTH(AZ$3,0),AZ$3+6)),"◆",""))</f>
      </c>
      <c r="BA85" s="26">
        <f>IF(OR($A85="",BA$3=""),"",IF(AND($J85&lt;&gt;"",$K85&lt;&gt;"",$J85=$K85,$J85&gt;=BA$3,$J85&lt;=IF(param_mode_affichage="mois",EOMONTH(BA$3,0),BA$3+6)),"◆",""))</f>
      </c>
      <c r="BB85" s="26">
        <f>IF(OR($A85="",BB$3=""),"",IF(AND($J85&lt;&gt;"",$K85&lt;&gt;"",$J85=$K85,$J85&gt;=BB$3,$J85&lt;=IF(param_mode_affichage="mois",EOMONTH(BB$3,0),BB$3+6)),"◆",""))</f>
      </c>
      <c r="BC85" s="26">
        <f>IF(OR($A85="",BC$3=""),"",IF(AND($J85&lt;&gt;"",$K85&lt;&gt;"",$J85=$K85,$J85&gt;=BC$3,$J85&lt;=IF(param_mode_affichage="mois",EOMONTH(BC$3,0),BC$3+6)),"◆",""))</f>
      </c>
      <c r="BD85" s="26">
        <f>IF(OR($A85="",BD$3=""),"",IF(AND($J85&lt;&gt;"",$K85&lt;&gt;"",$J85=$K85,$J85&gt;=BD$3,$J85&lt;=IF(param_mode_affichage="mois",EOMONTH(BD$3,0),BD$3+6)),"◆",""))</f>
      </c>
      <c r="BE85" s="26">
        <f>IF(OR($A85="",BE$3=""),"",IF(AND($J85&lt;&gt;"",$K85&lt;&gt;"",$J85=$K85,$J85&gt;=BE$3,$J85&lt;=IF(param_mode_affichage="mois",EOMONTH(BE$3,0),BE$3+6)),"◆",""))</f>
      </c>
      <c r="BF85" s="26">
        <f>IF(OR($A85="",BF$3=""),"",IF(AND($J85&lt;&gt;"",$K85&lt;&gt;"",$J85=$K85,$J85&gt;=BF$3,$J85&lt;=IF(param_mode_affichage="mois",EOMONTH(BF$3,0),BF$3+6)),"◆",""))</f>
      </c>
      <c r="BG85" s="26">
        <f>IF(OR($A85="",BG$3=""),"",IF(AND($J85&lt;&gt;"",$K85&lt;&gt;"",$J85=$K85,$J85&gt;=BG$3,$J85&lt;=IF(param_mode_affichage="mois",EOMONTH(BG$3,0),BG$3+6)),"◆",""))</f>
      </c>
      <c r="BH85" s="26">
        <f>IF(OR($A85="",BH$3=""),"",IF(AND($J85&lt;&gt;"",$K85&lt;&gt;"",$J85=$K85,$J85&gt;=BH$3,$J85&lt;=IF(param_mode_affichage="mois",EOMONTH(BH$3,0),BH$3+6)),"◆",""))</f>
      </c>
      <c r="BI85" s="26">
        <f>IF(OR($A85="",BI$3=""),"",IF(AND($J85&lt;&gt;"",$K85&lt;&gt;"",$J85=$K85,$J85&gt;=BI$3,$J85&lt;=IF(param_mode_affichage="mois",EOMONTH(BI$3,0),BI$3+6)),"◆",""))</f>
      </c>
      <c r="BJ85" s="26">
        <f>IF(OR($A85="",BJ$3=""),"",IF(AND($J85&lt;&gt;"",$K85&lt;&gt;"",$J85=$K85,$J85&gt;=BJ$3,$J85&lt;=IF(param_mode_affichage="mois",EOMONTH(BJ$3,0),BJ$3+6)),"◆",""))</f>
      </c>
      <c r="BK85" s="26">
        <f>IF(OR($A85="",BK$3=""),"",IF(AND($J85&lt;&gt;"",$K85&lt;&gt;"",$J85=$K85,$J85&gt;=BK$3,$J85&lt;=IF(param_mode_affichage="mois",EOMONTH(BK$3,0),BK$3+6)),"◆",""))</f>
      </c>
      <c r="BL85" s="26">
        <f>IF(OR($A85="",BL$3=""),"",IF(AND($J85&lt;&gt;"",$K85&lt;&gt;"",$J85=$K85,$J85&gt;=BL$3,$J85&lt;=IF(param_mode_affichage="mois",EOMONTH(BL$3,0),BL$3+6)),"◆",""))</f>
      </c>
    </row>
    <row r="86" spans="1:64" x14ac:dyDescent="0.25">
      <c r="A86" s="23">
        <f>IFERROR(INDEX(tblTasks[ID],ROW()-4),"")</f>
      </c>
      <c r="B86" s="24">
        <f>IF($A86="","",INDEX(tblTasks[Sujet],ROW()-4))</f>
      </c>
      <c r="C86" s="23">
        <f>IF($A86="","",INDEX(tblTasks[Responsable],ROW()-4))</f>
      </c>
      <c r="D86" s="23">
        <f>IF($A86="","",INDEX(tblTasks[Statut],ROW()-4))</f>
      </c>
      <c r="E86" s="23">
        <f>IF($A86="","",INDEX(tblTasks[Depend_de],ROW()-4))</f>
      </c>
      <c r="F86" s="23">
        <f>IF($A86="","",INDEX(tblTasks[Blocage],ROW()-4))</f>
      </c>
      <c r="G86" s="23">
        <f>IF($A86="","",INDEX(tblTasks[Niveau_criticite],ROW()-4))</f>
      </c>
      <c r="H86" s="23">
        <f>IF($A86="","",INDEX(tblTasks[Goulot],ROW()-4))</f>
      </c>
      <c r="I86" s="23">
        <f>IF($A86="","",IF(LOWER($F86)="oui","non",IF($E86="","oui",IFERROR(IF(LOWER(INDEX(tblTasks[Statut],MATCH($E86,tblTasks[ID],0)))="clos","oui","non"),"non"))))</f>
      </c>
      <c r="J86" s="25">
        <f>IF($A86="","",INDEX(tblTasks[Date_debut_prevue],ROW()-4))</f>
      </c>
      <c r="K86" s="25">
        <f>IF($A86="","",INDEX(tblTasks[Date_fin_prevue],ROW()-4))</f>
      </c>
      <c r="L86" s="23">
        <f>IF($A86="","",INDEX(tblTasks[Irreversibilite],ROW()-4))</f>
      </c>
      <c r="M86" s="26">
        <f>IF(OR($A86="",M$3=""),"",IF(AND($J86&lt;&gt;"",$K86&lt;&gt;"",$J86=$K86,$J86&gt;=M$3,$J86&lt;=IF(param_mode_affichage="mois",EOMONTH(M$3,0),M$3+6)),"◆",""))</f>
      </c>
      <c r="N86" s="26">
        <f>IF(OR($A86="",N$3=""),"",IF(AND($J86&lt;&gt;"",$K86&lt;&gt;"",$J86=$K86,$J86&gt;=N$3,$J86&lt;=IF(param_mode_affichage="mois",EOMONTH(N$3,0),N$3+6)),"◆",""))</f>
      </c>
      <c r="O86" s="26">
        <f>IF(OR($A86="",O$3=""),"",IF(AND($J86&lt;&gt;"",$K86&lt;&gt;"",$J86=$K86,$J86&gt;=O$3,$J86&lt;=IF(param_mode_affichage="mois",EOMONTH(O$3,0),O$3+6)),"◆",""))</f>
      </c>
      <c r="P86" s="26">
        <f>IF(OR($A86="",P$3=""),"",IF(AND($J86&lt;&gt;"",$K86&lt;&gt;"",$J86=$K86,$J86&gt;=P$3,$J86&lt;=IF(param_mode_affichage="mois",EOMONTH(P$3,0),P$3+6)),"◆",""))</f>
      </c>
      <c r="Q86" s="26">
        <f>IF(OR($A86="",Q$3=""),"",IF(AND($J86&lt;&gt;"",$K86&lt;&gt;"",$J86=$K86,$J86&gt;=Q$3,$J86&lt;=IF(param_mode_affichage="mois",EOMONTH(Q$3,0),Q$3+6)),"◆",""))</f>
      </c>
      <c r="R86" s="26">
        <f>IF(OR($A86="",R$3=""),"",IF(AND($J86&lt;&gt;"",$K86&lt;&gt;"",$J86=$K86,$J86&gt;=R$3,$J86&lt;=IF(param_mode_affichage="mois",EOMONTH(R$3,0),R$3+6)),"◆",""))</f>
      </c>
      <c r="S86" s="26">
        <f>IF(OR($A86="",S$3=""),"",IF(AND($J86&lt;&gt;"",$K86&lt;&gt;"",$J86=$K86,$J86&gt;=S$3,$J86&lt;=IF(param_mode_affichage="mois",EOMONTH(S$3,0),S$3+6)),"◆",""))</f>
      </c>
      <c r="T86" s="26">
        <f>IF(OR($A86="",T$3=""),"",IF(AND($J86&lt;&gt;"",$K86&lt;&gt;"",$J86=$K86,$J86&gt;=T$3,$J86&lt;=IF(param_mode_affichage="mois",EOMONTH(T$3,0),T$3+6)),"◆",""))</f>
      </c>
      <c r="U86" s="26">
        <f>IF(OR($A86="",U$3=""),"",IF(AND($J86&lt;&gt;"",$K86&lt;&gt;"",$J86=$K86,$J86&gt;=U$3,$J86&lt;=IF(param_mode_affichage="mois",EOMONTH(U$3,0),U$3+6)),"◆",""))</f>
      </c>
      <c r="V86" s="26">
        <f>IF(OR($A86="",V$3=""),"",IF(AND($J86&lt;&gt;"",$K86&lt;&gt;"",$J86=$K86,$J86&gt;=V$3,$J86&lt;=IF(param_mode_affichage="mois",EOMONTH(V$3,0),V$3+6)),"◆",""))</f>
      </c>
      <c r="W86" s="26">
        <f>IF(OR($A86="",W$3=""),"",IF(AND($J86&lt;&gt;"",$K86&lt;&gt;"",$J86=$K86,$J86&gt;=W$3,$J86&lt;=IF(param_mode_affichage="mois",EOMONTH(W$3,0),W$3+6)),"◆",""))</f>
      </c>
      <c r="X86" s="26">
        <f>IF(OR($A86="",X$3=""),"",IF(AND($J86&lt;&gt;"",$K86&lt;&gt;"",$J86=$K86,$J86&gt;=X$3,$J86&lt;=IF(param_mode_affichage="mois",EOMONTH(X$3,0),X$3+6)),"◆",""))</f>
      </c>
      <c r="Y86" s="26">
        <f>IF(OR($A86="",Y$3=""),"",IF(AND($J86&lt;&gt;"",$K86&lt;&gt;"",$J86=$K86,$J86&gt;=Y$3,$J86&lt;=IF(param_mode_affichage="mois",EOMONTH(Y$3,0),Y$3+6)),"◆",""))</f>
      </c>
      <c r="Z86" s="26">
        <f>IF(OR($A86="",Z$3=""),"",IF(AND($J86&lt;&gt;"",$K86&lt;&gt;"",$J86=$K86,$J86&gt;=Z$3,$J86&lt;=IF(param_mode_affichage="mois",EOMONTH(Z$3,0),Z$3+6)),"◆",""))</f>
      </c>
      <c r="AA86" s="26">
        <f>IF(OR($A86="",AA$3=""),"",IF(AND($J86&lt;&gt;"",$K86&lt;&gt;"",$J86=$K86,$J86&gt;=AA$3,$J86&lt;=IF(param_mode_affichage="mois",EOMONTH(AA$3,0),AA$3+6)),"◆",""))</f>
      </c>
      <c r="AB86" s="26">
        <f>IF(OR($A86="",AB$3=""),"",IF(AND($J86&lt;&gt;"",$K86&lt;&gt;"",$J86=$K86,$J86&gt;=AB$3,$J86&lt;=IF(param_mode_affichage="mois",EOMONTH(AB$3,0),AB$3+6)),"◆",""))</f>
      </c>
      <c r="AC86" s="26">
        <f>IF(OR($A86="",AC$3=""),"",IF(AND($J86&lt;&gt;"",$K86&lt;&gt;"",$J86=$K86,$J86&gt;=AC$3,$J86&lt;=IF(param_mode_affichage="mois",EOMONTH(AC$3,0),AC$3+6)),"◆",""))</f>
      </c>
      <c r="AD86" s="26">
        <f>IF(OR($A86="",AD$3=""),"",IF(AND($J86&lt;&gt;"",$K86&lt;&gt;"",$J86=$K86,$J86&gt;=AD$3,$J86&lt;=IF(param_mode_affichage="mois",EOMONTH(AD$3,0),AD$3+6)),"◆",""))</f>
      </c>
      <c r="AE86" s="26">
        <f>IF(OR($A86="",AE$3=""),"",IF(AND($J86&lt;&gt;"",$K86&lt;&gt;"",$J86=$K86,$J86&gt;=AE$3,$J86&lt;=IF(param_mode_affichage="mois",EOMONTH(AE$3,0),AE$3+6)),"◆",""))</f>
      </c>
      <c r="AF86" s="26">
        <f>IF(OR($A86="",AF$3=""),"",IF(AND($J86&lt;&gt;"",$K86&lt;&gt;"",$J86=$K86,$J86&gt;=AF$3,$J86&lt;=IF(param_mode_affichage="mois",EOMONTH(AF$3,0),AF$3+6)),"◆",""))</f>
      </c>
      <c r="AG86" s="26">
        <f>IF(OR($A86="",AG$3=""),"",IF(AND($J86&lt;&gt;"",$K86&lt;&gt;"",$J86=$K86,$J86&gt;=AG$3,$J86&lt;=IF(param_mode_affichage="mois",EOMONTH(AG$3,0),AG$3+6)),"◆",""))</f>
      </c>
      <c r="AH86" s="26">
        <f>IF(OR($A86="",AH$3=""),"",IF(AND($J86&lt;&gt;"",$K86&lt;&gt;"",$J86=$K86,$J86&gt;=AH$3,$J86&lt;=IF(param_mode_affichage="mois",EOMONTH(AH$3,0),AH$3+6)),"◆",""))</f>
      </c>
      <c r="AI86" s="26">
        <f>IF(OR($A86="",AI$3=""),"",IF(AND($J86&lt;&gt;"",$K86&lt;&gt;"",$J86=$K86,$J86&gt;=AI$3,$J86&lt;=IF(param_mode_affichage="mois",EOMONTH(AI$3,0),AI$3+6)),"◆",""))</f>
      </c>
      <c r="AJ86" s="26">
        <f>IF(OR($A86="",AJ$3=""),"",IF(AND($J86&lt;&gt;"",$K86&lt;&gt;"",$J86=$K86,$J86&gt;=AJ$3,$J86&lt;=IF(param_mode_affichage="mois",EOMONTH(AJ$3,0),AJ$3+6)),"◆",""))</f>
      </c>
      <c r="AK86" s="26">
        <f>IF(OR($A86="",AK$3=""),"",IF(AND($J86&lt;&gt;"",$K86&lt;&gt;"",$J86=$K86,$J86&gt;=AK$3,$J86&lt;=IF(param_mode_affichage="mois",EOMONTH(AK$3,0),AK$3+6)),"◆",""))</f>
      </c>
      <c r="AL86" s="26">
        <f>IF(OR($A86="",AL$3=""),"",IF(AND($J86&lt;&gt;"",$K86&lt;&gt;"",$J86=$K86,$J86&gt;=AL$3,$J86&lt;=IF(param_mode_affichage="mois",EOMONTH(AL$3,0),AL$3+6)),"◆",""))</f>
      </c>
      <c r="AM86" s="26">
        <f>IF(OR($A86="",AM$3=""),"",IF(AND($J86&lt;&gt;"",$K86&lt;&gt;"",$J86=$K86,$J86&gt;=AM$3,$J86&lt;=IF(param_mode_affichage="mois",EOMONTH(AM$3,0),AM$3+6)),"◆",""))</f>
      </c>
      <c r="AN86" s="26">
        <f>IF(OR($A86="",AN$3=""),"",IF(AND($J86&lt;&gt;"",$K86&lt;&gt;"",$J86=$K86,$J86&gt;=AN$3,$J86&lt;=IF(param_mode_affichage="mois",EOMONTH(AN$3,0),AN$3+6)),"◆",""))</f>
      </c>
      <c r="AO86" s="26">
        <f>IF(OR($A86="",AO$3=""),"",IF(AND($J86&lt;&gt;"",$K86&lt;&gt;"",$J86=$K86,$J86&gt;=AO$3,$J86&lt;=IF(param_mode_affichage="mois",EOMONTH(AO$3,0),AO$3+6)),"◆",""))</f>
      </c>
      <c r="AP86" s="26">
        <f>IF(OR($A86="",AP$3=""),"",IF(AND($J86&lt;&gt;"",$K86&lt;&gt;"",$J86=$K86,$J86&gt;=AP$3,$J86&lt;=IF(param_mode_affichage="mois",EOMONTH(AP$3,0),AP$3+6)),"◆",""))</f>
      </c>
      <c r="AQ86" s="26">
        <f>IF(OR($A86="",AQ$3=""),"",IF(AND($J86&lt;&gt;"",$K86&lt;&gt;"",$J86=$K86,$J86&gt;=AQ$3,$J86&lt;=IF(param_mode_affichage="mois",EOMONTH(AQ$3,0),AQ$3+6)),"◆",""))</f>
      </c>
      <c r="AR86" s="26">
        <f>IF(OR($A86="",AR$3=""),"",IF(AND($J86&lt;&gt;"",$K86&lt;&gt;"",$J86=$K86,$J86&gt;=AR$3,$J86&lt;=IF(param_mode_affichage="mois",EOMONTH(AR$3,0),AR$3+6)),"◆",""))</f>
      </c>
      <c r="AS86" s="26">
        <f>IF(OR($A86="",AS$3=""),"",IF(AND($J86&lt;&gt;"",$K86&lt;&gt;"",$J86=$K86,$J86&gt;=AS$3,$J86&lt;=IF(param_mode_affichage="mois",EOMONTH(AS$3,0),AS$3+6)),"◆",""))</f>
      </c>
      <c r="AT86" s="26">
        <f>IF(OR($A86="",AT$3=""),"",IF(AND($J86&lt;&gt;"",$K86&lt;&gt;"",$J86=$K86,$J86&gt;=AT$3,$J86&lt;=IF(param_mode_affichage="mois",EOMONTH(AT$3,0),AT$3+6)),"◆",""))</f>
      </c>
      <c r="AU86" s="26">
        <f>IF(OR($A86="",AU$3=""),"",IF(AND($J86&lt;&gt;"",$K86&lt;&gt;"",$J86=$K86,$J86&gt;=AU$3,$J86&lt;=IF(param_mode_affichage="mois",EOMONTH(AU$3,0),AU$3+6)),"◆",""))</f>
      </c>
      <c r="AV86" s="26">
        <f>IF(OR($A86="",AV$3=""),"",IF(AND($J86&lt;&gt;"",$K86&lt;&gt;"",$J86=$K86,$J86&gt;=AV$3,$J86&lt;=IF(param_mode_affichage="mois",EOMONTH(AV$3,0),AV$3+6)),"◆",""))</f>
      </c>
      <c r="AW86" s="26">
        <f>IF(OR($A86="",AW$3=""),"",IF(AND($J86&lt;&gt;"",$K86&lt;&gt;"",$J86=$K86,$J86&gt;=AW$3,$J86&lt;=IF(param_mode_affichage="mois",EOMONTH(AW$3,0),AW$3+6)),"◆",""))</f>
      </c>
      <c r="AX86" s="26">
        <f>IF(OR($A86="",AX$3=""),"",IF(AND($J86&lt;&gt;"",$K86&lt;&gt;"",$J86=$K86,$J86&gt;=AX$3,$J86&lt;=IF(param_mode_affichage="mois",EOMONTH(AX$3,0),AX$3+6)),"◆",""))</f>
      </c>
      <c r="AY86" s="26">
        <f>IF(OR($A86="",AY$3=""),"",IF(AND($J86&lt;&gt;"",$K86&lt;&gt;"",$J86=$K86,$J86&gt;=AY$3,$J86&lt;=IF(param_mode_affichage="mois",EOMONTH(AY$3,0),AY$3+6)),"◆",""))</f>
      </c>
      <c r="AZ86" s="26">
        <f>IF(OR($A86="",AZ$3=""),"",IF(AND($J86&lt;&gt;"",$K86&lt;&gt;"",$J86=$K86,$J86&gt;=AZ$3,$J86&lt;=IF(param_mode_affichage="mois",EOMONTH(AZ$3,0),AZ$3+6)),"◆",""))</f>
      </c>
      <c r="BA86" s="26">
        <f>IF(OR($A86="",BA$3=""),"",IF(AND($J86&lt;&gt;"",$K86&lt;&gt;"",$J86=$K86,$J86&gt;=BA$3,$J86&lt;=IF(param_mode_affichage="mois",EOMONTH(BA$3,0),BA$3+6)),"◆",""))</f>
      </c>
      <c r="BB86" s="26">
        <f>IF(OR($A86="",BB$3=""),"",IF(AND($J86&lt;&gt;"",$K86&lt;&gt;"",$J86=$K86,$J86&gt;=BB$3,$J86&lt;=IF(param_mode_affichage="mois",EOMONTH(BB$3,0),BB$3+6)),"◆",""))</f>
      </c>
      <c r="BC86" s="26">
        <f>IF(OR($A86="",BC$3=""),"",IF(AND($J86&lt;&gt;"",$K86&lt;&gt;"",$J86=$K86,$J86&gt;=BC$3,$J86&lt;=IF(param_mode_affichage="mois",EOMONTH(BC$3,0),BC$3+6)),"◆",""))</f>
      </c>
      <c r="BD86" s="26">
        <f>IF(OR($A86="",BD$3=""),"",IF(AND($J86&lt;&gt;"",$K86&lt;&gt;"",$J86=$K86,$J86&gt;=BD$3,$J86&lt;=IF(param_mode_affichage="mois",EOMONTH(BD$3,0),BD$3+6)),"◆",""))</f>
      </c>
      <c r="BE86" s="26">
        <f>IF(OR($A86="",BE$3=""),"",IF(AND($J86&lt;&gt;"",$K86&lt;&gt;"",$J86=$K86,$J86&gt;=BE$3,$J86&lt;=IF(param_mode_affichage="mois",EOMONTH(BE$3,0),BE$3+6)),"◆",""))</f>
      </c>
      <c r="BF86" s="26">
        <f>IF(OR($A86="",BF$3=""),"",IF(AND($J86&lt;&gt;"",$K86&lt;&gt;"",$J86=$K86,$J86&gt;=BF$3,$J86&lt;=IF(param_mode_affichage="mois",EOMONTH(BF$3,0),BF$3+6)),"◆",""))</f>
      </c>
      <c r="BG86" s="26">
        <f>IF(OR($A86="",BG$3=""),"",IF(AND($J86&lt;&gt;"",$K86&lt;&gt;"",$J86=$K86,$J86&gt;=BG$3,$J86&lt;=IF(param_mode_affichage="mois",EOMONTH(BG$3,0),BG$3+6)),"◆",""))</f>
      </c>
      <c r="BH86" s="26">
        <f>IF(OR($A86="",BH$3=""),"",IF(AND($J86&lt;&gt;"",$K86&lt;&gt;"",$J86=$K86,$J86&gt;=BH$3,$J86&lt;=IF(param_mode_affichage="mois",EOMONTH(BH$3,0),BH$3+6)),"◆",""))</f>
      </c>
      <c r="BI86" s="26">
        <f>IF(OR($A86="",BI$3=""),"",IF(AND($J86&lt;&gt;"",$K86&lt;&gt;"",$J86=$K86,$J86&gt;=BI$3,$J86&lt;=IF(param_mode_affichage="mois",EOMONTH(BI$3,0),BI$3+6)),"◆",""))</f>
      </c>
      <c r="BJ86" s="26">
        <f>IF(OR($A86="",BJ$3=""),"",IF(AND($J86&lt;&gt;"",$K86&lt;&gt;"",$J86=$K86,$J86&gt;=BJ$3,$J86&lt;=IF(param_mode_affichage="mois",EOMONTH(BJ$3,0),BJ$3+6)),"◆",""))</f>
      </c>
      <c r="BK86" s="26">
        <f>IF(OR($A86="",BK$3=""),"",IF(AND($J86&lt;&gt;"",$K86&lt;&gt;"",$J86=$K86,$J86&gt;=BK$3,$J86&lt;=IF(param_mode_affichage="mois",EOMONTH(BK$3,0),BK$3+6)),"◆",""))</f>
      </c>
      <c r="BL86" s="26">
        <f>IF(OR($A86="",BL$3=""),"",IF(AND($J86&lt;&gt;"",$K86&lt;&gt;"",$J86=$K86,$J86&gt;=BL$3,$J86&lt;=IF(param_mode_affichage="mois",EOMONTH(BL$3,0),BL$3+6)),"◆",""))</f>
      </c>
    </row>
    <row r="87" spans="1:64" x14ac:dyDescent="0.25">
      <c r="A87" s="23">
        <f>IFERROR(INDEX(tblTasks[ID],ROW()-4),"")</f>
      </c>
      <c r="B87" s="24">
        <f>IF($A87="","",INDEX(tblTasks[Sujet],ROW()-4))</f>
      </c>
      <c r="C87" s="23">
        <f>IF($A87="","",INDEX(tblTasks[Responsable],ROW()-4))</f>
      </c>
      <c r="D87" s="23">
        <f>IF($A87="","",INDEX(tblTasks[Statut],ROW()-4))</f>
      </c>
      <c r="E87" s="23">
        <f>IF($A87="","",INDEX(tblTasks[Depend_de],ROW()-4))</f>
      </c>
      <c r="F87" s="23">
        <f>IF($A87="","",INDEX(tblTasks[Blocage],ROW()-4))</f>
      </c>
      <c r="G87" s="23">
        <f>IF($A87="","",INDEX(tblTasks[Niveau_criticite],ROW()-4))</f>
      </c>
      <c r="H87" s="23">
        <f>IF($A87="","",INDEX(tblTasks[Goulot],ROW()-4))</f>
      </c>
      <c r="I87" s="23">
        <f>IF($A87="","",IF(LOWER($F87)="oui","non",IF($E87="","oui",IFERROR(IF(LOWER(INDEX(tblTasks[Statut],MATCH($E87,tblTasks[ID],0)))="clos","oui","non"),"non"))))</f>
      </c>
      <c r="J87" s="25">
        <f>IF($A87="","",INDEX(tblTasks[Date_debut_prevue],ROW()-4))</f>
      </c>
      <c r="K87" s="25">
        <f>IF($A87="","",INDEX(tblTasks[Date_fin_prevue],ROW()-4))</f>
      </c>
      <c r="L87" s="23">
        <f>IF($A87="","",INDEX(tblTasks[Irreversibilite],ROW()-4))</f>
      </c>
      <c r="M87" s="26">
        <f>IF(OR($A87="",M$3=""),"",IF(AND($J87&lt;&gt;"",$K87&lt;&gt;"",$J87=$K87,$J87&gt;=M$3,$J87&lt;=IF(param_mode_affichage="mois",EOMONTH(M$3,0),M$3+6)),"◆",""))</f>
      </c>
      <c r="N87" s="26">
        <f>IF(OR($A87="",N$3=""),"",IF(AND($J87&lt;&gt;"",$K87&lt;&gt;"",$J87=$K87,$J87&gt;=N$3,$J87&lt;=IF(param_mode_affichage="mois",EOMONTH(N$3,0),N$3+6)),"◆",""))</f>
      </c>
      <c r="O87" s="26">
        <f>IF(OR($A87="",O$3=""),"",IF(AND($J87&lt;&gt;"",$K87&lt;&gt;"",$J87=$K87,$J87&gt;=O$3,$J87&lt;=IF(param_mode_affichage="mois",EOMONTH(O$3,0),O$3+6)),"◆",""))</f>
      </c>
      <c r="P87" s="26">
        <f>IF(OR($A87="",P$3=""),"",IF(AND($J87&lt;&gt;"",$K87&lt;&gt;"",$J87=$K87,$J87&gt;=P$3,$J87&lt;=IF(param_mode_affichage="mois",EOMONTH(P$3,0),P$3+6)),"◆",""))</f>
      </c>
      <c r="Q87" s="26">
        <f>IF(OR($A87="",Q$3=""),"",IF(AND($J87&lt;&gt;"",$K87&lt;&gt;"",$J87=$K87,$J87&gt;=Q$3,$J87&lt;=IF(param_mode_affichage="mois",EOMONTH(Q$3,0),Q$3+6)),"◆",""))</f>
      </c>
      <c r="R87" s="26">
        <f>IF(OR($A87="",R$3=""),"",IF(AND($J87&lt;&gt;"",$K87&lt;&gt;"",$J87=$K87,$J87&gt;=R$3,$J87&lt;=IF(param_mode_affichage="mois",EOMONTH(R$3,0),R$3+6)),"◆",""))</f>
      </c>
      <c r="S87" s="26">
        <f>IF(OR($A87="",S$3=""),"",IF(AND($J87&lt;&gt;"",$K87&lt;&gt;"",$J87=$K87,$J87&gt;=S$3,$J87&lt;=IF(param_mode_affichage="mois",EOMONTH(S$3,0),S$3+6)),"◆",""))</f>
      </c>
      <c r="T87" s="26">
        <f>IF(OR($A87="",T$3=""),"",IF(AND($J87&lt;&gt;"",$K87&lt;&gt;"",$J87=$K87,$J87&gt;=T$3,$J87&lt;=IF(param_mode_affichage="mois",EOMONTH(T$3,0),T$3+6)),"◆",""))</f>
      </c>
      <c r="U87" s="26">
        <f>IF(OR($A87="",U$3=""),"",IF(AND($J87&lt;&gt;"",$K87&lt;&gt;"",$J87=$K87,$J87&gt;=U$3,$J87&lt;=IF(param_mode_affichage="mois",EOMONTH(U$3,0),U$3+6)),"◆",""))</f>
      </c>
      <c r="V87" s="26">
        <f>IF(OR($A87="",V$3=""),"",IF(AND($J87&lt;&gt;"",$K87&lt;&gt;"",$J87=$K87,$J87&gt;=V$3,$J87&lt;=IF(param_mode_affichage="mois",EOMONTH(V$3,0),V$3+6)),"◆",""))</f>
      </c>
      <c r="W87" s="26">
        <f>IF(OR($A87="",W$3=""),"",IF(AND($J87&lt;&gt;"",$K87&lt;&gt;"",$J87=$K87,$J87&gt;=W$3,$J87&lt;=IF(param_mode_affichage="mois",EOMONTH(W$3,0),W$3+6)),"◆",""))</f>
      </c>
      <c r="X87" s="26">
        <f>IF(OR($A87="",X$3=""),"",IF(AND($J87&lt;&gt;"",$K87&lt;&gt;"",$J87=$K87,$J87&gt;=X$3,$J87&lt;=IF(param_mode_affichage="mois",EOMONTH(X$3,0),X$3+6)),"◆",""))</f>
      </c>
      <c r="Y87" s="26">
        <f>IF(OR($A87="",Y$3=""),"",IF(AND($J87&lt;&gt;"",$K87&lt;&gt;"",$J87=$K87,$J87&gt;=Y$3,$J87&lt;=IF(param_mode_affichage="mois",EOMONTH(Y$3,0),Y$3+6)),"◆",""))</f>
      </c>
      <c r="Z87" s="26">
        <f>IF(OR($A87="",Z$3=""),"",IF(AND($J87&lt;&gt;"",$K87&lt;&gt;"",$J87=$K87,$J87&gt;=Z$3,$J87&lt;=IF(param_mode_affichage="mois",EOMONTH(Z$3,0),Z$3+6)),"◆",""))</f>
      </c>
      <c r="AA87" s="26">
        <f>IF(OR($A87="",AA$3=""),"",IF(AND($J87&lt;&gt;"",$K87&lt;&gt;"",$J87=$K87,$J87&gt;=AA$3,$J87&lt;=IF(param_mode_affichage="mois",EOMONTH(AA$3,0),AA$3+6)),"◆",""))</f>
      </c>
      <c r="AB87" s="26">
        <f>IF(OR($A87="",AB$3=""),"",IF(AND($J87&lt;&gt;"",$K87&lt;&gt;"",$J87=$K87,$J87&gt;=AB$3,$J87&lt;=IF(param_mode_affichage="mois",EOMONTH(AB$3,0),AB$3+6)),"◆",""))</f>
      </c>
      <c r="AC87" s="26">
        <f>IF(OR($A87="",AC$3=""),"",IF(AND($J87&lt;&gt;"",$K87&lt;&gt;"",$J87=$K87,$J87&gt;=AC$3,$J87&lt;=IF(param_mode_affichage="mois",EOMONTH(AC$3,0),AC$3+6)),"◆",""))</f>
      </c>
      <c r="AD87" s="26">
        <f>IF(OR($A87="",AD$3=""),"",IF(AND($J87&lt;&gt;"",$K87&lt;&gt;"",$J87=$K87,$J87&gt;=AD$3,$J87&lt;=IF(param_mode_affichage="mois",EOMONTH(AD$3,0),AD$3+6)),"◆",""))</f>
      </c>
      <c r="AE87" s="26">
        <f>IF(OR($A87="",AE$3=""),"",IF(AND($J87&lt;&gt;"",$K87&lt;&gt;"",$J87=$K87,$J87&gt;=AE$3,$J87&lt;=IF(param_mode_affichage="mois",EOMONTH(AE$3,0),AE$3+6)),"◆",""))</f>
      </c>
      <c r="AF87" s="26">
        <f>IF(OR($A87="",AF$3=""),"",IF(AND($J87&lt;&gt;"",$K87&lt;&gt;"",$J87=$K87,$J87&gt;=AF$3,$J87&lt;=IF(param_mode_affichage="mois",EOMONTH(AF$3,0),AF$3+6)),"◆",""))</f>
      </c>
      <c r="AG87" s="26">
        <f>IF(OR($A87="",AG$3=""),"",IF(AND($J87&lt;&gt;"",$K87&lt;&gt;"",$J87=$K87,$J87&gt;=AG$3,$J87&lt;=IF(param_mode_affichage="mois",EOMONTH(AG$3,0),AG$3+6)),"◆",""))</f>
      </c>
      <c r="AH87" s="26">
        <f>IF(OR($A87="",AH$3=""),"",IF(AND($J87&lt;&gt;"",$K87&lt;&gt;"",$J87=$K87,$J87&gt;=AH$3,$J87&lt;=IF(param_mode_affichage="mois",EOMONTH(AH$3,0),AH$3+6)),"◆",""))</f>
      </c>
      <c r="AI87" s="26">
        <f>IF(OR($A87="",AI$3=""),"",IF(AND($J87&lt;&gt;"",$K87&lt;&gt;"",$J87=$K87,$J87&gt;=AI$3,$J87&lt;=IF(param_mode_affichage="mois",EOMONTH(AI$3,0),AI$3+6)),"◆",""))</f>
      </c>
      <c r="AJ87" s="26">
        <f>IF(OR($A87="",AJ$3=""),"",IF(AND($J87&lt;&gt;"",$K87&lt;&gt;"",$J87=$K87,$J87&gt;=AJ$3,$J87&lt;=IF(param_mode_affichage="mois",EOMONTH(AJ$3,0),AJ$3+6)),"◆",""))</f>
      </c>
      <c r="AK87" s="26">
        <f>IF(OR($A87="",AK$3=""),"",IF(AND($J87&lt;&gt;"",$K87&lt;&gt;"",$J87=$K87,$J87&gt;=AK$3,$J87&lt;=IF(param_mode_affichage="mois",EOMONTH(AK$3,0),AK$3+6)),"◆",""))</f>
      </c>
      <c r="AL87" s="26">
        <f>IF(OR($A87="",AL$3=""),"",IF(AND($J87&lt;&gt;"",$K87&lt;&gt;"",$J87=$K87,$J87&gt;=AL$3,$J87&lt;=IF(param_mode_affichage="mois",EOMONTH(AL$3,0),AL$3+6)),"◆",""))</f>
      </c>
      <c r="AM87" s="26">
        <f>IF(OR($A87="",AM$3=""),"",IF(AND($J87&lt;&gt;"",$K87&lt;&gt;"",$J87=$K87,$J87&gt;=AM$3,$J87&lt;=IF(param_mode_affichage="mois",EOMONTH(AM$3,0),AM$3+6)),"◆",""))</f>
      </c>
      <c r="AN87" s="26">
        <f>IF(OR($A87="",AN$3=""),"",IF(AND($J87&lt;&gt;"",$K87&lt;&gt;"",$J87=$K87,$J87&gt;=AN$3,$J87&lt;=IF(param_mode_affichage="mois",EOMONTH(AN$3,0),AN$3+6)),"◆",""))</f>
      </c>
      <c r="AO87" s="26">
        <f>IF(OR($A87="",AO$3=""),"",IF(AND($J87&lt;&gt;"",$K87&lt;&gt;"",$J87=$K87,$J87&gt;=AO$3,$J87&lt;=IF(param_mode_affichage="mois",EOMONTH(AO$3,0),AO$3+6)),"◆",""))</f>
      </c>
      <c r="AP87" s="26">
        <f>IF(OR($A87="",AP$3=""),"",IF(AND($J87&lt;&gt;"",$K87&lt;&gt;"",$J87=$K87,$J87&gt;=AP$3,$J87&lt;=IF(param_mode_affichage="mois",EOMONTH(AP$3,0),AP$3+6)),"◆",""))</f>
      </c>
      <c r="AQ87" s="26">
        <f>IF(OR($A87="",AQ$3=""),"",IF(AND($J87&lt;&gt;"",$K87&lt;&gt;"",$J87=$K87,$J87&gt;=AQ$3,$J87&lt;=IF(param_mode_affichage="mois",EOMONTH(AQ$3,0),AQ$3+6)),"◆",""))</f>
      </c>
      <c r="AR87" s="26">
        <f>IF(OR($A87="",AR$3=""),"",IF(AND($J87&lt;&gt;"",$K87&lt;&gt;"",$J87=$K87,$J87&gt;=AR$3,$J87&lt;=IF(param_mode_affichage="mois",EOMONTH(AR$3,0),AR$3+6)),"◆",""))</f>
      </c>
      <c r="AS87" s="26">
        <f>IF(OR($A87="",AS$3=""),"",IF(AND($J87&lt;&gt;"",$K87&lt;&gt;"",$J87=$K87,$J87&gt;=AS$3,$J87&lt;=IF(param_mode_affichage="mois",EOMONTH(AS$3,0),AS$3+6)),"◆",""))</f>
      </c>
      <c r="AT87" s="26">
        <f>IF(OR($A87="",AT$3=""),"",IF(AND($J87&lt;&gt;"",$K87&lt;&gt;"",$J87=$K87,$J87&gt;=AT$3,$J87&lt;=IF(param_mode_affichage="mois",EOMONTH(AT$3,0),AT$3+6)),"◆",""))</f>
      </c>
      <c r="AU87" s="26">
        <f>IF(OR($A87="",AU$3=""),"",IF(AND($J87&lt;&gt;"",$K87&lt;&gt;"",$J87=$K87,$J87&gt;=AU$3,$J87&lt;=IF(param_mode_affichage="mois",EOMONTH(AU$3,0),AU$3+6)),"◆",""))</f>
      </c>
      <c r="AV87" s="26">
        <f>IF(OR($A87="",AV$3=""),"",IF(AND($J87&lt;&gt;"",$K87&lt;&gt;"",$J87=$K87,$J87&gt;=AV$3,$J87&lt;=IF(param_mode_affichage="mois",EOMONTH(AV$3,0),AV$3+6)),"◆",""))</f>
      </c>
      <c r="AW87" s="26">
        <f>IF(OR($A87="",AW$3=""),"",IF(AND($J87&lt;&gt;"",$K87&lt;&gt;"",$J87=$K87,$J87&gt;=AW$3,$J87&lt;=IF(param_mode_affichage="mois",EOMONTH(AW$3,0),AW$3+6)),"◆",""))</f>
      </c>
      <c r="AX87" s="26">
        <f>IF(OR($A87="",AX$3=""),"",IF(AND($J87&lt;&gt;"",$K87&lt;&gt;"",$J87=$K87,$J87&gt;=AX$3,$J87&lt;=IF(param_mode_affichage="mois",EOMONTH(AX$3,0),AX$3+6)),"◆",""))</f>
      </c>
      <c r="AY87" s="26">
        <f>IF(OR($A87="",AY$3=""),"",IF(AND($J87&lt;&gt;"",$K87&lt;&gt;"",$J87=$K87,$J87&gt;=AY$3,$J87&lt;=IF(param_mode_affichage="mois",EOMONTH(AY$3,0),AY$3+6)),"◆",""))</f>
      </c>
      <c r="AZ87" s="26">
        <f>IF(OR($A87="",AZ$3=""),"",IF(AND($J87&lt;&gt;"",$K87&lt;&gt;"",$J87=$K87,$J87&gt;=AZ$3,$J87&lt;=IF(param_mode_affichage="mois",EOMONTH(AZ$3,0),AZ$3+6)),"◆",""))</f>
      </c>
      <c r="BA87" s="26">
        <f>IF(OR($A87="",BA$3=""),"",IF(AND($J87&lt;&gt;"",$K87&lt;&gt;"",$J87=$K87,$J87&gt;=BA$3,$J87&lt;=IF(param_mode_affichage="mois",EOMONTH(BA$3,0),BA$3+6)),"◆",""))</f>
      </c>
      <c r="BB87" s="26">
        <f>IF(OR($A87="",BB$3=""),"",IF(AND($J87&lt;&gt;"",$K87&lt;&gt;"",$J87=$K87,$J87&gt;=BB$3,$J87&lt;=IF(param_mode_affichage="mois",EOMONTH(BB$3,0),BB$3+6)),"◆",""))</f>
      </c>
      <c r="BC87" s="26">
        <f>IF(OR($A87="",BC$3=""),"",IF(AND($J87&lt;&gt;"",$K87&lt;&gt;"",$J87=$K87,$J87&gt;=BC$3,$J87&lt;=IF(param_mode_affichage="mois",EOMONTH(BC$3,0),BC$3+6)),"◆",""))</f>
      </c>
      <c r="BD87" s="26">
        <f>IF(OR($A87="",BD$3=""),"",IF(AND($J87&lt;&gt;"",$K87&lt;&gt;"",$J87=$K87,$J87&gt;=BD$3,$J87&lt;=IF(param_mode_affichage="mois",EOMONTH(BD$3,0),BD$3+6)),"◆",""))</f>
      </c>
      <c r="BE87" s="26">
        <f>IF(OR($A87="",BE$3=""),"",IF(AND($J87&lt;&gt;"",$K87&lt;&gt;"",$J87=$K87,$J87&gt;=BE$3,$J87&lt;=IF(param_mode_affichage="mois",EOMONTH(BE$3,0),BE$3+6)),"◆",""))</f>
      </c>
      <c r="BF87" s="26">
        <f>IF(OR($A87="",BF$3=""),"",IF(AND($J87&lt;&gt;"",$K87&lt;&gt;"",$J87=$K87,$J87&gt;=BF$3,$J87&lt;=IF(param_mode_affichage="mois",EOMONTH(BF$3,0),BF$3+6)),"◆",""))</f>
      </c>
      <c r="BG87" s="26">
        <f>IF(OR($A87="",BG$3=""),"",IF(AND($J87&lt;&gt;"",$K87&lt;&gt;"",$J87=$K87,$J87&gt;=BG$3,$J87&lt;=IF(param_mode_affichage="mois",EOMONTH(BG$3,0),BG$3+6)),"◆",""))</f>
      </c>
      <c r="BH87" s="26">
        <f>IF(OR($A87="",BH$3=""),"",IF(AND($J87&lt;&gt;"",$K87&lt;&gt;"",$J87=$K87,$J87&gt;=BH$3,$J87&lt;=IF(param_mode_affichage="mois",EOMONTH(BH$3,0),BH$3+6)),"◆",""))</f>
      </c>
      <c r="BI87" s="26">
        <f>IF(OR($A87="",BI$3=""),"",IF(AND($J87&lt;&gt;"",$K87&lt;&gt;"",$J87=$K87,$J87&gt;=BI$3,$J87&lt;=IF(param_mode_affichage="mois",EOMONTH(BI$3,0),BI$3+6)),"◆",""))</f>
      </c>
      <c r="BJ87" s="26">
        <f>IF(OR($A87="",BJ$3=""),"",IF(AND($J87&lt;&gt;"",$K87&lt;&gt;"",$J87=$K87,$J87&gt;=BJ$3,$J87&lt;=IF(param_mode_affichage="mois",EOMONTH(BJ$3,0),BJ$3+6)),"◆",""))</f>
      </c>
      <c r="BK87" s="26">
        <f>IF(OR($A87="",BK$3=""),"",IF(AND($J87&lt;&gt;"",$K87&lt;&gt;"",$J87=$K87,$J87&gt;=BK$3,$J87&lt;=IF(param_mode_affichage="mois",EOMONTH(BK$3,0),BK$3+6)),"◆",""))</f>
      </c>
      <c r="BL87" s="26">
        <f>IF(OR($A87="",BL$3=""),"",IF(AND($J87&lt;&gt;"",$K87&lt;&gt;"",$J87=$K87,$J87&gt;=BL$3,$J87&lt;=IF(param_mode_affichage="mois",EOMONTH(BL$3,0),BL$3+6)),"◆",""))</f>
      </c>
    </row>
    <row r="88" spans="1:64" x14ac:dyDescent="0.25">
      <c r="A88" s="23">
        <f>IFERROR(INDEX(tblTasks[ID],ROW()-4),"")</f>
      </c>
      <c r="B88" s="24">
        <f>IF($A88="","",INDEX(tblTasks[Sujet],ROW()-4))</f>
      </c>
      <c r="C88" s="23">
        <f>IF($A88="","",INDEX(tblTasks[Responsable],ROW()-4))</f>
      </c>
      <c r="D88" s="23">
        <f>IF($A88="","",INDEX(tblTasks[Statut],ROW()-4))</f>
      </c>
      <c r="E88" s="23">
        <f>IF($A88="","",INDEX(tblTasks[Depend_de],ROW()-4))</f>
      </c>
      <c r="F88" s="23">
        <f>IF($A88="","",INDEX(tblTasks[Blocage],ROW()-4))</f>
      </c>
      <c r="G88" s="23">
        <f>IF($A88="","",INDEX(tblTasks[Niveau_criticite],ROW()-4))</f>
      </c>
      <c r="H88" s="23">
        <f>IF($A88="","",INDEX(tblTasks[Goulot],ROW()-4))</f>
      </c>
      <c r="I88" s="23">
        <f>IF($A88="","",IF(LOWER($F88)="oui","non",IF($E88="","oui",IFERROR(IF(LOWER(INDEX(tblTasks[Statut],MATCH($E88,tblTasks[ID],0)))="clos","oui","non"),"non"))))</f>
      </c>
      <c r="J88" s="25">
        <f>IF($A88="","",INDEX(tblTasks[Date_debut_prevue],ROW()-4))</f>
      </c>
      <c r="K88" s="25">
        <f>IF($A88="","",INDEX(tblTasks[Date_fin_prevue],ROW()-4))</f>
      </c>
      <c r="L88" s="23">
        <f>IF($A88="","",INDEX(tblTasks[Irreversibilite],ROW()-4))</f>
      </c>
      <c r="M88" s="26">
        <f>IF(OR($A88="",M$3=""),"",IF(AND($J88&lt;&gt;"",$K88&lt;&gt;"",$J88=$K88,$J88&gt;=M$3,$J88&lt;=IF(param_mode_affichage="mois",EOMONTH(M$3,0),M$3+6)),"◆",""))</f>
      </c>
      <c r="N88" s="26">
        <f>IF(OR($A88="",N$3=""),"",IF(AND($J88&lt;&gt;"",$K88&lt;&gt;"",$J88=$K88,$J88&gt;=N$3,$J88&lt;=IF(param_mode_affichage="mois",EOMONTH(N$3,0),N$3+6)),"◆",""))</f>
      </c>
      <c r="O88" s="26">
        <f>IF(OR($A88="",O$3=""),"",IF(AND($J88&lt;&gt;"",$K88&lt;&gt;"",$J88=$K88,$J88&gt;=O$3,$J88&lt;=IF(param_mode_affichage="mois",EOMONTH(O$3,0),O$3+6)),"◆",""))</f>
      </c>
      <c r="P88" s="26">
        <f>IF(OR($A88="",P$3=""),"",IF(AND($J88&lt;&gt;"",$K88&lt;&gt;"",$J88=$K88,$J88&gt;=P$3,$J88&lt;=IF(param_mode_affichage="mois",EOMONTH(P$3,0),P$3+6)),"◆",""))</f>
      </c>
      <c r="Q88" s="26">
        <f>IF(OR($A88="",Q$3=""),"",IF(AND($J88&lt;&gt;"",$K88&lt;&gt;"",$J88=$K88,$J88&gt;=Q$3,$J88&lt;=IF(param_mode_affichage="mois",EOMONTH(Q$3,0),Q$3+6)),"◆",""))</f>
      </c>
      <c r="R88" s="26">
        <f>IF(OR($A88="",R$3=""),"",IF(AND($J88&lt;&gt;"",$K88&lt;&gt;"",$J88=$K88,$J88&gt;=R$3,$J88&lt;=IF(param_mode_affichage="mois",EOMONTH(R$3,0),R$3+6)),"◆",""))</f>
      </c>
      <c r="S88" s="26">
        <f>IF(OR($A88="",S$3=""),"",IF(AND($J88&lt;&gt;"",$K88&lt;&gt;"",$J88=$K88,$J88&gt;=S$3,$J88&lt;=IF(param_mode_affichage="mois",EOMONTH(S$3,0),S$3+6)),"◆",""))</f>
      </c>
      <c r="T88" s="26">
        <f>IF(OR($A88="",T$3=""),"",IF(AND($J88&lt;&gt;"",$K88&lt;&gt;"",$J88=$K88,$J88&gt;=T$3,$J88&lt;=IF(param_mode_affichage="mois",EOMONTH(T$3,0),T$3+6)),"◆",""))</f>
      </c>
      <c r="U88" s="26">
        <f>IF(OR($A88="",U$3=""),"",IF(AND($J88&lt;&gt;"",$K88&lt;&gt;"",$J88=$K88,$J88&gt;=U$3,$J88&lt;=IF(param_mode_affichage="mois",EOMONTH(U$3,0),U$3+6)),"◆",""))</f>
      </c>
      <c r="V88" s="26">
        <f>IF(OR($A88="",V$3=""),"",IF(AND($J88&lt;&gt;"",$K88&lt;&gt;"",$J88=$K88,$J88&gt;=V$3,$J88&lt;=IF(param_mode_affichage="mois",EOMONTH(V$3,0),V$3+6)),"◆",""))</f>
      </c>
      <c r="W88" s="26">
        <f>IF(OR($A88="",W$3=""),"",IF(AND($J88&lt;&gt;"",$K88&lt;&gt;"",$J88=$K88,$J88&gt;=W$3,$J88&lt;=IF(param_mode_affichage="mois",EOMONTH(W$3,0),W$3+6)),"◆",""))</f>
      </c>
      <c r="X88" s="26">
        <f>IF(OR($A88="",X$3=""),"",IF(AND($J88&lt;&gt;"",$K88&lt;&gt;"",$J88=$K88,$J88&gt;=X$3,$J88&lt;=IF(param_mode_affichage="mois",EOMONTH(X$3,0),X$3+6)),"◆",""))</f>
      </c>
      <c r="Y88" s="26">
        <f>IF(OR($A88="",Y$3=""),"",IF(AND($J88&lt;&gt;"",$K88&lt;&gt;"",$J88=$K88,$J88&gt;=Y$3,$J88&lt;=IF(param_mode_affichage="mois",EOMONTH(Y$3,0),Y$3+6)),"◆",""))</f>
      </c>
      <c r="Z88" s="26">
        <f>IF(OR($A88="",Z$3=""),"",IF(AND($J88&lt;&gt;"",$K88&lt;&gt;"",$J88=$K88,$J88&gt;=Z$3,$J88&lt;=IF(param_mode_affichage="mois",EOMONTH(Z$3,0),Z$3+6)),"◆",""))</f>
      </c>
      <c r="AA88" s="26">
        <f>IF(OR($A88="",AA$3=""),"",IF(AND($J88&lt;&gt;"",$K88&lt;&gt;"",$J88=$K88,$J88&gt;=AA$3,$J88&lt;=IF(param_mode_affichage="mois",EOMONTH(AA$3,0),AA$3+6)),"◆",""))</f>
      </c>
      <c r="AB88" s="26">
        <f>IF(OR($A88="",AB$3=""),"",IF(AND($J88&lt;&gt;"",$K88&lt;&gt;"",$J88=$K88,$J88&gt;=AB$3,$J88&lt;=IF(param_mode_affichage="mois",EOMONTH(AB$3,0),AB$3+6)),"◆",""))</f>
      </c>
      <c r="AC88" s="26">
        <f>IF(OR($A88="",AC$3=""),"",IF(AND($J88&lt;&gt;"",$K88&lt;&gt;"",$J88=$K88,$J88&gt;=AC$3,$J88&lt;=IF(param_mode_affichage="mois",EOMONTH(AC$3,0),AC$3+6)),"◆",""))</f>
      </c>
      <c r="AD88" s="26">
        <f>IF(OR($A88="",AD$3=""),"",IF(AND($J88&lt;&gt;"",$K88&lt;&gt;"",$J88=$K88,$J88&gt;=AD$3,$J88&lt;=IF(param_mode_affichage="mois",EOMONTH(AD$3,0),AD$3+6)),"◆",""))</f>
      </c>
      <c r="AE88" s="26">
        <f>IF(OR($A88="",AE$3=""),"",IF(AND($J88&lt;&gt;"",$K88&lt;&gt;"",$J88=$K88,$J88&gt;=AE$3,$J88&lt;=IF(param_mode_affichage="mois",EOMONTH(AE$3,0),AE$3+6)),"◆",""))</f>
      </c>
      <c r="AF88" s="26">
        <f>IF(OR($A88="",AF$3=""),"",IF(AND($J88&lt;&gt;"",$K88&lt;&gt;"",$J88=$K88,$J88&gt;=AF$3,$J88&lt;=IF(param_mode_affichage="mois",EOMONTH(AF$3,0),AF$3+6)),"◆",""))</f>
      </c>
      <c r="AG88" s="26">
        <f>IF(OR($A88="",AG$3=""),"",IF(AND($J88&lt;&gt;"",$K88&lt;&gt;"",$J88=$K88,$J88&gt;=AG$3,$J88&lt;=IF(param_mode_affichage="mois",EOMONTH(AG$3,0),AG$3+6)),"◆",""))</f>
      </c>
      <c r="AH88" s="26">
        <f>IF(OR($A88="",AH$3=""),"",IF(AND($J88&lt;&gt;"",$K88&lt;&gt;"",$J88=$K88,$J88&gt;=AH$3,$J88&lt;=IF(param_mode_affichage="mois",EOMONTH(AH$3,0),AH$3+6)),"◆",""))</f>
      </c>
      <c r="AI88" s="26">
        <f>IF(OR($A88="",AI$3=""),"",IF(AND($J88&lt;&gt;"",$K88&lt;&gt;"",$J88=$K88,$J88&gt;=AI$3,$J88&lt;=IF(param_mode_affichage="mois",EOMONTH(AI$3,0),AI$3+6)),"◆",""))</f>
      </c>
      <c r="AJ88" s="26">
        <f>IF(OR($A88="",AJ$3=""),"",IF(AND($J88&lt;&gt;"",$K88&lt;&gt;"",$J88=$K88,$J88&gt;=AJ$3,$J88&lt;=IF(param_mode_affichage="mois",EOMONTH(AJ$3,0),AJ$3+6)),"◆",""))</f>
      </c>
      <c r="AK88" s="26">
        <f>IF(OR($A88="",AK$3=""),"",IF(AND($J88&lt;&gt;"",$K88&lt;&gt;"",$J88=$K88,$J88&gt;=AK$3,$J88&lt;=IF(param_mode_affichage="mois",EOMONTH(AK$3,0),AK$3+6)),"◆",""))</f>
      </c>
      <c r="AL88" s="26">
        <f>IF(OR($A88="",AL$3=""),"",IF(AND($J88&lt;&gt;"",$K88&lt;&gt;"",$J88=$K88,$J88&gt;=AL$3,$J88&lt;=IF(param_mode_affichage="mois",EOMONTH(AL$3,0),AL$3+6)),"◆",""))</f>
      </c>
      <c r="AM88" s="26">
        <f>IF(OR($A88="",AM$3=""),"",IF(AND($J88&lt;&gt;"",$K88&lt;&gt;"",$J88=$K88,$J88&gt;=AM$3,$J88&lt;=IF(param_mode_affichage="mois",EOMONTH(AM$3,0),AM$3+6)),"◆",""))</f>
      </c>
      <c r="AN88" s="26">
        <f>IF(OR($A88="",AN$3=""),"",IF(AND($J88&lt;&gt;"",$K88&lt;&gt;"",$J88=$K88,$J88&gt;=AN$3,$J88&lt;=IF(param_mode_affichage="mois",EOMONTH(AN$3,0),AN$3+6)),"◆",""))</f>
      </c>
      <c r="AO88" s="26">
        <f>IF(OR($A88="",AO$3=""),"",IF(AND($J88&lt;&gt;"",$K88&lt;&gt;"",$J88=$K88,$J88&gt;=AO$3,$J88&lt;=IF(param_mode_affichage="mois",EOMONTH(AO$3,0),AO$3+6)),"◆",""))</f>
      </c>
      <c r="AP88" s="26">
        <f>IF(OR($A88="",AP$3=""),"",IF(AND($J88&lt;&gt;"",$K88&lt;&gt;"",$J88=$K88,$J88&gt;=AP$3,$J88&lt;=IF(param_mode_affichage="mois",EOMONTH(AP$3,0),AP$3+6)),"◆",""))</f>
      </c>
      <c r="AQ88" s="26">
        <f>IF(OR($A88="",AQ$3=""),"",IF(AND($J88&lt;&gt;"",$K88&lt;&gt;"",$J88=$K88,$J88&gt;=AQ$3,$J88&lt;=IF(param_mode_affichage="mois",EOMONTH(AQ$3,0),AQ$3+6)),"◆",""))</f>
      </c>
      <c r="AR88" s="26">
        <f>IF(OR($A88="",AR$3=""),"",IF(AND($J88&lt;&gt;"",$K88&lt;&gt;"",$J88=$K88,$J88&gt;=AR$3,$J88&lt;=IF(param_mode_affichage="mois",EOMONTH(AR$3,0),AR$3+6)),"◆",""))</f>
      </c>
      <c r="AS88" s="26">
        <f>IF(OR($A88="",AS$3=""),"",IF(AND($J88&lt;&gt;"",$K88&lt;&gt;"",$J88=$K88,$J88&gt;=AS$3,$J88&lt;=IF(param_mode_affichage="mois",EOMONTH(AS$3,0),AS$3+6)),"◆",""))</f>
      </c>
      <c r="AT88" s="26">
        <f>IF(OR($A88="",AT$3=""),"",IF(AND($J88&lt;&gt;"",$K88&lt;&gt;"",$J88=$K88,$J88&gt;=AT$3,$J88&lt;=IF(param_mode_affichage="mois",EOMONTH(AT$3,0),AT$3+6)),"◆",""))</f>
      </c>
      <c r="AU88" s="26">
        <f>IF(OR($A88="",AU$3=""),"",IF(AND($J88&lt;&gt;"",$K88&lt;&gt;"",$J88=$K88,$J88&gt;=AU$3,$J88&lt;=IF(param_mode_affichage="mois",EOMONTH(AU$3,0),AU$3+6)),"◆",""))</f>
      </c>
      <c r="AV88" s="26">
        <f>IF(OR($A88="",AV$3=""),"",IF(AND($J88&lt;&gt;"",$K88&lt;&gt;"",$J88=$K88,$J88&gt;=AV$3,$J88&lt;=IF(param_mode_affichage="mois",EOMONTH(AV$3,0),AV$3+6)),"◆",""))</f>
      </c>
      <c r="AW88" s="26">
        <f>IF(OR($A88="",AW$3=""),"",IF(AND($J88&lt;&gt;"",$K88&lt;&gt;"",$J88=$K88,$J88&gt;=AW$3,$J88&lt;=IF(param_mode_affichage="mois",EOMONTH(AW$3,0),AW$3+6)),"◆",""))</f>
      </c>
      <c r="AX88" s="26">
        <f>IF(OR($A88="",AX$3=""),"",IF(AND($J88&lt;&gt;"",$K88&lt;&gt;"",$J88=$K88,$J88&gt;=AX$3,$J88&lt;=IF(param_mode_affichage="mois",EOMONTH(AX$3,0),AX$3+6)),"◆",""))</f>
      </c>
      <c r="AY88" s="26">
        <f>IF(OR($A88="",AY$3=""),"",IF(AND($J88&lt;&gt;"",$K88&lt;&gt;"",$J88=$K88,$J88&gt;=AY$3,$J88&lt;=IF(param_mode_affichage="mois",EOMONTH(AY$3,0),AY$3+6)),"◆",""))</f>
      </c>
      <c r="AZ88" s="26">
        <f>IF(OR($A88="",AZ$3=""),"",IF(AND($J88&lt;&gt;"",$K88&lt;&gt;"",$J88=$K88,$J88&gt;=AZ$3,$J88&lt;=IF(param_mode_affichage="mois",EOMONTH(AZ$3,0),AZ$3+6)),"◆",""))</f>
      </c>
      <c r="BA88" s="26">
        <f>IF(OR($A88="",BA$3=""),"",IF(AND($J88&lt;&gt;"",$K88&lt;&gt;"",$J88=$K88,$J88&gt;=BA$3,$J88&lt;=IF(param_mode_affichage="mois",EOMONTH(BA$3,0),BA$3+6)),"◆",""))</f>
      </c>
      <c r="BB88" s="26">
        <f>IF(OR($A88="",BB$3=""),"",IF(AND($J88&lt;&gt;"",$K88&lt;&gt;"",$J88=$K88,$J88&gt;=BB$3,$J88&lt;=IF(param_mode_affichage="mois",EOMONTH(BB$3,0),BB$3+6)),"◆",""))</f>
      </c>
      <c r="BC88" s="26">
        <f>IF(OR($A88="",BC$3=""),"",IF(AND($J88&lt;&gt;"",$K88&lt;&gt;"",$J88=$K88,$J88&gt;=BC$3,$J88&lt;=IF(param_mode_affichage="mois",EOMONTH(BC$3,0),BC$3+6)),"◆",""))</f>
      </c>
      <c r="BD88" s="26">
        <f>IF(OR($A88="",BD$3=""),"",IF(AND($J88&lt;&gt;"",$K88&lt;&gt;"",$J88=$K88,$J88&gt;=BD$3,$J88&lt;=IF(param_mode_affichage="mois",EOMONTH(BD$3,0),BD$3+6)),"◆",""))</f>
      </c>
      <c r="BE88" s="26">
        <f>IF(OR($A88="",BE$3=""),"",IF(AND($J88&lt;&gt;"",$K88&lt;&gt;"",$J88=$K88,$J88&gt;=BE$3,$J88&lt;=IF(param_mode_affichage="mois",EOMONTH(BE$3,0),BE$3+6)),"◆",""))</f>
      </c>
      <c r="BF88" s="26">
        <f>IF(OR($A88="",BF$3=""),"",IF(AND($J88&lt;&gt;"",$K88&lt;&gt;"",$J88=$K88,$J88&gt;=BF$3,$J88&lt;=IF(param_mode_affichage="mois",EOMONTH(BF$3,0),BF$3+6)),"◆",""))</f>
      </c>
      <c r="BG88" s="26">
        <f>IF(OR($A88="",BG$3=""),"",IF(AND($J88&lt;&gt;"",$K88&lt;&gt;"",$J88=$K88,$J88&gt;=BG$3,$J88&lt;=IF(param_mode_affichage="mois",EOMONTH(BG$3,0),BG$3+6)),"◆",""))</f>
      </c>
      <c r="BH88" s="26">
        <f>IF(OR($A88="",BH$3=""),"",IF(AND($J88&lt;&gt;"",$K88&lt;&gt;"",$J88=$K88,$J88&gt;=BH$3,$J88&lt;=IF(param_mode_affichage="mois",EOMONTH(BH$3,0),BH$3+6)),"◆",""))</f>
      </c>
      <c r="BI88" s="26">
        <f>IF(OR($A88="",BI$3=""),"",IF(AND($J88&lt;&gt;"",$K88&lt;&gt;"",$J88=$K88,$J88&gt;=BI$3,$J88&lt;=IF(param_mode_affichage="mois",EOMONTH(BI$3,0),BI$3+6)),"◆",""))</f>
      </c>
      <c r="BJ88" s="26">
        <f>IF(OR($A88="",BJ$3=""),"",IF(AND($J88&lt;&gt;"",$K88&lt;&gt;"",$J88=$K88,$J88&gt;=BJ$3,$J88&lt;=IF(param_mode_affichage="mois",EOMONTH(BJ$3,0),BJ$3+6)),"◆",""))</f>
      </c>
      <c r="BK88" s="26">
        <f>IF(OR($A88="",BK$3=""),"",IF(AND($J88&lt;&gt;"",$K88&lt;&gt;"",$J88=$K88,$J88&gt;=BK$3,$J88&lt;=IF(param_mode_affichage="mois",EOMONTH(BK$3,0),BK$3+6)),"◆",""))</f>
      </c>
      <c r="BL88" s="26">
        <f>IF(OR($A88="",BL$3=""),"",IF(AND($J88&lt;&gt;"",$K88&lt;&gt;"",$J88=$K88,$J88&gt;=BL$3,$J88&lt;=IF(param_mode_affichage="mois",EOMONTH(BL$3,0),BL$3+6)),"◆",""))</f>
      </c>
    </row>
    <row r="89" spans="1:64" x14ac:dyDescent="0.25">
      <c r="A89" s="23">
        <f>IFERROR(INDEX(tblTasks[ID],ROW()-4),"")</f>
      </c>
      <c r="B89" s="24">
        <f>IF($A89="","",INDEX(tblTasks[Sujet],ROW()-4))</f>
      </c>
      <c r="C89" s="23">
        <f>IF($A89="","",INDEX(tblTasks[Responsable],ROW()-4))</f>
      </c>
      <c r="D89" s="23">
        <f>IF($A89="","",INDEX(tblTasks[Statut],ROW()-4))</f>
      </c>
      <c r="E89" s="23">
        <f>IF($A89="","",INDEX(tblTasks[Depend_de],ROW()-4))</f>
      </c>
      <c r="F89" s="23">
        <f>IF($A89="","",INDEX(tblTasks[Blocage],ROW()-4))</f>
      </c>
      <c r="G89" s="23">
        <f>IF($A89="","",INDEX(tblTasks[Niveau_criticite],ROW()-4))</f>
      </c>
      <c r="H89" s="23">
        <f>IF($A89="","",INDEX(tblTasks[Goulot],ROW()-4))</f>
      </c>
      <c r="I89" s="23">
        <f>IF($A89="","",IF(LOWER($F89)="oui","non",IF($E89="","oui",IFERROR(IF(LOWER(INDEX(tblTasks[Statut],MATCH($E89,tblTasks[ID],0)))="clos","oui","non"),"non"))))</f>
      </c>
      <c r="J89" s="25">
        <f>IF($A89="","",INDEX(tblTasks[Date_debut_prevue],ROW()-4))</f>
      </c>
      <c r="K89" s="25">
        <f>IF($A89="","",INDEX(tblTasks[Date_fin_prevue],ROW()-4))</f>
      </c>
      <c r="L89" s="23">
        <f>IF($A89="","",INDEX(tblTasks[Irreversibilite],ROW()-4))</f>
      </c>
      <c r="M89" s="26">
        <f>IF(OR($A89="",M$3=""),"",IF(AND($J89&lt;&gt;"",$K89&lt;&gt;"",$J89=$K89,$J89&gt;=M$3,$J89&lt;=IF(param_mode_affichage="mois",EOMONTH(M$3,0),M$3+6)),"◆",""))</f>
      </c>
      <c r="N89" s="26">
        <f>IF(OR($A89="",N$3=""),"",IF(AND($J89&lt;&gt;"",$K89&lt;&gt;"",$J89=$K89,$J89&gt;=N$3,$J89&lt;=IF(param_mode_affichage="mois",EOMONTH(N$3,0),N$3+6)),"◆",""))</f>
      </c>
      <c r="O89" s="26">
        <f>IF(OR($A89="",O$3=""),"",IF(AND($J89&lt;&gt;"",$K89&lt;&gt;"",$J89=$K89,$J89&gt;=O$3,$J89&lt;=IF(param_mode_affichage="mois",EOMONTH(O$3,0),O$3+6)),"◆",""))</f>
      </c>
      <c r="P89" s="26">
        <f>IF(OR($A89="",P$3=""),"",IF(AND($J89&lt;&gt;"",$K89&lt;&gt;"",$J89=$K89,$J89&gt;=P$3,$J89&lt;=IF(param_mode_affichage="mois",EOMONTH(P$3,0),P$3+6)),"◆",""))</f>
      </c>
      <c r="Q89" s="26">
        <f>IF(OR($A89="",Q$3=""),"",IF(AND($J89&lt;&gt;"",$K89&lt;&gt;"",$J89=$K89,$J89&gt;=Q$3,$J89&lt;=IF(param_mode_affichage="mois",EOMONTH(Q$3,0),Q$3+6)),"◆",""))</f>
      </c>
      <c r="R89" s="26">
        <f>IF(OR($A89="",R$3=""),"",IF(AND($J89&lt;&gt;"",$K89&lt;&gt;"",$J89=$K89,$J89&gt;=R$3,$J89&lt;=IF(param_mode_affichage="mois",EOMONTH(R$3,0),R$3+6)),"◆",""))</f>
      </c>
      <c r="S89" s="26">
        <f>IF(OR($A89="",S$3=""),"",IF(AND($J89&lt;&gt;"",$K89&lt;&gt;"",$J89=$K89,$J89&gt;=S$3,$J89&lt;=IF(param_mode_affichage="mois",EOMONTH(S$3,0),S$3+6)),"◆",""))</f>
      </c>
      <c r="T89" s="26">
        <f>IF(OR($A89="",T$3=""),"",IF(AND($J89&lt;&gt;"",$K89&lt;&gt;"",$J89=$K89,$J89&gt;=T$3,$J89&lt;=IF(param_mode_affichage="mois",EOMONTH(T$3,0),T$3+6)),"◆",""))</f>
      </c>
      <c r="U89" s="26">
        <f>IF(OR($A89="",U$3=""),"",IF(AND($J89&lt;&gt;"",$K89&lt;&gt;"",$J89=$K89,$J89&gt;=U$3,$J89&lt;=IF(param_mode_affichage="mois",EOMONTH(U$3,0),U$3+6)),"◆",""))</f>
      </c>
      <c r="V89" s="26">
        <f>IF(OR($A89="",V$3=""),"",IF(AND($J89&lt;&gt;"",$K89&lt;&gt;"",$J89=$K89,$J89&gt;=V$3,$J89&lt;=IF(param_mode_affichage="mois",EOMONTH(V$3,0),V$3+6)),"◆",""))</f>
      </c>
      <c r="W89" s="26">
        <f>IF(OR($A89="",W$3=""),"",IF(AND($J89&lt;&gt;"",$K89&lt;&gt;"",$J89=$K89,$J89&gt;=W$3,$J89&lt;=IF(param_mode_affichage="mois",EOMONTH(W$3,0),W$3+6)),"◆",""))</f>
      </c>
      <c r="X89" s="26">
        <f>IF(OR($A89="",X$3=""),"",IF(AND($J89&lt;&gt;"",$K89&lt;&gt;"",$J89=$K89,$J89&gt;=X$3,$J89&lt;=IF(param_mode_affichage="mois",EOMONTH(X$3,0),X$3+6)),"◆",""))</f>
      </c>
      <c r="Y89" s="26">
        <f>IF(OR($A89="",Y$3=""),"",IF(AND($J89&lt;&gt;"",$K89&lt;&gt;"",$J89=$K89,$J89&gt;=Y$3,$J89&lt;=IF(param_mode_affichage="mois",EOMONTH(Y$3,0),Y$3+6)),"◆",""))</f>
      </c>
      <c r="Z89" s="26">
        <f>IF(OR($A89="",Z$3=""),"",IF(AND($J89&lt;&gt;"",$K89&lt;&gt;"",$J89=$K89,$J89&gt;=Z$3,$J89&lt;=IF(param_mode_affichage="mois",EOMONTH(Z$3,0),Z$3+6)),"◆",""))</f>
      </c>
      <c r="AA89" s="26">
        <f>IF(OR($A89="",AA$3=""),"",IF(AND($J89&lt;&gt;"",$K89&lt;&gt;"",$J89=$K89,$J89&gt;=AA$3,$J89&lt;=IF(param_mode_affichage="mois",EOMONTH(AA$3,0),AA$3+6)),"◆",""))</f>
      </c>
      <c r="AB89" s="26">
        <f>IF(OR($A89="",AB$3=""),"",IF(AND($J89&lt;&gt;"",$K89&lt;&gt;"",$J89=$K89,$J89&gt;=AB$3,$J89&lt;=IF(param_mode_affichage="mois",EOMONTH(AB$3,0),AB$3+6)),"◆",""))</f>
      </c>
      <c r="AC89" s="26">
        <f>IF(OR($A89="",AC$3=""),"",IF(AND($J89&lt;&gt;"",$K89&lt;&gt;"",$J89=$K89,$J89&gt;=AC$3,$J89&lt;=IF(param_mode_affichage="mois",EOMONTH(AC$3,0),AC$3+6)),"◆",""))</f>
      </c>
      <c r="AD89" s="26">
        <f>IF(OR($A89="",AD$3=""),"",IF(AND($J89&lt;&gt;"",$K89&lt;&gt;"",$J89=$K89,$J89&gt;=AD$3,$J89&lt;=IF(param_mode_affichage="mois",EOMONTH(AD$3,0),AD$3+6)),"◆",""))</f>
      </c>
      <c r="AE89" s="26">
        <f>IF(OR($A89="",AE$3=""),"",IF(AND($J89&lt;&gt;"",$K89&lt;&gt;"",$J89=$K89,$J89&gt;=AE$3,$J89&lt;=IF(param_mode_affichage="mois",EOMONTH(AE$3,0),AE$3+6)),"◆",""))</f>
      </c>
      <c r="AF89" s="26">
        <f>IF(OR($A89="",AF$3=""),"",IF(AND($J89&lt;&gt;"",$K89&lt;&gt;"",$J89=$K89,$J89&gt;=AF$3,$J89&lt;=IF(param_mode_affichage="mois",EOMONTH(AF$3,0),AF$3+6)),"◆",""))</f>
      </c>
      <c r="AG89" s="26">
        <f>IF(OR($A89="",AG$3=""),"",IF(AND($J89&lt;&gt;"",$K89&lt;&gt;"",$J89=$K89,$J89&gt;=AG$3,$J89&lt;=IF(param_mode_affichage="mois",EOMONTH(AG$3,0),AG$3+6)),"◆",""))</f>
      </c>
      <c r="AH89" s="26">
        <f>IF(OR($A89="",AH$3=""),"",IF(AND($J89&lt;&gt;"",$K89&lt;&gt;"",$J89=$K89,$J89&gt;=AH$3,$J89&lt;=IF(param_mode_affichage="mois",EOMONTH(AH$3,0),AH$3+6)),"◆",""))</f>
      </c>
      <c r="AI89" s="26">
        <f>IF(OR($A89="",AI$3=""),"",IF(AND($J89&lt;&gt;"",$K89&lt;&gt;"",$J89=$K89,$J89&gt;=AI$3,$J89&lt;=IF(param_mode_affichage="mois",EOMONTH(AI$3,0),AI$3+6)),"◆",""))</f>
      </c>
      <c r="AJ89" s="26">
        <f>IF(OR($A89="",AJ$3=""),"",IF(AND($J89&lt;&gt;"",$K89&lt;&gt;"",$J89=$K89,$J89&gt;=AJ$3,$J89&lt;=IF(param_mode_affichage="mois",EOMONTH(AJ$3,0),AJ$3+6)),"◆",""))</f>
      </c>
      <c r="AK89" s="26">
        <f>IF(OR($A89="",AK$3=""),"",IF(AND($J89&lt;&gt;"",$K89&lt;&gt;"",$J89=$K89,$J89&gt;=AK$3,$J89&lt;=IF(param_mode_affichage="mois",EOMONTH(AK$3,0),AK$3+6)),"◆",""))</f>
      </c>
      <c r="AL89" s="26">
        <f>IF(OR($A89="",AL$3=""),"",IF(AND($J89&lt;&gt;"",$K89&lt;&gt;"",$J89=$K89,$J89&gt;=AL$3,$J89&lt;=IF(param_mode_affichage="mois",EOMONTH(AL$3,0),AL$3+6)),"◆",""))</f>
      </c>
      <c r="AM89" s="26">
        <f>IF(OR($A89="",AM$3=""),"",IF(AND($J89&lt;&gt;"",$K89&lt;&gt;"",$J89=$K89,$J89&gt;=AM$3,$J89&lt;=IF(param_mode_affichage="mois",EOMONTH(AM$3,0),AM$3+6)),"◆",""))</f>
      </c>
      <c r="AN89" s="26">
        <f>IF(OR($A89="",AN$3=""),"",IF(AND($J89&lt;&gt;"",$K89&lt;&gt;"",$J89=$K89,$J89&gt;=AN$3,$J89&lt;=IF(param_mode_affichage="mois",EOMONTH(AN$3,0),AN$3+6)),"◆",""))</f>
      </c>
      <c r="AO89" s="26">
        <f>IF(OR($A89="",AO$3=""),"",IF(AND($J89&lt;&gt;"",$K89&lt;&gt;"",$J89=$K89,$J89&gt;=AO$3,$J89&lt;=IF(param_mode_affichage="mois",EOMONTH(AO$3,0),AO$3+6)),"◆",""))</f>
      </c>
      <c r="AP89" s="26">
        <f>IF(OR($A89="",AP$3=""),"",IF(AND($J89&lt;&gt;"",$K89&lt;&gt;"",$J89=$K89,$J89&gt;=AP$3,$J89&lt;=IF(param_mode_affichage="mois",EOMONTH(AP$3,0),AP$3+6)),"◆",""))</f>
      </c>
      <c r="AQ89" s="26">
        <f>IF(OR($A89="",AQ$3=""),"",IF(AND($J89&lt;&gt;"",$K89&lt;&gt;"",$J89=$K89,$J89&gt;=AQ$3,$J89&lt;=IF(param_mode_affichage="mois",EOMONTH(AQ$3,0),AQ$3+6)),"◆",""))</f>
      </c>
      <c r="AR89" s="26">
        <f>IF(OR($A89="",AR$3=""),"",IF(AND($J89&lt;&gt;"",$K89&lt;&gt;"",$J89=$K89,$J89&gt;=AR$3,$J89&lt;=IF(param_mode_affichage="mois",EOMONTH(AR$3,0),AR$3+6)),"◆",""))</f>
      </c>
      <c r="AS89" s="26">
        <f>IF(OR($A89="",AS$3=""),"",IF(AND($J89&lt;&gt;"",$K89&lt;&gt;"",$J89=$K89,$J89&gt;=AS$3,$J89&lt;=IF(param_mode_affichage="mois",EOMONTH(AS$3,0),AS$3+6)),"◆",""))</f>
      </c>
      <c r="AT89" s="26">
        <f>IF(OR($A89="",AT$3=""),"",IF(AND($J89&lt;&gt;"",$K89&lt;&gt;"",$J89=$K89,$J89&gt;=AT$3,$J89&lt;=IF(param_mode_affichage="mois",EOMONTH(AT$3,0),AT$3+6)),"◆",""))</f>
      </c>
      <c r="AU89" s="26">
        <f>IF(OR($A89="",AU$3=""),"",IF(AND($J89&lt;&gt;"",$K89&lt;&gt;"",$J89=$K89,$J89&gt;=AU$3,$J89&lt;=IF(param_mode_affichage="mois",EOMONTH(AU$3,0),AU$3+6)),"◆",""))</f>
      </c>
      <c r="AV89" s="26">
        <f>IF(OR($A89="",AV$3=""),"",IF(AND($J89&lt;&gt;"",$K89&lt;&gt;"",$J89=$K89,$J89&gt;=AV$3,$J89&lt;=IF(param_mode_affichage="mois",EOMONTH(AV$3,0),AV$3+6)),"◆",""))</f>
      </c>
      <c r="AW89" s="26">
        <f>IF(OR($A89="",AW$3=""),"",IF(AND($J89&lt;&gt;"",$K89&lt;&gt;"",$J89=$K89,$J89&gt;=AW$3,$J89&lt;=IF(param_mode_affichage="mois",EOMONTH(AW$3,0),AW$3+6)),"◆",""))</f>
      </c>
      <c r="AX89" s="26">
        <f>IF(OR($A89="",AX$3=""),"",IF(AND($J89&lt;&gt;"",$K89&lt;&gt;"",$J89=$K89,$J89&gt;=AX$3,$J89&lt;=IF(param_mode_affichage="mois",EOMONTH(AX$3,0),AX$3+6)),"◆",""))</f>
      </c>
      <c r="AY89" s="26">
        <f>IF(OR($A89="",AY$3=""),"",IF(AND($J89&lt;&gt;"",$K89&lt;&gt;"",$J89=$K89,$J89&gt;=AY$3,$J89&lt;=IF(param_mode_affichage="mois",EOMONTH(AY$3,0),AY$3+6)),"◆",""))</f>
      </c>
      <c r="AZ89" s="26">
        <f>IF(OR($A89="",AZ$3=""),"",IF(AND($J89&lt;&gt;"",$K89&lt;&gt;"",$J89=$K89,$J89&gt;=AZ$3,$J89&lt;=IF(param_mode_affichage="mois",EOMONTH(AZ$3,0),AZ$3+6)),"◆",""))</f>
      </c>
      <c r="BA89" s="26">
        <f>IF(OR($A89="",BA$3=""),"",IF(AND($J89&lt;&gt;"",$K89&lt;&gt;"",$J89=$K89,$J89&gt;=BA$3,$J89&lt;=IF(param_mode_affichage="mois",EOMONTH(BA$3,0),BA$3+6)),"◆",""))</f>
      </c>
      <c r="BB89" s="26">
        <f>IF(OR($A89="",BB$3=""),"",IF(AND($J89&lt;&gt;"",$K89&lt;&gt;"",$J89=$K89,$J89&gt;=BB$3,$J89&lt;=IF(param_mode_affichage="mois",EOMONTH(BB$3,0),BB$3+6)),"◆",""))</f>
      </c>
      <c r="BC89" s="26">
        <f>IF(OR($A89="",BC$3=""),"",IF(AND($J89&lt;&gt;"",$K89&lt;&gt;"",$J89=$K89,$J89&gt;=BC$3,$J89&lt;=IF(param_mode_affichage="mois",EOMONTH(BC$3,0),BC$3+6)),"◆",""))</f>
      </c>
      <c r="BD89" s="26">
        <f>IF(OR($A89="",BD$3=""),"",IF(AND($J89&lt;&gt;"",$K89&lt;&gt;"",$J89=$K89,$J89&gt;=BD$3,$J89&lt;=IF(param_mode_affichage="mois",EOMONTH(BD$3,0),BD$3+6)),"◆",""))</f>
      </c>
      <c r="BE89" s="26">
        <f>IF(OR($A89="",BE$3=""),"",IF(AND($J89&lt;&gt;"",$K89&lt;&gt;"",$J89=$K89,$J89&gt;=BE$3,$J89&lt;=IF(param_mode_affichage="mois",EOMONTH(BE$3,0),BE$3+6)),"◆",""))</f>
      </c>
      <c r="BF89" s="26">
        <f>IF(OR($A89="",BF$3=""),"",IF(AND($J89&lt;&gt;"",$K89&lt;&gt;"",$J89=$K89,$J89&gt;=BF$3,$J89&lt;=IF(param_mode_affichage="mois",EOMONTH(BF$3,0),BF$3+6)),"◆",""))</f>
      </c>
      <c r="BG89" s="26">
        <f>IF(OR($A89="",BG$3=""),"",IF(AND($J89&lt;&gt;"",$K89&lt;&gt;"",$J89=$K89,$J89&gt;=BG$3,$J89&lt;=IF(param_mode_affichage="mois",EOMONTH(BG$3,0),BG$3+6)),"◆",""))</f>
      </c>
      <c r="BH89" s="26">
        <f>IF(OR($A89="",BH$3=""),"",IF(AND($J89&lt;&gt;"",$K89&lt;&gt;"",$J89=$K89,$J89&gt;=BH$3,$J89&lt;=IF(param_mode_affichage="mois",EOMONTH(BH$3,0),BH$3+6)),"◆",""))</f>
      </c>
      <c r="BI89" s="26">
        <f>IF(OR($A89="",BI$3=""),"",IF(AND($J89&lt;&gt;"",$K89&lt;&gt;"",$J89=$K89,$J89&gt;=BI$3,$J89&lt;=IF(param_mode_affichage="mois",EOMONTH(BI$3,0),BI$3+6)),"◆",""))</f>
      </c>
      <c r="BJ89" s="26">
        <f>IF(OR($A89="",BJ$3=""),"",IF(AND($J89&lt;&gt;"",$K89&lt;&gt;"",$J89=$K89,$J89&gt;=BJ$3,$J89&lt;=IF(param_mode_affichage="mois",EOMONTH(BJ$3,0),BJ$3+6)),"◆",""))</f>
      </c>
      <c r="BK89" s="26">
        <f>IF(OR($A89="",BK$3=""),"",IF(AND($J89&lt;&gt;"",$K89&lt;&gt;"",$J89=$K89,$J89&gt;=BK$3,$J89&lt;=IF(param_mode_affichage="mois",EOMONTH(BK$3,0),BK$3+6)),"◆",""))</f>
      </c>
      <c r="BL89" s="26">
        <f>IF(OR($A89="",BL$3=""),"",IF(AND($J89&lt;&gt;"",$K89&lt;&gt;"",$J89=$K89,$J89&gt;=BL$3,$J89&lt;=IF(param_mode_affichage="mois",EOMONTH(BL$3,0),BL$3+6)),"◆",""))</f>
      </c>
    </row>
    <row r="90" spans="1:64" x14ac:dyDescent="0.25">
      <c r="A90" s="23">
        <f>IFERROR(INDEX(tblTasks[ID],ROW()-4),"")</f>
      </c>
      <c r="B90" s="24">
        <f>IF($A90="","",INDEX(tblTasks[Sujet],ROW()-4))</f>
      </c>
      <c r="C90" s="23">
        <f>IF($A90="","",INDEX(tblTasks[Responsable],ROW()-4))</f>
      </c>
      <c r="D90" s="23">
        <f>IF($A90="","",INDEX(tblTasks[Statut],ROW()-4))</f>
      </c>
      <c r="E90" s="23">
        <f>IF($A90="","",INDEX(tblTasks[Depend_de],ROW()-4))</f>
      </c>
      <c r="F90" s="23">
        <f>IF($A90="","",INDEX(tblTasks[Blocage],ROW()-4))</f>
      </c>
      <c r="G90" s="23">
        <f>IF($A90="","",INDEX(tblTasks[Niveau_criticite],ROW()-4))</f>
      </c>
      <c r="H90" s="23">
        <f>IF($A90="","",INDEX(tblTasks[Goulot],ROW()-4))</f>
      </c>
      <c r="I90" s="23">
        <f>IF($A90="","",IF(LOWER($F90)="oui","non",IF($E90="","oui",IFERROR(IF(LOWER(INDEX(tblTasks[Statut],MATCH($E90,tblTasks[ID],0)))="clos","oui","non"),"non"))))</f>
      </c>
      <c r="J90" s="25">
        <f>IF($A90="","",INDEX(tblTasks[Date_debut_prevue],ROW()-4))</f>
      </c>
      <c r="K90" s="25">
        <f>IF($A90="","",INDEX(tblTasks[Date_fin_prevue],ROW()-4))</f>
      </c>
      <c r="L90" s="23">
        <f>IF($A90="","",INDEX(tblTasks[Irreversibilite],ROW()-4))</f>
      </c>
      <c r="M90" s="26">
        <f>IF(OR($A90="",M$3=""),"",IF(AND($J90&lt;&gt;"",$K90&lt;&gt;"",$J90=$K90,$J90&gt;=M$3,$J90&lt;=IF(param_mode_affichage="mois",EOMONTH(M$3,0),M$3+6)),"◆",""))</f>
      </c>
      <c r="N90" s="26">
        <f>IF(OR($A90="",N$3=""),"",IF(AND($J90&lt;&gt;"",$K90&lt;&gt;"",$J90=$K90,$J90&gt;=N$3,$J90&lt;=IF(param_mode_affichage="mois",EOMONTH(N$3,0),N$3+6)),"◆",""))</f>
      </c>
      <c r="O90" s="26">
        <f>IF(OR($A90="",O$3=""),"",IF(AND($J90&lt;&gt;"",$K90&lt;&gt;"",$J90=$K90,$J90&gt;=O$3,$J90&lt;=IF(param_mode_affichage="mois",EOMONTH(O$3,0),O$3+6)),"◆",""))</f>
      </c>
      <c r="P90" s="26">
        <f>IF(OR($A90="",P$3=""),"",IF(AND($J90&lt;&gt;"",$K90&lt;&gt;"",$J90=$K90,$J90&gt;=P$3,$J90&lt;=IF(param_mode_affichage="mois",EOMONTH(P$3,0),P$3+6)),"◆",""))</f>
      </c>
      <c r="Q90" s="26">
        <f>IF(OR($A90="",Q$3=""),"",IF(AND($J90&lt;&gt;"",$K90&lt;&gt;"",$J90=$K90,$J90&gt;=Q$3,$J90&lt;=IF(param_mode_affichage="mois",EOMONTH(Q$3,0),Q$3+6)),"◆",""))</f>
      </c>
      <c r="R90" s="26">
        <f>IF(OR($A90="",R$3=""),"",IF(AND($J90&lt;&gt;"",$K90&lt;&gt;"",$J90=$K90,$J90&gt;=R$3,$J90&lt;=IF(param_mode_affichage="mois",EOMONTH(R$3,0),R$3+6)),"◆",""))</f>
      </c>
      <c r="S90" s="26">
        <f>IF(OR($A90="",S$3=""),"",IF(AND($J90&lt;&gt;"",$K90&lt;&gt;"",$J90=$K90,$J90&gt;=S$3,$J90&lt;=IF(param_mode_affichage="mois",EOMONTH(S$3,0),S$3+6)),"◆",""))</f>
      </c>
      <c r="T90" s="26">
        <f>IF(OR($A90="",T$3=""),"",IF(AND($J90&lt;&gt;"",$K90&lt;&gt;"",$J90=$K90,$J90&gt;=T$3,$J90&lt;=IF(param_mode_affichage="mois",EOMONTH(T$3,0),T$3+6)),"◆",""))</f>
      </c>
      <c r="U90" s="26">
        <f>IF(OR($A90="",U$3=""),"",IF(AND($J90&lt;&gt;"",$K90&lt;&gt;"",$J90=$K90,$J90&gt;=U$3,$J90&lt;=IF(param_mode_affichage="mois",EOMONTH(U$3,0),U$3+6)),"◆",""))</f>
      </c>
      <c r="V90" s="26">
        <f>IF(OR($A90="",V$3=""),"",IF(AND($J90&lt;&gt;"",$K90&lt;&gt;"",$J90=$K90,$J90&gt;=V$3,$J90&lt;=IF(param_mode_affichage="mois",EOMONTH(V$3,0),V$3+6)),"◆",""))</f>
      </c>
      <c r="W90" s="26">
        <f>IF(OR($A90="",W$3=""),"",IF(AND($J90&lt;&gt;"",$K90&lt;&gt;"",$J90=$K90,$J90&gt;=W$3,$J90&lt;=IF(param_mode_affichage="mois",EOMONTH(W$3,0),W$3+6)),"◆",""))</f>
      </c>
      <c r="X90" s="26">
        <f>IF(OR($A90="",X$3=""),"",IF(AND($J90&lt;&gt;"",$K90&lt;&gt;"",$J90=$K90,$J90&gt;=X$3,$J90&lt;=IF(param_mode_affichage="mois",EOMONTH(X$3,0),X$3+6)),"◆",""))</f>
      </c>
      <c r="Y90" s="26">
        <f>IF(OR($A90="",Y$3=""),"",IF(AND($J90&lt;&gt;"",$K90&lt;&gt;"",$J90=$K90,$J90&gt;=Y$3,$J90&lt;=IF(param_mode_affichage="mois",EOMONTH(Y$3,0),Y$3+6)),"◆",""))</f>
      </c>
      <c r="Z90" s="26">
        <f>IF(OR($A90="",Z$3=""),"",IF(AND($J90&lt;&gt;"",$K90&lt;&gt;"",$J90=$K90,$J90&gt;=Z$3,$J90&lt;=IF(param_mode_affichage="mois",EOMONTH(Z$3,0),Z$3+6)),"◆",""))</f>
      </c>
      <c r="AA90" s="26">
        <f>IF(OR($A90="",AA$3=""),"",IF(AND($J90&lt;&gt;"",$K90&lt;&gt;"",$J90=$K90,$J90&gt;=AA$3,$J90&lt;=IF(param_mode_affichage="mois",EOMONTH(AA$3,0),AA$3+6)),"◆",""))</f>
      </c>
      <c r="AB90" s="26">
        <f>IF(OR($A90="",AB$3=""),"",IF(AND($J90&lt;&gt;"",$K90&lt;&gt;"",$J90=$K90,$J90&gt;=AB$3,$J90&lt;=IF(param_mode_affichage="mois",EOMONTH(AB$3,0),AB$3+6)),"◆",""))</f>
      </c>
      <c r="AC90" s="26">
        <f>IF(OR($A90="",AC$3=""),"",IF(AND($J90&lt;&gt;"",$K90&lt;&gt;"",$J90=$K90,$J90&gt;=AC$3,$J90&lt;=IF(param_mode_affichage="mois",EOMONTH(AC$3,0),AC$3+6)),"◆",""))</f>
      </c>
      <c r="AD90" s="26">
        <f>IF(OR($A90="",AD$3=""),"",IF(AND($J90&lt;&gt;"",$K90&lt;&gt;"",$J90=$K90,$J90&gt;=AD$3,$J90&lt;=IF(param_mode_affichage="mois",EOMONTH(AD$3,0),AD$3+6)),"◆",""))</f>
      </c>
      <c r="AE90" s="26">
        <f>IF(OR($A90="",AE$3=""),"",IF(AND($J90&lt;&gt;"",$K90&lt;&gt;"",$J90=$K90,$J90&gt;=AE$3,$J90&lt;=IF(param_mode_affichage="mois",EOMONTH(AE$3,0),AE$3+6)),"◆",""))</f>
      </c>
      <c r="AF90" s="26">
        <f>IF(OR($A90="",AF$3=""),"",IF(AND($J90&lt;&gt;"",$K90&lt;&gt;"",$J90=$K90,$J90&gt;=AF$3,$J90&lt;=IF(param_mode_affichage="mois",EOMONTH(AF$3,0),AF$3+6)),"◆",""))</f>
      </c>
      <c r="AG90" s="26">
        <f>IF(OR($A90="",AG$3=""),"",IF(AND($J90&lt;&gt;"",$K90&lt;&gt;"",$J90=$K90,$J90&gt;=AG$3,$J90&lt;=IF(param_mode_affichage="mois",EOMONTH(AG$3,0),AG$3+6)),"◆",""))</f>
      </c>
      <c r="AH90" s="26">
        <f>IF(OR($A90="",AH$3=""),"",IF(AND($J90&lt;&gt;"",$K90&lt;&gt;"",$J90=$K90,$J90&gt;=AH$3,$J90&lt;=IF(param_mode_affichage="mois",EOMONTH(AH$3,0),AH$3+6)),"◆",""))</f>
      </c>
      <c r="AI90" s="26">
        <f>IF(OR($A90="",AI$3=""),"",IF(AND($J90&lt;&gt;"",$K90&lt;&gt;"",$J90=$K90,$J90&gt;=AI$3,$J90&lt;=IF(param_mode_affichage="mois",EOMONTH(AI$3,0),AI$3+6)),"◆",""))</f>
      </c>
      <c r="AJ90" s="26">
        <f>IF(OR($A90="",AJ$3=""),"",IF(AND($J90&lt;&gt;"",$K90&lt;&gt;"",$J90=$K90,$J90&gt;=AJ$3,$J90&lt;=IF(param_mode_affichage="mois",EOMONTH(AJ$3,0),AJ$3+6)),"◆",""))</f>
      </c>
      <c r="AK90" s="26">
        <f>IF(OR($A90="",AK$3=""),"",IF(AND($J90&lt;&gt;"",$K90&lt;&gt;"",$J90=$K90,$J90&gt;=AK$3,$J90&lt;=IF(param_mode_affichage="mois",EOMONTH(AK$3,0),AK$3+6)),"◆",""))</f>
      </c>
      <c r="AL90" s="26">
        <f>IF(OR($A90="",AL$3=""),"",IF(AND($J90&lt;&gt;"",$K90&lt;&gt;"",$J90=$K90,$J90&gt;=AL$3,$J90&lt;=IF(param_mode_affichage="mois",EOMONTH(AL$3,0),AL$3+6)),"◆",""))</f>
      </c>
      <c r="AM90" s="26">
        <f>IF(OR($A90="",AM$3=""),"",IF(AND($J90&lt;&gt;"",$K90&lt;&gt;"",$J90=$K90,$J90&gt;=AM$3,$J90&lt;=IF(param_mode_affichage="mois",EOMONTH(AM$3,0),AM$3+6)),"◆",""))</f>
      </c>
      <c r="AN90" s="26">
        <f>IF(OR($A90="",AN$3=""),"",IF(AND($J90&lt;&gt;"",$K90&lt;&gt;"",$J90=$K90,$J90&gt;=AN$3,$J90&lt;=IF(param_mode_affichage="mois",EOMONTH(AN$3,0),AN$3+6)),"◆",""))</f>
      </c>
      <c r="AO90" s="26">
        <f>IF(OR($A90="",AO$3=""),"",IF(AND($J90&lt;&gt;"",$K90&lt;&gt;"",$J90=$K90,$J90&gt;=AO$3,$J90&lt;=IF(param_mode_affichage="mois",EOMONTH(AO$3,0),AO$3+6)),"◆",""))</f>
      </c>
      <c r="AP90" s="26">
        <f>IF(OR($A90="",AP$3=""),"",IF(AND($J90&lt;&gt;"",$K90&lt;&gt;"",$J90=$K90,$J90&gt;=AP$3,$J90&lt;=IF(param_mode_affichage="mois",EOMONTH(AP$3,0),AP$3+6)),"◆",""))</f>
      </c>
      <c r="AQ90" s="26">
        <f>IF(OR($A90="",AQ$3=""),"",IF(AND($J90&lt;&gt;"",$K90&lt;&gt;"",$J90=$K90,$J90&gt;=AQ$3,$J90&lt;=IF(param_mode_affichage="mois",EOMONTH(AQ$3,0),AQ$3+6)),"◆",""))</f>
      </c>
      <c r="AR90" s="26">
        <f>IF(OR($A90="",AR$3=""),"",IF(AND($J90&lt;&gt;"",$K90&lt;&gt;"",$J90=$K90,$J90&gt;=AR$3,$J90&lt;=IF(param_mode_affichage="mois",EOMONTH(AR$3,0),AR$3+6)),"◆",""))</f>
      </c>
      <c r="AS90" s="26">
        <f>IF(OR($A90="",AS$3=""),"",IF(AND($J90&lt;&gt;"",$K90&lt;&gt;"",$J90=$K90,$J90&gt;=AS$3,$J90&lt;=IF(param_mode_affichage="mois",EOMONTH(AS$3,0),AS$3+6)),"◆",""))</f>
      </c>
      <c r="AT90" s="26">
        <f>IF(OR($A90="",AT$3=""),"",IF(AND($J90&lt;&gt;"",$K90&lt;&gt;"",$J90=$K90,$J90&gt;=AT$3,$J90&lt;=IF(param_mode_affichage="mois",EOMONTH(AT$3,0),AT$3+6)),"◆",""))</f>
      </c>
      <c r="AU90" s="26">
        <f>IF(OR($A90="",AU$3=""),"",IF(AND($J90&lt;&gt;"",$K90&lt;&gt;"",$J90=$K90,$J90&gt;=AU$3,$J90&lt;=IF(param_mode_affichage="mois",EOMONTH(AU$3,0),AU$3+6)),"◆",""))</f>
      </c>
      <c r="AV90" s="26">
        <f>IF(OR($A90="",AV$3=""),"",IF(AND($J90&lt;&gt;"",$K90&lt;&gt;"",$J90=$K90,$J90&gt;=AV$3,$J90&lt;=IF(param_mode_affichage="mois",EOMONTH(AV$3,0),AV$3+6)),"◆",""))</f>
      </c>
      <c r="AW90" s="26">
        <f>IF(OR($A90="",AW$3=""),"",IF(AND($J90&lt;&gt;"",$K90&lt;&gt;"",$J90=$K90,$J90&gt;=AW$3,$J90&lt;=IF(param_mode_affichage="mois",EOMONTH(AW$3,0),AW$3+6)),"◆",""))</f>
      </c>
      <c r="AX90" s="26">
        <f>IF(OR($A90="",AX$3=""),"",IF(AND($J90&lt;&gt;"",$K90&lt;&gt;"",$J90=$K90,$J90&gt;=AX$3,$J90&lt;=IF(param_mode_affichage="mois",EOMONTH(AX$3,0),AX$3+6)),"◆",""))</f>
      </c>
      <c r="AY90" s="26">
        <f>IF(OR($A90="",AY$3=""),"",IF(AND($J90&lt;&gt;"",$K90&lt;&gt;"",$J90=$K90,$J90&gt;=AY$3,$J90&lt;=IF(param_mode_affichage="mois",EOMONTH(AY$3,0),AY$3+6)),"◆",""))</f>
      </c>
      <c r="AZ90" s="26">
        <f>IF(OR($A90="",AZ$3=""),"",IF(AND($J90&lt;&gt;"",$K90&lt;&gt;"",$J90=$K90,$J90&gt;=AZ$3,$J90&lt;=IF(param_mode_affichage="mois",EOMONTH(AZ$3,0),AZ$3+6)),"◆",""))</f>
      </c>
      <c r="BA90" s="26">
        <f>IF(OR($A90="",BA$3=""),"",IF(AND($J90&lt;&gt;"",$K90&lt;&gt;"",$J90=$K90,$J90&gt;=BA$3,$J90&lt;=IF(param_mode_affichage="mois",EOMONTH(BA$3,0),BA$3+6)),"◆",""))</f>
      </c>
      <c r="BB90" s="26">
        <f>IF(OR($A90="",BB$3=""),"",IF(AND($J90&lt;&gt;"",$K90&lt;&gt;"",$J90=$K90,$J90&gt;=BB$3,$J90&lt;=IF(param_mode_affichage="mois",EOMONTH(BB$3,0),BB$3+6)),"◆",""))</f>
      </c>
      <c r="BC90" s="26">
        <f>IF(OR($A90="",BC$3=""),"",IF(AND($J90&lt;&gt;"",$K90&lt;&gt;"",$J90=$K90,$J90&gt;=BC$3,$J90&lt;=IF(param_mode_affichage="mois",EOMONTH(BC$3,0),BC$3+6)),"◆",""))</f>
      </c>
      <c r="BD90" s="26">
        <f>IF(OR($A90="",BD$3=""),"",IF(AND($J90&lt;&gt;"",$K90&lt;&gt;"",$J90=$K90,$J90&gt;=BD$3,$J90&lt;=IF(param_mode_affichage="mois",EOMONTH(BD$3,0),BD$3+6)),"◆",""))</f>
      </c>
      <c r="BE90" s="26">
        <f>IF(OR($A90="",BE$3=""),"",IF(AND($J90&lt;&gt;"",$K90&lt;&gt;"",$J90=$K90,$J90&gt;=BE$3,$J90&lt;=IF(param_mode_affichage="mois",EOMONTH(BE$3,0),BE$3+6)),"◆",""))</f>
      </c>
      <c r="BF90" s="26">
        <f>IF(OR($A90="",BF$3=""),"",IF(AND($J90&lt;&gt;"",$K90&lt;&gt;"",$J90=$K90,$J90&gt;=BF$3,$J90&lt;=IF(param_mode_affichage="mois",EOMONTH(BF$3,0),BF$3+6)),"◆",""))</f>
      </c>
      <c r="BG90" s="26">
        <f>IF(OR($A90="",BG$3=""),"",IF(AND($J90&lt;&gt;"",$K90&lt;&gt;"",$J90=$K90,$J90&gt;=BG$3,$J90&lt;=IF(param_mode_affichage="mois",EOMONTH(BG$3,0),BG$3+6)),"◆",""))</f>
      </c>
      <c r="BH90" s="26">
        <f>IF(OR($A90="",BH$3=""),"",IF(AND($J90&lt;&gt;"",$K90&lt;&gt;"",$J90=$K90,$J90&gt;=BH$3,$J90&lt;=IF(param_mode_affichage="mois",EOMONTH(BH$3,0),BH$3+6)),"◆",""))</f>
      </c>
      <c r="BI90" s="26">
        <f>IF(OR($A90="",BI$3=""),"",IF(AND($J90&lt;&gt;"",$K90&lt;&gt;"",$J90=$K90,$J90&gt;=BI$3,$J90&lt;=IF(param_mode_affichage="mois",EOMONTH(BI$3,0),BI$3+6)),"◆",""))</f>
      </c>
      <c r="BJ90" s="26">
        <f>IF(OR($A90="",BJ$3=""),"",IF(AND($J90&lt;&gt;"",$K90&lt;&gt;"",$J90=$K90,$J90&gt;=BJ$3,$J90&lt;=IF(param_mode_affichage="mois",EOMONTH(BJ$3,0),BJ$3+6)),"◆",""))</f>
      </c>
      <c r="BK90" s="26">
        <f>IF(OR($A90="",BK$3=""),"",IF(AND($J90&lt;&gt;"",$K90&lt;&gt;"",$J90=$K90,$J90&gt;=BK$3,$J90&lt;=IF(param_mode_affichage="mois",EOMONTH(BK$3,0),BK$3+6)),"◆",""))</f>
      </c>
      <c r="BL90" s="26">
        <f>IF(OR($A90="",BL$3=""),"",IF(AND($J90&lt;&gt;"",$K90&lt;&gt;"",$J90=$K90,$J90&gt;=BL$3,$J90&lt;=IF(param_mode_affichage="mois",EOMONTH(BL$3,0),BL$3+6)),"◆",""))</f>
      </c>
    </row>
    <row r="91" spans="1:64" x14ac:dyDescent="0.25">
      <c r="A91" s="23">
        <f>IFERROR(INDEX(tblTasks[ID],ROW()-4),"")</f>
      </c>
      <c r="B91" s="24">
        <f>IF($A91="","",INDEX(tblTasks[Sujet],ROW()-4))</f>
      </c>
      <c r="C91" s="23">
        <f>IF($A91="","",INDEX(tblTasks[Responsable],ROW()-4))</f>
      </c>
      <c r="D91" s="23">
        <f>IF($A91="","",INDEX(tblTasks[Statut],ROW()-4))</f>
      </c>
      <c r="E91" s="23">
        <f>IF($A91="","",INDEX(tblTasks[Depend_de],ROW()-4))</f>
      </c>
      <c r="F91" s="23">
        <f>IF($A91="","",INDEX(tblTasks[Blocage],ROW()-4))</f>
      </c>
      <c r="G91" s="23">
        <f>IF($A91="","",INDEX(tblTasks[Niveau_criticite],ROW()-4))</f>
      </c>
      <c r="H91" s="23">
        <f>IF($A91="","",INDEX(tblTasks[Goulot],ROW()-4))</f>
      </c>
      <c r="I91" s="23">
        <f>IF($A91="","",IF(LOWER($F91)="oui","non",IF($E91="","oui",IFERROR(IF(LOWER(INDEX(tblTasks[Statut],MATCH($E91,tblTasks[ID],0)))="clos","oui","non"),"non"))))</f>
      </c>
      <c r="J91" s="25">
        <f>IF($A91="","",INDEX(tblTasks[Date_debut_prevue],ROW()-4))</f>
      </c>
      <c r="K91" s="25">
        <f>IF($A91="","",INDEX(tblTasks[Date_fin_prevue],ROW()-4))</f>
      </c>
      <c r="L91" s="23">
        <f>IF($A91="","",INDEX(tblTasks[Irreversibilite],ROW()-4))</f>
      </c>
      <c r="M91" s="26">
        <f>IF(OR($A91="",M$3=""),"",IF(AND($J91&lt;&gt;"",$K91&lt;&gt;"",$J91=$K91,$J91&gt;=M$3,$J91&lt;=IF(param_mode_affichage="mois",EOMONTH(M$3,0),M$3+6)),"◆",""))</f>
      </c>
      <c r="N91" s="26">
        <f>IF(OR($A91="",N$3=""),"",IF(AND($J91&lt;&gt;"",$K91&lt;&gt;"",$J91=$K91,$J91&gt;=N$3,$J91&lt;=IF(param_mode_affichage="mois",EOMONTH(N$3,0),N$3+6)),"◆",""))</f>
      </c>
      <c r="O91" s="26">
        <f>IF(OR($A91="",O$3=""),"",IF(AND($J91&lt;&gt;"",$K91&lt;&gt;"",$J91=$K91,$J91&gt;=O$3,$J91&lt;=IF(param_mode_affichage="mois",EOMONTH(O$3,0),O$3+6)),"◆",""))</f>
      </c>
      <c r="P91" s="26">
        <f>IF(OR($A91="",P$3=""),"",IF(AND($J91&lt;&gt;"",$K91&lt;&gt;"",$J91=$K91,$J91&gt;=P$3,$J91&lt;=IF(param_mode_affichage="mois",EOMONTH(P$3,0),P$3+6)),"◆",""))</f>
      </c>
      <c r="Q91" s="26">
        <f>IF(OR($A91="",Q$3=""),"",IF(AND($J91&lt;&gt;"",$K91&lt;&gt;"",$J91=$K91,$J91&gt;=Q$3,$J91&lt;=IF(param_mode_affichage="mois",EOMONTH(Q$3,0),Q$3+6)),"◆",""))</f>
      </c>
      <c r="R91" s="26">
        <f>IF(OR($A91="",R$3=""),"",IF(AND($J91&lt;&gt;"",$K91&lt;&gt;"",$J91=$K91,$J91&gt;=R$3,$J91&lt;=IF(param_mode_affichage="mois",EOMONTH(R$3,0),R$3+6)),"◆",""))</f>
      </c>
      <c r="S91" s="26">
        <f>IF(OR($A91="",S$3=""),"",IF(AND($J91&lt;&gt;"",$K91&lt;&gt;"",$J91=$K91,$J91&gt;=S$3,$J91&lt;=IF(param_mode_affichage="mois",EOMONTH(S$3,0),S$3+6)),"◆",""))</f>
      </c>
      <c r="T91" s="26">
        <f>IF(OR($A91="",T$3=""),"",IF(AND($J91&lt;&gt;"",$K91&lt;&gt;"",$J91=$K91,$J91&gt;=T$3,$J91&lt;=IF(param_mode_affichage="mois",EOMONTH(T$3,0),T$3+6)),"◆",""))</f>
      </c>
      <c r="U91" s="26">
        <f>IF(OR($A91="",U$3=""),"",IF(AND($J91&lt;&gt;"",$K91&lt;&gt;"",$J91=$K91,$J91&gt;=U$3,$J91&lt;=IF(param_mode_affichage="mois",EOMONTH(U$3,0),U$3+6)),"◆",""))</f>
      </c>
      <c r="V91" s="26">
        <f>IF(OR($A91="",V$3=""),"",IF(AND($J91&lt;&gt;"",$K91&lt;&gt;"",$J91=$K91,$J91&gt;=V$3,$J91&lt;=IF(param_mode_affichage="mois",EOMONTH(V$3,0),V$3+6)),"◆",""))</f>
      </c>
      <c r="W91" s="26">
        <f>IF(OR($A91="",W$3=""),"",IF(AND($J91&lt;&gt;"",$K91&lt;&gt;"",$J91=$K91,$J91&gt;=W$3,$J91&lt;=IF(param_mode_affichage="mois",EOMONTH(W$3,0),W$3+6)),"◆",""))</f>
      </c>
      <c r="X91" s="26">
        <f>IF(OR($A91="",X$3=""),"",IF(AND($J91&lt;&gt;"",$K91&lt;&gt;"",$J91=$K91,$J91&gt;=X$3,$J91&lt;=IF(param_mode_affichage="mois",EOMONTH(X$3,0),X$3+6)),"◆",""))</f>
      </c>
      <c r="Y91" s="26">
        <f>IF(OR($A91="",Y$3=""),"",IF(AND($J91&lt;&gt;"",$K91&lt;&gt;"",$J91=$K91,$J91&gt;=Y$3,$J91&lt;=IF(param_mode_affichage="mois",EOMONTH(Y$3,0),Y$3+6)),"◆",""))</f>
      </c>
      <c r="Z91" s="26">
        <f>IF(OR($A91="",Z$3=""),"",IF(AND($J91&lt;&gt;"",$K91&lt;&gt;"",$J91=$K91,$J91&gt;=Z$3,$J91&lt;=IF(param_mode_affichage="mois",EOMONTH(Z$3,0),Z$3+6)),"◆",""))</f>
      </c>
      <c r="AA91" s="26">
        <f>IF(OR($A91="",AA$3=""),"",IF(AND($J91&lt;&gt;"",$K91&lt;&gt;"",$J91=$K91,$J91&gt;=AA$3,$J91&lt;=IF(param_mode_affichage="mois",EOMONTH(AA$3,0),AA$3+6)),"◆",""))</f>
      </c>
      <c r="AB91" s="26">
        <f>IF(OR($A91="",AB$3=""),"",IF(AND($J91&lt;&gt;"",$K91&lt;&gt;"",$J91=$K91,$J91&gt;=AB$3,$J91&lt;=IF(param_mode_affichage="mois",EOMONTH(AB$3,0),AB$3+6)),"◆",""))</f>
      </c>
      <c r="AC91" s="26">
        <f>IF(OR($A91="",AC$3=""),"",IF(AND($J91&lt;&gt;"",$K91&lt;&gt;"",$J91=$K91,$J91&gt;=AC$3,$J91&lt;=IF(param_mode_affichage="mois",EOMONTH(AC$3,0),AC$3+6)),"◆",""))</f>
      </c>
      <c r="AD91" s="26">
        <f>IF(OR($A91="",AD$3=""),"",IF(AND($J91&lt;&gt;"",$K91&lt;&gt;"",$J91=$K91,$J91&gt;=AD$3,$J91&lt;=IF(param_mode_affichage="mois",EOMONTH(AD$3,0),AD$3+6)),"◆",""))</f>
      </c>
      <c r="AE91" s="26">
        <f>IF(OR($A91="",AE$3=""),"",IF(AND($J91&lt;&gt;"",$K91&lt;&gt;"",$J91=$K91,$J91&gt;=AE$3,$J91&lt;=IF(param_mode_affichage="mois",EOMONTH(AE$3,0),AE$3+6)),"◆",""))</f>
      </c>
      <c r="AF91" s="26">
        <f>IF(OR($A91="",AF$3=""),"",IF(AND($J91&lt;&gt;"",$K91&lt;&gt;"",$J91=$K91,$J91&gt;=AF$3,$J91&lt;=IF(param_mode_affichage="mois",EOMONTH(AF$3,0),AF$3+6)),"◆",""))</f>
      </c>
      <c r="AG91" s="26">
        <f>IF(OR($A91="",AG$3=""),"",IF(AND($J91&lt;&gt;"",$K91&lt;&gt;"",$J91=$K91,$J91&gt;=AG$3,$J91&lt;=IF(param_mode_affichage="mois",EOMONTH(AG$3,0),AG$3+6)),"◆",""))</f>
      </c>
      <c r="AH91" s="26">
        <f>IF(OR($A91="",AH$3=""),"",IF(AND($J91&lt;&gt;"",$K91&lt;&gt;"",$J91=$K91,$J91&gt;=AH$3,$J91&lt;=IF(param_mode_affichage="mois",EOMONTH(AH$3,0),AH$3+6)),"◆",""))</f>
      </c>
      <c r="AI91" s="26">
        <f>IF(OR($A91="",AI$3=""),"",IF(AND($J91&lt;&gt;"",$K91&lt;&gt;"",$J91=$K91,$J91&gt;=AI$3,$J91&lt;=IF(param_mode_affichage="mois",EOMONTH(AI$3,0),AI$3+6)),"◆",""))</f>
      </c>
      <c r="AJ91" s="26">
        <f>IF(OR($A91="",AJ$3=""),"",IF(AND($J91&lt;&gt;"",$K91&lt;&gt;"",$J91=$K91,$J91&gt;=AJ$3,$J91&lt;=IF(param_mode_affichage="mois",EOMONTH(AJ$3,0),AJ$3+6)),"◆",""))</f>
      </c>
      <c r="AK91" s="26">
        <f>IF(OR($A91="",AK$3=""),"",IF(AND($J91&lt;&gt;"",$K91&lt;&gt;"",$J91=$K91,$J91&gt;=AK$3,$J91&lt;=IF(param_mode_affichage="mois",EOMONTH(AK$3,0),AK$3+6)),"◆",""))</f>
      </c>
      <c r="AL91" s="26">
        <f>IF(OR($A91="",AL$3=""),"",IF(AND($J91&lt;&gt;"",$K91&lt;&gt;"",$J91=$K91,$J91&gt;=AL$3,$J91&lt;=IF(param_mode_affichage="mois",EOMONTH(AL$3,0),AL$3+6)),"◆",""))</f>
      </c>
      <c r="AM91" s="26">
        <f>IF(OR($A91="",AM$3=""),"",IF(AND($J91&lt;&gt;"",$K91&lt;&gt;"",$J91=$K91,$J91&gt;=AM$3,$J91&lt;=IF(param_mode_affichage="mois",EOMONTH(AM$3,0),AM$3+6)),"◆",""))</f>
      </c>
      <c r="AN91" s="26">
        <f>IF(OR($A91="",AN$3=""),"",IF(AND($J91&lt;&gt;"",$K91&lt;&gt;"",$J91=$K91,$J91&gt;=AN$3,$J91&lt;=IF(param_mode_affichage="mois",EOMONTH(AN$3,0),AN$3+6)),"◆",""))</f>
      </c>
      <c r="AO91" s="26">
        <f>IF(OR($A91="",AO$3=""),"",IF(AND($J91&lt;&gt;"",$K91&lt;&gt;"",$J91=$K91,$J91&gt;=AO$3,$J91&lt;=IF(param_mode_affichage="mois",EOMONTH(AO$3,0),AO$3+6)),"◆",""))</f>
      </c>
      <c r="AP91" s="26">
        <f>IF(OR($A91="",AP$3=""),"",IF(AND($J91&lt;&gt;"",$K91&lt;&gt;"",$J91=$K91,$J91&gt;=AP$3,$J91&lt;=IF(param_mode_affichage="mois",EOMONTH(AP$3,0),AP$3+6)),"◆",""))</f>
      </c>
      <c r="AQ91" s="26">
        <f>IF(OR($A91="",AQ$3=""),"",IF(AND($J91&lt;&gt;"",$K91&lt;&gt;"",$J91=$K91,$J91&gt;=AQ$3,$J91&lt;=IF(param_mode_affichage="mois",EOMONTH(AQ$3,0),AQ$3+6)),"◆",""))</f>
      </c>
      <c r="AR91" s="26">
        <f>IF(OR($A91="",AR$3=""),"",IF(AND($J91&lt;&gt;"",$K91&lt;&gt;"",$J91=$K91,$J91&gt;=AR$3,$J91&lt;=IF(param_mode_affichage="mois",EOMONTH(AR$3,0),AR$3+6)),"◆",""))</f>
      </c>
      <c r="AS91" s="26">
        <f>IF(OR($A91="",AS$3=""),"",IF(AND($J91&lt;&gt;"",$K91&lt;&gt;"",$J91=$K91,$J91&gt;=AS$3,$J91&lt;=IF(param_mode_affichage="mois",EOMONTH(AS$3,0),AS$3+6)),"◆",""))</f>
      </c>
      <c r="AT91" s="26">
        <f>IF(OR($A91="",AT$3=""),"",IF(AND($J91&lt;&gt;"",$K91&lt;&gt;"",$J91=$K91,$J91&gt;=AT$3,$J91&lt;=IF(param_mode_affichage="mois",EOMONTH(AT$3,0),AT$3+6)),"◆",""))</f>
      </c>
      <c r="AU91" s="26">
        <f>IF(OR($A91="",AU$3=""),"",IF(AND($J91&lt;&gt;"",$K91&lt;&gt;"",$J91=$K91,$J91&gt;=AU$3,$J91&lt;=IF(param_mode_affichage="mois",EOMONTH(AU$3,0),AU$3+6)),"◆",""))</f>
      </c>
      <c r="AV91" s="26">
        <f>IF(OR($A91="",AV$3=""),"",IF(AND($J91&lt;&gt;"",$K91&lt;&gt;"",$J91=$K91,$J91&gt;=AV$3,$J91&lt;=IF(param_mode_affichage="mois",EOMONTH(AV$3,0),AV$3+6)),"◆",""))</f>
      </c>
      <c r="AW91" s="26">
        <f>IF(OR($A91="",AW$3=""),"",IF(AND($J91&lt;&gt;"",$K91&lt;&gt;"",$J91=$K91,$J91&gt;=AW$3,$J91&lt;=IF(param_mode_affichage="mois",EOMONTH(AW$3,0),AW$3+6)),"◆",""))</f>
      </c>
      <c r="AX91" s="26">
        <f>IF(OR($A91="",AX$3=""),"",IF(AND($J91&lt;&gt;"",$K91&lt;&gt;"",$J91=$K91,$J91&gt;=AX$3,$J91&lt;=IF(param_mode_affichage="mois",EOMONTH(AX$3,0),AX$3+6)),"◆",""))</f>
      </c>
      <c r="AY91" s="26">
        <f>IF(OR($A91="",AY$3=""),"",IF(AND($J91&lt;&gt;"",$K91&lt;&gt;"",$J91=$K91,$J91&gt;=AY$3,$J91&lt;=IF(param_mode_affichage="mois",EOMONTH(AY$3,0),AY$3+6)),"◆",""))</f>
      </c>
      <c r="AZ91" s="26">
        <f>IF(OR($A91="",AZ$3=""),"",IF(AND($J91&lt;&gt;"",$K91&lt;&gt;"",$J91=$K91,$J91&gt;=AZ$3,$J91&lt;=IF(param_mode_affichage="mois",EOMONTH(AZ$3,0),AZ$3+6)),"◆",""))</f>
      </c>
      <c r="BA91" s="26">
        <f>IF(OR($A91="",BA$3=""),"",IF(AND($J91&lt;&gt;"",$K91&lt;&gt;"",$J91=$K91,$J91&gt;=BA$3,$J91&lt;=IF(param_mode_affichage="mois",EOMONTH(BA$3,0),BA$3+6)),"◆",""))</f>
      </c>
      <c r="BB91" s="26">
        <f>IF(OR($A91="",BB$3=""),"",IF(AND($J91&lt;&gt;"",$K91&lt;&gt;"",$J91=$K91,$J91&gt;=BB$3,$J91&lt;=IF(param_mode_affichage="mois",EOMONTH(BB$3,0),BB$3+6)),"◆",""))</f>
      </c>
      <c r="BC91" s="26">
        <f>IF(OR($A91="",BC$3=""),"",IF(AND($J91&lt;&gt;"",$K91&lt;&gt;"",$J91=$K91,$J91&gt;=BC$3,$J91&lt;=IF(param_mode_affichage="mois",EOMONTH(BC$3,0),BC$3+6)),"◆",""))</f>
      </c>
      <c r="BD91" s="26">
        <f>IF(OR($A91="",BD$3=""),"",IF(AND($J91&lt;&gt;"",$K91&lt;&gt;"",$J91=$K91,$J91&gt;=BD$3,$J91&lt;=IF(param_mode_affichage="mois",EOMONTH(BD$3,0),BD$3+6)),"◆",""))</f>
      </c>
      <c r="BE91" s="26">
        <f>IF(OR($A91="",BE$3=""),"",IF(AND($J91&lt;&gt;"",$K91&lt;&gt;"",$J91=$K91,$J91&gt;=BE$3,$J91&lt;=IF(param_mode_affichage="mois",EOMONTH(BE$3,0),BE$3+6)),"◆",""))</f>
      </c>
      <c r="BF91" s="26">
        <f>IF(OR($A91="",BF$3=""),"",IF(AND($J91&lt;&gt;"",$K91&lt;&gt;"",$J91=$K91,$J91&gt;=BF$3,$J91&lt;=IF(param_mode_affichage="mois",EOMONTH(BF$3,0),BF$3+6)),"◆",""))</f>
      </c>
      <c r="BG91" s="26">
        <f>IF(OR($A91="",BG$3=""),"",IF(AND($J91&lt;&gt;"",$K91&lt;&gt;"",$J91=$K91,$J91&gt;=BG$3,$J91&lt;=IF(param_mode_affichage="mois",EOMONTH(BG$3,0),BG$3+6)),"◆",""))</f>
      </c>
      <c r="BH91" s="26">
        <f>IF(OR($A91="",BH$3=""),"",IF(AND($J91&lt;&gt;"",$K91&lt;&gt;"",$J91=$K91,$J91&gt;=BH$3,$J91&lt;=IF(param_mode_affichage="mois",EOMONTH(BH$3,0),BH$3+6)),"◆",""))</f>
      </c>
      <c r="BI91" s="26">
        <f>IF(OR($A91="",BI$3=""),"",IF(AND($J91&lt;&gt;"",$K91&lt;&gt;"",$J91=$K91,$J91&gt;=BI$3,$J91&lt;=IF(param_mode_affichage="mois",EOMONTH(BI$3,0),BI$3+6)),"◆",""))</f>
      </c>
      <c r="BJ91" s="26">
        <f>IF(OR($A91="",BJ$3=""),"",IF(AND($J91&lt;&gt;"",$K91&lt;&gt;"",$J91=$K91,$J91&gt;=BJ$3,$J91&lt;=IF(param_mode_affichage="mois",EOMONTH(BJ$3,0),BJ$3+6)),"◆",""))</f>
      </c>
      <c r="BK91" s="26">
        <f>IF(OR($A91="",BK$3=""),"",IF(AND($J91&lt;&gt;"",$K91&lt;&gt;"",$J91=$K91,$J91&gt;=BK$3,$J91&lt;=IF(param_mode_affichage="mois",EOMONTH(BK$3,0),BK$3+6)),"◆",""))</f>
      </c>
      <c r="BL91" s="26">
        <f>IF(OR($A91="",BL$3=""),"",IF(AND($J91&lt;&gt;"",$K91&lt;&gt;"",$J91=$K91,$J91&gt;=BL$3,$J91&lt;=IF(param_mode_affichage="mois",EOMONTH(BL$3,0),BL$3+6)),"◆",""))</f>
      </c>
    </row>
    <row r="92" spans="1:64" x14ac:dyDescent="0.25">
      <c r="A92" s="23">
        <f>IFERROR(INDEX(tblTasks[ID],ROW()-4),"")</f>
      </c>
      <c r="B92" s="24">
        <f>IF($A92="","",INDEX(tblTasks[Sujet],ROW()-4))</f>
      </c>
      <c r="C92" s="23">
        <f>IF($A92="","",INDEX(tblTasks[Responsable],ROW()-4))</f>
      </c>
      <c r="D92" s="23">
        <f>IF($A92="","",INDEX(tblTasks[Statut],ROW()-4))</f>
      </c>
      <c r="E92" s="23">
        <f>IF($A92="","",INDEX(tblTasks[Depend_de],ROW()-4))</f>
      </c>
      <c r="F92" s="23">
        <f>IF($A92="","",INDEX(tblTasks[Blocage],ROW()-4))</f>
      </c>
      <c r="G92" s="23">
        <f>IF($A92="","",INDEX(tblTasks[Niveau_criticite],ROW()-4))</f>
      </c>
      <c r="H92" s="23">
        <f>IF($A92="","",INDEX(tblTasks[Goulot],ROW()-4))</f>
      </c>
      <c r="I92" s="23">
        <f>IF($A92="","",IF(LOWER($F92)="oui","non",IF($E92="","oui",IFERROR(IF(LOWER(INDEX(tblTasks[Statut],MATCH($E92,tblTasks[ID],0)))="clos","oui","non"),"non"))))</f>
      </c>
      <c r="J92" s="25">
        <f>IF($A92="","",INDEX(tblTasks[Date_debut_prevue],ROW()-4))</f>
      </c>
      <c r="K92" s="25">
        <f>IF($A92="","",INDEX(tblTasks[Date_fin_prevue],ROW()-4))</f>
      </c>
      <c r="L92" s="23">
        <f>IF($A92="","",INDEX(tblTasks[Irreversibilite],ROW()-4))</f>
      </c>
      <c r="M92" s="26">
        <f>IF(OR($A92="",M$3=""),"",IF(AND($J92&lt;&gt;"",$K92&lt;&gt;"",$J92=$K92,$J92&gt;=M$3,$J92&lt;=IF(param_mode_affichage="mois",EOMONTH(M$3,0),M$3+6)),"◆",""))</f>
      </c>
      <c r="N92" s="26">
        <f>IF(OR($A92="",N$3=""),"",IF(AND($J92&lt;&gt;"",$K92&lt;&gt;"",$J92=$K92,$J92&gt;=N$3,$J92&lt;=IF(param_mode_affichage="mois",EOMONTH(N$3,0),N$3+6)),"◆",""))</f>
      </c>
      <c r="O92" s="26">
        <f>IF(OR($A92="",O$3=""),"",IF(AND($J92&lt;&gt;"",$K92&lt;&gt;"",$J92=$K92,$J92&gt;=O$3,$J92&lt;=IF(param_mode_affichage="mois",EOMONTH(O$3,0),O$3+6)),"◆",""))</f>
      </c>
      <c r="P92" s="26">
        <f>IF(OR($A92="",P$3=""),"",IF(AND($J92&lt;&gt;"",$K92&lt;&gt;"",$J92=$K92,$J92&gt;=P$3,$J92&lt;=IF(param_mode_affichage="mois",EOMONTH(P$3,0),P$3+6)),"◆",""))</f>
      </c>
      <c r="Q92" s="26">
        <f>IF(OR($A92="",Q$3=""),"",IF(AND($J92&lt;&gt;"",$K92&lt;&gt;"",$J92=$K92,$J92&gt;=Q$3,$J92&lt;=IF(param_mode_affichage="mois",EOMONTH(Q$3,0),Q$3+6)),"◆",""))</f>
      </c>
      <c r="R92" s="26">
        <f>IF(OR($A92="",R$3=""),"",IF(AND($J92&lt;&gt;"",$K92&lt;&gt;"",$J92=$K92,$J92&gt;=R$3,$J92&lt;=IF(param_mode_affichage="mois",EOMONTH(R$3,0),R$3+6)),"◆",""))</f>
      </c>
      <c r="S92" s="26">
        <f>IF(OR($A92="",S$3=""),"",IF(AND($J92&lt;&gt;"",$K92&lt;&gt;"",$J92=$K92,$J92&gt;=S$3,$J92&lt;=IF(param_mode_affichage="mois",EOMONTH(S$3,0),S$3+6)),"◆",""))</f>
      </c>
      <c r="T92" s="26">
        <f>IF(OR($A92="",T$3=""),"",IF(AND($J92&lt;&gt;"",$K92&lt;&gt;"",$J92=$K92,$J92&gt;=T$3,$J92&lt;=IF(param_mode_affichage="mois",EOMONTH(T$3,0),T$3+6)),"◆",""))</f>
      </c>
      <c r="U92" s="26">
        <f>IF(OR($A92="",U$3=""),"",IF(AND($J92&lt;&gt;"",$K92&lt;&gt;"",$J92=$K92,$J92&gt;=U$3,$J92&lt;=IF(param_mode_affichage="mois",EOMONTH(U$3,0),U$3+6)),"◆",""))</f>
      </c>
      <c r="V92" s="26">
        <f>IF(OR($A92="",V$3=""),"",IF(AND($J92&lt;&gt;"",$K92&lt;&gt;"",$J92=$K92,$J92&gt;=V$3,$J92&lt;=IF(param_mode_affichage="mois",EOMONTH(V$3,0),V$3+6)),"◆",""))</f>
      </c>
      <c r="W92" s="26">
        <f>IF(OR($A92="",W$3=""),"",IF(AND($J92&lt;&gt;"",$K92&lt;&gt;"",$J92=$K92,$J92&gt;=W$3,$J92&lt;=IF(param_mode_affichage="mois",EOMONTH(W$3,0),W$3+6)),"◆",""))</f>
      </c>
      <c r="X92" s="26">
        <f>IF(OR($A92="",X$3=""),"",IF(AND($J92&lt;&gt;"",$K92&lt;&gt;"",$J92=$K92,$J92&gt;=X$3,$J92&lt;=IF(param_mode_affichage="mois",EOMONTH(X$3,0),X$3+6)),"◆",""))</f>
      </c>
      <c r="Y92" s="26">
        <f>IF(OR($A92="",Y$3=""),"",IF(AND($J92&lt;&gt;"",$K92&lt;&gt;"",$J92=$K92,$J92&gt;=Y$3,$J92&lt;=IF(param_mode_affichage="mois",EOMONTH(Y$3,0),Y$3+6)),"◆",""))</f>
      </c>
      <c r="Z92" s="26">
        <f>IF(OR($A92="",Z$3=""),"",IF(AND($J92&lt;&gt;"",$K92&lt;&gt;"",$J92=$K92,$J92&gt;=Z$3,$J92&lt;=IF(param_mode_affichage="mois",EOMONTH(Z$3,0),Z$3+6)),"◆",""))</f>
      </c>
      <c r="AA92" s="26">
        <f>IF(OR($A92="",AA$3=""),"",IF(AND($J92&lt;&gt;"",$K92&lt;&gt;"",$J92=$K92,$J92&gt;=AA$3,$J92&lt;=IF(param_mode_affichage="mois",EOMONTH(AA$3,0),AA$3+6)),"◆",""))</f>
      </c>
      <c r="AB92" s="26">
        <f>IF(OR($A92="",AB$3=""),"",IF(AND($J92&lt;&gt;"",$K92&lt;&gt;"",$J92=$K92,$J92&gt;=AB$3,$J92&lt;=IF(param_mode_affichage="mois",EOMONTH(AB$3,0),AB$3+6)),"◆",""))</f>
      </c>
      <c r="AC92" s="26">
        <f>IF(OR($A92="",AC$3=""),"",IF(AND($J92&lt;&gt;"",$K92&lt;&gt;"",$J92=$K92,$J92&gt;=AC$3,$J92&lt;=IF(param_mode_affichage="mois",EOMONTH(AC$3,0),AC$3+6)),"◆",""))</f>
      </c>
      <c r="AD92" s="26">
        <f>IF(OR($A92="",AD$3=""),"",IF(AND($J92&lt;&gt;"",$K92&lt;&gt;"",$J92=$K92,$J92&gt;=AD$3,$J92&lt;=IF(param_mode_affichage="mois",EOMONTH(AD$3,0),AD$3+6)),"◆",""))</f>
      </c>
      <c r="AE92" s="26">
        <f>IF(OR($A92="",AE$3=""),"",IF(AND($J92&lt;&gt;"",$K92&lt;&gt;"",$J92=$K92,$J92&gt;=AE$3,$J92&lt;=IF(param_mode_affichage="mois",EOMONTH(AE$3,0),AE$3+6)),"◆",""))</f>
      </c>
      <c r="AF92" s="26">
        <f>IF(OR($A92="",AF$3=""),"",IF(AND($J92&lt;&gt;"",$K92&lt;&gt;"",$J92=$K92,$J92&gt;=AF$3,$J92&lt;=IF(param_mode_affichage="mois",EOMONTH(AF$3,0),AF$3+6)),"◆",""))</f>
      </c>
      <c r="AG92" s="26">
        <f>IF(OR($A92="",AG$3=""),"",IF(AND($J92&lt;&gt;"",$K92&lt;&gt;"",$J92=$K92,$J92&gt;=AG$3,$J92&lt;=IF(param_mode_affichage="mois",EOMONTH(AG$3,0),AG$3+6)),"◆",""))</f>
      </c>
      <c r="AH92" s="26">
        <f>IF(OR($A92="",AH$3=""),"",IF(AND($J92&lt;&gt;"",$K92&lt;&gt;"",$J92=$K92,$J92&gt;=AH$3,$J92&lt;=IF(param_mode_affichage="mois",EOMONTH(AH$3,0),AH$3+6)),"◆",""))</f>
      </c>
      <c r="AI92" s="26">
        <f>IF(OR($A92="",AI$3=""),"",IF(AND($J92&lt;&gt;"",$K92&lt;&gt;"",$J92=$K92,$J92&gt;=AI$3,$J92&lt;=IF(param_mode_affichage="mois",EOMONTH(AI$3,0),AI$3+6)),"◆",""))</f>
      </c>
      <c r="AJ92" s="26">
        <f>IF(OR($A92="",AJ$3=""),"",IF(AND($J92&lt;&gt;"",$K92&lt;&gt;"",$J92=$K92,$J92&gt;=AJ$3,$J92&lt;=IF(param_mode_affichage="mois",EOMONTH(AJ$3,0),AJ$3+6)),"◆",""))</f>
      </c>
      <c r="AK92" s="26">
        <f>IF(OR($A92="",AK$3=""),"",IF(AND($J92&lt;&gt;"",$K92&lt;&gt;"",$J92=$K92,$J92&gt;=AK$3,$J92&lt;=IF(param_mode_affichage="mois",EOMONTH(AK$3,0),AK$3+6)),"◆",""))</f>
      </c>
      <c r="AL92" s="26">
        <f>IF(OR($A92="",AL$3=""),"",IF(AND($J92&lt;&gt;"",$K92&lt;&gt;"",$J92=$K92,$J92&gt;=AL$3,$J92&lt;=IF(param_mode_affichage="mois",EOMONTH(AL$3,0),AL$3+6)),"◆",""))</f>
      </c>
      <c r="AM92" s="26">
        <f>IF(OR($A92="",AM$3=""),"",IF(AND($J92&lt;&gt;"",$K92&lt;&gt;"",$J92=$K92,$J92&gt;=AM$3,$J92&lt;=IF(param_mode_affichage="mois",EOMONTH(AM$3,0),AM$3+6)),"◆",""))</f>
      </c>
      <c r="AN92" s="26">
        <f>IF(OR($A92="",AN$3=""),"",IF(AND($J92&lt;&gt;"",$K92&lt;&gt;"",$J92=$K92,$J92&gt;=AN$3,$J92&lt;=IF(param_mode_affichage="mois",EOMONTH(AN$3,0),AN$3+6)),"◆",""))</f>
      </c>
      <c r="AO92" s="26">
        <f>IF(OR($A92="",AO$3=""),"",IF(AND($J92&lt;&gt;"",$K92&lt;&gt;"",$J92=$K92,$J92&gt;=AO$3,$J92&lt;=IF(param_mode_affichage="mois",EOMONTH(AO$3,0),AO$3+6)),"◆",""))</f>
      </c>
      <c r="AP92" s="26">
        <f>IF(OR($A92="",AP$3=""),"",IF(AND($J92&lt;&gt;"",$K92&lt;&gt;"",$J92=$K92,$J92&gt;=AP$3,$J92&lt;=IF(param_mode_affichage="mois",EOMONTH(AP$3,0),AP$3+6)),"◆",""))</f>
      </c>
      <c r="AQ92" s="26">
        <f>IF(OR($A92="",AQ$3=""),"",IF(AND($J92&lt;&gt;"",$K92&lt;&gt;"",$J92=$K92,$J92&gt;=AQ$3,$J92&lt;=IF(param_mode_affichage="mois",EOMONTH(AQ$3,0),AQ$3+6)),"◆",""))</f>
      </c>
      <c r="AR92" s="26">
        <f>IF(OR($A92="",AR$3=""),"",IF(AND($J92&lt;&gt;"",$K92&lt;&gt;"",$J92=$K92,$J92&gt;=AR$3,$J92&lt;=IF(param_mode_affichage="mois",EOMONTH(AR$3,0),AR$3+6)),"◆",""))</f>
      </c>
      <c r="AS92" s="26">
        <f>IF(OR($A92="",AS$3=""),"",IF(AND($J92&lt;&gt;"",$K92&lt;&gt;"",$J92=$K92,$J92&gt;=AS$3,$J92&lt;=IF(param_mode_affichage="mois",EOMONTH(AS$3,0),AS$3+6)),"◆",""))</f>
      </c>
      <c r="AT92" s="26">
        <f>IF(OR($A92="",AT$3=""),"",IF(AND($J92&lt;&gt;"",$K92&lt;&gt;"",$J92=$K92,$J92&gt;=AT$3,$J92&lt;=IF(param_mode_affichage="mois",EOMONTH(AT$3,0),AT$3+6)),"◆",""))</f>
      </c>
      <c r="AU92" s="26">
        <f>IF(OR($A92="",AU$3=""),"",IF(AND($J92&lt;&gt;"",$K92&lt;&gt;"",$J92=$K92,$J92&gt;=AU$3,$J92&lt;=IF(param_mode_affichage="mois",EOMONTH(AU$3,0),AU$3+6)),"◆",""))</f>
      </c>
      <c r="AV92" s="26">
        <f>IF(OR($A92="",AV$3=""),"",IF(AND($J92&lt;&gt;"",$K92&lt;&gt;"",$J92=$K92,$J92&gt;=AV$3,$J92&lt;=IF(param_mode_affichage="mois",EOMONTH(AV$3,0),AV$3+6)),"◆",""))</f>
      </c>
      <c r="AW92" s="26">
        <f>IF(OR($A92="",AW$3=""),"",IF(AND($J92&lt;&gt;"",$K92&lt;&gt;"",$J92=$K92,$J92&gt;=AW$3,$J92&lt;=IF(param_mode_affichage="mois",EOMONTH(AW$3,0),AW$3+6)),"◆",""))</f>
      </c>
      <c r="AX92" s="26">
        <f>IF(OR($A92="",AX$3=""),"",IF(AND($J92&lt;&gt;"",$K92&lt;&gt;"",$J92=$K92,$J92&gt;=AX$3,$J92&lt;=IF(param_mode_affichage="mois",EOMONTH(AX$3,0),AX$3+6)),"◆",""))</f>
      </c>
      <c r="AY92" s="26">
        <f>IF(OR($A92="",AY$3=""),"",IF(AND($J92&lt;&gt;"",$K92&lt;&gt;"",$J92=$K92,$J92&gt;=AY$3,$J92&lt;=IF(param_mode_affichage="mois",EOMONTH(AY$3,0),AY$3+6)),"◆",""))</f>
      </c>
      <c r="AZ92" s="26">
        <f>IF(OR($A92="",AZ$3=""),"",IF(AND($J92&lt;&gt;"",$K92&lt;&gt;"",$J92=$K92,$J92&gt;=AZ$3,$J92&lt;=IF(param_mode_affichage="mois",EOMONTH(AZ$3,0),AZ$3+6)),"◆",""))</f>
      </c>
      <c r="BA92" s="26">
        <f>IF(OR($A92="",BA$3=""),"",IF(AND($J92&lt;&gt;"",$K92&lt;&gt;"",$J92=$K92,$J92&gt;=BA$3,$J92&lt;=IF(param_mode_affichage="mois",EOMONTH(BA$3,0),BA$3+6)),"◆",""))</f>
      </c>
      <c r="BB92" s="26">
        <f>IF(OR($A92="",BB$3=""),"",IF(AND($J92&lt;&gt;"",$K92&lt;&gt;"",$J92=$K92,$J92&gt;=BB$3,$J92&lt;=IF(param_mode_affichage="mois",EOMONTH(BB$3,0),BB$3+6)),"◆",""))</f>
      </c>
      <c r="BC92" s="26">
        <f>IF(OR($A92="",BC$3=""),"",IF(AND($J92&lt;&gt;"",$K92&lt;&gt;"",$J92=$K92,$J92&gt;=BC$3,$J92&lt;=IF(param_mode_affichage="mois",EOMONTH(BC$3,0),BC$3+6)),"◆",""))</f>
      </c>
      <c r="BD92" s="26">
        <f>IF(OR($A92="",BD$3=""),"",IF(AND($J92&lt;&gt;"",$K92&lt;&gt;"",$J92=$K92,$J92&gt;=BD$3,$J92&lt;=IF(param_mode_affichage="mois",EOMONTH(BD$3,0),BD$3+6)),"◆",""))</f>
      </c>
      <c r="BE92" s="26">
        <f>IF(OR($A92="",BE$3=""),"",IF(AND($J92&lt;&gt;"",$K92&lt;&gt;"",$J92=$K92,$J92&gt;=BE$3,$J92&lt;=IF(param_mode_affichage="mois",EOMONTH(BE$3,0),BE$3+6)),"◆",""))</f>
      </c>
      <c r="BF92" s="26">
        <f>IF(OR($A92="",BF$3=""),"",IF(AND($J92&lt;&gt;"",$K92&lt;&gt;"",$J92=$K92,$J92&gt;=BF$3,$J92&lt;=IF(param_mode_affichage="mois",EOMONTH(BF$3,0),BF$3+6)),"◆",""))</f>
      </c>
      <c r="BG92" s="26">
        <f>IF(OR($A92="",BG$3=""),"",IF(AND($J92&lt;&gt;"",$K92&lt;&gt;"",$J92=$K92,$J92&gt;=BG$3,$J92&lt;=IF(param_mode_affichage="mois",EOMONTH(BG$3,0),BG$3+6)),"◆",""))</f>
      </c>
      <c r="BH92" s="26">
        <f>IF(OR($A92="",BH$3=""),"",IF(AND($J92&lt;&gt;"",$K92&lt;&gt;"",$J92=$K92,$J92&gt;=BH$3,$J92&lt;=IF(param_mode_affichage="mois",EOMONTH(BH$3,0),BH$3+6)),"◆",""))</f>
      </c>
      <c r="BI92" s="26">
        <f>IF(OR($A92="",BI$3=""),"",IF(AND($J92&lt;&gt;"",$K92&lt;&gt;"",$J92=$K92,$J92&gt;=BI$3,$J92&lt;=IF(param_mode_affichage="mois",EOMONTH(BI$3,0),BI$3+6)),"◆",""))</f>
      </c>
      <c r="BJ92" s="26">
        <f>IF(OR($A92="",BJ$3=""),"",IF(AND($J92&lt;&gt;"",$K92&lt;&gt;"",$J92=$K92,$J92&gt;=BJ$3,$J92&lt;=IF(param_mode_affichage="mois",EOMONTH(BJ$3,0),BJ$3+6)),"◆",""))</f>
      </c>
      <c r="BK92" s="26">
        <f>IF(OR($A92="",BK$3=""),"",IF(AND($J92&lt;&gt;"",$K92&lt;&gt;"",$J92=$K92,$J92&gt;=BK$3,$J92&lt;=IF(param_mode_affichage="mois",EOMONTH(BK$3,0),BK$3+6)),"◆",""))</f>
      </c>
      <c r="BL92" s="26">
        <f>IF(OR($A92="",BL$3=""),"",IF(AND($J92&lt;&gt;"",$K92&lt;&gt;"",$J92=$K92,$J92&gt;=BL$3,$J92&lt;=IF(param_mode_affichage="mois",EOMONTH(BL$3,0),BL$3+6)),"◆",""))</f>
      </c>
    </row>
    <row r="93" spans="1:64" x14ac:dyDescent="0.25">
      <c r="A93" s="23">
        <f>IFERROR(INDEX(tblTasks[ID],ROW()-4),"")</f>
      </c>
      <c r="B93" s="24">
        <f>IF($A93="","",INDEX(tblTasks[Sujet],ROW()-4))</f>
      </c>
      <c r="C93" s="23">
        <f>IF($A93="","",INDEX(tblTasks[Responsable],ROW()-4))</f>
      </c>
      <c r="D93" s="23">
        <f>IF($A93="","",INDEX(tblTasks[Statut],ROW()-4))</f>
      </c>
      <c r="E93" s="23">
        <f>IF($A93="","",INDEX(tblTasks[Depend_de],ROW()-4))</f>
      </c>
      <c r="F93" s="23">
        <f>IF($A93="","",INDEX(tblTasks[Blocage],ROW()-4))</f>
      </c>
      <c r="G93" s="23">
        <f>IF($A93="","",INDEX(tblTasks[Niveau_criticite],ROW()-4))</f>
      </c>
      <c r="H93" s="23">
        <f>IF($A93="","",INDEX(tblTasks[Goulot],ROW()-4))</f>
      </c>
      <c r="I93" s="23">
        <f>IF($A93="","",IF(LOWER($F93)="oui","non",IF($E93="","oui",IFERROR(IF(LOWER(INDEX(tblTasks[Statut],MATCH($E93,tblTasks[ID],0)))="clos","oui","non"),"non"))))</f>
      </c>
      <c r="J93" s="25">
        <f>IF($A93="","",INDEX(tblTasks[Date_debut_prevue],ROW()-4))</f>
      </c>
      <c r="K93" s="25">
        <f>IF($A93="","",INDEX(tblTasks[Date_fin_prevue],ROW()-4))</f>
      </c>
      <c r="L93" s="23">
        <f>IF($A93="","",INDEX(tblTasks[Irreversibilite],ROW()-4))</f>
      </c>
      <c r="M93" s="26">
        <f>IF(OR($A93="",M$3=""),"",IF(AND($J93&lt;&gt;"",$K93&lt;&gt;"",$J93=$K93,$J93&gt;=M$3,$J93&lt;=IF(param_mode_affichage="mois",EOMONTH(M$3,0),M$3+6)),"◆",""))</f>
      </c>
      <c r="N93" s="26">
        <f>IF(OR($A93="",N$3=""),"",IF(AND($J93&lt;&gt;"",$K93&lt;&gt;"",$J93=$K93,$J93&gt;=N$3,$J93&lt;=IF(param_mode_affichage="mois",EOMONTH(N$3,0),N$3+6)),"◆",""))</f>
      </c>
      <c r="O93" s="26">
        <f>IF(OR($A93="",O$3=""),"",IF(AND($J93&lt;&gt;"",$K93&lt;&gt;"",$J93=$K93,$J93&gt;=O$3,$J93&lt;=IF(param_mode_affichage="mois",EOMONTH(O$3,0),O$3+6)),"◆",""))</f>
      </c>
      <c r="P93" s="26">
        <f>IF(OR($A93="",P$3=""),"",IF(AND($J93&lt;&gt;"",$K93&lt;&gt;"",$J93=$K93,$J93&gt;=P$3,$J93&lt;=IF(param_mode_affichage="mois",EOMONTH(P$3,0),P$3+6)),"◆",""))</f>
      </c>
      <c r="Q93" s="26">
        <f>IF(OR($A93="",Q$3=""),"",IF(AND($J93&lt;&gt;"",$K93&lt;&gt;"",$J93=$K93,$J93&gt;=Q$3,$J93&lt;=IF(param_mode_affichage="mois",EOMONTH(Q$3,0),Q$3+6)),"◆",""))</f>
      </c>
      <c r="R93" s="26">
        <f>IF(OR($A93="",R$3=""),"",IF(AND($J93&lt;&gt;"",$K93&lt;&gt;"",$J93=$K93,$J93&gt;=R$3,$J93&lt;=IF(param_mode_affichage="mois",EOMONTH(R$3,0),R$3+6)),"◆",""))</f>
      </c>
      <c r="S93" s="26">
        <f>IF(OR($A93="",S$3=""),"",IF(AND($J93&lt;&gt;"",$K93&lt;&gt;"",$J93=$K93,$J93&gt;=S$3,$J93&lt;=IF(param_mode_affichage="mois",EOMONTH(S$3,0),S$3+6)),"◆",""))</f>
      </c>
      <c r="T93" s="26">
        <f>IF(OR($A93="",T$3=""),"",IF(AND($J93&lt;&gt;"",$K93&lt;&gt;"",$J93=$K93,$J93&gt;=T$3,$J93&lt;=IF(param_mode_affichage="mois",EOMONTH(T$3,0),T$3+6)),"◆",""))</f>
      </c>
      <c r="U93" s="26">
        <f>IF(OR($A93="",U$3=""),"",IF(AND($J93&lt;&gt;"",$K93&lt;&gt;"",$J93=$K93,$J93&gt;=U$3,$J93&lt;=IF(param_mode_affichage="mois",EOMONTH(U$3,0),U$3+6)),"◆",""))</f>
      </c>
      <c r="V93" s="26">
        <f>IF(OR($A93="",V$3=""),"",IF(AND($J93&lt;&gt;"",$K93&lt;&gt;"",$J93=$K93,$J93&gt;=V$3,$J93&lt;=IF(param_mode_affichage="mois",EOMONTH(V$3,0),V$3+6)),"◆",""))</f>
      </c>
      <c r="W93" s="26">
        <f>IF(OR($A93="",W$3=""),"",IF(AND($J93&lt;&gt;"",$K93&lt;&gt;"",$J93=$K93,$J93&gt;=W$3,$J93&lt;=IF(param_mode_affichage="mois",EOMONTH(W$3,0),W$3+6)),"◆",""))</f>
      </c>
      <c r="X93" s="26">
        <f>IF(OR($A93="",X$3=""),"",IF(AND($J93&lt;&gt;"",$K93&lt;&gt;"",$J93=$K93,$J93&gt;=X$3,$J93&lt;=IF(param_mode_affichage="mois",EOMONTH(X$3,0),X$3+6)),"◆",""))</f>
      </c>
      <c r="Y93" s="26">
        <f>IF(OR($A93="",Y$3=""),"",IF(AND($J93&lt;&gt;"",$K93&lt;&gt;"",$J93=$K93,$J93&gt;=Y$3,$J93&lt;=IF(param_mode_affichage="mois",EOMONTH(Y$3,0),Y$3+6)),"◆",""))</f>
      </c>
      <c r="Z93" s="26">
        <f>IF(OR($A93="",Z$3=""),"",IF(AND($J93&lt;&gt;"",$K93&lt;&gt;"",$J93=$K93,$J93&gt;=Z$3,$J93&lt;=IF(param_mode_affichage="mois",EOMONTH(Z$3,0),Z$3+6)),"◆",""))</f>
      </c>
      <c r="AA93" s="26">
        <f>IF(OR($A93="",AA$3=""),"",IF(AND($J93&lt;&gt;"",$K93&lt;&gt;"",$J93=$K93,$J93&gt;=AA$3,$J93&lt;=IF(param_mode_affichage="mois",EOMONTH(AA$3,0),AA$3+6)),"◆",""))</f>
      </c>
      <c r="AB93" s="26">
        <f>IF(OR($A93="",AB$3=""),"",IF(AND($J93&lt;&gt;"",$K93&lt;&gt;"",$J93=$K93,$J93&gt;=AB$3,$J93&lt;=IF(param_mode_affichage="mois",EOMONTH(AB$3,0),AB$3+6)),"◆",""))</f>
      </c>
      <c r="AC93" s="26">
        <f>IF(OR($A93="",AC$3=""),"",IF(AND($J93&lt;&gt;"",$K93&lt;&gt;"",$J93=$K93,$J93&gt;=AC$3,$J93&lt;=IF(param_mode_affichage="mois",EOMONTH(AC$3,0),AC$3+6)),"◆",""))</f>
      </c>
      <c r="AD93" s="26">
        <f>IF(OR($A93="",AD$3=""),"",IF(AND($J93&lt;&gt;"",$K93&lt;&gt;"",$J93=$K93,$J93&gt;=AD$3,$J93&lt;=IF(param_mode_affichage="mois",EOMONTH(AD$3,0),AD$3+6)),"◆",""))</f>
      </c>
      <c r="AE93" s="26">
        <f>IF(OR($A93="",AE$3=""),"",IF(AND($J93&lt;&gt;"",$K93&lt;&gt;"",$J93=$K93,$J93&gt;=AE$3,$J93&lt;=IF(param_mode_affichage="mois",EOMONTH(AE$3,0),AE$3+6)),"◆",""))</f>
      </c>
      <c r="AF93" s="26">
        <f>IF(OR($A93="",AF$3=""),"",IF(AND($J93&lt;&gt;"",$K93&lt;&gt;"",$J93=$K93,$J93&gt;=AF$3,$J93&lt;=IF(param_mode_affichage="mois",EOMONTH(AF$3,0),AF$3+6)),"◆",""))</f>
      </c>
      <c r="AG93" s="26">
        <f>IF(OR($A93="",AG$3=""),"",IF(AND($J93&lt;&gt;"",$K93&lt;&gt;"",$J93=$K93,$J93&gt;=AG$3,$J93&lt;=IF(param_mode_affichage="mois",EOMONTH(AG$3,0),AG$3+6)),"◆",""))</f>
      </c>
      <c r="AH93" s="26">
        <f>IF(OR($A93="",AH$3=""),"",IF(AND($J93&lt;&gt;"",$K93&lt;&gt;"",$J93=$K93,$J93&gt;=AH$3,$J93&lt;=IF(param_mode_affichage="mois",EOMONTH(AH$3,0),AH$3+6)),"◆",""))</f>
      </c>
      <c r="AI93" s="26">
        <f>IF(OR($A93="",AI$3=""),"",IF(AND($J93&lt;&gt;"",$K93&lt;&gt;"",$J93=$K93,$J93&gt;=AI$3,$J93&lt;=IF(param_mode_affichage="mois",EOMONTH(AI$3,0),AI$3+6)),"◆",""))</f>
      </c>
      <c r="AJ93" s="26">
        <f>IF(OR($A93="",AJ$3=""),"",IF(AND($J93&lt;&gt;"",$K93&lt;&gt;"",$J93=$K93,$J93&gt;=AJ$3,$J93&lt;=IF(param_mode_affichage="mois",EOMONTH(AJ$3,0),AJ$3+6)),"◆",""))</f>
      </c>
      <c r="AK93" s="26">
        <f>IF(OR($A93="",AK$3=""),"",IF(AND($J93&lt;&gt;"",$K93&lt;&gt;"",$J93=$K93,$J93&gt;=AK$3,$J93&lt;=IF(param_mode_affichage="mois",EOMONTH(AK$3,0),AK$3+6)),"◆",""))</f>
      </c>
      <c r="AL93" s="26">
        <f>IF(OR($A93="",AL$3=""),"",IF(AND($J93&lt;&gt;"",$K93&lt;&gt;"",$J93=$K93,$J93&gt;=AL$3,$J93&lt;=IF(param_mode_affichage="mois",EOMONTH(AL$3,0),AL$3+6)),"◆",""))</f>
      </c>
      <c r="AM93" s="26">
        <f>IF(OR($A93="",AM$3=""),"",IF(AND($J93&lt;&gt;"",$K93&lt;&gt;"",$J93=$K93,$J93&gt;=AM$3,$J93&lt;=IF(param_mode_affichage="mois",EOMONTH(AM$3,0),AM$3+6)),"◆",""))</f>
      </c>
      <c r="AN93" s="26">
        <f>IF(OR($A93="",AN$3=""),"",IF(AND($J93&lt;&gt;"",$K93&lt;&gt;"",$J93=$K93,$J93&gt;=AN$3,$J93&lt;=IF(param_mode_affichage="mois",EOMONTH(AN$3,0),AN$3+6)),"◆",""))</f>
      </c>
      <c r="AO93" s="26">
        <f>IF(OR($A93="",AO$3=""),"",IF(AND($J93&lt;&gt;"",$K93&lt;&gt;"",$J93=$K93,$J93&gt;=AO$3,$J93&lt;=IF(param_mode_affichage="mois",EOMONTH(AO$3,0),AO$3+6)),"◆",""))</f>
      </c>
      <c r="AP93" s="26">
        <f>IF(OR($A93="",AP$3=""),"",IF(AND($J93&lt;&gt;"",$K93&lt;&gt;"",$J93=$K93,$J93&gt;=AP$3,$J93&lt;=IF(param_mode_affichage="mois",EOMONTH(AP$3,0),AP$3+6)),"◆",""))</f>
      </c>
      <c r="AQ93" s="26">
        <f>IF(OR($A93="",AQ$3=""),"",IF(AND($J93&lt;&gt;"",$K93&lt;&gt;"",$J93=$K93,$J93&gt;=AQ$3,$J93&lt;=IF(param_mode_affichage="mois",EOMONTH(AQ$3,0),AQ$3+6)),"◆",""))</f>
      </c>
      <c r="AR93" s="26">
        <f>IF(OR($A93="",AR$3=""),"",IF(AND($J93&lt;&gt;"",$K93&lt;&gt;"",$J93=$K93,$J93&gt;=AR$3,$J93&lt;=IF(param_mode_affichage="mois",EOMONTH(AR$3,0),AR$3+6)),"◆",""))</f>
      </c>
      <c r="AS93" s="26">
        <f>IF(OR($A93="",AS$3=""),"",IF(AND($J93&lt;&gt;"",$K93&lt;&gt;"",$J93=$K93,$J93&gt;=AS$3,$J93&lt;=IF(param_mode_affichage="mois",EOMONTH(AS$3,0),AS$3+6)),"◆",""))</f>
      </c>
      <c r="AT93" s="26">
        <f>IF(OR($A93="",AT$3=""),"",IF(AND($J93&lt;&gt;"",$K93&lt;&gt;"",$J93=$K93,$J93&gt;=AT$3,$J93&lt;=IF(param_mode_affichage="mois",EOMONTH(AT$3,0),AT$3+6)),"◆",""))</f>
      </c>
      <c r="AU93" s="26">
        <f>IF(OR($A93="",AU$3=""),"",IF(AND($J93&lt;&gt;"",$K93&lt;&gt;"",$J93=$K93,$J93&gt;=AU$3,$J93&lt;=IF(param_mode_affichage="mois",EOMONTH(AU$3,0),AU$3+6)),"◆",""))</f>
      </c>
      <c r="AV93" s="26">
        <f>IF(OR($A93="",AV$3=""),"",IF(AND($J93&lt;&gt;"",$K93&lt;&gt;"",$J93=$K93,$J93&gt;=AV$3,$J93&lt;=IF(param_mode_affichage="mois",EOMONTH(AV$3,0),AV$3+6)),"◆",""))</f>
      </c>
      <c r="AW93" s="26">
        <f>IF(OR($A93="",AW$3=""),"",IF(AND($J93&lt;&gt;"",$K93&lt;&gt;"",$J93=$K93,$J93&gt;=AW$3,$J93&lt;=IF(param_mode_affichage="mois",EOMONTH(AW$3,0),AW$3+6)),"◆",""))</f>
      </c>
      <c r="AX93" s="26">
        <f>IF(OR($A93="",AX$3=""),"",IF(AND($J93&lt;&gt;"",$K93&lt;&gt;"",$J93=$K93,$J93&gt;=AX$3,$J93&lt;=IF(param_mode_affichage="mois",EOMONTH(AX$3,0),AX$3+6)),"◆",""))</f>
      </c>
      <c r="AY93" s="26">
        <f>IF(OR($A93="",AY$3=""),"",IF(AND($J93&lt;&gt;"",$K93&lt;&gt;"",$J93=$K93,$J93&gt;=AY$3,$J93&lt;=IF(param_mode_affichage="mois",EOMONTH(AY$3,0),AY$3+6)),"◆",""))</f>
      </c>
      <c r="AZ93" s="26">
        <f>IF(OR($A93="",AZ$3=""),"",IF(AND($J93&lt;&gt;"",$K93&lt;&gt;"",$J93=$K93,$J93&gt;=AZ$3,$J93&lt;=IF(param_mode_affichage="mois",EOMONTH(AZ$3,0),AZ$3+6)),"◆",""))</f>
      </c>
      <c r="BA93" s="26">
        <f>IF(OR($A93="",BA$3=""),"",IF(AND($J93&lt;&gt;"",$K93&lt;&gt;"",$J93=$K93,$J93&gt;=BA$3,$J93&lt;=IF(param_mode_affichage="mois",EOMONTH(BA$3,0),BA$3+6)),"◆",""))</f>
      </c>
      <c r="BB93" s="26">
        <f>IF(OR($A93="",BB$3=""),"",IF(AND($J93&lt;&gt;"",$K93&lt;&gt;"",$J93=$K93,$J93&gt;=BB$3,$J93&lt;=IF(param_mode_affichage="mois",EOMONTH(BB$3,0),BB$3+6)),"◆",""))</f>
      </c>
      <c r="BC93" s="26">
        <f>IF(OR($A93="",BC$3=""),"",IF(AND($J93&lt;&gt;"",$K93&lt;&gt;"",$J93=$K93,$J93&gt;=BC$3,$J93&lt;=IF(param_mode_affichage="mois",EOMONTH(BC$3,0),BC$3+6)),"◆",""))</f>
      </c>
      <c r="BD93" s="26">
        <f>IF(OR($A93="",BD$3=""),"",IF(AND($J93&lt;&gt;"",$K93&lt;&gt;"",$J93=$K93,$J93&gt;=BD$3,$J93&lt;=IF(param_mode_affichage="mois",EOMONTH(BD$3,0),BD$3+6)),"◆",""))</f>
      </c>
      <c r="BE93" s="26">
        <f>IF(OR($A93="",BE$3=""),"",IF(AND($J93&lt;&gt;"",$K93&lt;&gt;"",$J93=$K93,$J93&gt;=BE$3,$J93&lt;=IF(param_mode_affichage="mois",EOMONTH(BE$3,0),BE$3+6)),"◆",""))</f>
      </c>
      <c r="BF93" s="26">
        <f>IF(OR($A93="",BF$3=""),"",IF(AND($J93&lt;&gt;"",$K93&lt;&gt;"",$J93=$K93,$J93&gt;=BF$3,$J93&lt;=IF(param_mode_affichage="mois",EOMONTH(BF$3,0),BF$3+6)),"◆",""))</f>
      </c>
      <c r="BG93" s="26">
        <f>IF(OR($A93="",BG$3=""),"",IF(AND($J93&lt;&gt;"",$K93&lt;&gt;"",$J93=$K93,$J93&gt;=BG$3,$J93&lt;=IF(param_mode_affichage="mois",EOMONTH(BG$3,0),BG$3+6)),"◆",""))</f>
      </c>
      <c r="BH93" s="26">
        <f>IF(OR($A93="",BH$3=""),"",IF(AND($J93&lt;&gt;"",$K93&lt;&gt;"",$J93=$K93,$J93&gt;=BH$3,$J93&lt;=IF(param_mode_affichage="mois",EOMONTH(BH$3,0),BH$3+6)),"◆",""))</f>
      </c>
      <c r="BI93" s="26">
        <f>IF(OR($A93="",BI$3=""),"",IF(AND($J93&lt;&gt;"",$K93&lt;&gt;"",$J93=$K93,$J93&gt;=BI$3,$J93&lt;=IF(param_mode_affichage="mois",EOMONTH(BI$3,0),BI$3+6)),"◆",""))</f>
      </c>
      <c r="BJ93" s="26">
        <f>IF(OR($A93="",BJ$3=""),"",IF(AND($J93&lt;&gt;"",$K93&lt;&gt;"",$J93=$K93,$J93&gt;=BJ$3,$J93&lt;=IF(param_mode_affichage="mois",EOMONTH(BJ$3,0),BJ$3+6)),"◆",""))</f>
      </c>
      <c r="BK93" s="26">
        <f>IF(OR($A93="",BK$3=""),"",IF(AND($J93&lt;&gt;"",$K93&lt;&gt;"",$J93=$K93,$J93&gt;=BK$3,$J93&lt;=IF(param_mode_affichage="mois",EOMONTH(BK$3,0),BK$3+6)),"◆",""))</f>
      </c>
      <c r="BL93" s="26">
        <f>IF(OR($A93="",BL$3=""),"",IF(AND($J93&lt;&gt;"",$K93&lt;&gt;"",$J93=$K93,$J93&gt;=BL$3,$J93&lt;=IF(param_mode_affichage="mois",EOMONTH(BL$3,0),BL$3+6)),"◆",""))</f>
      </c>
    </row>
    <row r="94" spans="1:64" x14ac:dyDescent="0.25">
      <c r="A94" s="23">
        <f>IFERROR(INDEX(tblTasks[ID],ROW()-4),"")</f>
      </c>
      <c r="B94" s="24">
        <f>IF($A94="","",INDEX(tblTasks[Sujet],ROW()-4))</f>
      </c>
      <c r="C94" s="23">
        <f>IF($A94="","",INDEX(tblTasks[Responsable],ROW()-4))</f>
      </c>
      <c r="D94" s="23">
        <f>IF($A94="","",INDEX(tblTasks[Statut],ROW()-4))</f>
      </c>
      <c r="E94" s="23">
        <f>IF($A94="","",INDEX(tblTasks[Depend_de],ROW()-4))</f>
      </c>
      <c r="F94" s="23">
        <f>IF($A94="","",INDEX(tblTasks[Blocage],ROW()-4))</f>
      </c>
      <c r="G94" s="23">
        <f>IF($A94="","",INDEX(tblTasks[Niveau_criticite],ROW()-4))</f>
      </c>
      <c r="H94" s="23">
        <f>IF($A94="","",INDEX(tblTasks[Goulot],ROW()-4))</f>
      </c>
      <c r="I94" s="23">
        <f>IF($A94="","",IF(LOWER($F94)="oui","non",IF($E94="","oui",IFERROR(IF(LOWER(INDEX(tblTasks[Statut],MATCH($E94,tblTasks[ID],0)))="clos","oui","non"),"non"))))</f>
      </c>
      <c r="J94" s="25">
        <f>IF($A94="","",INDEX(tblTasks[Date_debut_prevue],ROW()-4))</f>
      </c>
      <c r="K94" s="25">
        <f>IF($A94="","",INDEX(tblTasks[Date_fin_prevue],ROW()-4))</f>
      </c>
      <c r="L94" s="23">
        <f>IF($A94="","",INDEX(tblTasks[Irreversibilite],ROW()-4))</f>
      </c>
      <c r="M94" s="26">
        <f>IF(OR($A94="",M$3=""),"",IF(AND($J94&lt;&gt;"",$K94&lt;&gt;"",$J94=$K94,$J94&gt;=M$3,$J94&lt;=IF(param_mode_affichage="mois",EOMONTH(M$3,0),M$3+6)),"◆",""))</f>
      </c>
      <c r="N94" s="26">
        <f>IF(OR($A94="",N$3=""),"",IF(AND($J94&lt;&gt;"",$K94&lt;&gt;"",$J94=$K94,$J94&gt;=N$3,$J94&lt;=IF(param_mode_affichage="mois",EOMONTH(N$3,0),N$3+6)),"◆",""))</f>
      </c>
      <c r="O94" s="26">
        <f>IF(OR($A94="",O$3=""),"",IF(AND($J94&lt;&gt;"",$K94&lt;&gt;"",$J94=$K94,$J94&gt;=O$3,$J94&lt;=IF(param_mode_affichage="mois",EOMONTH(O$3,0),O$3+6)),"◆",""))</f>
      </c>
      <c r="P94" s="26">
        <f>IF(OR($A94="",P$3=""),"",IF(AND($J94&lt;&gt;"",$K94&lt;&gt;"",$J94=$K94,$J94&gt;=P$3,$J94&lt;=IF(param_mode_affichage="mois",EOMONTH(P$3,0),P$3+6)),"◆",""))</f>
      </c>
      <c r="Q94" s="26">
        <f>IF(OR($A94="",Q$3=""),"",IF(AND($J94&lt;&gt;"",$K94&lt;&gt;"",$J94=$K94,$J94&gt;=Q$3,$J94&lt;=IF(param_mode_affichage="mois",EOMONTH(Q$3,0),Q$3+6)),"◆",""))</f>
      </c>
      <c r="R94" s="26">
        <f>IF(OR($A94="",R$3=""),"",IF(AND($J94&lt;&gt;"",$K94&lt;&gt;"",$J94=$K94,$J94&gt;=R$3,$J94&lt;=IF(param_mode_affichage="mois",EOMONTH(R$3,0),R$3+6)),"◆",""))</f>
      </c>
      <c r="S94" s="26">
        <f>IF(OR($A94="",S$3=""),"",IF(AND($J94&lt;&gt;"",$K94&lt;&gt;"",$J94=$K94,$J94&gt;=S$3,$J94&lt;=IF(param_mode_affichage="mois",EOMONTH(S$3,0),S$3+6)),"◆",""))</f>
      </c>
      <c r="T94" s="26">
        <f>IF(OR($A94="",T$3=""),"",IF(AND($J94&lt;&gt;"",$K94&lt;&gt;"",$J94=$K94,$J94&gt;=T$3,$J94&lt;=IF(param_mode_affichage="mois",EOMONTH(T$3,0),T$3+6)),"◆",""))</f>
      </c>
      <c r="U94" s="26">
        <f>IF(OR($A94="",U$3=""),"",IF(AND($J94&lt;&gt;"",$K94&lt;&gt;"",$J94=$K94,$J94&gt;=U$3,$J94&lt;=IF(param_mode_affichage="mois",EOMONTH(U$3,0),U$3+6)),"◆",""))</f>
      </c>
      <c r="V94" s="26">
        <f>IF(OR($A94="",V$3=""),"",IF(AND($J94&lt;&gt;"",$K94&lt;&gt;"",$J94=$K94,$J94&gt;=V$3,$J94&lt;=IF(param_mode_affichage="mois",EOMONTH(V$3,0),V$3+6)),"◆",""))</f>
      </c>
      <c r="W94" s="26">
        <f>IF(OR($A94="",W$3=""),"",IF(AND($J94&lt;&gt;"",$K94&lt;&gt;"",$J94=$K94,$J94&gt;=W$3,$J94&lt;=IF(param_mode_affichage="mois",EOMONTH(W$3,0),W$3+6)),"◆",""))</f>
      </c>
      <c r="X94" s="26">
        <f>IF(OR($A94="",X$3=""),"",IF(AND($J94&lt;&gt;"",$K94&lt;&gt;"",$J94=$K94,$J94&gt;=X$3,$J94&lt;=IF(param_mode_affichage="mois",EOMONTH(X$3,0),X$3+6)),"◆",""))</f>
      </c>
      <c r="Y94" s="26">
        <f>IF(OR($A94="",Y$3=""),"",IF(AND($J94&lt;&gt;"",$K94&lt;&gt;"",$J94=$K94,$J94&gt;=Y$3,$J94&lt;=IF(param_mode_affichage="mois",EOMONTH(Y$3,0),Y$3+6)),"◆",""))</f>
      </c>
      <c r="Z94" s="26">
        <f>IF(OR($A94="",Z$3=""),"",IF(AND($J94&lt;&gt;"",$K94&lt;&gt;"",$J94=$K94,$J94&gt;=Z$3,$J94&lt;=IF(param_mode_affichage="mois",EOMONTH(Z$3,0),Z$3+6)),"◆",""))</f>
      </c>
      <c r="AA94" s="26">
        <f>IF(OR($A94="",AA$3=""),"",IF(AND($J94&lt;&gt;"",$K94&lt;&gt;"",$J94=$K94,$J94&gt;=AA$3,$J94&lt;=IF(param_mode_affichage="mois",EOMONTH(AA$3,0),AA$3+6)),"◆",""))</f>
      </c>
      <c r="AB94" s="26">
        <f>IF(OR($A94="",AB$3=""),"",IF(AND($J94&lt;&gt;"",$K94&lt;&gt;"",$J94=$K94,$J94&gt;=AB$3,$J94&lt;=IF(param_mode_affichage="mois",EOMONTH(AB$3,0),AB$3+6)),"◆",""))</f>
      </c>
      <c r="AC94" s="26">
        <f>IF(OR($A94="",AC$3=""),"",IF(AND($J94&lt;&gt;"",$K94&lt;&gt;"",$J94=$K94,$J94&gt;=AC$3,$J94&lt;=IF(param_mode_affichage="mois",EOMONTH(AC$3,0),AC$3+6)),"◆",""))</f>
      </c>
      <c r="AD94" s="26">
        <f>IF(OR($A94="",AD$3=""),"",IF(AND($J94&lt;&gt;"",$K94&lt;&gt;"",$J94=$K94,$J94&gt;=AD$3,$J94&lt;=IF(param_mode_affichage="mois",EOMONTH(AD$3,0),AD$3+6)),"◆",""))</f>
      </c>
      <c r="AE94" s="26">
        <f>IF(OR($A94="",AE$3=""),"",IF(AND($J94&lt;&gt;"",$K94&lt;&gt;"",$J94=$K94,$J94&gt;=AE$3,$J94&lt;=IF(param_mode_affichage="mois",EOMONTH(AE$3,0),AE$3+6)),"◆",""))</f>
      </c>
      <c r="AF94" s="26">
        <f>IF(OR($A94="",AF$3=""),"",IF(AND($J94&lt;&gt;"",$K94&lt;&gt;"",$J94=$K94,$J94&gt;=AF$3,$J94&lt;=IF(param_mode_affichage="mois",EOMONTH(AF$3,0),AF$3+6)),"◆",""))</f>
      </c>
      <c r="AG94" s="26">
        <f>IF(OR($A94="",AG$3=""),"",IF(AND($J94&lt;&gt;"",$K94&lt;&gt;"",$J94=$K94,$J94&gt;=AG$3,$J94&lt;=IF(param_mode_affichage="mois",EOMONTH(AG$3,0),AG$3+6)),"◆",""))</f>
      </c>
      <c r="AH94" s="26">
        <f>IF(OR($A94="",AH$3=""),"",IF(AND($J94&lt;&gt;"",$K94&lt;&gt;"",$J94=$K94,$J94&gt;=AH$3,$J94&lt;=IF(param_mode_affichage="mois",EOMONTH(AH$3,0),AH$3+6)),"◆",""))</f>
      </c>
      <c r="AI94" s="26">
        <f>IF(OR($A94="",AI$3=""),"",IF(AND($J94&lt;&gt;"",$K94&lt;&gt;"",$J94=$K94,$J94&gt;=AI$3,$J94&lt;=IF(param_mode_affichage="mois",EOMONTH(AI$3,0),AI$3+6)),"◆",""))</f>
      </c>
      <c r="AJ94" s="26">
        <f>IF(OR($A94="",AJ$3=""),"",IF(AND($J94&lt;&gt;"",$K94&lt;&gt;"",$J94=$K94,$J94&gt;=AJ$3,$J94&lt;=IF(param_mode_affichage="mois",EOMONTH(AJ$3,0),AJ$3+6)),"◆",""))</f>
      </c>
      <c r="AK94" s="26">
        <f>IF(OR($A94="",AK$3=""),"",IF(AND($J94&lt;&gt;"",$K94&lt;&gt;"",$J94=$K94,$J94&gt;=AK$3,$J94&lt;=IF(param_mode_affichage="mois",EOMONTH(AK$3,0),AK$3+6)),"◆",""))</f>
      </c>
      <c r="AL94" s="26">
        <f>IF(OR($A94="",AL$3=""),"",IF(AND($J94&lt;&gt;"",$K94&lt;&gt;"",$J94=$K94,$J94&gt;=AL$3,$J94&lt;=IF(param_mode_affichage="mois",EOMONTH(AL$3,0),AL$3+6)),"◆",""))</f>
      </c>
      <c r="AM94" s="26">
        <f>IF(OR($A94="",AM$3=""),"",IF(AND($J94&lt;&gt;"",$K94&lt;&gt;"",$J94=$K94,$J94&gt;=AM$3,$J94&lt;=IF(param_mode_affichage="mois",EOMONTH(AM$3,0),AM$3+6)),"◆",""))</f>
      </c>
      <c r="AN94" s="26">
        <f>IF(OR($A94="",AN$3=""),"",IF(AND($J94&lt;&gt;"",$K94&lt;&gt;"",$J94=$K94,$J94&gt;=AN$3,$J94&lt;=IF(param_mode_affichage="mois",EOMONTH(AN$3,0),AN$3+6)),"◆",""))</f>
      </c>
      <c r="AO94" s="26">
        <f>IF(OR($A94="",AO$3=""),"",IF(AND($J94&lt;&gt;"",$K94&lt;&gt;"",$J94=$K94,$J94&gt;=AO$3,$J94&lt;=IF(param_mode_affichage="mois",EOMONTH(AO$3,0),AO$3+6)),"◆",""))</f>
      </c>
      <c r="AP94" s="26">
        <f>IF(OR($A94="",AP$3=""),"",IF(AND($J94&lt;&gt;"",$K94&lt;&gt;"",$J94=$K94,$J94&gt;=AP$3,$J94&lt;=IF(param_mode_affichage="mois",EOMONTH(AP$3,0),AP$3+6)),"◆",""))</f>
      </c>
      <c r="AQ94" s="26">
        <f>IF(OR($A94="",AQ$3=""),"",IF(AND($J94&lt;&gt;"",$K94&lt;&gt;"",$J94=$K94,$J94&gt;=AQ$3,$J94&lt;=IF(param_mode_affichage="mois",EOMONTH(AQ$3,0),AQ$3+6)),"◆",""))</f>
      </c>
      <c r="AR94" s="26">
        <f>IF(OR($A94="",AR$3=""),"",IF(AND($J94&lt;&gt;"",$K94&lt;&gt;"",$J94=$K94,$J94&gt;=AR$3,$J94&lt;=IF(param_mode_affichage="mois",EOMONTH(AR$3,0),AR$3+6)),"◆",""))</f>
      </c>
      <c r="AS94" s="26">
        <f>IF(OR($A94="",AS$3=""),"",IF(AND($J94&lt;&gt;"",$K94&lt;&gt;"",$J94=$K94,$J94&gt;=AS$3,$J94&lt;=IF(param_mode_affichage="mois",EOMONTH(AS$3,0),AS$3+6)),"◆",""))</f>
      </c>
      <c r="AT94" s="26">
        <f>IF(OR($A94="",AT$3=""),"",IF(AND($J94&lt;&gt;"",$K94&lt;&gt;"",$J94=$K94,$J94&gt;=AT$3,$J94&lt;=IF(param_mode_affichage="mois",EOMONTH(AT$3,0),AT$3+6)),"◆",""))</f>
      </c>
      <c r="AU94" s="26">
        <f>IF(OR($A94="",AU$3=""),"",IF(AND($J94&lt;&gt;"",$K94&lt;&gt;"",$J94=$K94,$J94&gt;=AU$3,$J94&lt;=IF(param_mode_affichage="mois",EOMONTH(AU$3,0),AU$3+6)),"◆",""))</f>
      </c>
      <c r="AV94" s="26">
        <f>IF(OR($A94="",AV$3=""),"",IF(AND($J94&lt;&gt;"",$K94&lt;&gt;"",$J94=$K94,$J94&gt;=AV$3,$J94&lt;=IF(param_mode_affichage="mois",EOMONTH(AV$3,0),AV$3+6)),"◆",""))</f>
      </c>
      <c r="AW94" s="26">
        <f>IF(OR($A94="",AW$3=""),"",IF(AND($J94&lt;&gt;"",$K94&lt;&gt;"",$J94=$K94,$J94&gt;=AW$3,$J94&lt;=IF(param_mode_affichage="mois",EOMONTH(AW$3,0),AW$3+6)),"◆",""))</f>
      </c>
      <c r="AX94" s="26">
        <f>IF(OR($A94="",AX$3=""),"",IF(AND($J94&lt;&gt;"",$K94&lt;&gt;"",$J94=$K94,$J94&gt;=AX$3,$J94&lt;=IF(param_mode_affichage="mois",EOMONTH(AX$3,0),AX$3+6)),"◆",""))</f>
      </c>
      <c r="AY94" s="26">
        <f>IF(OR($A94="",AY$3=""),"",IF(AND($J94&lt;&gt;"",$K94&lt;&gt;"",$J94=$K94,$J94&gt;=AY$3,$J94&lt;=IF(param_mode_affichage="mois",EOMONTH(AY$3,0),AY$3+6)),"◆",""))</f>
      </c>
      <c r="AZ94" s="26">
        <f>IF(OR($A94="",AZ$3=""),"",IF(AND($J94&lt;&gt;"",$K94&lt;&gt;"",$J94=$K94,$J94&gt;=AZ$3,$J94&lt;=IF(param_mode_affichage="mois",EOMONTH(AZ$3,0),AZ$3+6)),"◆",""))</f>
      </c>
      <c r="BA94" s="26">
        <f>IF(OR($A94="",BA$3=""),"",IF(AND($J94&lt;&gt;"",$K94&lt;&gt;"",$J94=$K94,$J94&gt;=BA$3,$J94&lt;=IF(param_mode_affichage="mois",EOMONTH(BA$3,0),BA$3+6)),"◆",""))</f>
      </c>
      <c r="BB94" s="26">
        <f>IF(OR($A94="",BB$3=""),"",IF(AND($J94&lt;&gt;"",$K94&lt;&gt;"",$J94=$K94,$J94&gt;=BB$3,$J94&lt;=IF(param_mode_affichage="mois",EOMONTH(BB$3,0),BB$3+6)),"◆",""))</f>
      </c>
      <c r="BC94" s="26">
        <f>IF(OR($A94="",BC$3=""),"",IF(AND($J94&lt;&gt;"",$K94&lt;&gt;"",$J94=$K94,$J94&gt;=BC$3,$J94&lt;=IF(param_mode_affichage="mois",EOMONTH(BC$3,0),BC$3+6)),"◆",""))</f>
      </c>
      <c r="BD94" s="26">
        <f>IF(OR($A94="",BD$3=""),"",IF(AND($J94&lt;&gt;"",$K94&lt;&gt;"",$J94=$K94,$J94&gt;=BD$3,$J94&lt;=IF(param_mode_affichage="mois",EOMONTH(BD$3,0),BD$3+6)),"◆",""))</f>
      </c>
      <c r="BE94" s="26">
        <f>IF(OR($A94="",BE$3=""),"",IF(AND($J94&lt;&gt;"",$K94&lt;&gt;"",$J94=$K94,$J94&gt;=BE$3,$J94&lt;=IF(param_mode_affichage="mois",EOMONTH(BE$3,0),BE$3+6)),"◆",""))</f>
      </c>
      <c r="BF94" s="26">
        <f>IF(OR($A94="",BF$3=""),"",IF(AND($J94&lt;&gt;"",$K94&lt;&gt;"",$J94=$K94,$J94&gt;=BF$3,$J94&lt;=IF(param_mode_affichage="mois",EOMONTH(BF$3,0),BF$3+6)),"◆",""))</f>
      </c>
      <c r="BG94" s="26">
        <f>IF(OR($A94="",BG$3=""),"",IF(AND($J94&lt;&gt;"",$K94&lt;&gt;"",$J94=$K94,$J94&gt;=BG$3,$J94&lt;=IF(param_mode_affichage="mois",EOMONTH(BG$3,0),BG$3+6)),"◆",""))</f>
      </c>
      <c r="BH94" s="26">
        <f>IF(OR($A94="",BH$3=""),"",IF(AND($J94&lt;&gt;"",$K94&lt;&gt;"",$J94=$K94,$J94&gt;=BH$3,$J94&lt;=IF(param_mode_affichage="mois",EOMONTH(BH$3,0),BH$3+6)),"◆",""))</f>
      </c>
      <c r="BI94" s="26">
        <f>IF(OR($A94="",BI$3=""),"",IF(AND($J94&lt;&gt;"",$K94&lt;&gt;"",$J94=$K94,$J94&gt;=BI$3,$J94&lt;=IF(param_mode_affichage="mois",EOMONTH(BI$3,0),BI$3+6)),"◆",""))</f>
      </c>
      <c r="BJ94" s="26">
        <f>IF(OR($A94="",BJ$3=""),"",IF(AND($J94&lt;&gt;"",$K94&lt;&gt;"",$J94=$K94,$J94&gt;=BJ$3,$J94&lt;=IF(param_mode_affichage="mois",EOMONTH(BJ$3,0),BJ$3+6)),"◆",""))</f>
      </c>
      <c r="BK94" s="26">
        <f>IF(OR($A94="",BK$3=""),"",IF(AND($J94&lt;&gt;"",$K94&lt;&gt;"",$J94=$K94,$J94&gt;=BK$3,$J94&lt;=IF(param_mode_affichage="mois",EOMONTH(BK$3,0),BK$3+6)),"◆",""))</f>
      </c>
      <c r="BL94" s="26">
        <f>IF(OR($A94="",BL$3=""),"",IF(AND($J94&lt;&gt;"",$K94&lt;&gt;"",$J94=$K94,$J94&gt;=BL$3,$J94&lt;=IF(param_mode_affichage="mois",EOMONTH(BL$3,0),BL$3+6)),"◆",""))</f>
      </c>
    </row>
    <row r="95" spans="1:64" x14ac:dyDescent="0.25">
      <c r="A95" s="23">
        <f>IFERROR(INDEX(tblTasks[ID],ROW()-4),"")</f>
      </c>
      <c r="B95" s="24">
        <f>IF($A95="","",INDEX(tblTasks[Sujet],ROW()-4))</f>
      </c>
      <c r="C95" s="23">
        <f>IF($A95="","",INDEX(tblTasks[Responsable],ROW()-4))</f>
      </c>
      <c r="D95" s="23">
        <f>IF($A95="","",INDEX(tblTasks[Statut],ROW()-4))</f>
      </c>
      <c r="E95" s="23">
        <f>IF($A95="","",INDEX(tblTasks[Depend_de],ROW()-4))</f>
      </c>
      <c r="F95" s="23">
        <f>IF($A95="","",INDEX(tblTasks[Blocage],ROW()-4))</f>
      </c>
      <c r="G95" s="23">
        <f>IF($A95="","",INDEX(tblTasks[Niveau_criticite],ROW()-4))</f>
      </c>
      <c r="H95" s="23">
        <f>IF($A95="","",INDEX(tblTasks[Goulot],ROW()-4))</f>
      </c>
      <c r="I95" s="23">
        <f>IF($A95="","",IF(LOWER($F95)="oui","non",IF($E95="","oui",IFERROR(IF(LOWER(INDEX(tblTasks[Statut],MATCH($E95,tblTasks[ID],0)))="clos","oui","non"),"non"))))</f>
      </c>
      <c r="J95" s="25">
        <f>IF($A95="","",INDEX(tblTasks[Date_debut_prevue],ROW()-4))</f>
      </c>
      <c r="K95" s="25">
        <f>IF($A95="","",INDEX(tblTasks[Date_fin_prevue],ROW()-4))</f>
      </c>
      <c r="L95" s="23">
        <f>IF($A95="","",INDEX(tblTasks[Irreversibilite],ROW()-4))</f>
      </c>
      <c r="M95" s="26">
        <f>IF(OR($A95="",M$3=""),"",IF(AND($J95&lt;&gt;"",$K95&lt;&gt;"",$J95=$K95,$J95&gt;=M$3,$J95&lt;=IF(param_mode_affichage="mois",EOMONTH(M$3,0),M$3+6)),"◆",""))</f>
      </c>
      <c r="N95" s="26">
        <f>IF(OR($A95="",N$3=""),"",IF(AND($J95&lt;&gt;"",$K95&lt;&gt;"",$J95=$K95,$J95&gt;=N$3,$J95&lt;=IF(param_mode_affichage="mois",EOMONTH(N$3,0),N$3+6)),"◆",""))</f>
      </c>
      <c r="O95" s="26">
        <f>IF(OR($A95="",O$3=""),"",IF(AND($J95&lt;&gt;"",$K95&lt;&gt;"",$J95=$K95,$J95&gt;=O$3,$J95&lt;=IF(param_mode_affichage="mois",EOMONTH(O$3,0),O$3+6)),"◆",""))</f>
      </c>
      <c r="P95" s="26">
        <f>IF(OR($A95="",P$3=""),"",IF(AND($J95&lt;&gt;"",$K95&lt;&gt;"",$J95=$K95,$J95&gt;=P$3,$J95&lt;=IF(param_mode_affichage="mois",EOMONTH(P$3,0),P$3+6)),"◆",""))</f>
      </c>
      <c r="Q95" s="26">
        <f>IF(OR($A95="",Q$3=""),"",IF(AND($J95&lt;&gt;"",$K95&lt;&gt;"",$J95=$K95,$J95&gt;=Q$3,$J95&lt;=IF(param_mode_affichage="mois",EOMONTH(Q$3,0),Q$3+6)),"◆",""))</f>
      </c>
      <c r="R95" s="26">
        <f>IF(OR($A95="",R$3=""),"",IF(AND($J95&lt;&gt;"",$K95&lt;&gt;"",$J95=$K95,$J95&gt;=R$3,$J95&lt;=IF(param_mode_affichage="mois",EOMONTH(R$3,0),R$3+6)),"◆",""))</f>
      </c>
      <c r="S95" s="26">
        <f>IF(OR($A95="",S$3=""),"",IF(AND($J95&lt;&gt;"",$K95&lt;&gt;"",$J95=$K95,$J95&gt;=S$3,$J95&lt;=IF(param_mode_affichage="mois",EOMONTH(S$3,0),S$3+6)),"◆",""))</f>
      </c>
      <c r="T95" s="26">
        <f>IF(OR($A95="",T$3=""),"",IF(AND($J95&lt;&gt;"",$K95&lt;&gt;"",$J95=$K95,$J95&gt;=T$3,$J95&lt;=IF(param_mode_affichage="mois",EOMONTH(T$3,0),T$3+6)),"◆",""))</f>
      </c>
      <c r="U95" s="26">
        <f>IF(OR($A95="",U$3=""),"",IF(AND($J95&lt;&gt;"",$K95&lt;&gt;"",$J95=$K95,$J95&gt;=U$3,$J95&lt;=IF(param_mode_affichage="mois",EOMONTH(U$3,0),U$3+6)),"◆",""))</f>
      </c>
      <c r="V95" s="26">
        <f>IF(OR($A95="",V$3=""),"",IF(AND($J95&lt;&gt;"",$K95&lt;&gt;"",$J95=$K95,$J95&gt;=V$3,$J95&lt;=IF(param_mode_affichage="mois",EOMONTH(V$3,0),V$3+6)),"◆",""))</f>
      </c>
      <c r="W95" s="26">
        <f>IF(OR($A95="",W$3=""),"",IF(AND($J95&lt;&gt;"",$K95&lt;&gt;"",$J95=$K95,$J95&gt;=W$3,$J95&lt;=IF(param_mode_affichage="mois",EOMONTH(W$3,0),W$3+6)),"◆",""))</f>
      </c>
      <c r="X95" s="26">
        <f>IF(OR($A95="",X$3=""),"",IF(AND($J95&lt;&gt;"",$K95&lt;&gt;"",$J95=$K95,$J95&gt;=X$3,$J95&lt;=IF(param_mode_affichage="mois",EOMONTH(X$3,0),X$3+6)),"◆",""))</f>
      </c>
      <c r="Y95" s="26">
        <f>IF(OR($A95="",Y$3=""),"",IF(AND($J95&lt;&gt;"",$K95&lt;&gt;"",$J95=$K95,$J95&gt;=Y$3,$J95&lt;=IF(param_mode_affichage="mois",EOMONTH(Y$3,0),Y$3+6)),"◆",""))</f>
      </c>
      <c r="Z95" s="26">
        <f>IF(OR($A95="",Z$3=""),"",IF(AND($J95&lt;&gt;"",$K95&lt;&gt;"",$J95=$K95,$J95&gt;=Z$3,$J95&lt;=IF(param_mode_affichage="mois",EOMONTH(Z$3,0),Z$3+6)),"◆",""))</f>
      </c>
      <c r="AA95" s="26">
        <f>IF(OR($A95="",AA$3=""),"",IF(AND($J95&lt;&gt;"",$K95&lt;&gt;"",$J95=$K95,$J95&gt;=AA$3,$J95&lt;=IF(param_mode_affichage="mois",EOMONTH(AA$3,0),AA$3+6)),"◆",""))</f>
      </c>
      <c r="AB95" s="26">
        <f>IF(OR($A95="",AB$3=""),"",IF(AND($J95&lt;&gt;"",$K95&lt;&gt;"",$J95=$K95,$J95&gt;=AB$3,$J95&lt;=IF(param_mode_affichage="mois",EOMONTH(AB$3,0),AB$3+6)),"◆",""))</f>
      </c>
      <c r="AC95" s="26">
        <f>IF(OR($A95="",AC$3=""),"",IF(AND($J95&lt;&gt;"",$K95&lt;&gt;"",$J95=$K95,$J95&gt;=AC$3,$J95&lt;=IF(param_mode_affichage="mois",EOMONTH(AC$3,0),AC$3+6)),"◆",""))</f>
      </c>
      <c r="AD95" s="26">
        <f>IF(OR($A95="",AD$3=""),"",IF(AND($J95&lt;&gt;"",$K95&lt;&gt;"",$J95=$K95,$J95&gt;=AD$3,$J95&lt;=IF(param_mode_affichage="mois",EOMONTH(AD$3,0),AD$3+6)),"◆",""))</f>
      </c>
      <c r="AE95" s="26">
        <f>IF(OR($A95="",AE$3=""),"",IF(AND($J95&lt;&gt;"",$K95&lt;&gt;"",$J95=$K95,$J95&gt;=AE$3,$J95&lt;=IF(param_mode_affichage="mois",EOMONTH(AE$3,0),AE$3+6)),"◆",""))</f>
      </c>
      <c r="AF95" s="26">
        <f>IF(OR($A95="",AF$3=""),"",IF(AND($J95&lt;&gt;"",$K95&lt;&gt;"",$J95=$K95,$J95&gt;=AF$3,$J95&lt;=IF(param_mode_affichage="mois",EOMONTH(AF$3,0),AF$3+6)),"◆",""))</f>
      </c>
      <c r="AG95" s="26">
        <f>IF(OR($A95="",AG$3=""),"",IF(AND($J95&lt;&gt;"",$K95&lt;&gt;"",$J95=$K95,$J95&gt;=AG$3,$J95&lt;=IF(param_mode_affichage="mois",EOMONTH(AG$3,0),AG$3+6)),"◆",""))</f>
      </c>
      <c r="AH95" s="26">
        <f>IF(OR($A95="",AH$3=""),"",IF(AND($J95&lt;&gt;"",$K95&lt;&gt;"",$J95=$K95,$J95&gt;=AH$3,$J95&lt;=IF(param_mode_affichage="mois",EOMONTH(AH$3,0),AH$3+6)),"◆",""))</f>
      </c>
      <c r="AI95" s="26">
        <f>IF(OR($A95="",AI$3=""),"",IF(AND($J95&lt;&gt;"",$K95&lt;&gt;"",$J95=$K95,$J95&gt;=AI$3,$J95&lt;=IF(param_mode_affichage="mois",EOMONTH(AI$3,0),AI$3+6)),"◆",""))</f>
      </c>
      <c r="AJ95" s="26">
        <f>IF(OR($A95="",AJ$3=""),"",IF(AND($J95&lt;&gt;"",$K95&lt;&gt;"",$J95=$K95,$J95&gt;=AJ$3,$J95&lt;=IF(param_mode_affichage="mois",EOMONTH(AJ$3,0),AJ$3+6)),"◆",""))</f>
      </c>
      <c r="AK95" s="26">
        <f>IF(OR($A95="",AK$3=""),"",IF(AND($J95&lt;&gt;"",$K95&lt;&gt;"",$J95=$K95,$J95&gt;=AK$3,$J95&lt;=IF(param_mode_affichage="mois",EOMONTH(AK$3,0),AK$3+6)),"◆",""))</f>
      </c>
      <c r="AL95" s="26">
        <f>IF(OR($A95="",AL$3=""),"",IF(AND($J95&lt;&gt;"",$K95&lt;&gt;"",$J95=$K95,$J95&gt;=AL$3,$J95&lt;=IF(param_mode_affichage="mois",EOMONTH(AL$3,0),AL$3+6)),"◆",""))</f>
      </c>
      <c r="AM95" s="26">
        <f>IF(OR($A95="",AM$3=""),"",IF(AND($J95&lt;&gt;"",$K95&lt;&gt;"",$J95=$K95,$J95&gt;=AM$3,$J95&lt;=IF(param_mode_affichage="mois",EOMONTH(AM$3,0),AM$3+6)),"◆",""))</f>
      </c>
      <c r="AN95" s="26">
        <f>IF(OR($A95="",AN$3=""),"",IF(AND($J95&lt;&gt;"",$K95&lt;&gt;"",$J95=$K95,$J95&gt;=AN$3,$J95&lt;=IF(param_mode_affichage="mois",EOMONTH(AN$3,0),AN$3+6)),"◆",""))</f>
      </c>
      <c r="AO95" s="26">
        <f>IF(OR($A95="",AO$3=""),"",IF(AND($J95&lt;&gt;"",$K95&lt;&gt;"",$J95=$K95,$J95&gt;=AO$3,$J95&lt;=IF(param_mode_affichage="mois",EOMONTH(AO$3,0),AO$3+6)),"◆",""))</f>
      </c>
      <c r="AP95" s="26">
        <f>IF(OR($A95="",AP$3=""),"",IF(AND($J95&lt;&gt;"",$K95&lt;&gt;"",$J95=$K95,$J95&gt;=AP$3,$J95&lt;=IF(param_mode_affichage="mois",EOMONTH(AP$3,0),AP$3+6)),"◆",""))</f>
      </c>
      <c r="AQ95" s="26">
        <f>IF(OR($A95="",AQ$3=""),"",IF(AND($J95&lt;&gt;"",$K95&lt;&gt;"",$J95=$K95,$J95&gt;=AQ$3,$J95&lt;=IF(param_mode_affichage="mois",EOMONTH(AQ$3,0),AQ$3+6)),"◆",""))</f>
      </c>
      <c r="AR95" s="26">
        <f>IF(OR($A95="",AR$3=""),"",IF(AND($J95&lt;&gt;"",$K95&lt;&gt;"",$J95=$K95,$J95&gt;=AR$3,$J95&lt;=IF(param_mode_affichage="mois",EOMONTH(AR$3,0),AR$3+6)),"◆",""))</f>
      </c>
      <c r="AS95" s="26">
        <f>IF(OR($A95="",AS$3=""),"",IF(AND($J95&lt;&gt;"",$K95&lt;&gt;"",$J95=$K95,$J95&gt;=AS$3,$J95&lt;=IF(param_mode_affichage="mois",EOMONTH(AS$3,0),AS$3+6)),"◆",""))</f>
      </c>
      <c r="AT95" s="26">
        <f>IF(OR($A95="",AT$3=""),"",IF(AND($J95&lt;&gt;"",$K95&lt;&gt;"",$J95=$K95,$J95&gt;=AT$3,$J95&lt;=IF(param_mode_affichage="mois",EOMONTH(AT$3,0),AT$3+6)),"◆",""))</f>
      </c>
      <c r="AU95" s="26">
        <f>IF(OR($A95="",AU$3=""),"",IF(AND($J95&lt;&gt;"",$K95&lt;&gt;"",$J95=$K95,$J95&gt;=AU$3,$J95&lt;=IF(param_mode_affichage="mois",EOMONTH(AU$3,0),AU$3+6)),"◆",""))</f>
      </c>
      <c r="AV95" s="26">
        <f>IF(OR($A95="",AV$3=""),"",IF(AND($J95&lt;&gt;"",$K95&lt;&gt;"",$J95=$K95,$J95&gt;=AV$3,$J95&lt;=IF(param_mode_affichage="mois",EOMONTH(AV$3,0),AV$3+6)),"◆",""))</f>
      </c>
      <c r="AW95" s="26">
        <f>IF(OR($A95="",AW$3=""),"",IF(AND($J95&lt;&gt;"",$K95&lt;&gt;"",$J95=$K95,$J95&gt;=AW$3,$J95&lt;=IF(param_mode_affichage="mois",EOMONTH(AW$3,0),AW$3+6)),"◆",""))</f>
      </c>
      <c r="AX95" s="26">
        <f>IF(OR($A95="",AX$3=""),"",IF(AND($J95&lt;&gt;"",$K95&lt;&gt;"",$J95=$K95,$J95&gt;=AX$3,$J95&lt;=IF(param_mode_affichage="mois",EOMONTH(AX$3,0),AX$3+6)),"◆",""))</f>
      </c>
      <c r="AY95" s="26">
        <f>IF(OR($A95="",AY$3=""),"",IF(AND($J95&lt;&gt;"",$K95&lt;&gt;"",$J95=$K95,$J95&gt;=AY$3,$J95&lt;=IF(param_mode_affichage="mois",EOMONTH(AY$3,0),AY$3+6)),"◆",""))</f>
      </c>
      <c r="AZ95" s="26">
        <f>IF(OR($A95="",AZ$3=""),"",IF(AND($J95&lt;&gt;"",$K95&lt;&gt;"",$J95=$K95,$J95&gt;=AZ$3,$J95&lt;=IF(param_mode_affichage="mois",EOMONTH(AZ$3,0),AZ$3+6)),"◆",""))</f>
      </c>
      <c r="BA95" s="26">
        <f>IF(OR($A95="",BA$3=""),"",IF(AND($J95&lt;&gt;"",$K95&lt;&gt;"",$J95=$K95,$J95&gt;=BA$3,$J95&lt;=IF(param_mode_affichage="mois",EOMONTH(BA$3,0),BA$3+6)),"◆",""))</f>
      </c>
      <c r="BB95" s="26">
        <f>IF(OR($A95="",BB$3=""),"",IF(AND($J95&lt;&gt;"",$K95&lt;&gt;"",$J95=$K95,$J95&gt;=BB$3,$J95&lt;=IF(param_mode_affichage="mois",EOMONTH(BB$3,0),BB$3+6)),"◆",""))</f>
      </c>
      <c r="BC95" s="26">
        <f>IF(OR($A95="",BC$3=""),"",IF(AND($J95&lt;&gt;"",$K95&lt;&gt;"",$J95=$K95,$J95&gt;=BC$3,$J95&lt;=IF(param_mode_affichage="mois",EOMONTH(BC$3,0),BC$3+6)),"◆",""))</f>
      </c>
      <c r="BD95" s="26">
        <f>IF(OR($A95="",BD$3=""),"",IF(AND($J95&lt;&gt;"",$K95&lt;&gt;"",$J95=$K95,$J95&gt;=BD$3,$J95&lt;=IF(param_mode_affichage="mois",EOMONTH(BD$3,0),BD$3+6)),"◆",""))</f>
      </c>
      <c r="BE95" s="26">
        <f>IF(OR($A95="",BE$3=""),"",IF(AND($J95&lt;&gt;"",$K95&lt;&gt;"",$J95=$K95,$J95&gt;=BE$3,$J95&lt;=IF(param_mode_affichage="mois",EOMONTH(BE$3,0),BE$3+6)),"◆",""))</f>
      </c>
      <c r="BF95" s="26">
        <f>IF(OR($A95="",BF$3=""),"",IF(AND($J95&lt;&gt;"",$K95&lt;&gt;"",$J95=$K95,$J95&gt;=BF$3,$J95&lt;=IF(param_mode_affichage="mois",EOMONTH(BF$3,0),BF$3+6)),"◆",""))</f>
      </c>
      <c r="BG95" s="26">
        <f>IF(OR($A95="",BG$3=""),"",IF(AND($J95&lt;&gt;"",$K95&lt;&gt;"",$J95=$K95,$J95&gt;=BG$3,$J95&lt;=IF(param_mode_affichage="mois",EOMONTH(BG$3,0),BG$3+6)),"◆",""))</f>
      </c>
      <c r="BH95" s="26">
        <f>IF(OR($A95="",BH$3=""),"",IF(AND($J95&lt;&gt;"",$K95&lt;&gt;"",$J95=$K95,$J95&gt;=BH$3,$J95&lt;=IF(param_mode_affichage="mois",EOMONTH(BH$3,0),BH$3+6)),"◆",""))</f>
      </c>
      <c r="BI95" s="26">
        <f>IF(OR($A95="",BI$3=""),"",IF(AND($J95&lt;&gt;"",$K95&lt;&gt;"",$J95=$K95,$J95&gt;=BI$3,$J95&lt;=IF(param_mode_affichage="mois",EOMONTH(BI$3,0),BI$3+6)),"◆",""))</f>
      </c>
      <c r="BJ95" s="26">
        <f>IF(OR($A95="",BJ$3=""),"",IF(AND($J95&lt;&gt;"",$K95&lt;&gt;"",$J95=$K95,$J95&gt;=BJ$3,$J95&lt;=IF(param_mode_affichage="mois",EOMONTH(BJ$3,0),BJ$3+6)),"◆",""))</f>
      </c>
      <c r="BK95" s="26">
        <f>IF(OR($A95="",BK$3=""),"",IF(AND($J95&lt;&gt;"",$K95&lt;&gt;"",$J95=$K95,$J95&gt;=BK$3,$J95&lt;=IF(param_mode_affichage="mois",EOMONTH(BK$3,0),BK$3+6)),"◆",""))</f>
      </c>
      <c r="BL95" s="26">
        <f>IF(OR($A95="",BL$3=""),"",IF(AND($J95&lt;&gt;"",$K95&lt;&gt;"",$J95=$K95,$J95&gt;=BL$3,$J95&lt;=IF(param_mode_affichage="mois",EOMONTH(BL$3,0),BL$3+6)),"◆",""))</f>
      </c>
    </row>
    <row r="96" spans="1:64" x14ac:dyDescent="0.25">
      <c r="A96" s="23">
        <f>IFERROR(INDEX(tblTasks[ID],ROW()-4),"")</f>
      </c>
      <c r="B96" s="24">
        <f>IF($A96="","",INDEX(tblTasks[Sujet],ROW()-4))</f>
      </c>
      <c r="C96" s="23">
        <f>IF($A96="","",INDEX(tblTasks[Responsable],ROW()-4))</f>
      </c>
      <c r="D96" s="23">
        <f>IF($A96="","",INDEX(tblTasks[Statut],ROW()-4))</f>
      </c>
      <c r="E96" s="23">
        <f>IF($A96="","",INDEX(tblTasks[Depend_de],ROW()-4))</f>
      </c>
      <c r="F96" s="23">
        <f>IF($A96="","",INDEX(tblTasks[Blocage],ROW()-4))</f>
      </c>
      <c r="G96" s="23">
        <f>IF($A96="","",INDEX(tblTasks[Niveau_criticite],ROW()-4))</f>
      </c>
      <c r="H96" s="23">
        <f>IF($A96="","",INDEX(tblTasks[Goulot],ROW()-4))</f>
      </c>
      <c r="I96" s="23">
        <f>IF($A96="","",IF(LOWER($F96)="oui","non",IF($E96="","oui",IFERROR(IF(LOWER(INDEX(tblTasks[Statut],MATCH($E96,tblTasks[ID],0)))="clos","oui","non"),"non"))))</f>
      </c>
      <c r="J96" s="25">
        <f>IF($A96="","",INDEX(tblTasks[Date_debut_prevue],ROW()-4))</f>
      </c>
      <c r="K96" s="25">
        <f>IF($A96="","",INDEX(tblTasks[Date_fin_prevue],ROW()-4))</f>
      </c>
      <c r="L96" s="23">
        <f>IF($A96="","",INDEX(tblTasks[Irreversibilite],ROW()-4))</f>
      </c>
      <c r="M96" s="26">
        <f>IF(OR($A96="",M$3=""),"",IF(AND($J96&lt;&gt;"",$K96&lt;&gt;"",$J96=$K96,$J96&gt;=M$3,$J96&lt;=IF(param_mode_affichage="mois",EOMONTH(M$3,0),M$3+6)),"◆",""))</f>
      </c>
      <c r="N96" s="26">
        <f>IF(OR($A96="",N$3=""),"",IF(AND($J96&lt;&gt;"",$K96&lt;&gt;"",$J96=$K96,$J96&gt;=N$3,$J96&lt;=IF(param_mode_affichage="mois",EOMONTH(N$3,0),N$3+6)),"◆",""))</f>
      </c>
      <c r="O96" s="26">
        <f>IF(OR($A96="",O$3=""),"",IF(AND($J96&lt;&gt;"",$K96&lt;&gt;"",$J96=$K96,$J96&gt;=O$3,$J96&lt;=IF(param_mode_affichage="mois",EOMONTH(O$3,0),O$3+6)),"◆",""))</f>
      </c>
      <c r="P96" s="26">
        <f>IF(OR($A96="",P$3=""),"",IF(AND($J96&lt;&gt;"",$K96&lt;&gt;"",$J96=$K96,$J96&gt;=P$3,$J96&lt;=IF(param_mode_affichage="mois",EOMONTH(P$3,0),P$3+6)),"◆",""))</f>
      </c>
      <c r="Q96" s="26">
        <f>IF(OR($A96="",Q$3=""),"",IF(AND($J96&lt;&gt;"",$K96&lt;&gt;"",$J96=$K96,$J96&gt;=Q$3,$J96&lt;=IF(param_mode_affichage="mois",EOMONTH(Q$3,0),Q$3+6)),"◆",""))</f>
      </c>
      <c r="R96" s="26">
        <f>IF(OR($A96="",R$3=""),"",IF(AND($J96&lt;&gt;"",$K96&lt;&gt;"",$J96=$K96,$J96&gt;=R$3,$J96&lt;=IF(param_mode_affichage="mois",EOMONTH(R$3,0),R$3+6)),"◆",""))</f>
      </c>
      <c r="S96" s="26">
        <f>IF(OR($A96="",S$3=""),"",IF(AND($J96&lt;&gt;"",$K96&lt;&gt;"",$J96=$K96,$J96&gt;=S$3,$J96&lt;=IF(param_mode_affichage="mois",EOMONTH(S$3,0),S$3+6)),"◆",""))</f>
      </c>
      <c r="T96" s="26">
        <f>IF(OR($A96="",T$3=""),"",IF(AND($J96&lt;&gt;"",$K96&lt;&gt;"",$J96=$K96,$J96&gt;=T$3,$J96&lt;=IF(param_mode_affichage="mois",EOMONTH(T$3,0),T$3+6)),"◆",""))</f>
      </c>
      <c r="U96" s="26">
        <f>IF(OR($A96="",U$3=""),"",IF(AND($J96&lt;&gt;"",$K96&lt;&gt;"",$J96=$K96,$J96&gt;=U$3,$J96&lt;=IF(param_mode_affichage="mois",EOMONTH(U$3,0),U$3+6)),"◆",""))</f>
      </c>
      <c r="V96" s="26">
        <f>IF(OR($A96="",V$3=""),"",IF(AND($J96&lt;&gt;"",$K96&lt;&gt;"",$J96=$K96,$J96&gt;=V$3,$J96&lt;=IF(param_mode_affichage="mois",EOMONTH(V$3,0),V$3+6)),"◆",""))</f>
      </c>
      <c r="W96" s="26">
        <f>IF(OR($A96="",W$3=""),"",IF(AND($J96&lt;&gt;"",$K96&lt;&gt;"",$J96=$K96,$J96&gt;=W$3,$J96&lt;=IF(param_mode_affichage="mois",EOMONTH(W$3,0),W$3+6)),"◆",""))</f>
      </c>
      <c r="X96" s="26">
        <f>IF(OR($A96="",X$3=""),"",IF(AND($J96&lt;&gt;"",$K96&lt;&gt;"",$J96=$K96,$J96&gt;=X$3,$J96&lt;=IF(param_mode_affichage="mois",EOMONTH(X$3,0),X$3+6)),"◆",""))</f>
      </c>
      <c r="Y96" s="26">
        <f>IF(OR($A96="",Y$3=""),"",IF(AND($J96&lt;&gt;"",$K96&lt;&gt;"",$J96=$K96,$J96&gt;=Y$3,$J96&lt;=IF(param_mode_affichage="mois",EOMONTH(Y$3,0),Y$3+6)),"◆",""))</f>
      </c>
      <c r="Z96" s="26">
        <f>IF(OR($A96="",Z$3=""),"",IF(AND($J96&lt;&gt;"",$K96&lt;&gt;"",$J96=$K96,$J96&gt;=Z$3,$J96&lt;=IF(param_mode_affichage="mois",EOMONTH(Z$3,0),Z$3+6)),"◆",""))</f>
      </c>
      <c r="AA96" s="26">
        <f>IF(OR($A96="",AA$3=""),"",IF(AND($J96&lt;&gt;"",$K96&lt;&gt;"",$J96=$K96,$J96&gt;=AA$3,$J96&lt;=IF(param_mode_affichage="mois",EOMONTH(AA$3,0),AA$3+6)),"◆",""))</f>
      </c>
      <c r="AB96" s="26">
        <f>IF(OR($A96="",AB$3=""),"",IF(AND($J96&lt;&gt;"",$K96&lt;&gt;"",$J96=$K96,$J96&gt;=AB$3,$J96&lt;=IF(param_mode_affichage="mois",EOMONTH(AB$3,0),AB$3+6)),"◆",""))</f>
      </c>
      <c r="AC96" s="26">
        <f>IF(OR($A96="",AC$3=""),"",IF(AND($J96&lt;&gt;"",$K96&lt;&gt;"",$J96=$K96,$J96&gt;=AC$3,$J96&lt;=IF(param_mode_affichage="mois",EOMONTH(AC$3,0),AC$3+6)),"◆",""))</f>
      </c>
      <c r="AD96" s="26">
        <f>IF(OR($A96="",AD$3=""),"",IF(AND($J96&lt;&gt;"",$K96&lt;&gt;"",$J96=$K96,$J96&gt;=AD$3,$J96&lt;=IF(param_mode_affichage="mois",EOMONTH(AD$3,0),AD$3+6)),"◆",""))</f>
      </c>
      <c r="AE96" s="26">
        <f>IF(OR($A96="",AE$3=""),"",IF(AND($J96&lt;&gt;"",$K96&lt;&gt;"",$J96=$K96,$J96&gt;=AE$3,$J96&lt;=IF(param_mode_affichage="mois",EOMONTH(AE$3,0),AE$3+6)),"◆",""))</f>
      </c>
      <c r="AF96" s="26">
        <f>IF(OR($A96="",AF$3=""),"",IF(AND($J96&lt;&gt;"",$K96&lt;&gt;"",$J96=$K96,$J96&gt;=AF$3,$J96&lt;=IF(param_mode_affichage="mois",EOMONTH(AF$3,0),AF$3+6)),"◆",""))</f>
      </c>
      <c r="AG96" s="26">
        <f>IF(OR($A96="",AG$3=""),"",IF(AND($J96&lt;&gt;"",$K96&lt;&gt;"",$J96=$K96,$J96&gt;=AG$3,$J96&lt;=IF(param_mode_affichage="mois",EOMONTH(AG$3,0),AG$3+6)),"◆",""))</f>
      </c>
      <c r="AH96" s="26">
        <f>IF(OR($A96="",AH$3=""),"",IF(AND($J96&lt;&gt;"",$K96&lt;&gt;"",$J96=$K96,$J96&gt;=AH$3,$J96&lt;=IF(param_mode_affichage="mois",EOMONTH(AH$3,0),AH$3+6)),"◆",""))</f>
      </c>
      <c r="AI96" s="26">
        <f>IF(OR($A96="",AI$3=""),"",IF(AND($J96&lt;&gt;"",$K96&lt;&gt;"",$J96=$K96,$J96&gt;=AI$3,$J96&lt;=IF(param_mode_affichage="mois",EOMONTH(AI$3,0),AI$3+6)),"◆",""))</f>
      </c>
      <c r="AJ96" s="26">
        <f>IF(OR($A96="",AJ$3=""),"",IF(AND($J96&lt;&gt;"",$K96&lt;&gt;"",$J96=$K96,$J96&gt;=AJ$3,$J96&lt;=IF(param_mode_affichage="mois",EOMONTH(AJ$3,0),AJ$3+6)),"◆",""))</f>
      </c>
      <c r="AK96" s="26">
        <f>IF(OR($A96="",AK$3=""),"",IF(AND($J96&lt;&gt;"",$K96&lt;&gt;"",$J96=$K96,$J96&gt;=AK$3,$J96&lt;=IF(param_mode_affichage="mois",EOMONTH(AK$3,0),AK$3+6)),"◆",""))</f>
      </c>
      <c r="AL96" s="26">
        <f>IF(OR($A96="",AL$3=""),"",IF(AND($J96&lt;&gt;"",$K96&lt;&gt;"",$J96=$K96,$J96&gt;=AL$3,$J96&lt;=IF(param_mode_affichage="mois",EOMONTH(AL$3,0),AL$3+6)),"◆",""))</f>
      </c>
      <c r="AM96" s="26">
        <f>IF(OR($A96="",AM$3=""),"",IF(AND($J96&lt;&gt;"",$K96&lt;&gt;"",$J96=$K96,$J96&gt;=AM$3,$J96&lt;=IF(param_mode_affichage="mois",EOMONTH(AM$3,0),AM$3+6)),"◆",""))</f>
      </c>
      <c r="AN96" s="26">
        <f>IF(OR($A96="",AN$3=""),"",IF(AND($J96&lt;&gt;"",$K96&lt;&gt;"",$J96=$K96,$J96&gt;=AN$3,$J96&lt;=IF(param_mode_affichage="mois",EOMONTH(AN$3,0),AN$3+6)),"◆",""))</f>
      </c>
      <c r="AO96" s="26">
        <f>IF(OR($A96="",AO$3=""),"",IF(AND($J96&lt;&gt;"",$K96&lt;&gt;"",$J96=$K96,$J96&gt;=AO$3,$J96&lt;=IF(param_mode_affichage="mois",EOMONTH(AO$3,0),AO$3+6)),"◆",""))</f>
      </c>
      <c r="AP96" s="26">
        <f>IF(OR($A96="",AP$3=""),"",IF(AND($J96&lt;&gt;"",$K96&lt;&gt;"",$J96=$K96,$J96&gt;=AP$3,$J96&lt;=IF(param_mode_affichage="mois",EOMONTH(AP$3,0),AP$3+6)),"◆",""))</f>
      </c>
      <c r="AQ96" s="26">
        <f>IF(OR($A96="",AQ$3=""),"",IF(AND($J96&lt;&gt;"",$K96&lt;&gt;"",$J96=$K96,$J96&gt;=AQ$3,$J96&lt;=IF(param_mode_affichage="mois",EOMONTH(AQ$3,0),AQ$3+6)),"◆",""))</f>
      </c>
      <c r="AR96" s="26">
        <f>IF(OR($A96="",AR$3=""),"",IF(AND($J96&lt;&gt;"",$K96&lt;&gt;"",$J96=$K96,$J96&gt;=AR$3,$J96&lt;=IF(param_mode_affichage="mois",EOMONTH(AR$3,0),AR$3+6)),"◆",""))</f>
      </c>
      <c r="AS96" s="26">
        <f>IF(OR($A96="",AS$3=""),"",IF(AND($J96&lt;&gt;"",$K96&lt;&gt;"",$J96=$K96,$J96&gt;=AS$3,$J96&lt;=IF(param_mode_affichage="mois",EOMONTH(AS$3,0),AS$3+6)),"◆",""))</f>
      </c>
      <c r="AT96" s="26">
        <f>IF(OR($A96="",AT$3=""),"",IF(AND($J96&lt;&gt;"",$K96&lt;&gt;"",$J96=$K96,$J96&gt;=AT$3,$J96&lt;=IF(param_mode_affichage="mois",EOMONTH(AT$3,0),AT$3+6)),"◆",""))</f>
      </c>
      <c r="AU96" s="26">
        <f>IF(OR($A96="",AU$3=""),"",IF(AND($J96&lt;&gt;"",$K96&lt;&gt;"",$J96=$K96,$J96&gt;=AU$3,$J96&lt;=IF(param_mode_affichage="mois",EOMONTH(AU$3,0),AU$3+6)),"◆",""))</f>
      </c>
      <c r="AV96" s="26">
        <f>IF(OR($A96="",AV$3=""),"",IF(AND($J96&lt;&gt;"",$K96&lt;&gt;"",$J96=$K96,$J96&gt;=AV$3,$J96&lt;=IF(param_mode_affichage="mois",EOMONTH(AV$3,0),AV$3+6)),"◆",""))</f>
      </c>
      <c r="AW96" s="26">
        <f>IF(OR($A96="",AW$3=""),"",IF(AND($J96&lt;&gt;"",$K96&lt;&gt;"",$J96=$K96,$J96&gt;=AW$3,$J96&lt;=IF(param_mode_affichage="mois",EOMONTH(AW$3,0),AW$3+6)),"◆",""))</f>
      </c>
      <c r="AX96" s="26">
        <f>IF(OR($A96="",AX$3=""),"",IF(AND($J96&lt;&gt;"",$K96&lt;&gt;"",$J96=$K96,$J96&gt;=AX$3,$J96&lt;=IF(param_mode_affichage="mois",EOMONTH(AX$3,0),AX$3+6)),"◆",""))</f>
      </c>
      <c r="AY96" s="26">
        <f>IF(OR($A96="",AY$3=""),"",IF(AND($J96&lt;&gt;"",$K96&lt;&gt;"",$J96=$K96,$J96&gt;=AY$3,$J96&lt;=IF(param_mode_affichage="mois",EOMONTH(AY$3,0),AY$3+6)),"◆",""))</f>
      </c>
      <c r="AZ96" s="26">
        <f>IF(OR($A96="",AZ$3=""),"",IF(AND($J96&lt;&gt;"",$K96&lt;&gt;"",$J96=$K96,$J96&gt;=AZ$3,$J96&lt;=IF(param_mode_affichage="mois",EOMONTH(AZ$3,0),AZ$3+6)),"◆",""))</f>
      </c>
      <c r="BA96" s="26">
        <f>IF(OR($A96="",BA$3=""),"",IF(AND($J96&lt;&gt;"",$K96&lt;&gt;"",$J96=$K96,$J96&gt;=BA$3,$J96&lt;=IF(param_mode_affichage="mois",EOMONTH(BA$3,0),BA$3+6)),"◆",""))</f>
      </c>
      <c r="BB96" s="26">
        <f>IF(OR($A96="",BB$3=""),"",IF(AND($J96&lt;&gt;"",$K96&lt;&gt;"",$J96=$K96,$J96&gt;=BB$3,$J96&lt;=IF(param_mode_affichage="mois",EOMONTH(BB$3,0),BB$3+6)),"◆",""))</f>
      </c>
      <c r="BC96" s="26">
        <f>IF(OR($A96="",BC$3=""),"",IF(AND($J96&lt;&gt;"",$K96&lt;&gt;"",$J96=$K96,$J96&gt;=BC$3,$J96&lt;=IF(param_mode_affichage="mois",EOMONTH(BC$3,0),BC$3+6)),"◆",""))</f>
      </c>
      <c r="BD96" s="26">
        <f>IF(OR($A96="",BD$3=""),"",IF(AND($J96&lt;&gt;"",$K96&lt;&gt;"",$J96=$K96,$J96&gt;=BD$3,$J96&lt;=IF(param_mode_affichage="mois",EOMONTH(BD$3,0),BD$3+6)),"◆",""))</f>
      </c>
      <c r="BE96" s="26">
        <f>IF(OR($A96="",BE$3=""),"",IF(AND($J96&lt;&gt;"",$K96&lt;&gt;"",$J96=$K96,$J96&gt;=BE$3,$J96&lt;=IF(param_mode_affichage="mois",EOMONTH(BE$3,0),BE$3+6)),"◆",""))</f>
      </c>
      <c r="BF96" s="26">
        <f>IF(OR($A96="",BF$3=""),"",IF(AND($J96&lt;&gt;"",$K96&lt;&gt;"",$J96=$K96,$J96&gt;=BF$3,$J96&lt;=IF(param_mode_affichage="mois",EOMONTH(BF$3,0),BF$3+6)),"◆",""))</f>
      </c>
      <c r="BG96" s="26">
        <f>IF(OR($A96="",BG$3=""),"",IF(AND($J96&lt;&gt;"",$K96&lt;&gt;"",$J96=$K96,$J96&gt;=BG$3,$J96&lt;=IF(param_mode_affichage="mois",EOMONTH(BG$3,0),BG$3+6)),"◆",""))</f>
      </c>
      <c r="BH96" s="26">
        <f>IF(OR($A96="",BH$3=""),"",IF(AND($J96&lt;&gt;"",$K96&lt;&gt;"",$J96=$K96,$J96&gt;=BH$3,$J96&lt;=IF(param_mode_affichage="mois",EOMONTH(BH$3,0),BH$3+6)),"◆",""))</f>
      </c>
      <c r="BI96" s="26">
        <f>IF(OR($A96="",BI$3=""),"",IF(AND($J96&lt;&gt;"",$K96&lt;&gt;"",$J96=$K96,$J96&gt;=BI$3,$J96&lt;=IF(param_mode_affichage="mois",EOMONTH(BI$3,0),BI$3+6)),"◆",""))</f>
      </c>
      <c r="BJ96" s="26">
        <f>IF(OR($A96="",BJ$3=""),"",IF(AND($J96&lt;&gt;"",$K96&lt;&gt;"",$J96=$K96,$J96&gt;=BJ$3,$J96&lt;=IF(param_mode_affichage="mois",EOMONTH(BJ$3,0),BJ$3+6)),"◆",""))</f>
      </c>
      <c r="BK96" s="26">
        <f>IF(OR($A96="",BK$3=""),"",IF(AND($J96&lt;&gt;"",$K96&lt;&gt;"",$J96=$K96,$J96&gt;=BK$3,$J96&lt;=IF(param_mode_affichage="mois",EOMONTH(BK$3,0),BK$3+6)),"◆",""))</f>
      </c>
      <c r="BL96" s="26">
        <f>IF(OR($A96="",BL$3=""),"",IF(AND($J96&lt;&gt;"",$K96&lt;&gt;"",$J96=$K96,$J96&gt;=BL$3,$J96&lt;=IF(param_mode_affichage="mois",EOMONTH(BL$3,0),BL$3+6)),"◆",""))</f>
      </c>
    </row>
    <row r="97" spans="1:64" x14ac:dyDescent="0.25">
      <c r="A97" s="23">
        <f>IFERROR(INDEX(tblTasks[ID],ROW()-4),"")</f>
      </c>
      <c r="B97" s="24">
        <f>IF($A97="","",INDEX(tblTasks[Sujet],ROW()-4))</f>
      </c>
      <c r="C97" s="23">
        <f>IF($A97="","",INDEX(tblTasks[Responsable],ROW()-4))</f>
      </c>
      <c r="D97" s="23">
        <f>IF($A97="","",INDEX(tblTasks[Statut],ROW()-4))</f>
      </c>
      <c r="E97" s="23">
        <f>IF($A97="","",INDEX(tblTasks[Depend_de],ROW()-4))</f>
      </c>
      <c r="F97" s="23">
        <f>IF($A97="","",INDEX(tblTasks[Blocage],ROW()-4))</f>
      </c>
      <c r="G97" s="23">
        <f>IF($A97="","",INDEX(tblTasks[Niveau_criticite],ROW()-4))</f>
      </c>
      <c r="H97" s="23">
        <f>IF($A97="","",INDEX(tblTasks[Goulot],ROW()-4))</f>
      </c>
      <c r="I97" s="23">
        <f>IF($A97="","",IF(LOWER($F97)="oui","non",IF($E97="","oui",IFERROR(IF(LOWER(INDEX(tblTasks[Statut],MATCH($E97,tblTasks[ID],0)))="clos","oui","non"),"non"))))</f>
      </c>
      <c r="J97" s="25">
        <f>IF($A97="","",INDEX(tblTasks[Date_debut_prevue],ROW()-4))</f>
      </c>
      <c r="K97" s="25">
        <f>IF($A97="","",INDEX(tblTasks[Date_fin_prevue],ROW()-4))</f>
      </c>
      <c r="L97" s="23">
        <f>IF($A97="","",INDEX(tblTasks[Irreversibilite],ROW()-4))</f>
      </c>
      <c r="M97" s="26">
        <f>IF(OR($A97="",M$3=""),"",IF(AND($J97&lt;&gt;"",$K97&lt;&gt;"",$J97=$K97,$J97&gt;=M$3,$J97&lt;=IF(param_mode_affichage="mois",EOMONTH(M$3,0),M$3+6)),"◆",""))</f>
      </c>
      <c r="N97" s="26">
        <f>IF(OR($A97="",N$3=""),"",IF(AND($J97&lt;&gt;"",$K97&lt;&gt;"",$J97=$K97,$J97&gt;=N$3,$J97&lt;=IF(param_mode_affichage="mois",EOMONTH(N$3,0),N$3+6)),"◆",""))</f>
      </c>
      <c r="O97" s="26">
        <f>IF(OR($A97="",O$3=""),"",IF(AND($J97&lt;&gt;"",$K97&lt;&gt;"",$J97=$K97,$J97&gt;=O$3,$J97&lt;=IF(param_mode_affichage="mois",EOMONTH(O$3,0),O$3+6)),"◆",""))</f>
      </c>
      <c r="P97" s="26">
        <f>IF(OR($A97="",P$3=""),"",IF(AND($J97&lt;&gt;"",$K97&lt;&gt;"",$J97=$K97,$J97&gt;=P$3,$J97&lt;=IF(param_mode_affichage="mois",EOMONTH(P$3,0),P$3+6)),"◆",""))</f>
      </c>
      <c r="Q97" s="26">
        <f>IF(OR($A97="",Q$3=""),"",IF(AND($J97&lt;&gt;"",$K97&lt;&gt;"",$J97=$K97,$J97&gt;=Q$3,$J97&lt;=IF(param_mode_affichage="mois",EOMONTH(Q$3,0),Q$3+6)),"◆",""))</f>
      </c>
      <c r="R97" s="26">
        <f>IF(OR($A97="",R$3=""),"",IF(AND($J97&lt;&gt;"",$K97&lt;&gt;"",$J97=$K97,$J97&gt;=R$3,$J97&lt;=IF(param_mode_affichage="mois",EOMONTH(R$3,0),R$3+6)),"◆",""))</f>
      </c>
      <c r="S97" s="26">
        <f>IF(OR($A97="",S$3=""),"",IF(AND($J97&lt;&gt;"",$K97&lt;&gt;"",$J97=$K97,$J97&gt;=S$3,$J97&lt;=IF(param_mode_affichage="mois",EOMONTH(S$3,0),S$3+6)),"◆",""))</f>
      </c>
      <c r="T97" s="26">
        <f>IF(OR($A97="",T$3=""),"",IF(AND($J97&lt;&gt;"",$K97&lt;&gt;"",$J97=$K97,$J97&gt;=T$3,$J97&lt;=IF(param_mode_affichage="mois",EOMONTH(T$3,0),T$3+6)),"◆",""))</f>
      </c>
      <c r="U97" s="26">
        <f>IF(OR($A97="",U$3=""),"",IF(AND($J97&lt;&gt;"",$K97&lt;&gt;"",$J97=$K97,$J97&gt;=U$3,$J97&lt;=IF(param_mode_affichage="mois",EOMONTH(U$3,0),U$3+6)),"◆",""))</f>
      </c>
      <c r="V97" s="26">
        <f>IF(OR($A97="",V$3=""),"",IF(AND($J97&lt;&gt;"",$K97&lt;&gt;"",$J97=$K97,$J97&gt;=V$3,$J97&lt;=IF(param_mode_affichage="mois",EOMONTH(V$3,0),V$3+6)),"◆",""))</f>
      </c>
      <c r="W97" s="26">
        <f>IF(OR($A97="",W$3=""),"",IF(AND($J97&lt;&gt;"",$K97&lt;&gt;"",$J97=$K97,$J97&gt;=W$3,$J97&lt;=IF(param_mode_affichage="mois",EOMONTH(W$3,0),W$3+6)),"◆",""))</f>
      </c>
      <c r="X97" s="26">
        <f>IF(OR($A97="",X$3=""),"",IF(AND($J97&lt;&gt;"",$K97&lt;&gt;"",$J97=$K97,$J97&gt;=X$3,$J97&lt;=IF(param_mode_affichage="mois",EOMONTH(X$3,0),X$3+6)),"◆",""))</f>
      </c>
      <c r="Y97" s="26">
        <f>IF(OR($A97="",Y$3=""),"",IF(AND($J97&lt;&gt;"",$K97&lt;&gt;"",$J97=$K97,$J97&gt;=Y$3,$J97&lt;=IF(param_mode_affichage="mois",EOMONTH(Y$3,0),Y$3+6)),"◆",""))</f>
      </c>
      <c r="Z97" s="26">
        <f>IF(OR($A97="",Z$3=""),"",IF(AND($J97&lt;&gt;"",$K97&lt;&gt;"",$J97=$K97,$J97&gt;=Z$3,$J97&lt;=IF(param_mode_affichage="mois",EOMONTH(Z$3,0),Z$3+6)),"◆",""))</f>
      </c>
      <c r="AA97" s="26">
        <f>IF(OR($A97="",AA$3=""),"",IF(AND($J97&lt;&gt;"",$K97&lt;&gt;"",$J97=$K97,$J97&gt;=AA$3,$J97&lt;=IF(param_mode_affichage="mois",EOMONTH(AA$3,0),AA$3+6)),"◆",""))</f>
      </c>
      <c r="AB97" s="26">
        <f>IF(OR($A97="",AB$3=""),"",IF(AND($J97&lt;&gt;"",$K97&lt;&gt;"",$J97=$K97,$J97&gt;=AB$3,$J97&lt;=IF(param_mode_affichage="mois",EOMONTH(AB$3,0),AB$3+6)),"◆",""))</f>
      </c>
      <c r="AC97" s="26">
        <f>IF(OR($A97="",AC$3=""),"",IF(AND($J97&lt;&gt;"",$K97&lt;&gt;"",$J97=$K97,$J97&gt;=AC$3,$J97&lt;=IF(param_mode_affichage="mois",EOMONTH(AC$3,0),AC$3+6)),"◆",""))</f>
      </c>
      <c r="AD97" s="26">
        <f>IF(OR($A97="",AD$3=""),"",IF(AND($J97&lt;&gt;"",$K97&lt;&gt;"",$J97=$K97,$J97&gt;=AD$3,$J97&lt;=IF(param_mode_affichage="mois",EOMONTH(AD$3,0),AD$3+6)),"◆",""))</f>
      </c>
      <c r="AE97" s="26">
        <f>IF(OR($A97="",AE$3=""),"",IF(AND($J97&lt;&gt;"",$K97&lt;&gt;"",$J97=$K97,$J97&gt;=AE$3,$J97&lt;=IF(param_mode_affichage="mois",EOMONTH(AE$3,0),AE$3+6)),"◆",""))</f>
      </c>
      <c r="AF97" s="26">
        <f>IF(OR($A97="",AF$3=""),"",IF(AND($J97&lt;&gt;"",$K97&lt;&gt;"",$J97=$K97,$J97&gt;=AF$3,$J97&lt;=IF(param_mode_affichage="mois",EOMONTH(AF$3,0),AF$3+6)),"◆",""))</f>
      </c>
      <c r="AG97" s="26">
        <f>IF(OR($A97="",AG$3=""),"",IF(AND($J97&lt;&gt;"",$K97&lt;&gt;"",$J97=$K97,$J97&gt;=AG$3,$J97&lt;=IF(param_mode_affichage="mois",EOMONTH(AG$3,0),AG$3+6)),"◆",""))</f>
      </c>
      <c r="AH97" s="26">
        <f>IF(OR($A97="",AH$3=""),"",IF(AND($J97&lt;&gt;"",$K97&lt;&gt;"",$J97=$K97,$J97&gt;=AH$3,$J97&lt;=IF(param_mode_affichage="mois",EOMONTH(AH$3,0),AH$3+6)),"◆",""))</f>
      </c>
      <c r="AI97" s="26">
        <f>IF(OR($A97="",AI$3=""),"",IF(AND($J97&lt;&gt;"",$K97&lt;&gt;"",$J97=$K97,$J97&gt;=AI$3,$J97&lt;=IF(param_mode_affichage="mois",EOMONTH(AI$3,0),AI$3+6)),"◆",""))</f>
      </c>
      <c r="AJ97" s="26">
        <f>IF(OR($A97="",AJ$3=""),"",IF(AND($J97&lt;&gt;"",$K97&lt;&gt;"",$J97=$K97,$J97&gt;=AJ$3,$J97&lt;=IF(param_mode_affichage="mois",EOMONTH(AJ$3,0),AJ$3+6)),"◆",""))</f>
      </c>
      <c r="AK97" s="26">
        <f>IF(OR($A97="",AK$3=""),"",IF(AND($J97&lt;&gt;"",$K97&lt;&gt;"",$J97=$K97,$J97&gt;=AK$3,$J97&lt;=IF(param_mode_affichage="mois",EOMONTH(AK$3,0),AK$3+6)),"◆",""))</f>
      </c>
      <c r="AL97" s="26">
        <f>IF(OR($A97="",AL$3=""),"",IF(AND($J97&lt;&gt;"",$K97&lt;&gt;"",$J97=$K97,$J97&gt;=AL$3,$J97&lt;=IF(param_mode_affichage="mois",EOMONTH(AL$3,0),AL$3+6)),"◆",""))</f>
      </c>
      <c r="AM97" s="26">
        <f>IF(OR($A97="",AM$3=""),"",IF(AND($J97&lt;&gt;"",$K97&lt;&gt;"",$J97=$K97,$J97&gt;=AM$3,$J97&lt;=IF(param_mode_affichage="mois",EOMONTH(AM$3,0),AM$3+6)),"◆",""))</f>
      </c>
      <c r="AN97" s="26">
        <f>IF(OR($A97="",AN$3=""),"",IF(AND($J97&lt;&gt;"",$K97&lt;&gt;"",$J97=$K97,$J97&gt;=AN$3,$J97&lt;=IF(param_mode_affichage="mois",EOMONTH(AN$3,0),AN$3+6)),"◆",""))</f>
      </c>
      <c r="AO97" s="26">
        <f>IF(OR($A97="",AO$3=""),"",IF(AND($J97&lt;&gt;"",$K97&lt;&gt;"",$J97=$K97,$J97&gt;=AO$3,$J97&lt;=IF(param_mode_affichage="mois",EOMONTH(AO$3,0),AO$3+6)),"◆",""))</f>
      </c>
      <c r="AP97" s="26">
        <f>IF(OR($A97="",AP$3=""),"",IF(AND($J97&lt;&gt;"",$K97&lt;&gt;"",$J97=$K97,$J97&gt;=AP$3,$J97&lt;=IF(param_mode_affichage="mois",EOMONTH(AP$3,0),AP$3+6)),"◆",""))</f>
      </c>
      <c r="AQ97" s="26">
        <f>IF(OR($A97="",AQ$3=""),"",IF(AND($J97&lt;&gt;"",$K97&lt;&gt;"",$J97=$K97,$J97&gt;=AQ$3,$J97&lt;=IF(param_mode_affichage="mois",EOMONTH(AQ$3,0),AQ$3+6)),"◆",""))</f>
      </c>
      <c r="AR97" s="26">
        <f>IF(OR($A97="",AR$3=""),"",IF(AND($J97&lt;&gt;"",$K97&lt;&gt;"",$J97=$K97,$J97&gt;=AR$3,$J97&lt;=IF(param_mode_affichage="mois",EOMONTH(AR$3,0),AR$3+6)),"◆",""))</f>
      </c>
      <c r="AS97" s="26">
        <f>IF(OR($A97="",AS$3=""),"",IF(AND($J97&lt;&gt;"",$K97&lt;&gt;"",$J97=$K97,$J97&gt;=AS$3,$J97&lt;=IF(param_mode_affichage="mois",EOMONTH(AS$3,0),AS$3+6)),"◆",""))</f>
      </c>
      <c r="AT97" s="26">
        <f>IF(OR($A97="",AT$3=""),"",IF(AND($J97&lt;&gt;"",$K97&lt;&gt;"",$J97=$K97,$J97&gt;=AT$3,$J97&lt;=IF(param_mode_affichage="mois",EOMONTH(AT$3,0),AT$3+6)),"◆",""))</f>
      </c>
      <c r="AU97" s="26">
        <f>IF(OR($A97="",AU$3=""),"",IF(AND($J97&lt;&gt;"",$K97&lt;&gt;"",$J97=$K97,$J97&gt;=AU$3,$J97&lt;=IF(param_mode_affichage="mois",EOMONTH(AU$3,0),AU$3+6)),"◆",""))</f>
      </c>
      <c r="AV97" s="26">
        <f>IF(OR($A97="",AV$3=""),"",IF(AND($J97&lt;&gt;"",$K97&lt;&gt;"",$J97=$K97,$J97&gt;=AV$3,$J97&lt;=IF(param_mode_affichage="mois",EOMONTH(AV$3,0),AV$3+6)),"◆",""))</f>
      </c>
      <c r="AW97" s="26">
        <f>IF(OR($A97="",AW$3=""),"",IF(AND($J97&lt;&gt;"",$K97&lt;&gt;"",$J97=$K97,$J97&gt;=AW$3,$J97&lt;=IF(param_mode_affichage="mois",EOMONTH(AW$3,0),AW$3+6)),"◆",""))</f>
      </c>
      <c r="AX97" s="26">
        <f>IF(OR($A97="",AX$3=""),"",IF(AND($J97&lt;&gt;"",$K97&lt;&gt;"",$J97=$K97,$J97&gt;=AX$3,$J97&lt;=IF(param_mode_affichage="mois",EOMONTH(AX$3,0),AX$3+6)),"◆",""))</f>
      </c>
      <c r="AY97" s="26">
        <f>IF(OR($A97="",AY$3=""),"",IF(AND($J97&lt;&gt;"",$K97&lt;&gt;"",$J97=$K97,$J97&gt;=AY$3,$J97&lt;=IF(param_mode_affichage="mois",EOMONTH(AY$3,0),AY$3+6)),"◆",""))</f>
      </c>
      <c r="AZ97" s="26">
        <f>IF(OR($A97="",AZ$3=""),"",IF(AND($J97&lt;&gt;"",$K97&lt;&gt;"",$J97=$K97,$J97&gt;=AZ$3,$J97&lt;=IF(param_mode_affichage="mois",EOMONTH(AZ$3,0),AZ$3+6)),"◆",""))</f>
      </c>
      <c r="BA97" s="26">
        <f>IF(OR($A97="",BA$3=""),"",IF(AND($J97&lt;&gt;"",$K97&lt;&gt;"",$J97=$K97,$J97&gt;=BA$3,$J97&lt;=IF(param_mode_affichage="mois",EOMONTH(BA$3,0),BA$3+6)),"◆",""))</f>
      </c>
      <c r="BB97" s="26">
        <f>IF(OR($A97="",BB$3=""),"",IF(AND($J97&lt;&gt;"",$K97&lt;&gt;"",$J97=$K97,$J97&gt;=BB$3,$J97&lt;=IF(param_mode_affichage="mois",EOMONTH(BB$3,0),BB$3+6)),"◆",""))</f>
      </c>
      <c r="BC97" s="26">
        <f>IF(OR($A97="",BC$3=""),"",IF(AND($J97&lt;&gt;"",$K97&lt;&gt;"",$J97=$K97,$J97&gt;=BC$3,$J97&lt;=IF(param_mode_affichage="mois",EOMONTH(BC$3,0),BC$3+6)),"◆",""))</f>
      </c>
      <c r="BD97" s="26">
        <f>IF(OR($A97="",BD$3=""),"",IF(AND($J97&lt;&gt;"",$K97&lt;&gt;"",$J97=$K97,$J97&gt;=BD$3,$J97&lt;=IF(param_mode_affichage="mois",EOMONTH(BD$3,0),BD$3+6)),"◆",""))</f>
      </c>
      <c r="BE97" s="26">
        <f>IF(OR($A97="",BE$3=""),"",IF(AND($J97&lt;&gt;"",$K97&lt;&gt;"",$J97=$K97,$J97&gt;=BE$3,$J97&lt;=IF(param_mode_affichage="mois",EOMONTH(BE$3,0),BE$3+6)),"◆",""))</f>
      </c>
      <c r="BF97" s="26">
        <f>IF(OR($A97="",BF$3=""),"",IF(AND($J97&lt;&gt;"",$K97&lt;&gt;"",$J97=$K97,$J97&gt;=BF$3,$J97&lt;=IF(param_mode_affichage="mois",EOMONTH(BF$3,0),BF$3+6)),"◆",""))</f>
      </c>
      <c r="BG97" s="26">
        <f>IF(OR($A97="",BG$3=""),"",IF(AND($J97&lt;&gt;"",$K97&lt;&gt;"",$J97=$K97,$J97&gt;=BG$3,$J97&lt;=IF(param_mode_affichage="mois",EOMONTH(BG$3,0),BG$3+6)),"◆",""))</f>
      </c>
      <c r="BH97" s="26">
        <f>IF(OR($A97="",BH$3=""),"",IF(AND($J97&lt;&gt;"",$K97&lt;&gt;"",$J97=$K97,$J97&gt;=BH$3,$J97&lt;=IF(param_mode_affichage="mois",EOMONTH(BH$3,0),BH$3+6)),"◆",""))</f>
      </c>
      <c r="BI97" s="26">
        <f>IF(OR($A97="",BI$3=""),"",IF(AND($J97&lt;&gt;"",$K97&lt;&gt;"",$J97=$K97,$J97&gt;=BI$3,$J97&lt;=IF(param_mode_affichage="mois",EOMONTH(BI$3,0),BI$3+6)),"◆",""))</f>
      </c>
      <c r="BJ97" s="26">
        <f>IF(OR($A97="",BJ$3=""),"",IF(AND($J97&lt;&gt;"",$K97&lt;&gt;"",$J97=$K97,$J97&gt;=BJ$3,$J97&lt;=IF(param_mode_affichage="mois",EOMONTH(BJ$3,0),BJ$3+6)),"◆",""))</f>
      </c>
      <c r="BK97" s="26">
        <f>IF(OR($A97="",BK$3=""),"",IF(AND($J97&lt;&gt;"",$K97&lt;&gt;"",$J97=$K97,$J97&gt;=BK$3,$J97&lt;=IF(param_mode_affichage="mois",EOMONTH(BK$3,0),BK$3+6)),"◆",""))</f>
      </c>
      <c r="BL97" s="26">
        <f>IF(OR($A97="",BL$3=""),"",IF(AND($J97&lt;&gt;"",$K97&lt;&gt;"",$J97=$K97,$J97&gt;=BL$3,$J97&lt;=IF(param_mode_affichage="mois",EOMONTH(BL$3,0),BL$3+6)),"◆",""))</f>
      </c>
    </row>
    <row r="98" spans="1:64" x14ac:dyDescent="0.25">
      <c r="A98" s="23">
        <f>IFERROR(INDEX(tblTasks[ID],ROW()-4),"")</f>
      </c>
      <c r="B98" s="24">
        <f>IF($A98="","",INDEX(tblTasks[Sujet],ROW()-4))</f>
      </c>
      <c r="C98" s="23">
        <f>IF($A98="","",INDEX(tblTasks[Responsable],ROW()-4))</f>
      </c>
      <c r="D98" s="23">
        <f>IF($A98="","",INDEX(tblTasks[Statut],ROW()-4))</f>
      </c>
      <c r="E98" s="23">
        <f>IF($A98="","",INDEX(tblTasks[Depend_de],ROW()-4))</f>
      </c>
      <c r="F98" s="23">
        <f>IF($A98="","",INDEX(tblTasks[Blocage],ROW()-4))</f>
      </c>
      <c r="G98" s="23">
        <f>IF($A98="","",INDEX(tblTasks[Niveau_criticite],ROW()-4))</f>
      </c>
      <c r="H98" s="23">
        <f>IF($A98="","",INDEX(tblTasks[Goulot],ROW()-4))</f>
      </c>
      <c r="I98" s="23">
        <f>IF($A98="","",IF(LOWER($F98)="oui","non",IF($E98="","oui",IFERROR(IF(LOWER(INDEX(tblTasks[Statut],MATCH($E98,tblTasks[ID],0)))="clos","oui","non"),"non"))))</f>
      </c>
      <c r="J98" s="25">
        <f>IF($A98="","",INDEX(tblTasks[Date_debut_prevue],ROW()-4))</f>
      </c>
      <c r="K98" s="25">
        <f>IF($A98="","",INDEX(tblTasks[Date_fin_prevue],ROW()-4))</f>
      </c>
      <c r="L98" s="23">
        <f>IF($A98="","",INDEX(tblTasks[Irreversibilite],ROW()-4))</f>
      </c>
      <c r="M98" s="26">
        <f>IF(OR($A98="",M$3=""),"",IF(AND($J98&lt;&gt;"",$K98&lt;&gt;"",$J98=$K98,$J98&gt;=M$3,$J98&lt;=IF(param_mode_affichage="mois",EOMONTH(M$3,0),M$3+6)),"◆",""))</f>
      </c>
      <c r="N98" s="26">
        <f>IF(OR($A98="",N$3=""),"",IF(AND($J98&lt;&gt;"",$K98&lt;&gt;"",$J98=$K98,$J98&gt;=N$3,$J98&lt;=IF(param_mode_affichage="mois",EOMONTH(N$3,0),N$3+6)),"◆",""))</f>
      </c>
      <c r="O98" s="26">
        <f>IF(OR($A98="",O$3=""),"",IF(AND($J98&lt;&gt;"",$K98&lt;&gt;"",$J98=$K98,$J98&gt;=O$3,$J98&lt;=IF(param_mode_affichage="mois",EOMONTH(O$3,0),O$3+6)),"◆",""))</f>
      </c>
      <c r="P98" s="26">
        <f>IF(OR($A98="",P$3=""),"",IF(AND($J98&lt;&gt;"",$K98&lt;&gt;"",$J98=$K98,$J98&gt;=P$3,$J98&lt;=IF(param_mode_affichage="mois",EOMONTH(P$3,0),P$3+6)),"◆",""))</f>
      </c>
      <c r="Q98" s="26">
        <f>IF(OR($A98="",Q$3=""),"",IF(AND($J98&lt;&gt;"",$K98&lt;&gt;"",$J98=$K98,$J98&gt;=Q$3,$J98&lt;=IF(param_mode_affichage="mois",EOMONTH(Q$3,0),Q$3+6)),"◆",""))</f>
      </c>
      <c r="R98" s="26">
        <f>IF(OR($A98="",R$3=""),"",IF(AND($J98&lt;&gt;"",$K98&lt;&gt;"",$J98=$K98,$J98&gt;=R$3,$J98&lt;=IF(param_mode_affichage="mois",EOMONTH(R$3,0),R$3+6)),"◆",""))</f>
      </c>
      <c r="S98" s="26">
        <f>IF(OR($A98="",S$3=""),"",IF(AND($J98&lt;&gt;"",$K98&lt;&gt;"",$J98=$K98,$J98&gt;=S$3,$J98&lt;=IF(param_mode_affichage="mois",EOMONTH(S$3,0),S$3+6)),"◆",""))</f>
      </c>
      <c r="T98" s="26">
        <f>IF(OR($A98="",T$3=""),"",IF(AND($J98&lt;&gt;"",$K98&lt;&gt;"",$J98=$K98,$J98&gt;=T$3,$J98&lt;=IF(param_mode_affichage="mois",EOMONTH(T$3,0),T$3+6)),"◆",""))</f>
      </c>
      <c r="U98" s="26">
        <f>IF(OR($A98="",U$3=""),"",IF(AND($J98&lt;&gt;"",$K98&lt;&gt;"",$J98=$K98,$J98&gt;=U$3,$J98&lt;=IF(param_mode_affichage="mois",EOMONTH(U$3,0),U$3+6)),"◆",""))</f>
      </c>
      <c r="V98" s="26">
        <f>IF(OR($A98="",V$3=""),"",IF(AND($J98&lt;&gt;"",$K98&lt;&gt;"",$J98=$K98,$J98&gt;=V$3,$J98&lt;=IF(param_mode_affichage="mois",EOMONTH(V$3,0),V$3+6)),"◆",""))</f>
      </c>
      <c r="W98" s="26">
        <f>IF(OR($A98="",W$3=""),"",IF(AND($J98&lt;&gt;"",$K98&lt;&gt;"",$J98=$K98,$J98&gt;=W$3,$J98&lt;=IF(param_mode_affichage="mois",EOMONTH(W$3,0),W$3+6)),"◆",""))</f>
      </c>
      <c r="X98" s="26">
        <f>IF(OR($A98="",X$3=""),"",IF(AND($J98&lt;&gt;"",$K98&lt;&gt;"",$J98=$K98,$J98&gt;=X$3,$J98&lt;=IF(param_mode_affichage="mois",EOMONTH(X$3,0),X$3+6)),"◆",""))</f>
      </c>
      <c r="Y98" s="26">
        <f>IF(OR($A98="",Y$3=""),"",IF(AND($J98&lt;&gt;"",$K98&lt;&gt;"",$J98=$K98,$J98&gt;=Y$3,$J98&lt;=IF(param_mode_affichage="mois",EOMONTH(Y$3,0),Y$3+6)),"◆",""))</f>
      </c>
      <c r="Z98" s="26">
        <f>IF(OR($A98="",Z$3=""),"",IF(AND($J98&lt;&gt;"",$K98&lt;&gt;"",$J98=$K98,$J98&gt;=Z$3,$J98&lt;=IF(param_mode_affichage="mois",EOMONTH(Z$3,0),Z$3+6)),"◆",""))</f>
      </c>
      <c r="AA98" s="26">
        <f>IF(OR($A98="",AA$3=""),"",IF(AND($J98&lt;&gt;"",$K98&lt;&gt;"",$J98=$K98,$J98&gt;=AA$3,$J98&lt;=IF(param_mode_affichage="mois",EOMONTH(AA$3,0),AA$3+6)),"◆",""))</f>
      </c>
      <c r="AB98" s="26">
        <f>IF(OR($A98="",AB$3=""),"",IF(AND($J98&lt;&gt;"",$K98&lt;&gt;"",$J98=$K98,$J98&gt;=AB$3,$J98&lt;=IF(param_mode_affichage="mois",EOMONTH(AB$3,0),AB$3+6)),"◆",""))</f>
      </c>
      <c r="AC98" s="26">
        <f>IF(OR($A98="",AC$3=""),"",IF(AND($J98&lt;&gt;"",$K98&lt;&gt;"",$J98=$K98,$J98&gt;=AC$3,$J98&lt;=IF(param_mode_affichage="mois",EOMONTH(AC$3,0),AC$3+6)),"◆",""))</f>
      </c>
      <c r="AD98" s="26">
        <f>IF(OR($A98="",AD$3=""),"",IF(AND($J98&lt;&gt;"",$K98&lt;&gt;"",$J98=$K98,$J98&gt;=AD$3,$J98&lt;=IF(param_mode_affichage="mois",EOMONTH(AD$3,0),AD$3+6)),"◆",""))</f>
      </c>
      <c r="AE98" s="26">
        <f>IF(OR($A98="",AE$3=""),"",IF(AND($J98&lt;&gt;"",$K98&lt;&gt;"",$J98=$K98,$J98&gt;=AE$3,$J98&lt;=IF(param_mode_affichage="mois",EOMONTH(AE$3,0),AE$3+6)),"◆",""))</f>
      </c>
      <c r="AF98" s="26">
        <f>IF(OR($A98="",AF$3=""),"",IF(AND($J98&lt;&gt;"",$K98&lt;&gt;"",$J98=$K98,$J98&gt;=AF$3,$J98&lt;=IF(param_mode_affichage="mois",EOMONTH(AF$3,0),AF$3+6)),"◆",""))</f>
      </c>
      <c r="AG98" s="26">
        <f>IF(OR($A98="",AG$3=""),"",IF(AND($J98&lt;&gt;"",$K98&lt;&gt;"",$J98=$K98,$J98&gt;=AG$3,$J98&lt;=IF(param_mode_affichage="mois",EOMONTH(AG$3,0),AG$3+6)),"◆",""))</f>
      </c>
      <c r="AH98" s="26">
        <f>IF(OR($A98="",AH$3=""),"",IF(AND($J98&lt;&gt;"",$K98&lt;&gt;"",$J98=$K98,$J98&gt;=AH$3,$J98&lt;=IF(param_mode_affichage="mois",EOMONTH(AH$3,0),AH$3+6)),"◆",""))</f>
      </c>
      <c r="AI98" s="26">
        <f>IF(OR($A98="",AI$3=""),"",IF(AND($J98&lt;&gt;"",$K98&lt;&gt;"",$J98=$K98,$J98&gt;=AI$3,$J98&lt;=IF(param_mode_affichage="mois",EOMONTH(AI$3,0),AI$3+6)),"◆",""))</f>
      </c>
      <c r="AJ98" s="26">
        <f>IF(OR($A98="",AJ$3=""),"",IF(AND($J98&lt;&gt;"",$K98&lt;&gt;"",$J98=$K98,$J98&gt;=AJ$3,$J98&lt;=IF(param_mode_affichage="mois",EOMONTH(AJ$3,0),AJ$3+6)),"◆",""))</f>
      </c>
      <c r="AK98" s="26">
        <f>IF(OR($A98="",AK$3=""),"",IF(AND($J98&lt;&gt;"",$K98&lt;&gt;"",$J98=$K98,$J98&gt;=AK$3,$J98&lt;=IF(param_mode_affichage="mois",EOMONTH(AK$3,0),AK$3+6)),"◆",""))</f>
      </c>
      <c r="AL98" s="26">
        <f>IF(OR($A98="",AL$3=""),"",IF(AND($J98&lt;&gt;"",$K98&lt;&gt;"",$J98=$K98,$J98&gt;=AL$3,$J98&lt;=IF(param_mode_affichage="mois",EOMONTH(AL$3,0),AL$3+6)),"◆",""))</f>
      </c>
      <c r="AM98" s="26">
        <f>IF(OR($A98="",AM$3=""),"",IF(AND($J98&lt;&gt;"",$K98&lt;&gt;"",$J98=$K98,$J98&gt;=AM$3,$J98&lt;=IF(param_mode_affichage="mois",EOMONTH(AM$3,0),AM$3+6)),"◆",""))</f>
      </c>
      <c r="AN98" s="26">
        <f>IF(OR($A98="",AN$3=""),"",IF(AND($J98&lt;&gt;"",$K98&lt;&gt;"",$J98=$K98,$J98&gt;=AN$3,$J98&lt;=IF(param_mode_affichage="mois",EOMONTH(AN$3,0),AN$3+6)),"◆",""))</f>
      </c>
      <c r="AO98" s="26">
        <f>IF(OR($A98="",AO$3=""),"",IF(AND($J98&lt;&gt;"",$K98&lt;&gt;"",$J98=$K98,$J98&gt;=AO$3,$J98&lt;=IF(param_mode_affichage="mois",EOMONTH(AO$3,0),AO$3+6)),"◆",""))</f>
      </c>
      <c r="AP98" s="26">
        <f>IF(OR($A98="",AP$3=""),"",IF(AND($J98&lt;&gt;"",$K98&lt;&gt;"",$J98=$K98,$J98&gt;=AP$3,$J98&lt;=IF(param_mode_affichage="mois",EOMONTH(AP$3,0),AP$3+6)),"◆",""))</f>
      </c>
      <c r="AQ98" s="26">
        <f>IF(OR($A98="",AQ$3=""),"",IF(AND($J98&lt;&gt;"",$K98&lt;&gt;"",$J98=$K98,$J98&gt;=AQ$3,$J98&lt;=IF(param_mode_affichage="mois",EOMONTH(AQ$3,0),AQ$3+6)),"◆",""))</f>
      </c>
      <c r="AR98" s="26">
        <f>IF(OR($A98="",AR$3=""),"",IF(AND($J98&lt;&gt;"",$K98&lt;&gt;"",$J98=$K98,$J98&gt;=AR$3,$J98&lt;=IF(param_mode_affichage="mois",EOMONTH(AR$3,0),AR$3+6)),"◆",""))</f>
      </c>
      <c r="AS98" s="26">
        <f>IF(OR($A98="",AS$3=""),"",IF(AND($J98&lt;&gt;"",$K98&lt;&gt;"",$J98=$K98,$J98&gt;=AS$3,$J98&lt;=IF(param_mode_affichage="mois",EOMONTH(AS$3,0),AS$3+6)),"◆",""))</f>
      </c>
      <c r="AT98" s="26">
        <f>IF(OR($A98="",AT$3=""),"",IF(AND($J98&lt;&gt;"",$K98&lt;&gt;"",$J98=$K98,$J98&gt;=AT$3,$J98&lt;=IF(param_mode_affichage="mois",EOMONTH(AT$3,0),AT$3+6)),"◆",""))</f>
      </c>
      <c r="AU98" s="26">
        <f>IF(OR($A98="",AU$3=""),"",IF(AND($J98&lt;&gt;"",$K98&lt;&gt;"",$J98=$K98,$J98&gt;=AU$3,$J98&lt;=IF(param_mode_affichage="mois",EOMONTH(AU$3,0),AU$3+6)),"◆",""))</f>
      </c>
      <c r="AV98" s="26">
        <f>IF(OR($A98="",AV$3=""),"",IF(AND($J98&lt;&gt;"",$K98&lt;&gt;"",$J98=$K98,$J98&gt;=AV$3,$J98&lt;=IF(param_mode_affichage="mois",EOMONTH(AV$3,0),AV$3+6)),"◆",""))</f>
      </c>
      <c r="AW98" s="26">
        <f>IF(OR($A98="",AW$3=""),"",IF(AND($J98&lt;&gt;"",$K98&lt;&gt;"",$J98=$K98,$J98&gt;=AW$3,$J98&lt;=IF(param_mode_affichage="mois",EOMONTH(AW$3,0),AW$3+6)),"◆",""))</f>
      </c>
      <c r="AX98" s="26">
        <f>IF(OR($A98="",AX$3=""),"",IF(AND($J98&lt;&gt;"",$K98&lt;&gt;"",$J98=$K98,$J98&gt;=AX$3,$J98&lt;=IF(param_mode_affichage="mois",EOMONTH(AX$3,0),AX$3+6)),"◆",""))</f>
      </c>
      <c r="AY98" s="26">
        <f>IF(OR($A98="",AY$3=""),"",IF(AND($J98&lt;&gt;"",$K98&lt;&gt;"",$J98=$K98,$J98&gt;=AY$3,$J98&lt;=IF(param_mode_affichage="mois",EOMONTH(AY$3,0),AY$3+6)),"◆",""))</f>
      </c>
      <c r="AZ98" s="26">
        <f>IF(OR($A98="",AZ$3=""),"",IF(AND($J98&lt;&gt;"",$K98&lt;&gt;"",$J98=$K98,$J98&gt;=AZ$3,$J98&lt;=IF(param_mode_affichage="mois",EOMONTH(AZ$3,0),AZ$3+6)),"◆",""))</f>
      </c>
      <c r="BA98" s="26">
        <f>IF(OR($A98="",BA$3=""),"",IF(AND($J98&lt;&gt;"",$K98&lt;&gt;"",$J98=$K98,$J98&gt;=BA$3,$J98&lt;=IF(param_mode_affichage="mois",EOMONTH(BA$3,0),BA$3+6)),"◆",""))</f>
      </c>
      <c r="BB98" s="26">
        <f>IF(OR($A98="",BB$3=""),"",IF(AND($J98&lt;&gt;"",$K98&lt;&gt;"",$J98=$K98,$J98&gt;=BB$3,$J98&lt;=IF(param_mode_affichage="mois",EOMONTH(BB$3,0),BB$3+6)),"◆",""))</f>
      </c>
      <c r="BC98" s="26">
        <f>IF(OR($A98="",BC$3=""),"",IF(AND($J98&lt;&gt;"",$K98&lt;&gt;"",$J98=$K98,$J98&gt;=BC$3,$J98&lt;=IF(param_mode_affichage="mois",EOMONTH(BC$3,0),BC$3+6)),"◆",""))</f>
      </c>
      <c r="BD98" s="26">
        <f>IF(OR($A98="",BD$3=""),"",IF(AND($J98&lt;&gt;"",$K98&lt;&gt;"",$J98=$K98,$J98&gt;=BD$3,$J98&lt;=IF(param_mode_affichage="mois",EOMONTH(BD$3,0),BD$3+6)),"◆",""))</f>
      </c>
      <c r="BE98" s="26">
        <f>IF(OR($A98="",BE$3=""),"",IF(AND($J98&lt;&gt;"",$K98&lt;&gt;"",$J98=$K98,$J98&gt;=BE$3,$J98&lt;=IF(param_mode_affichage="mois",EOMONTH(BE$3,0),BE$3+6)),"◆",""))</f>
      </c>
      <c r="BF98" s="26">
        <f>IF(OR($A98="",BF$3=""),"",IF(AND($J98&lt;&gt;"",$K98&lt;&gt;"",$J98=$K98,$J98&gt;=BF$3,$J98&lt;=IF(param_mode_affichage="mois",EOMONTH(BF$3,0),BF$3+6)),"◆",""))</f>
      </c>
      <c r="BG98" s="26">
        <f>IF(OR($A98="",BG$3=""),"",IF(AND($J98&lt;&gt;"",$K98&lt;&gt;"",$J98=$K98,$J98&gt;=BG$3,$J98&lt;=IF(param_mode_affichage="mois",EOMONTH(BG$3,0),BG$3+6)),"◆",""))</f>
      </c>
      <c r="BH98" s="26">
        <f>IF(OR($A98="",BH$3=""),"",IF(AND($J98&lt;&gt;"",$K98&lt;&gt;"",$J98=$K98,$J98&gt;=BH$3,$J98&lt;=IF(param_mode_affichage="mois",EOMONTH(BH$3,0),BH$3+6)),"◆",""))</f>
      </c>
      <c r="BI98" s="26">
        <f>IF(OR($A98="",BI$3=""),"",IF(AND($J98&lt;&gt;"",$K98&lt;&gt;"",$J98=$K98,$J98&gt;=BI$3,$J98&lt;=IF(param_mode_affichage="mois",EOMONTH(BI$3,0),BI$3+6)),"◆",""))</f>
      </c>
      <c r="BJ98" s="26">
        <f>IF(OR($A98="",BJ$3=""),"",IF(AND($J98&lt;&gt;"",$K98&lt;&gt;"",$J98=$K98,$J98&gt;=BJ$3,$J98&lt;=IF(param_mode_affichage="mois",EOMONTH(BJ$3,0),BJ$3+6)),"◆",""))</f>
      </c>
      <c r="BK98" s="26">
        <f>IF(OR($A98="",BK$3=""),"",IF(AND($J98&lt;&gt;"",$K98&lt;&gt;"",$J98=$K98,$J98&gt;=BK$3,$J98&lt;=IF(param_mode_affichage="mois",EOMONTH(BK$3,0),BK$3+6)),"◆",""))</f>
      </c>
      <c r="BL98" s="26">
        <f>IF(OR($A98="",BL$3=""),"",IF(AND($J98&lt;&gt;"",$K98&lt;&gt;"",$J98=$K98,$J98&gt;=BL$3,$J98&lt;=IF(param_mode_affichage="mois",EOMONTH(BL$3,0),BL$3+6)),"◆",""))</f>
      </c>
    </row>
    <row r="99" spans="1:64" x14ac:dyDescent="0.25">
      <c r="A99" s="23">
        <f>IFERROR(INDEX(tblTasks[ID],ROW()-4),"")</f>
      </c>
      <c r="B99" s="24">
        <f>IF($A99="","",INDEX(tblTasks[Sujet],ROW()-4))</f>
      </c>
      <c r="C99" s="23">
        <f>IF($A99="","",INDEX(tblTasks[Responsable],ROW()-4))</f>
      </c>
      <c r="D99" s="23">
        <f>IF($A99="","",INDEX(tblTasks[Statut],ROW()-4))</f>
      </c>
      <c r="E99" s="23">
        <f>IF($A99="","",INDEX(tblTasks[Depend_de],ROW()-4))</f>
      </c>
      <c r="F99" s="23">
        <f>IF($A99="","",INDEX(tblTasks[Blocage],ROW()-4))</f>
      </c>
      <c r="G99" s="23">
        <f>IF($A99="","",INDEX(tblTasks[Niveau_criticite],ROW()-4))</f>
      </c>
      <c r="H99" s="23">
        <f>IF($A99="","",INDEX(tblTasks[Goulot],ROW()-4))</f>
      </c>
      <c r="I99" s="23">
        <f>IF($A99="","",IF(LOWER($F99)="oui","non",IF($E99="","oui",IFERROR(IF(LOWER(INDEX(tblTasks[Statut],MATCH($E99,tblTasks[ID],0)))="clos","oui","non"),"non"))))</f>
      </c>
      <c r="J99" s="25">
        <f>IF($A99="","",INDEX(tblTasks[Date_debut_prevue],ROW()-4))</f>
      </c>
      <c r="K99" s="25">
        <f>IF($A99="","",INDEX(tblTasks[Date_fin_prevue],ROW()-4))</f>
      </c>
      <c r="L99" s="23">
        <f>IF($A99="","",INDEX(tblTasks[Irreversibilite],ROW()-4))</f>
      </c>
      <c r="M99" s="26">
        <f>IF(OR($A99="",M$3=""),"",IF(AND($J99&lt;&gt;"",$K99&lt;&gt;"",$J99=$K99,$J99&gt;=M$3,$J99&lt;=IF(param_mode_affichage="mois",EOMONTH(M$3,0),M$3+6)),"◆",""))</f>
      </c>
      <c r="N99" s="26">
        <f>IF(OR($A99="",N$3=""),"",IF(AND($J99&lt;&gt;"",$K99&lt;&gt;"",$J99=$K99,$J99&gt;=N$3,$J99&lt;=IF(param_mode_affichage="mois",EOMONTH(N$3,0),N$3+6)),"◆",""))</f>
      </c>
      <c r="O99" s="26">
        <f>IF(OR($A99="",O$3=""),"",IF(AND($J99&lt;&gt;"",$K99&lt;&gt;"",$J99=$K99,$J99&gt;=O$3,$J99&lt;=IF(param_mode_affichage="mois",EOMONTH(O$3,0),O$3+6)),"◆",""))</f>
      </c>
      <c r="P99" s="26">
        <f>IF(OR($A99="",P$3=""),"",IF(AND($J99&lt;&gt;"",$K99&lt;&gt;"",$J99=$K99,$J99&gt;=P$3,$J99&lt;=IF(param_mode_affichage="mois",EOMONTH(P$3,0),P$3+6)),"◆",""))</f>
      </c>
      <c r="Q99" s="26">
        <f>IF(OR($A99="",Q$3=""),"",IF(AND($J99&lt;&gt;"",$K99&lt;&gt;"",$J99=$K99,$J99&gt;=Q$3,$J99&lt;=IF(param_mode_affichage="mois",EOMONTH(Q$3,0),Q$3+6)),"◆",""))</f>
      </c>
      <c r="R99" s="26">
        <f>IF(OR($A99="",R$3=""),"",IF(AND($J99&lt;&gt;"",$K99&lt;&gt;"",$J99=$K99,$J99&gt;=R$3,$J99&lt;=IF(param_mode_affichage="mois",EOMONTH(R$3,0),R$3+6)),"◆",""))</f>
      </c>
      <c r="S99" s="26">
        <f>IF(OR($A99="",S$3=""),"",IF(AND($J99&lt;&gt;"",$K99&lt;&gt;"",$J99=$K99,$J99&gt;=S$3,$J99&lt;=IF(param_mode_affichage="mois",EOMONTH(S$3,0),S$3+6)),"◆",""))</f>
      </c>
      <c r="T99" s="26">
        <f>IF(OR($A99="",T$3=""),"",IF(AND($J99&lt;&gt;"",$K99&lt;&gt;"",$J99=$K99,$J99&gt;=T$3,$J99&lt;=IF(param_mode_affichage="mois",EOMONTH(T$3,0),T$3+6)),"◆",""))</f>
      </c>
      <c r="U99" s="26">
        <f>IF(OR($A99="",U$3=""),"",IF(AND($J99&lt;&gt;"",$K99&lt;&gt;"",$J99=$K99,$J99&gt;=U$3,$J99&lt;=IF(param_mode_affichage="mois",EOMONTH(U$3,0),U$3+6)),"◆",""))</f>
      </c>
      <c r="V99" s="26">
        <f>IF(OR($A99="",V$3=""),"",IF(AND($J99&lt;&gt;"",$K99&lt;&gt;"",$J99=$K99,$J99&gt;=V$3,$J99&lt;=IF(param_mode_affichage="mois",EOMONTH(V$3,0),V$3+6)),"◆",""))</f>
      </c>
      <c r="W99" s="26">
        <f>IF(OR($A99="",W$3=""),"",IF(AND($J99&lt;&gt;"",$K99&lt;&gt;"",$J99=$K99,$J99&gt;=W$3,$J99&lt;=IF(param_mode_affichage="mois",EOMONTH(W$3,0),W$3+6)),"◆",""))</f>
      </c>
      <c r="X99" s="26">
        <f>IF(OR($A99="",X$3=""),"",IF(AND($J99&lt;&gt;"",$K99&lt;&gt;"",$J99=$K99,$J99&gt;=X$3,$J99&lt;=IF(param_mode_affichage="mois",EOMONTH(X$3,0),X$3+6)),"◆",""))</f>
      </c>
      <c r="Y99" s="26">
        <f>IF(OR($A99="",Y$3=""),"",IF(AND($J99&lt;&gt;"",$K99&lt;&gt;"",$J99=$K99,$J99&gt;=Y$3,$J99&lt;=IF(param_mode_affichage="mois",EOMONTH(Y$3,0),Y$3+6)),"◆",""))</f>
      </c>
      <c r="Z99" s="26">
        <f>IF(OR($A99="",Z$3=""),"",IF(AND($J99&lt;&gt;"",$K99&lt;&gt;"",$J99=$K99,$J99&gt;=Z$3,$J99&lt;=IF(param_mode_affichage="mois",EOMONTH(Z$3,0),Z$3+6)),"◆",""))</f>
      </c>
      <c r="AA99" s="26">
        <f>IF(OR($A99="",AA$3=""),"",IF(AND($J99&lt;&gt;"",$K99&lt;&gt;"",$J99=$K99,$J99&gt;=AA$3,$J99&lt;=IF(param_mode_affichage="mois",EOMONTH(AA$3,0),AA$3+6)),"◆",""))</f>
      </c>
      <c r="AB99" s="26">
        <f>IF(OR($A99="",AB$3=""),"",IF(AND($J99&lt;&gt;"",$K99&lt;&gt;"",$J99=$K99,$J99&gt;=AB$3,$J99&lt;=IF(param_mode_affichage="mois",EOMONTH(AB$3,0),AB$3+6)),"◆",""))</f>
      </c>
      <c r="AC99" s="26">
        <f>IF(OR($A99="",AC$3=""),"",IF(AND($J99&lt;&gt;"",$K99&lt;&gt;"",$J99=$K99,$J99&gt;=AC$3,$J99&lt;=IF(param_mode_affichage="mois",EOMONTH(AC$3,0),AC$3+6)),"◆",""))</f>
      </c>
      <c r="AD99" s="26">
        <f>IF(OR($A99="",AD$3=""),"",IF(AND($J99&lt;&gt;"",$K99&lt;&gt;"",$J99=$K99,$J99&gt;=AD$3,$J99&lt;=IF(param_mode_affichage="mois",EOMONTH(AD$3,0),AD$3+6)),"◆",""))</f>
      </c>
      <c r="AE99" s="26">
        <f>IF(OR($A99="",AE$3=""),"",IF(AND($J99&lt;&gt;"",$K99&lt;&gt;"",$J99=$K99,$J99&gt;=AE$3,$J99&lt;=IF(param_mode_affichage="mois",EOMONTH(AE$3,0),AE$3+6)),"◆",""))</f>
      </c>
      <c r="AF99" s="26">
        <f>IF(OR($A99="",AF$3=""),"",IF(AND($J99&lt;&gt;"",$K99&lt;&gt;"",$J99=$K99,$J99&gt;=AF$3,$J99&lt;=IF(param_mode_affichage="mois",EOMONTH(AF$3,0),AF$3+6)),"◆",""))</f>
      </c>
      <c r="AG99" s="26">
        <f>IF(OR($A99="",AG$3=""),"",IF(AND($J99&lt;&gt;"",$K99&lt;&gt;"",$J99=$K99,$J99&gt;=AG$3,$J99&lt;=IF(param_mode_affichage="mois",EOMONTH(AG$3,0),AG$3+6)),"◆",""))</f>
      </c>
      <c r="AH99" s="26">
        <f>IF(OR($A99="",AH$3=""),"",IF(AND($J99&lt;&gt;"",$K99&lt;&gt;"",$J99=$K99,$J99&gt;=AH$3,$J99&lt;=IF(param_mode_affichage="mois",EOMONTH(AH$3,0),AH$3+6)),"◆",""))</f>
      </c>
      <c r="AI99" s="26">
        <f>IF(OR($A99="",AI$3=""),"",IF(AND($J99&lt;&gt;"",$K99&lt;&gt;"",$J99=$K99,$J99&gt;=AI$3,$J99&lt;=IF(param_mode_affichage="mois",EOMONTH(AI$3,0),AI$3+6)),"◆",""))</f>
      </c>
      <c r="AJ99" s="26">
        <f>IF(OR($A99="",AJ$3=""),"",IF(AND($J99&lt;&gt;"",$K99&lt;&gt;"",$J99=$K99,$J99&gt;=AJ$3,$J99&lt;=IF(param_mode_affichage="mois",EOMONTH(AJ$3,0),AJ$3+6)),"◆",""))</f>
      </c>
      <c r="AK99" s="26">
        <f>IF(OR($A99="",AK$3=""),"",IF(AND($J99&lt;&gt;"",$K99&lt;&gt;"",$J99=$K99,$J99&gt;=AK$3,$J99&lt;=IF(param_mode_affichage="mois",EOMONTH(AK$3,0),AK$3+6)),"◆",""))</f>
      </c>
      <c r="AL99" s="26">
        <f>IF(OR($A99="",AL$3=""),"",IF(AND($J99&lt;&gt;"",$K99&lt;&gt;"",$J99=$K99,$J99&gt;=AL$3,$J99&lt;=IF(param_mode_affichage="mois",EOMONTH(AL$3,0),AL$3+6)),"◆",""))</f>
      </c>
      <c r="AM99" s="26">
        <f>IF(OR($A99="",AM$3=""),"",IF(AND($J99&lt;&gt;"",$K99&lt;&gt;"",$J99=$K99,$J99&gt;=AM$3,$J99&lt;=IF(param_mode_affichage="mois",EOMONTH(AM$3,0),AM$3+6)),"◆",""))</f>
      </c>
      <c r="AN99" s="26">
        <f>IF(OR($A99="",AN$3=""),"",IF(AND($J99&lt;&gt;"",$K99&lt;&gt;"",$J99=$K99,$J99&gt;=AN$3,$J99&lt;=IF(param_mode_affichage="mois",EOMONTH(AN$3,0),AN$3+6)),"◆",""))</f>
      </c>
      <c r="AO99" s="26">
        <f>IF(OR($A99="",AO$3=""),"",IF(AND($J99&lt;&gt;"",$K99&lt;&gt;"",$J99=$K99,$J99&gt;=AO$3,$J99&lt;=IF(param_mode_affichage="mois",EOMONTH(AO$3,0),AO$3+6)),"◆",""))</f>
      </c>
      <c r="AP99" s="26">
        <f>IF(OR($A99="",AP$3=""),"",IF(AND($J99&lt;&gt;"",$K99&lt;&gt;"",$J99=$K99,$J99&gt;=AP$3,$J99&lt;=IF(param_mode_affichage="mois",EOMONTH(AP$3,0),AP$3+6)),"◆",""))</f>
      </c>
      <c r="AQ99" s="26">
        <f>IF(OR($A99="",AQ$3=""),"",IF(AND($J99&lt;&gt;"",$K99&lt;&gt;"",$J99=$K99,$J99&gt;=AQ$3,$J99&lt;=IF(param_mode_affichage="mois",EOMONTH(AQ$3,0),AQ$3+6)),"◆",""))</f>
      </c>
      <c r="AR99" s="26">
        <f>IF(OR($A99="",AR$3=""),"",IF(AND($J99&lt;&gt;"",$K99&lt;&gt;"",$J99=$K99,$J99&gt;=AR$3,$J99&lt;=IF(param_mode_affichage="mois",EOMONTH(AR$3,0),AR$3+6)),"◆",""))</f>
      </c>
      <c r="AS99" s="26">
        <f>IF(OR($A99="",AS$3=""),"",IF(AND($J99&lt;&gt;"",$K99&lt;&gt;"",$J99=$K99,$J99&gt;=AS$3,$J99&lt;=IF(param_mode_affichage="mois",EOMONTH(AS$3,0),AS$3+6)),"◆",""))</f>
      </c>
      <c r="AT99" s="26">
        <f>IF(OR($A99="",AT$3=""),"",IF(AND($J99&lt;&gt;"",$K99&lt;&gt;"",$J99=$K99,$J99&gt;=AT$3,$J99&lt;=IF(param_mode_affichage="mois",EOMONTH(AT$3,0),AT$3+6)),"◆",""))</f>
      </c>
      <c r="AU99" s="26">
        <f>IF(OR($A99="",AU$3=""),"",IF(AND($J99&lt;&gt;"",$K99&lt;&gt;"",$J99=$K99,$J99&gt;=AU$3,$J99&lt;=IF(param_mode_affichage="mois",EOMONTH(AU$3,0),AU$3+6)),"◆",""))</f>
      </c>
      <c r="AV99" s="26">
        <f>IF(OR($A99="",AV$3=""),"",IF(AND($J99&lt;&gt;"",$K99&lt;&gt;"",$J99=$K99,$J99&gt;=AV$3,$J99&lt;=IF(param_mode_affichage="mois",EOMONTH(AV$3,0),AV$3+6)),"◆",""))</f>
      </c>
      <c r="AW99" s="26">
        <f>IF(OR($A99="",AW$3=""),"",IF(AND($J99&lt;&gt;"",$K99&lt;&gt;"",$J99=$K99,$J99&gt;=AW$3,$J99&lt;=IF(param_mode_affichage="mois",EOMONTH(AW$3,0),AW$3+6)),"◆",""))</f>
      </c>
      <c r="AX99" s="26">
        <f>IF(OR($A99="",AX$3=""),"",IF(AND($J99&lt;&gt;"",$K99&lt;&gt;"",$J99=$K99,$J99&gt;=AX$3,$J99&lt;=IF(param_mode_affichage="mois",EOMONTH(AX$3,0),AX$3+6)),"◆",""))</f>
      </c>
      <c r="AY99" s="26">
        <f>IF(OR($A99="",AY$3=""),"",IF(AND($J99&lt;&gt;"",$K99&lt;&gt;"",$J99=$K99,$J99&gt;=AY$3,$J99&lt;=IF(param_mode_affichage="mois",EOMONTH(AY$3,0),AY$3+6)),"◆",""))</f>
      </c>
      <c r="AZ99" s="26">
        <f>IF(OR($A99="",AZ$3=""),"",IF(AND($J99&lt;&gt;"",$K99&lt;&gt;"",$J99=$K99,$J99&gt;=AZ$3,$J99&lt;=IF(param_mode_affichage="mois",EOMONTH(AZ$3,0),AZ$3+6)),"◆",""))</f>
      </c>
      <c r="BA99" s="26">
        <f>IF(OR($A99="",BA$3=""),"",IF(AND($J99&lt;&gt;"",$K99&lt;&gt;"",$J99=$K99,$J99&gt;=BA$3,$J99&lt;=IF(param_mode_affichage="mois",EOMONTH(BA$3,0),BA$3+6)),"◆",""))</f>
      </c>
      <c r="BB99" s="26">
        <f>IF(OR($A99="",BB$3=""),"",IF(AND($J99&lt;&gt;"",$K99&lt;&gt;"",$J99=$K99,$J99&gt;=BB$3,$J99&lt;=IF(param_mode_affichage="mois",EOMONTH(BB$3,0),BB$3+6)),"◆",""))</f>
      </c>
      <c r="BC99" s="26">
        <f>IF(OR($A99="",BC$3=""),"",IF(AND($J99&lt;&gt;"",$K99&lt;&gt;"",$J99=$K99,$J99&gt;=BC$3,$J99&lt;=IF(param_mode_affichage="mois",EOMONTH(BC$3,0),BC$3+6)),"◆",""))</f>
      </c>
      <c r="BD99" s="26">
        <f>IF(OR($A99="",BD$3=""),"",IF(AND($J99&lt;&gt;"",$K99&lt;&gt;"",$J99=$K99,$J99&gt;=BD$3,$J99&lt;=IF(param_mode_affichage="mois",EOMONTH(BD$3,0),BD$3+6)),"◆",""))</f>
      </c>
      <c r="BE99" s="26">
        <f>IF(OR($A99="",BE$3=""),"",IF(AND($J99&lt;&gt;"",$K99&lt;&gt;"",$J99=$K99,$J99&gt;=BE$3,$J99&lt;=IF(param_mode_affichage="mois",EOMONTH(BE$3,0),BE$3+6)),"◆",""))</f>
      </c>
      <c r="BF99" s="26">
        <f>IF(OR($A99="",BF$3=""),"",IF(AND($J99&lt;&gt;"",$K99&lt;&gt;"",$J99=$K99,$J99&gt;=BF$3,$J99&lt;=IF(param_mode_affichage="mois",EOMONTH(BF$3,0),BF$3+6)),"◆",""))</f>
      </c>
      <c r="BG99" s="26">
        <f>IF(OR($A99="",BG$3=""),"",IF(AND($J99&lt;&gt;"",$K99&lt;&gt;"",$J99=$K99,$J99&gt;=BG$3,$J99&lt;=IF(param_mode_affichage="mois",EOMONTH(BG$3,0),BG$3+6)),"◆",""))</f>
      </c>
      <c r="BH99" s="26">
        <f>IF(OR($A99="",BH$3=""),"",IF(AND($J99&lt;&gt;"",$K99&lt;&gt;"",$J99=$K99,$J99&gt;=BH$3,$J99&lt;=IF(param_mode_affichage="mois",EOMONTH(BH$3,0),BH$3+6)),"◆",""))</f>
      </c>
      <c r="BI99" s="26">
        <f>IF(OR($A99="",BI$3=""),"",IF(AND($J99&lt;&gt;"",$K99&lt;&gt;"",$J99=$K99,$J99&gt;=BI$3,$J99&lt;=IF(param_mode_affichage="mois",EOMONTH(BI$3,0),BI$3+6)),"◆",""))</f>
      </c>
      <c r="BJ99" s="26">
        <f>IF(OR($A99="",BJ$3=""),"",IF(AND($J99&lt;&gt;"",$K99&lt;&gt;"",$J99=$K99,$J99&gt;=BJ$3,$J99&lt;=IF(param_mode_affichage="mois",EOMONTH(BJ$3,0),BJ$3+6)),"◆",""))</f>
      </c>
      <c r="BK99" s="26">
        <f>IF(OR($A99="",BK$3=""),"",IF(AND($J99&lt;&gt;"",$K99&lt;&gt;"",$J99=$K99,$J99&gt;=BK$3,$J99&lt;=IF(param_mode_affichage="mois",EOMONTH(BK$3,0),BK$3+6)),"◆",""))</f>
      </c>
      <c r="BL99" s="26">
        <f>IF(OR($A99="",BL$3=""),"",IF(AND($J99&lt;&gt;"",$K99&lt;&gt;"",$J99=$K99,$J99&gt;=BL$3,$J99&lt;=IF(param_mode_affichage="mois",EOMONTH(BL$3,0),BL$3+6)),"◆",""))</f>
      </c>
    </row>
    <row r="100" spans="1:64" x14ac:dyDescent="0.25">
      <c r="A100" s="23">
        <f>IFERROR(INDEX(tblTasks[ID],ROW()-4),"")</f>
      </c>
      <c r="B100" s="24">
        <f>IF($A100="","",INDEX(tblTasks[Sujet],ROW()-4))</f>
      </c>
      <c r="C100" s="23">
        <f>IF($A100="","",INDEX(tblTasks[Responsable],ROW()-4))</f>
      </c>
      <c r="D100" s="23">
        <f>IF($A100="","",INDEX(tblTasks[Statut],ROW()-4))</f>
      </c>
      <c r="E100" s="23">
        <f>IF($A100="","",INDEX(tblTasks[Depend_de],ROW()-4))</f>
      </c>
      <c r="F100" s="23">
        <f>IF($A100="","",INDEX(tblTasks[Blocage],ROW()-4))</f>
      </c>
      <c r="G100" s="23">
        <f>IF($A100="","",INDEX(tblTasks[Niveau_criticite],ROW()-4))</f>
      </c>
      <c r="H100" s="23">
        <f>IF($A100="","",INDEX(tblTasks[Goulot],ROW()-4))</f>
      </c>
      <c r="I100" s="23">
        <f>IF($A100="","",IF(LOWER($F100)="oui","non",IF($E100="","oui",IFERROR(IF(LOWER(INDEX(tblTasks[Statut],MATCH($E100,tblTasks[ID],0)))="clos","oui","non"),"non"))))</f>
      </c>
      <c r="J100" s="25">
        <f>IF($A100="","",INDEX(tblTasks[Date_debut_prevue],ROW()-4))</f>
      </c>
      <c r="K100" s="25">
        <f>IF($A100="","",INDEX(tblTasks[Date_fin_prevue],ROW()-4))</f>
      </c>
      <c r="L100" s="23">
        <f>IF($A100="","",INDEX(tblTasks[Irreversibilite],ROW()-4))</f>
      </c>
      <c r="M100" s="26">
        <f>IF(OR($A100="",M$3=""),"",IF(AND($J100&lt;&gt;"",$K100&lt;&gt;"",$J100=$K100,$J100&gt;=M$3,$J100&lt;=IF(param_mode_affichage="mois",EOMONTH(M$3,0),M$3+6)),"◆",""))</f>
      </c>
      <c r="N100" s="26">
        <f>IF(OR($A100="",N$3=""),"",IF(AND($J100&lt;&gt;"",$K100&lt;&gt;"",$J100=$K100,$J100&gt;=N$3,$J100&lt;=IF(param_mode_affichage="mois",EOMONTH(N$3,0),N$3+6)),"◆",""))</f>
      </c>
      <c r="O100" s="26">
        <f>IF(OR($A100="",O$3=""),"",IF(AND($J100&lt;&gt;"",$K100&lt;&gt;"",$J100=$K100,$J100&gt;=O$3,$J100&lt;=IF(param_mode_affichage="mois",EOMONTH(O$3,0),O$3+6)),"◆",""))</f>
      </c>
      <c r="P100" s="26">
        <f>IF(OR($A100="",P$3=""),"",IF(AND($J100&lt;&gt;"",$K100&lt;&gt;"",$J100=$K100,$J100&gt;=P$3,$J100&lt;=IF(param_mode_affichage="mois",EOMONTH(P$3,0),P$3+6)),"◆",""))</f>
      </c>
      <c r="Q100" s="26">
        <f>IF(OR($A100="",Q$3=""),"",IF(AND($J100&lt;&gt;"",$K100&lt;&gt;"",$J100=$K100,$J100&gt;=Q$3,$J100&lt;=IF(param_mode_affichage="mois",EOMONTH(Q$3,0),Q$3+6)),"◆",""))</f>
      </c>
      <c r="R100" s="26">
        <f>IF(OR($A100="",R$3=""),"",IF(AND($J100&lt;&gt;"",$K100&lt;&gt;"",$J100=$K100,$J100&gt;=R$3,$J100&lt;=IF(param_mode_affichage="mois",EOMONTH(R$3,0),R$3+6)),"◆",""))</f>
      </c>
      <c r="S100" s="26">
        <f>IF(OR($A100="",S$3=""),"",IF(AND($J100&lt;&gt;"",$K100&lt;&gt;"",$J100=$K100,$J100&gt;=S$3,$J100&lt;=IF(param_mode_affichage="mois",EOMONTH(S$3,0),S$3+6)),"◆",""))</f>
      </c>
      <c r="T100" s="26">
        <f>IF(OR($A100="",T$3=""),"",IF(AND($J100&lt;&gt;"",$K100&lt;&gt;"",$J100=$K100,$J100&gt;=T$3,$J100&lt;=IF(param_mode_affichage="mois",EOMONTH(T$3,0),T$3+6)),"◆",""))</f>
      </c>
      <c r="U100" s="26">
        <f>IF(OR($A100="",U$3=""),"",IF(AND($J100&lt;&gt;"",$K100&lt;&gt;"",$J100=$K100,$J100&gt;=U$3,$J100&lt;=IF(param_mode_affichage="mois",EOMONTH(U$3,0),U$3+6)),"◆",""))</f>
      </c>
      <c r="V100" s="26">
        <f>IF(OR($A100="",V$3=""),"",IF(AND($J100&lt;&gt;"",$K100&lt;&gt;"",$J100=$K100,$J100&gt;=V$3,$J100&lt;=IF(param_mode_affichage="mois",EOMONTH(V$3,0),V$3+6)),"◆",""))</f>
      </c>
      <c r="W100" s="26">
        <f>IF(OR($A100="",W$3=""),"",IF(AND($J100&lt;&gt;"",$K100&lt;&gt;"",$J100=$K100,$J100&gt;=W$3,$J100&lt;=IF(param_mode_affichage="mois",EOMONTH(W$3,0),W$3+6)),"◆",""))</f>
      </c>
      <c r="X100" s="26">
        <f>IF(OR($A100="",X$3=""),"",IF(AND($J100&lt;&gt;"",$K100&lt;&gt;"",$J100=$K100,$J100&gt;=X$3,$J100&lt;=IF(param_mode_affichage="mois",EOMONTH(X$3,0),X$3+6)),"◆",""))</f>
      </c>
      <c r="Y100" s="26">
        <f>IF(OR($A100="",Y$3=""),"",IF(AND($J100&lt;&gt;"",$K100&lt;&gt;"",$J100=$K100,$J100&gt;=Y$3,$J100&lt;=IF(param_mode_affichage="mois",EOMONTH(Y$3,0),Y$3+6)),"◆",""))</f>
      </c>
      <c r="Z100" s="26">
        <f>IF(OR($A100="",Z$3=""),"",IF(AND($J100&lt;&gt;"",$K100&lt;&gt;"",$J100=$K100,$J100&gt;=Z$3,$J100&lt;=IF(param_mode_affichage="mois",EOMONTH(Z$3,0),Z$3+6)),"◆",""))</f>
      </c>
      <c r="AA100" s="26">
        <f>IF(OR($A100="",AA$3=""),"",IF(AND($J100&lt;&gt;"",$K100&lt;&gt;"",$J100=$K100,$J100&gt;=AA$3,$J100&lt;=IF(param_mode_affichage="mois",EOMONTH(AA$3,0),AA$3+6)),"◆",""))</f>
      </c>
      <c r="AB100" s="26">
        <f>IF(OR($A100="",AB$3=""),"",IF(AND($J100&lt;&gt;"",$K100&lt;&gt;"",$J100=$K100,$J100&gt;=AB$3,$J100&lt;=IF(param_mode_affichage="mois",EOMONTH(AB$3,0),AB$3+6)),"◆",""))</f>
      </c>
      <c r="AC100" s="26">
        <f>IF(OR($A100="",AC$3=""),"",IF(AND($J100&lt;&gt;"",$K100&lt;&gt;"",$J100=$K100,$J100&gt;=AC$3,$J100&lt;=IF(param_mode_affichage="mois",EOMONTH(AC$3,0),AC$3+6)),"◆",""))</f>
      </c>
      <c r="AD100" s="26">
        <f>IF(OR($A100="",AD$3=""),"",IF(AND($J100&lt;&gt;"",$K100&lt;&gt;"",$J100=$K100,$J100&gt;=AD$3,$J100&lt;=IF(param_mode_affichage="mois",EOMONTH(AD$3,0),AD$3+6)),"◆",""))</f>
      </c>
      <c r="AE100" s="26">
        <f>IF(OR($A100="",AE$3=""),"",IF(AND($J100&lt;&gt;"",$K100&lt;&gt;"",$J100=$K100,$J100&gt;=AE$3,$J100&lt;=IF(param_mode_affichage="mois",EOMONTH(AE$3,0),AE$3+6)),"◆",""))</f>
      </c>
      <c r="AF100" s="26">
        <f>IF(OR($A100="",AF$3=""),"",IF(AND($J100&lt;&gt;"",$K100&lt;&gt;"",$J100=$K100,$J100&gt;=AF$3,$J100&lt;=IF(param_mode_affichage="mois",EOMONTH(AF$3,0),AF$3+6)),"◆",""))</f>
      </c>
      <c r="AG100" s="26">
        <f>IF(OR($A100="",AG$3=""),"",IF(AND($J100&lt;&gt;"",$K100&lt;&gt;"",$J100=$K100,$J100&gt;=AG$3,$J100&lt;=IF(param_mode_affichage="mois",EOMONTH(AG$3,0),AG$3+6)),"◆",""))</f>
      </c>
      <c r="AH100" s="26">
        <f>IF(OR($A100="",AH$3=""),"",IF(AND($J100&lt;&gt;"",$K100&lt;&gt;"",$J100=$K100,$J100&gt;=AH$3,$J100&lt;=IF(param_mode_affichage="mois",EOMONTH(AH$3,0),AH$3+6)),"◆",""))</f>
      </c>
      <c r="AI100" s="26">
        <f>IF(OR($A100="",AI$3=""),"",IF(AND($J100&lt;&gt;"",$K100&lt;&gt;"",$J100=$K100,$J100&gt;=AI$3,$J100&lt;=IF(param_mode_affichage="mois",EOMONTH(AI$3,0),AI$3+6)),"◆",""))</f>
      </c>
      <c r="AJ100" s="26">
        <f>IF(OR($A100="",AJ$3=""),"",IF(AND($J100&lt;&gt;"",$K100&lt;&gt;"",$J100=$K100,$J100&gt;=AJ$3,$J100&lt;=IF(param_mode_affichage="mois",EOMONTH(AJ$3,0),AJ$3+6)),"◆",""))</f>
      </c>
      <c r="AK100" s="26">
        <f>IF(OR($A100="",AK$3=""),"",IF(AND($J100&lt;&gt;"",$K100&lt;&gt;"",$J100=$K100,$J100&gt;=AK$3,$J100&lt;=IF(param_mode_affichage="mois",EOMONTH(AK$3,0),AK$3+6)),"◆",""))</f>
      </c>
      <c r="AL100" s="26">
        <f>IF(OR($A100="",AL$3=""),"",IF(AND($J100&lt;&gt;"",$K100&lt;&gt;"",$J100=$K100,$J100&gt;=AL$3,$J100&lt;=IF(param_mode_affichage="mois",EOMONTH(AL$3,0),AL$3+6)),"◆",""))</f>
      </c>
      <c r="AM100" s="26">
        <f>IF(OR($A100="",AM$3=""),"",IF(AND($J100&lt;&gt;"",$K100&lt;&gt;"",$J100=$K100,$J100&gt;=AM$3,$J100&lt;=IF(param_mode_affichage="mois",EOMONTH(AM$3,0),AM$3+6)),"◆",""))</f>
      </c>
      <c r="AN100" s="26">
        <f>IF(OR($A100="",AN$3=""),"",IF(AND($J100&lt;&gt;"",$K100&lt;&gt;"",$J100=$K100,$J100&gt;=AN$3,$J100&lt;=IF(param_mode_affichage="mois",EOMONTH(AN$3,0),AN$3+6)),"◆",""))</f>
      </c>
      <c r="AO100" s="26">
        <f>IF(OR($A100="",AO$3=""),"",IF(AND($J100&lt;&gt;"",$K100&lt;&gt;"",$J100=$K100,$J100&gt;=AO$3,$J100&lt;=IF(param_mode_affichage="mois",EOMONTH(AO$3,0),AO$3+6)),"◆",""))</f>
      </c>
      <c r="AP100" s="26">
        <f>IF(OR($A100="",AP$3=""),"",IF(AND($J100&lt;&gt;"",$K100&lt;&gt;"",$J100=$K100,$J100&gt;=AP$3,$J100&lt;=IF(param_mode_affichage="mois",EOMONTH(AP$3,0),AP$3+6)),"◆",""))</f>
      </c>
      <c r="AQ100" s="26">
        <f>IF(OR($A100="",AQ$3=""),"",IF(AND($J100&lt;&gt;"",$K100&lt;&gt;"",$J100=$K100,$J100&gt;=AQ$3,$J100&lt;=IF(param_mode_affichage="mois",EOMONTH(AQ$3,0),AQ$3+6)),"◆",""))</f>
      </c>
      <c r="AR100" s="26">
        <f>IF(OR($A100="",AR$3=""),"",IF(AND($J100&lt;&gt;"",$K100&lt;&gt;"",$J100=$K100,$J100&gt;=AR$3,$J100&lt;=IF(param_mode_affichage="mois",EOMONTH(AR$3,0),AR$3+6)),"◆",""))</f>
      </c>
      <c r="AS100" s="26">
        <f>IF(OR($A100="",AS$3=""),"",IF(AND($J100&lt;&gt;"",$K100&lt;&gt;"",$J100=$K100,$J100&gt;=AS$3,$J100&lt;=IF(param_mode_affichage="mois",EOMONTH(AS$3,0),AS$3+6)),"◆",""))</f>
      </c>
      <c r="AT100" s="26">
        <f>IF(OR($A100="",AT$3=""),"",IF(AND($J100&lt;&gt;"",$K100&lt;&gt;"",$J100=$K100,$J100&gt;=AT$3,$J100&lt;=IF(param_mode_affichage="mois",EOMONTH(AT$3,0),AT$3+6)),"◆",""))</f>
      </c>
      <c r="AU100" s="26">
        <f>IF(OR($A100="",AU$3=""),"",IF(AND($J100&lt;&gt;"",$K100&lt;&gt;"",$J100=$K100,$J100&gt;=AU$3,$J100&lt;=IF(param_mode_affichage="mois",EOMONTH(AU$3,0),AU$3+6)),"◆",""))</f>
      </c>
      <c r="AV100" s="26">
        <f>IF(OR($A100="",AV$3=""),"",IF(AND($J100&lt;&gt;"",$K100&lt;&gt;"",$J100=$K100,$J100&gt;=AV$3,$J100&lt;=IF(param_mode_affichage="mois",EOMONTH(AV$3,0),AV$3+6)),"◆",""))</f>
      </c>
      <c r="AW100" s="26">
        <f>IF(OR($A100="",AW$3=""),"",IF(AND($J100&lt;&gt;"",$K100&lt;&gt;"",$J100=$K100,$J100&gt;=AW$3,$J100&lt;=IF(param_mode_affichage="mois",EOMONTH(AW$3,0),AW$3+6)),"◆",""))</f>
      </c>
      <c r="AX100" s="26">
        <f>IF(OR($A100="",AX$3=""),"",IF(AND($J100&lt;&gt;"",$K100&lt;&gt;"",$J100=$K100,$J100&gt;=AX$3,$J100&lt;=IF(param_mode_affichage="mois",EOMONTH(AX$3,0),AX$3+6)),"◆",""))</f>
      </c>
      <c r="AY100" s="26">
        <f>IF(OR($A100="",AY$3=""),"",IF(AND($J100&lt;&gt;"",$K100&lt;&gt;"",$J100=$K100,$J100&gt;=AY$3,$J100&lt;=IF(param_mode_affichage="mois",EOMONTH(AY$3,0),AY$3+6)),"◆",""))</f>
      </c>
      <c r="AZ100" s="26">
        <f>IF(OR($A100="",AZ$3=""),"",IF(AND($J100&lt;&gt;"",$K100&lt;&gt;"",$J100=$K100,$J100&gt;=AZ$3,$J100&lt;=IF(param_mode_affichage="mois",EOMONTH(AZ$3,0),AZ$3+6)),"◆",""))</f>
      </c>
      <c r="BA100" s="26">
        <f>IF(OR($A100="",BA$3=""),"",IF(AND($J100&lt;&gt;"",$K100&lt;&gt;"",$J100=$K100,$J100&gt;=BA$3,$J100&lt;=IF(param_mode_affichage="mois",EOMONTH(BA$3,0),BA$3+6)),"◆",""))</f>
      </c>
      <c r="BB100" s="26">
        <f>IF(OR($A100="",BB$3=""),"",IF(AND($J100&lt;&gt;"",$K100&lt;&gt;"",$J100=$K100,$J100&gt;=BB$3,$J100&lt;=IF(param_mode_affichage="mois",EOMONTH(BB$3,0),BB$3+6)),"◆",""))</f>
      </c>
      <c r="BC100" s="26">
        <f>IF(OR($A100="",BC$3=""),"",IF(AND($J100&lt;&gt;"",$K100&lt;&gt;"",$J100=$K100,$J100&gt;=BC$3,$J100&lt;=IF(param_mode_affichage="mois",EOMONTH(BC$3,0),BC$3+6)),"◆",""))</f>
      </c>
      <c r="BD100" s="26">
        <f>IF(OR($A100="",BD$3=""),"",IF(AND($J100&lt;&gt;"",$K100&lt;&gt;"",$J100=$K100,$J100&gt;=BD$3,$J100&lt;=IF(param_mode_affichage="mois",EOMONTH(BD$3,0),BD$3+6)),"◆",""))</f>
      </c>
      <c r="BE100" s="26">
        <f>IF(OR($A100="",BE$3=""),"",IF(AND($J100&lt;&gt;"",$K100&lt;&gt;"",$J100=$K100,$J100&gt;=BE$3,$J100&lt;=IF(param_mode_affichage="mois",EOMONTH(BE$3,0),BE$3+6)),"◆",""))</f>
      </c>
      <c r="BF100" s="26">
        <f>IF(OR($A100="",BF$3=""),"",IF(AND($J100&lt;&gt;"",$K100&lt;&gt;"",$J100=$K100,$J100&gt;=BF$3,$J100&lt;=IF(param_mode_affichage="mois",EOMONTH(BF$3,0),BF$3+6)),"◆",""))</f>
      </c>
      <c r="BG100" s="26">
        <f>IF(OR($A100="",BG$3=""),"",IF(AND($J100&lt;&gt;"",$K100&lt;&gt;"",$J100=$K100,$J100&gt;=BG$3,$J100&lt;=IF(param_mode_affichage="mois",EOMONTH(BG$3,0),BG$3+6)),"◆",""))</f>
      </c>
      <c r="BH100" s="26">
        <f>IF(OR($A100="",BH$3=""),"",IF(AND($J100&lt;&gt;"",$K100&lt;&gt;"",$J100=$K100,$J100&gt;=BH$3,$J100&lt;=IF(param_mode_affichage="mois",EOMONTH(BH$3,0),BH$3+6)),"◆",""))</f>
      </c>
      <c r="BI100" s="26">
        <f>IF(OR($A100="",BI$3=""),"",IF(AND($J100&lt;&gt;"",$K100&lt;&gt;"",$J100=$K100,$J100&gt;=BI$3,$J100&lt;=IF(param_mode_affichage="mois",EOMONTH(BI$3,0),BI$3+6)),"◆",""))</f>
      </c>
      <c r="BJ100" s="26">
        <f>IF(OR($A100="",BJ$3=""),"",IF(AND($J100&lt;&gt;"",$K100&lt;&gt;"",$J100=$K100,$J100&gt;=BJ$3,$J100&lt;=IF(param_mode_affichage="mois",EOMONTH(BJ$3,0),BJ$3+6)),"◆",""))</f>
      </c>
      <c r="BK100" s="26">
        <f>IF(OR($A100="",BK$3=""),"",IF(AND($J100&lt;&gt;"",$K100&lt;&gt;"",$J100=$K100,$J100&gt;=BK$3,$J100&lt;=IF(param_mode_affichage="mois",EOMONTH(BK$3,0),BK$3+6)),"◆",""))</f>
      </c>
      <c r="BL100" s="26">
        <f>IF(OR($A100="",BL$3=""),"",IF(AND($J100&lt;&gt;"",$K100&lt;&gt;"",$J100=$K100,$J100&gt;=BL$3,$J100&lt;=IF(param_mode_affichage="mois",EOMONTH(BL$3,0),BL$3+6)),"◆",""))</f>
      </c>
    </row>
    <row r="101" spans="1:64" x14ac:dyDescent="0.25">
      <c r="A101" s="23">
        <f>IFERROR(INDEX(tblTasks[ID],ROW()-4),"")</f>
      </c>
      <c r="B101" s="24">
        <f>IF($A101="","",INDEX(tblTasks[Sujet],ROW()-4))</f>
      </c>
      <c r="C101" s="23">
        <f>IF($A101="","",INDEX(tblTasks[Responsable],ROW()-4))</f>
      </c>
      <c r="D101" s="23">
        <f>IF($A101="","",INDEX(tblTasks[Statut],ROW()-4))</f>
      </c>
      <c r="E101" s="23">
        <f>IF($A101="","",INDEX(tblTasks[Depend_de],ROW()-4))</f>
      </c>
      <c r="F101" s="23">
        <f>IF($A101="","",INDEX(tblTasks[Blocage],ROW()-4))</f>
      </c>
      <c r="G101" s="23">
        <f>IF($A101="","",INDEX(tblTasks[Niveau_criticite],ROW()-4))</f>
      </c>
      <c r="H101" s="23">
        <f>IF($A101="","",INDEX(tblTasks[Goulot],ROW()-4))</f>
      </c>
      <c r="I101" s="23">
        <f>IF($A101="","",IF(LOWER($F101)="oui","non",IF($E101="","oui",IFERROR(IF(LOWER(INDEX(tblTasks[Statut],MATCH($E101,tblTasks[ID],0)))="clos","oui","non"),"non"))))</f>
      </c>
      <c r="J101" s="25">
        <f>IF($A101="","",INDEX(tblTasks[Date_debut_prevue],ROW()-4))</f>
      </c>
      <c r="K101" s="25">
        <f>IF($A101="","",INDEX(tblTasks[Date_fin_prevue],ROW()-4))</f>
      </c>
      <c r="L101" s="23">
        <f>IF($A101="","",INDEX(tblTasks[Irreversibilite],ROW()-4))</f>
      </c>
      <c r="M101" s="26">
        <f>IF(OR($A101="",M$3=""),"",IF(AND($J101&lt;&gt;"",$K101&lt;&gt;"",$J101=$K101,$J101&gt;=M$3,$J101&lt;=IF(param_mode_affichage="mois",EOMONTH(M$3,0),M$3+6)),"◆",""))</f>
      </c>
      <c r="N101" s="26">
        <f>IF(OR($A101="",N$3=""),"",IF(AND($J101&lt;&gt;"",$K101&lt;&gt;"",$J101=$K101,$J101&gt;=N$3,$J101&lt;=IF(param_mode_affichage="mois",EOMONTH(N$3,0),N$3+6)),"◆",""))</f>
      </c>
      <c r="O101" s="26">
        <f>IF(OR($A101="",O$3=""),"",IF(AND($J101&lt;&gt;"",$K101&lt;&gt;"",$J101=$K101,$J101&gt;=O$3,$J101&lt;=IF(param_mode_affichage="mois",EOMONTH(O$3,0),O$3+6)),"◆",""))</f>
      </c>
      <c r="P101" s="26">
        <f>IF(OR($A101="",P$3=""),"",IF(AND($J101&lt;&gt;"",$K101&lt;&gt;"",$J101=$K101,$J101&gt;=P$3,$J101&lt;=IF(param_mode_affichage="mois",EOMONTH(P$3,0),P$3+6)),"◆",""))</f>
      </c>
      <c r="Q101" s="26">
        <f>IF(OR($A101="",Q$3=""),"",IF(AND($J101&lt;&gt;"",$K101&lt;&gt;"",$J101=$K101,$J101&gt;=Q$3,$J101&lt;=IF(param_mode_affichage="mois",EOMONTH(Q$3,0),Q$3+6)),"◆",""))</f>
      </c>
      <c r="R101" s="26">
        <f>IF(OR($A101="",R$3=""),"",IF(AND($J101&lt;&gt;"",$K101&lt;&gt;"",$J101=$K101,$J101&gt;=R$3,$J101&lt;=IF(param_mode_affichage="mois",EOMONTH(R$3,0),R$3+6)),"◆",""))</f>
      </c>
      <c r="S101" s="26">
        <f>IF(OR($A101="",S$3=""),"",IF(AND($J101&lt;&gt;"",$K101&lt;&gt;"",$J101=$K101,$J101&gt;=S$3,$J101&lt;=IF(param_mode_affichage="mois",EOMONTH(S$3,0),S$3+6)),"◆",""))</f>
      </c>
      <c r="T101" s="26">
        <f>IF(OR($A101="",T$3=""),"",IF(AND($J101&lt;&gt;"",$K101&lt;&gt;"",$J101=$K101,$J101&gt;=T$3,$J101&lt;=IF(param_mode_affichage="mois",EOMONTH(T$3,0),T$3+6)),"◆",""))</f>
      </c>
      <c r="U101" s="26">
        <f>IF(OR($A101="",U$3=""),"",IF(AND($J101&lt;&gt;"",$K101&lt;&gt;"",$J101=$K101,$J101&gt;=U$3,$J101&lt;=IF(param_mode_affichage="mois",EOMONTH(U$3,0),U$3+6)),"◆",""))</f>
      </c>
      <c r="V101" s="26">
        <f>IF(OR($A101="",V$3=""),"",IF(AND($J101&lt;&gt;"",$K101&lt;&gt;"",$J101=$K101,$J101&gt;=V$3,$J101&lt;=IF(param_mode_affichage="mois",EOMONTH(V$3,0),V$3+6)),"◆",""))</f>
      </c>
      <c r="W101" s="26">
        <f>IF(OR($A101="",W$3=""),"",IF(AND($J101&lt;&gt;"",$K101&lt;&gt;"",$J101=$K101,$J101&gt;=W$3,$J101&lt;=IF(param_mode_affichage="mois",EOMONTH(W$3,0),W$3+6)),"◆",""))</f>
      </c>
      <c r="X101" s="26">
        <f>IF(OR($A101="",X$3=""),"",IF(AND($J101&lt;&gt;"",$K101&lt;&gt;"",$J101=$K101,$J101&gt;=X$3,$J101&lt;=IF(param_mode_affichage="mois",EOMONTH(X$3,0),X$3+6)),"◆",""))</f>
      </c>
      <c r="Y101" s="26">
        <f>IF(OR($A101="",Y$3=""),"",IF(AND($J101&lt;&gt;"",$K101&lt;&gt;"",$J101=$K101,$J101&gt;=Y$3,$J101&lt;=IF(param_mode_affichage="mois",EOMONTH(Y$3,0),Y$3+6)),"◆",""))</f>
      </c>
      <c r="Z101" s="26">
        <f>IF(OR($A101="",Z$3=""),"",IF(AND($J101&lt;&gt;"",$K101&lt;&gt;"",$J101=$K101,$J101&gt;=Z$3,$J101&lt;=IF(param_mode_affichage="mois",EOMONTH(Z$3,0),Z$3+6)),"◆",""))</f>
      </c>
      <c r="AA101" s="26">
        <f>IF(OR($A101="",AA$3=""),"",IF(AND($J101&lt;&gt;"",$K101&lt;&gt;"",$J101=$K101,$J101&gt;=AA$3,$J101&lt;=IF(param_mode_affichage="mois",EOMONTH(AA$3,0),AA$3+6)),"◆",""))</f>
      </c>
      <c r="AB101" s="26">
        <f>IF(OR($A101="",AB$3=""),"",IF(AND($J101&lt;&gt;"",$K101&lt;&gt;"",$J101=$K101,$J101&gt;=AB$3,$J101&lt;=IF(param_mode_affichage="mois",EOMONTH(AB$3,0),AB$3+6)),"◆",""))</f>
      </c>
      <c r="AC101" s="26">
        <f>IF(OR($A101="",AC$3=""),"",IF(AND($J101&lt;&gt;"",$K101&lt;&gt;"",$J101=$K101,$J101&gt;=AC$3,$J101&lt;=IF(param_mode_affichage="mois",EOMONTH(AC$3,0),AC$3+6)),"◆",""))</f>
      </c>
      <c r="AD101" s="26">
        <f>IF(OR($A101="",AD$3=""),"",IF(AND($J101&lt;&gt;"",$K101&lt;&gt;"",$J101=$K101,$J101&gt;=AD$3,$J101&lt;=IF(param_mode_affichage="mois",EOMONTH(AD$3,0),AD$3+6)),"◆",""))</f>
      </c>
      <c r="AE101" s="26">
        <f>IF(OR($A101="",AE$3=""),"",IF(AND($J101&lt;&gt;"",$K101&lt;&gt;"",$J101=$K101,$J101&gt;=AE$3,$J101&lt;=IF(param_mode_affichage="mois",EOMONTH(AE$3,0),AE$3+6)),"◆",""))</f>
      </c>
      <c r="AF101" s="26">
        <f>IF(OR($A101="",AF$3=""),"",IF(AND($J101&lt;&gt;"",$K101&lt;&gt;"",$J101=$K101,$J101&gt;=AF$3,$J101&lt;=IF(param_mode_affichage="mois",EOMONTH(AF$3,0),AF$3+6)),"◆",""))</f>
      </c>
      <c r="AG101" s="26">
        <f>IF(OR($A101="",AG$3=""),"",IF(AND($J101&lt;&gt;"",$K101&lt;&gt;"",$J101=$K101,$J101&gt;=AG$3,$J101&lt;=IF(param_mode_affichage="mois",EOMONTH(AG$3,0),AG$3+6)),"◆",""))</f>
      </c>
      <c r="AH101" s="26">
        <f>IF(OR($A101="",AH$3=""),"",IF(AND($J101&lt;&gt;"",$K101&lt;&gt;"",$J101=$K101,$J101&gt;=AH$3,$J101&lt;=IF(param_mode_affichage="mois",EOMONTH(AH$3,0),AH$3+6)),"◆",""))</f>
      </c>
      <c r="AI101" s="26">
        <f>IF(OR($A101="",AI$3=""),"",IF(AND($J101&lt;&gt;"",$K101&lt;&gt;"",$J101=$K101,$J101&gt;=AI$3,$J101&lt;=IF(param_mode_affichage="mois",EOMONTH(AI$3,0),AI$3+6)),"◆",""))</f>
      </c>
      <c r="AJ101" s="26">
        <f>IF(OR($A101="",AJ$3=""),"",IF(AND($J101&lt;&gt;"",$K101&lt;&gt;"",$J101=$K101,$J101&gt;=AJ$3,$J101&lt;=IF(param_mode_affichage="mois",EOMONTH(AJ$3,0),AJ$3+6)),"◆",""))</f>
      </c>
      <c r="AK101" s="26">
        <f>IF(OR($A101="",AK$3=""),"",IF(AND($J101&lt;&gt;"",$K101&lt;&gt;"",$J101=$K101,$J101&gt;=AK$3,$J101&lt;=IF(param_mode_affichage="mois",EOMONTH(AK$3,0),AK$3+6)),"◆",""))</f>
      </c>
      <c r="AL101" s="26">
        <f>IF(OR($A101="",AL$3=""),"",IF(AND($J101&lt;&gt;"",$K101&lt;&gt;"",$J101=$K101,$J101&gt;=AL$3,$J101&lt;=IF(param_mode_affichage="mois",EOMONTH(AL$3,0),AL$3+6)),"◆",""))</f>
      </c>
      <c r="AM101" s="26">
        <f>IF(OR($A101="",AM$3=""),"",IF(AND($J101&lt;&gt;"",$K101&lt;&gt;"",$J101=$K101,$J101&gt;=AM$3,$J101&lt;=IF(param_mode_affichage="mois",EOMONTH(AM$3,0),AM$3+6)),"◆",""))</f>
      </c>
      <c r="AN101" s="26">
        <f>IF(OR($A101="",AN$3=""),"",IF(AND($J101&lt;&gt;"",$K101&lt;&gt;"",$J101=$K101,$J101&gt;=AN$3,$J101&lt;=IF(param_mode_affichage="mois",EOMONTH(AN$3,0),AN$3+6)),"◆",""))</f>
      </c>
      <c r="AO101" s="26">
        <f>IF(OR($A101="",AO$3=""),"",IF(AND($J101&lt;&gt;"",$K101&lt;&gt;"",$J101=$K101,$J101&gt;=AO$3,$J101&lt;=IF(param_mode_affichage="mois",EOMONTH(AO$3,0),AO$3+6)),"◆",""))</f>
      </c>
      <c r="AP101" s="26">
        <f>IF(OR($A101="",AP$3=""),"",IF(AND($J101&lt;&gt;"",$K101&lt;&gt;"",$J101=$K101,$J101&gt;=AP$3,$J101&lt;=IF(param_mode_affichage="mois",EOMONTH(AP$3,0),AP$3+6)),"◆",""))</f>
      </c>
      <c r="AQ101" s="26">
        <f>IF(OR($A101="",AQ$3=""),"",IF(AND($J101&lt;&gt;"",$K101&lt;&gt;"",$J101=$K101,$J101&gt;=AQ$3,$J101&lt;=IF(param_mode_affichage="mois",EOMONTH(AQ$3,0),AQ$3+6)),"◆",""))</f>
      </c>
      <c r="AR101" s="26">
        <f>IF(OR($A101="",AR$3=""),"",IF(AND($J101&lt;&gt;"",$K101&lt;&gt;"",$J101=$K101,$J101&gt;=AR$3,$J101&lt;=IF(param_mode_affichage="mois",EOMONTH(AR$3,0),AR$3+6)),"◆",""))</f>
      </c>
      <c r="AS101" s="26">
        <f>IF(OR($A101="",AS$3=""),"",IF(AND($J101&lt;&gt;"",$K101&lt;&gt;"",$J101=$K101,$J101&gt;=AS$3,$J101&lt;=IF(param_mode_affichage="mois",EOMONTH(AS$3,0),AS$3+6)),"◆",""))</f>
      </c>
      <c r="AT101" s="26">
        <f>IF(OR($A101="",AT$3=""),"",IF(AND($J101&lt;&gt;"",$K101&lt;&gt;"",$J101=$K101,$J101&gt;=AT$3,$J101&lt;=IF(param_mode_affichage="mois",EOMONTH(AT$3,0),AT$3+6)),"◆",""))</f>
      </c>
      <c r="AU101" s="26">
        <f>IF(OR($A101="",AU$3=""),"",IF(AND($J101&lt;&gt;"",$K101&lt;&gt;"",$J101=$K101,$J101&gt;=AU$3,$J101&lt;=IF(param_mode_affichage="mois",EOMONTH(AU$3,0),AU$3+6)),"◆",""))</f>
      </c>
      <c r="AV101" s="26">
        <f>IF(OR($A101="",AV$3=""),"",IF(AND($J101&lt;&gt;"",$K101&lt;&gt;"",$J101=$K101,$J101&gt;=AV$3,$J101&lt;=IF(param_mode_affichage="mois",EOMONTH(AV$3,0),AV$3+6)),"◆",""))</f>
      </c>
      <c r="AW101" s="26">
        <f>IF(OR($A101="",AW$3=""),"",IF(AND($J101&lt;&gt;"",$K101&lt;&gt;"",$J101=$K101,$J101&gt;=AW$3,$J101&lt;=IF(param_mode_affichage="mois",EOMONTH(AW$3,0),AW$3+6)),"◆",""))</f>
      </c>
      <c r="AX101" s="26">
        <f>IF(OR($A101="",AX$3=""),"",IF(AND($J101&lt;&gt;"",$K101&lt;&gt;"",$J101=$K101,$J101&gt;=AX$3,$J101&lt;=IF(param_mode_affichage="mois",EOMONTH(AX$3,0),AX$3+6)),"◆",""))</f>
      </c>
      <c r="AY101" s="26">
        <f>IF(OR($A101="",AY$3=""),"",IF(AND($J101&lt;&gt;"",$K101&lt;&gt;"",$J101=$K101,$J101&gt;=AY$3,$J101&lt;=IF(param_mode_affichage="mois",EOMONTH(AY$3,0),AY$3+6)),"◆",""))</f>
      </c>
      <c r="AZ101" s="26">
        <f>IF(OR($A101="",AZ$3=""),"",IF(AND($J101&lt;&gt;"",$K101&lt;&gt;"",$J101=$K101,$J101&gt;=AZ$3,$J101&lt;=IF(param_mode_affichage="mois",EOMONTH(AZ$3,0),AZ$3+6)),"◆",""))</f>
      </c>
      <c r="BA101" s="26">
        <f>IF(OR($A101="",BA$3=""),"",IF(AND($J101&lt;&gt;"",$K101&lt;&gt;"",$J101=$K101,$J101&gt;=BA$3,$J101&lt;=IF(param_mode_affichage="mois",EOMONTH(BA$3,0),BA$3+6)),"◆",""))</f>
      </c>
      <c r="BB101" s="26">
        <f>IF(OR($A101="",BB$3=""),"",IF(AND($J101&lt;&gt;"",$K101&lt;&gt;"",$J101=$K101,$J101&gt;=BB$3,$J101&lt;=IF(param_mode_affichage="mois",EOMONTH(BB$3,0),BB$3+6)),"◆",""))</f>
      </c>
      <c r="BC101" s="26">
        <f>IF(OR($A101="",BC$3=""),"",IF(AND($J101&lt;&gt;"",$K101&lt;&gt;"",$J101=$K101,$J101&gt;=BC$3,$J101&lt;=IF(param_mode_affichage="mois",EOMONTH(BC$3,0),BC$3+6)),"◆",""))</f>
      </c>
      <c r="BD101" s="26">
        <f>IF(OR($A101="",BD$3=""),"",IF(AND($J101&lt;&gt;"",$K101&lt;&gt;"",$J101=$K101,$J101&gt;=BD$3,$J101&lt;=IF(param_mode_affichage="mois",EOMONTH(BD$3,0),BD$3+6)),"◆",""))</f>
      </c>
      <c r="BE101" s="26">
        <f>IF(OR($A101="",BE$3=""),"",IF(AND($J101&lt;&gt;"",$K101&lt;&gt;"",$J101=$K101,$J101&gt;=BE$3,$J101&lt;=IF(param_mode_affichage="mois",EOMONTH(BE$3,0),BE$3+6)),"◆",""))</f>
      </c>
      <c r="BF101" s="26">
        <f>IF(OR($A101="",BF$3=""),"",IF(AND($J101&lt;&gt;"",$K101&lt;&gt;"",$J101=$K101,$J101&gt;=BF$3,$J101&lt;=IF(param_mode_affichage="mois",EOMONTH(BF$3,0),BF$3+6)),"◆",""))</f>
      </c>
      <c r="BG101" s="26">
        <f>IF(OR($A101="",BG$3=""),"",IF(AND($J101&lt;&gt;"",$K101&lt;&gt;"",$J101=$K101,$J101&gt;=BG$3,$J101&lt;=IF(param_mode_affichage="mois",EOMONTH(BG$3,0),BG$3+6)),"◆",""))</f>
      </c>
      <c r="BH101" s="26">
        <f>IF(OR($A101="",BH$3=""),"",IF(AND($J101&lt;&gt;"",$K101&lt;&gt;"",$J101=$K101,$J101&gt;=BH$3,$J101&lt;=IF(param_mode_affichage="mois",EOMONTH(BH$3,0),BH$3+6)),"◆",""))</f>
      </c>
      <c r="BI101" s="26">
        <f>IF(OR($A101="",BI$3=""),"",IF(AND($J101&lt;&gt;"",$K101&lt;&gt;"",$J101=$K101,$J101&gt;=BI$3,$J101&lt;=IF(param_mode_affichage="mois",EOMONTH(BI$3,0),BI$3+6)),"◆",""))</f>
      </c>
      <c r="BJ101" s="26">
        <f>IF(OR($A101="",BJ$3=""),"",IF(AND($J101&lt;&gt;"",$K101&lt;&gt;"",$J101=$K101,$J101&gt;=BJ$3,$J101&lt;=IF(param_mode_affichage="mois",EOMONTH(BJ$3,0),BJ$3+6)),"◆",""))</f>
      </c>
      <c r="BK101" s="26">
        <f>IF(OR($A101="",BK$3=""),"",IF(AND($J101&lt;&gt;"",$K101&lt;&gt;"",$J101=$K101,$J101&gt;=BK$3,$J101&lt;=IF(param_mode_affichage="mois",EOMONTH(BK$3,0),BK$3+6)),"◆",""))</f>
      </c>
      <c r="BL101" s="26">
        <f>IF(OR($A101="",BL$3=""),"",IF(AND($J101&lt;&gt;"",$K101&lt;&gt;"",$J101=$K101,$J101&gt;=BL$3,$J101&lt;=IF(param_mode_affichage="mois",EOMONTH(BL$3,0),BL$3+6)),"◆",""))</f>
      </c>
    </row>
    <row r="102" spans="1:64" x14ac:dyDescent="0.25">
      <c r="A102" s="23">
        <f>IFERROR(INDEX(tblTasks[ID],ROW()-4),"")</f>
      </c>
      <c r="B102" s="24">
        <f>IF($A102="","",INDEX(tblTasks[Sujet],ROW()-4))</f>
      </c>
      <c r="C102" s="23">
        <f>IF($A102="","",INDEX(tblTasks[Responsable],ROW()-4))</f>
      </c>
      <c r="D102" s="23">
        <f>IF($A102="","",INDEX(tblTasks[Statut],ROW()-4))</f>
      </c>
      <c r="E102" s="23">
        <f>IF($A102="","",INDEX(tblTasks[Depend_de],ROW()-4))</f>
      </c>
      <c r="F102" s="23">
        <f>IF($A102="","",INDEX(tblTasks[Blocage],ROW()-4))</f>
      </c>
      <c r="G102" s="23">
        <f>IF($A102="","",INDEX(tblTasks[Niveau_criticite],ROW()-4))</f>
      </c>
      <c r="H102" s="23">
        <f>IF($A102="","",INDEX(tblTasks[Goulot],ROW()-4))</f>
      </c>
      <c r="I102" s="23">
        <f>IF($A102="","",IF(LOWER($F102)="oui","non",IF($E102="","oui",IFERROR(IF(LOWER(INDEX(tblTasks[Statut],MATCH($E102,tblTasks[ID],0)))="clos","oui","non"),"non"))))</f>
      </c>
      <c r="J102" s="25">
        <f>IF($A102="","",INDEX(tblTasks[Date_debut_prevue],ROW()-4))</f>
      </c>
      <c r="K102" s="25">
        <f>IF($A102="","",INDEX(tblTasks[Date_fin_prevue],ROW()-4))</f>
      </c>
      <c r="L102" s="23">
        <f>IF($A102="","",INDEX(tblTasks[Irreversibilite],ROW()-4))</f>
      </c>
      <c r="M102" s="26">
        <f>IF(OR($A102="",M$3=""),"",IF(AND($J102&lt;&gt;"",$K102&lt;&gt;"",$J102=$K102,$J102&gt;=M$3,$J102&lt;=IF(param_mode_affichage="mois",EOMONTH(M$3,0),M$3+6)),"◆",""))</f>
      </c>
      <c r="N102" s="26">
        <f>IF(OR($A102="",N$3=""),"",IF(AND($J102&lt;&gt;"",$K102&lt;&gt;"",$J102=$K102,$J102&gt;=N$3,$J102&lt;=IF(param_mode_affichage="mois",EOMONTH(N$3,0),N$3+6)),"◆",""))</f>
      </c>
      <c r="O102" s="26">
        <f>IF(OR($A102="",O$3=""),"",IF(AND($J102&lt;&gt;"",$K102&lt;&gt;"",$J102=$K102,$J102&gt;=O$3,$J102&lt;=IF(param_mode_affichage="mois",EOMONTH(O$3,0),O$3+6)),"◆",""))</f>
      </c>
      <c r="P102" s="26">
        <f>IF(OR($A102="",P$3=""),"",IF(AND($J102&lt;&gt;"",$K102&lt;&gt;"",$J102=$K102,$J102&gt;=P$3,$J102&lt;=IF(param_mode_affichage="mois",EOMONTH(P$3,0),P$3+6)),"◆",""))</f>
      </c>
      <c r="Q102" s="26">
        <f>IF(OR($A102="",Q$3=""),"",IF(AND($J102&lt;&gt;"",$K102&lt;&gt;"",$J102=$K102,$J102&gt;=Q$3,$J102&lt;=IF(param_mode_affichage="mois",EOMONTH(Q$3,0),Q$3+6)),"◆",""))</f>
      </c>
      <c r="R102" s="26">
        <f>IF(OR($A102="",R$3=""),"",IF(AND($J102&lt;&gt;"",$K102&lt;&gt;"",$J102=$K102,$J102&gt;=R$3,$J102&lt;=IF(param_mode_affichage="mois",EOMONTH(R$3,0),R$3+6)),"◆",""))</f>
      </c>
      <c r="S102" s="26">
        <f>IF(OR($A102="",S$3=""),"",IF(AND($J102&lt;&gt;"",$K102&lt;&gt;"",$J102=$K102,$J102&gt;=S$3,$J102&lt;=IF(param_mode_affichage="mois",EOMONTH(S$3,0),S$3+6)),"◆",""))</f>
      </c>
      <c r="T102" s="26">
        <f>IF(OR($A102="",T$3=""),"",IF(AND($J102&lt;&gt;"",$K102&lt;&gt;"",$J102=$K102,$J102&gt;=T$3,$J102&lt;=IF(param_mode_affichage="mois",EOMONTH(T$3,0),T$3+6)),"◆",""))</f>
      </c>
      <c r="U102" s="26">
        <f>IF(OR($A102="",U$3=""),"",IF(AND($J102&lt;&gt;"",$K102&lt;&gt;"",$J102=$K102,$J102&gt;=U$3,$J102&lt;=IF(param_mode_affichage="mois",EOMONTH(U$3,0),U$3+6)),"◆",""))</f>
      </c>
      <c r="V102" s="26">
        <f>IF(OR($A102="",V$3=""),"",IF(AND($J102&lt;&gt;"",$K102&lt;&gt;"",$J102=$K102,$J102&gt;=V$3,$J102&lt;=IF(param_mode_affichage="mois",EOMONTH(V$3,0),V$3+6)),"◆",""))</f>
      </c>
      <c r="W102" s="26">
        <f>IF(OR($A102="",W$3=""),"",IF(AND($J102&lt;&gt;"",$K102&lt;&gt;"",$J102=$K102,$J102&gt;=W$3,$J102&lt;=IF(param_mode_affichage="mois",EOMONTH(W$3,0),W$3+6)),"◆",""))</f>
      </c>
      <c r="X102" s="26">
        <f>IF(OR($A102="",X$3=""),"",IF(AND($J102&lt;&gt;"",$K102&lt;&gt;"",$J102=$K102,$J102&gt;=X$3,$J102&lt;=IF(param_mode_affichage="mois",EOMONTH(X$3,0),X$3+6)),"◆",""))</f>
      </c>
      <c r="Y102" s="26">
        <f>IF(OR($A102="",Y$3=""),"",IF(AND($J102&lt;&gt;"",$K102&lt;&gt;"",$J102=$K102,$J102&gt;=Y$3,$J102&lt;=IF(param_mode_affichage="mois",EOMONTH(Y$3,0),Y$3+6)),"◆",""))</f>
      </c>
      <c r="Z102" s="26">
        <f>IF(OR($A102="",Z$3=""),"",IF(AND($J102&lt;&gt;"",$K102&lt;&gt;"",$J102=$K102,$J102&gt;=Z$3,$J102&lt;=IF(param_mode_affichage="mois",EOMONTH(Z$3,0),Z$3+6)),"◆",""))</f>
      </c>
      <c r="AA102" s="26">
        <f>IF(OR($A102="",AA$3=""),"",IF(AND($J102&lt;&gt;"",$K102&lt;&gt;"",$J102=$K102,$J102&gt;=AA$3,$J102&lt;=IF(param_mode_affichage="mois",EOMONTH(AA$3,0),AA$3+6)),"◆",""))</f>
      </c>
      <c r="AB102" s="26">
        <f>IF(OR($A102="",AB$3=""),"",IF(AND($J102&lt;&gt;"",$K102&lt;&gt;"",$J102=$K102,$J102&gt;=AB$3,$J102&lt;=IF(param_mode_affichage="mois",EOMONTH(AB$3,0),AB$3+6)),"◆",""))</f>
      </c>
      <c r="AC102" s="26">
        <f>IF(OR($A102="",AC$3=""),"",IF(AND($J102&lt;&gt;"",$K102&lt;&gt;"",$J102=$K102,$J102&gt;=AC$3,$J102&lt;=IF(param_mode_affichage="mois",EOMONTH(AC$3,0),AC$3+6)),"◆",""))</f>
      </c>
      <c r="AD102" s="26">
        <f>IF(OR($A102="",AD$3=""),"",IF(AND($J102&lt;&gt;"",$K102&lt;&gt;"",$J102=$K102,$J102&gt;=AD$3,$J102&lt;=IF(param_mode_affichage="mois",EOMONTH(AD$3,0),AD$3+6)),"◆",""))</f>
      </c>
      <c r="AE102" s="26">
        <f>IF(OR($A102="",AE$3=""),"",IF(AND($J102&lt;&gt;"",$K102&lt;&gt;"",$J102=$K102,$J102&gt;=AE$3,$J102&lt;=IF(param_mode_affichage="mois",EOMONTH(AE$3,0),AE$3+6)),"◆",""))</f>
      </c>
      <c r="AF102" s="26">
        <f>IF(OR($A102="",AF$3=""),"",IF(AND($J102&lt;&gt;"",$K102&lt;&gt;"",$J102=$K102,$J102&gt;=AF$3,$J102&lt;=IF(param_mode_affichage="mois",EOMONTH(AF$3,0),AF$3+6)),"◆",""))</f>
      </c>
      <c r="AG102" s="26">
        <f>IF(OR($A102="",AG$3=""),"",IF(AND($J102&lt;&gt;"",$K102&lt;&gt;"",$J102=$K102,$J102&gt;=AG$3,$J102&lt;=IF(param_mode_affichage="mois",EOMONTH(AG$3,0),AG$3+6)),"◆",""))</f>
      </c>
      <c r="AH102" s="26">
        <f>IF(OR($A102="",AH$3=""),"",IF(AND($J102&lt;&gt;"",$K102&lt;&gt;"",$J102=$K102,$J102&gt;=AH$3,$J102&lt;=IF(param_mode_affichage="mois",EOMONTH(AH$3,0),AH$3+6)),"◆",""))</f>
      </c>
      <c r="AI102" s="26">
        <f>IF(OR($A102="",AI$3=""),"",IF(AND($J102&lt;&gt;"",$K102&lt;&gt;"",$J102=$K102,$J102&gt;=AI$3,$J102&lt;=IF(param_mode_affichage="mois",EOMONTH(AI$3,0),AI$3+6)),"◆",""))</f>
      </c>
      <c r="AJ102" s="26">
        <f>IF(OR($A102="",AJ$3=""),"",IF(AND($J102&lt;&gt;"",$K102&lt;&gt;"",$J102=$K102,$J102&gt;=AJ$3,$J102&lt;=IF(param_mode_affichage="mois",EOMONTH(AJ$3,0),AJ$3+6)),"◆",""))</f>
      </c>
      <c r="AK102" s="26">
        <f>IF(OR($A102="",AK$3=""),"",IF(AND($J102&lt;&gt;"",$K102&lt;&gt;"",$J102=$K102,$J102&gt;=AK$3,$J102&lt;=IF(param_mode_affichage="mois",EOMONTH(AK$3,0),AK$3+6)),"◆",""))</f>
      </c>
      <c r="AL102" s="26">
        <f>IF(OR($A102="",AL$3=""),"",IF(AND($J102&lt;&gt;"",$K102&lt;&gt;"",$J102=$K102,$J102&gt;=AL$3,$J102&lt;=IF(param_mode_affichage="mois",EOMONTH(AL$3,0),AL$3+6)),"◆",""))</f>
      </c>
      <c r="AM102" s="26">
        <f>IF(OR($A102="",AM$3=""),"",IF(AND($J102&lt;&gt;"",$K102&lt;&gt;"",$J102=$K102,$J102&gt;=AM$3,$J102&lt;=IF(param_mode_affichage="mois",EOMONTH(AM$3,0),AM$3+6)),"◆",""))</f>
      </c>
      <c r="AN102" s="26">
        <f>IF(OR($A102="",AN$3=""),"",IF(AND($J102&lt;&gt;"",$K102&lt;&gt;"",$J102=$K102,$J102&gt;=AN$3,$J102&lt;=IF(param_mode_affichage="mois",EOMONTH(AN$3,0),AN$3+6)),"◆",""))</f>
      </c>
      <c r="AO102" s="26">
        <f>IF(OR($A102="",AO$3=""),"",IF(AND($J102&lt;&gt;"",$K102&lt;&gt;"",$J102=$K102,$J102&gt;=AO$3,$J102&lt;=IF(param_mode_affichage="mois",EOMONTH(AO$3,0),AO$3+6)),"◆",""))</f>
      </c>
      <c r="AP102" s="26">
        <f>IF(OR($A102="",AP$3=""),"",IF(AND($J102&lt;&gt;"",$K102&lt;&gt;"",$J102=$K102,$J102&gt;=AP$3,$J102&lt;=IF(param_mode_affichage="mois",EOMONTH(AP$3,0),AP$3+6)),"◆",""))</f>
      </c>
      <c r="AQ102" s="26">
        <f>IF(OR($A102="",AQ$3=""),"",IF(AND($J102&lt;&gt;"",$K102&lt;&gt;"",$J102=$K102,$J102&gt;=AQ$3,$J102&lt;=IF(param_mode_affichage="mois",EOMONTH(AQ$3,0),AQ$3+6)),"◆",""))</f>
      </c>
      <c r="AR102" s="26">
        <f>IF(OR($A102="",AR$3=""),"",IF(AND($J102&lt;&gt;"",$K102&lt;&gt;"",$J102=$K102,$J102&gt;=AR$3,$J102&lt;=IF(param_mode_affichage="mois",EOMONTH(AR$3,0),AR$3+6)),"◆",""))</f>
      </c>
      <c r="AS102" s="26">
        <f>IF(OR($A102="",AS$3=""),"",IF(AND($J102&lt;&gt;"",$K102&lt;&gt;"",$J102=$K102,$J102&gt;=AS$3,$J102&lt;=IF(param_mode_affichage="mois",EOMONTH(AS$3,0),AS$3+6)),"◆",""))</f>
      </c>
      <c r="AT102" s="26">
        <f>IF(OR($A102="",AT$3=""),"",IF(AND($J102&lt;&gt;"",$K102&lt;&gt;"",$J102=$K102,$J102&gt;=AT$3,$J102&lt;=IF(param_mode_affichage="mois",EOMONTH(AT$3,0),AT$3+6)),"◆",""))</f>
      </c>
      <c r="AU102" s="26">
        <f>IF(OR($A102="",AU$3=""),"",IF(AND($J102&lt;&gt;"",$K102&lt;&gt;"",$J102=$K102,$J102&gt;=AU$3,$J102&lt;=IF(param_mode_affichage="mois",EOMONTH(AU$3,0),AU$3+6)),"◆",""))</f>
      </c>
      <c r="AV102" s="26">
        <f>IF(OR($A102="",AV$3=""),"",IF(AND($J102&lt;&gt;"",$K102&lt;&gt;"",$J102=$K102,$J102&gt;=AV$3,$J102&lt;=IF(param_mode_affichage="mois",EOMONTH(AV$3,0),AV$3+6)),"◆",""))</f>
      </c>
      <c r="AW102" s="26">
        <f>IF(OR($A102="",AW$3=""),"",IF(AND($J102&lt;&gt;"",$K102&lt;&gt;"",$J102=$K102,$J102&gt;=AW$3,$J102&lt;=IF(param_mode_affichage="mois",EOMONTH(AW$3,0),AW$3+6)),"◆",""))</f>
      </c>
      <c r="AX102" s="26">
        <f>IF(OR($A102="",AX$3=""),"",IF(AND($J102&lt;&gt;"",$K102&lt;&gt;"",$J102=$K102,$J102&gt;=AX$3,$J102&lt;=IF(param_mode_affichage="mois",EOMONTH(AX$3,0),AX$3+6)),"◆",""))</f>
      </c>
      <c r="AY102" s="26">
        <f>IF(OR($A102="",AY$3=""),"",IF(AND($J102&lt;&gt;"",$K102&lt;&gt;"",$J102=$K102,$J102&gt;=AY$3,$J102&lt;=IF(param_mode_affichage="mois",EOMONTH(AY$3,0),AY$3+6)),"◆",""))</f>
      </c>
      <c r="AZ102" s="26">
        <f>IF(OR($A102="",AZ$3=""),"",IF(AND($J102&lt;&gt;"",$K102&lt;&gt;"",$J102=$K102,$J102&gt;=AZ$3,$J102&lt;=IF(param_mode_affichage="mois",EOMONTH(AZ$3,0),AZ$3+6)),"◆",""))</f>
      </c>
      <c r="BA102" s="26">
        <f>IF(OR($A102="",BA$3=""),"",IF(AND($J102&lt;&gt;"",$K102&lt;&gt;"",$J102=$K102,$J102&gt;=BA$3,$J102&lt;=IF(param_mode_affichage="mois",EOMONTH(BA$3,0),BA$3+6)),"◆",""))</f>
      </c>
      <c r="BB102" s="26">
        <f>IF(OR($A102="",BB$3=""),"",IF(AND($J102&lt;&gt;"",$K102&lt;&gt;"",$J102=$K102,$J102&gt;=BB$3,$J102&lt;=IF(param_mode_affichage="mois",EOMONTH(BB$3,0),BB$3+6)),"◆",""))</f>
      </c>
      <c r="BC102" s="26">
        <f>IF(OR($A102="",BC$3=""),"",IF(AND($J102&lt;&gt;"",$K102&lt;&gt;"",$J102=$K102,$J102&gt;=BC$3,$J102&lt;=IF(param_mode_affichage="mois",EOMONTH(BC$3,0),BC$3+6)),"◆",""))</f>
      </c>
      <c r="BD102" s="26">
        <f>IF(OR($A102="",BD$3=""),"",IF(AND($J102&lt;&gt;"",$K102&lt;&gt;"",$J102=$K102,$J102&gt;=BD$3,$J102&lt;=IF(param_mode_affichage="mois",EOMONTH(BD$3,0),BD$3+6)),"◆",""))</f>
      </c>
      <c r="BE102" s="26">
        <f>IF(OR($A102="",BE$3=""),"",IF(AND($J102&lt;&gt;"",$K102&lt;&gt;"",$J102=$K102,$J102&gt;=BE$3,$J102&lt;=IF(param_mode_affichage="mois",EOMONTH(BE$3,0),BE$3+6)),"◆",""))</f>
      </c>
      <c r="BF102" s="26">
        <f>IF(OR($A102="",BF$3=""),"",IF(AND($J102&lt;&gt;"",$K102&lt;&gt;"",$J102=$K102,$J102&gt;=BF$3,$J102&lt;=IF(param_mode_affichage="mois",EOMONTH(BF$3,0),BF$3+6)),"◆",""))</f>
      </c>
      <c r="BG102" s="26">
        <f>IF(OR($A102="",BG$3=""),"",IF(AND($J102&lt;&gt;"",$K102&lt;&gt;"",$J102=$K102,$J102&gt;=BG$3,$J102&lt;=IF(param_mode_affichage="mois",EOMONTH(BG$3,0),BG$3+6)),"◆",""))</f>
      </c>
      <c r="BH102" s="26">
        <f>IF(OR($A102="",BH$3=""),"",IF(AND($J102&lt;&gt;"",$K102&lt;&gt;"",$J102=$K102,$J102&gt;=BH$3,$J102&lt;=IF(param_mode_affichage="mois",EOMONTH(BH$3,0),BH$3+6)),"◆",""))</f>
      </c>
      <c r="BI102" s="26">
        <f>IF(OR($A102="",BI$3=""),"",IF(AND($J102&lt;&gt;"",$K102&lt;&gt;"",$J102=$K102,$J102&gt;=BI$3,$J102&lt;=IF(param_mode_affichage="mois",EOMONTH(BI$3,0),BI$3+6)),"◆",""))</f>
      </c>
      <c r="BJ102" s="26">
        <f>IF(OR($A102="",BJ$3=""),"",IF(AND($J102&lt;&gt;"",$K102&lt;&gt;"",$J102=$K102,$J102&gt;=BJ$3,$J102&lt;=IF(param_mode_affichage="mois",EOMONTH(BJ$3,0),BJ$3+6)),"◆",""))</f>
      </c>
      <c r="BK102" s="26">
        <f>IF(OR($A102="",BK$3=""),"",IF(AND($J102&lt;&gt;"",$K102&lt;&gt;"",$J102=$K102,$J102&gt;=BK$3,$J102&lt;=IF(param_mode_affichage="mois",EOMONTH(BK$3,0),BK$3+6)),"◆",""))</f>
      </c>
      <c r="BL102" s="26">
        <f>IF(OR($A102="",BL$3=""),"",IF(AND($J102&lt;&gt;"",$K102&lt;&gt;"",$J102=$K102,$J102&gt;=BL$3,$J102&lt;=IF(param_mode_affichage="mois",EOMONTH(BL$3,0),BL$3+6)),"◆",""))</f>
      </c>
    </row>
    <row r="103" spans="1:64" x14ac:dyDescent="0.25">
      <c r="A103" s="23">
        <f>IFERROR(INDEX(tblTasks[ID],ROW()-4),"")</f>
      </c>
      <c r="B103" s="24">
        <f>IF($A103="","",INDEX(tblTasks[Sujet],ROW()-4))</f>
      </c>
      <c r="C103" s="23">
        <f>IF($A103="","",INDEX(tblTasks[Responsable],ROW()-4))</f>
      </c>
      <c r="D103" s="23">
        <f>IF($A103="","",INDEX(tblTasks[Statut],ROW()-4))</f>
      </c>
      <c r="E103" s="23">
        <f>IF($A103="","",INDEX(tblTasks[Depend_de],ROW()-4))</f>
      </c>
      <c r="F103" s="23">
        <f>IF($A103="","",INDEX(tblTasks[Blocage],ROW()-4))</f>
      </c>
      <c r="G103" s="23">
        <f>IF($A103="","",INDEX(tblTasks[Niveau_criticite],ROW()-4))</f>
      </c>
      <c r="H103" s="23">
        <f>IF($A103="","",INDEX(tblTasks[Goulot],ROW()-4))</f>
      </c>
      <c r="I103" s="23">
        <f>IF($A103="","",IF(LOWER($F103)="oui","non",IF($E103="","oui",IFERROR(IF(LOWER(INDEX(tblTasks[Statut],MATCH($E103,tblTasks[ID],0)))="clos","oui","non"),"non"))))</f>
      </c>
      <c r="J103" s="25">
        <f>IF($A103="","",INDEX(tblTasks[Date_debut_prevue],ROW()-4))</f>
      </c>
      <c r="K103" s="25">
        <f>IF($A103="","",INDEX(tblTasks[Date_fin_prevue],ROW()-4))</f>
      </c>
      <c r="L103" s="23">
        <f>IF($A103="","",INDEX(tblTasks[Irreversibilite],ROW()-4))</f>
      </c>
      <c r="M103" s="26">
        <f>IF(OR($A103="",M$3=""),"",IF(AND($J103&lt;&gt;"",$K103&lt;&gt;"",$J103=$K103,$J103&gt;=M$3,$J103&lt;=IF(param_mode_affichage="mois",EOMONTH(M$3,0),M$3+6)),"◆",""))</f>
      </c>
      <c r="N103" s="26">
        <f>IF(OR($A103="",N$3=""),"",IF(AND($J103&lt;&gt;"",$K103&lt;&gt;"",$J103=$K103,$J103&gt;=N$3,$J103&lt;=IF(param_mode_affichage="mois",EOMONTH(N$3,0),N$3+6)),"◆",""))</f>
      </c>
      <c r="O103" s="26">
        <f>IF(OR($A103="",O$3=""),"",IF(AND($J103&lt;&gt;"",$K103&lt;&gt;"",$J103=$K103,$J103&gt;=O$3,$J103&lt;=IF(param_mode_affichage="mois",EOMONTH(O$3,0),O$3+6)),"◆",""))</f>
      </c>
      <c r="P103" s="26">
        <f>IF(OR($A103="",P$3=""),"",IF(AND($J103&lt;&gt;"",$K103&lt;&gt;"",$J103=$K103,$J103&gt;=P$3,$J103&lt;=IF(param_mode_affichage="mois",EOMONTH(P$3,0),P$3+6)),"◆",""))</f>
      </c>
      <c r="Q103" s="26">
        <f>IF(OR($A103="",Q$3=""),"",IF(AND($J103&lt;&gt;"",$K103&lt;&gt;"",$J103=$K103,$J103&gt;=Q$3,$J103&lt;=IF(param_mode_affichage="mois",EOMONTH(Q$3,0),Q$3+6)),"◆",""))</f>
      </c>
      <c r="R103" s="26">
        <f>IF(OR($A103="",R$3=""),"",IF(AND($J103&lt;&gt;"",$K103&lt;&gt;"",$J103=$K103,$J103&gt;=R$3,$J103&lt;=IF(param_mode_affichage="mois",EOMONTH(R$3,0),R$3+6)),"◆",""))</f>
      </c>
      <c r="S103" s="26">
        <f>IF(OR($A103="",S$3=""),"",IF(AND($J103&lt;&gt;"",$K103&lt;&gt;"",$J103=$K103,$J103&gt;=S$3,$J103&lt;=IF(param_mode_affichage="mois",EOMONTH(S$3,0),S$3+6)),"◆",""))</f>
      </c>
      <c r="T103" s="26">
        <f>IF(OR($A103="",T$3=""),"",IF(AND($J103&lt;&gt;"",$K103&lt;&gt;"",$J103=$K103,$J103&gt;=T$3,$J103&lt;=IF(param_mode_affichage="mois",EOMONTH(T$3,0),T$3+6)),"◆",""))</f>
      </c>
      <c r="U103" s="26">
        <f>IF(OR($A103="",U$3=""),"",IF(AND($J103&lt;&gt;"",$K103&lt;&gt;"",$J103=$K103,$J103&gt;=U$3,$J103&lt;=IF(param_mode_affichage="mois",EOMONTH(U$3,0),U$3+6)),"◆",""))</f>
      </c>
      <c r="V103" s="26">
        <f>IF(OR($A103="",V$3=""),"",IF(AND($J103&lt;&gt;"",$K103&lt;&gt;"",$J103=$K103,$J103&gt;=V$3,$J103&lt;=IF(param_mode_affichage="mois",EOMONTH(V$3,0),V$3+6)),"◆",""))</f>
      </c>
      <c r="W103" s="26">
        <f>IF(OR($A103="",W$3=""),"",IF(AND($J103&lt;&gt;"",$K103&lt;&gt;"",$J103=$K103,$J103&gt;=W$3,$J103&lt;=IF(param_mode_affichage="mois",EOMONTH(W$3,0),W$3+6)),"◆",""))</f>
      </c>
      <c r="X103" s="26">
        <f>IF(OR($A103="",X$3=""),"",IF(AND($J103&lt;&gt;"",$K103&lt;&gt;"",$J103=$K103,$J103&gt;=X$3,$J103&lt;=IF(param_mode_affichage="mois",EOMONTH(X$3,0),X$3+6)),"◆",""))</f>
      </c>
      <c r="Y103" s="26">
        <f>IF(OR($A103="",Y$3=""),"",IF(AND($J103&lt;&gt;"",$K103&lt;&gt;"",$J103=$K103,$J103&gt;=Y$3,$J103&lt;=IF(param_mode_affichage="mois",EOMONTH(Y$3,0),Y$3+6)),"◆",""))</f>
      </c>
      <c r="Z103" s="26">
        <f>IF(OR($A103="",Z$3=""),"",IF(AND($J103&lt;&gt;"",$K103&lt;&gt;"",$J103=$K103,$J103&gt;=Z$3,$J103&lt;=IF(param_mode_affichage="mois",EOMONTH(Z$3,0),Z$3+6)),"◆",""))</f>
      </c>
      <c r="AA103" s="26">
        <f>IF(OR($A103="",AA$3=""),"",IF(AND($J103&lt;&gt;"",$K103&lt;&gt;"",$J103=$K103,$J103&gt;=AA$3,$J103&lt;=IF(param_mode_affichage="mois",EOMONTH(AA$3,0),AA$3+6)),"◆",""))</f>
      </c>
      <c r="AB103" s="26">
        <f>IF(OR($A103="",AB$3=""),"",IF(AND($J103&lt;&gt;"",$K103&lt;&gt;"",$J103=$K103,$J103&gt;=AB$3,$J103&lt;=IF(param_mode_affichage="mois",EOMONTH(AB$3,0),AB$3+6)),"◆",""))</f>
      </c>
      <c r="AC103" s="26">
        <f>IF(OR($A103="",AC$3=""),"",IF(AND($J103&lt;&gt;"",$K103&lt;&gt;"",$J103=$K103,$J103&gt;=AC$3,$J103&lt;=IF(param_mode_affichage="mois",EOMONTH(AC$3,0),AC$3+6)),"◆",""))</f>
      </c>
      <c r="AD103" s="26">
        <f>IF(OR($A103="",AD$3=""),"",IF(AND($J103&lt;&gt;"",$K103&lt;&gt;"",$J103=$K103,$J103&gt;=AD$3,$J103&lt;=IF(param_mode_affichage="mois",EOMONTH(AD$3,0),AD$3+6)),"◆",""))</f>
      </c>
      <c r="AE103" s="26">
        <f>IF(OR($A103="",AE$3=""),"",IF(AND($J103&lt;&gt;"",$K103&lt;&gt;"",$J103=$K103,$J103&gt;=AE$3,$J103&lt;=IF(param_mode_affichage="mois",EOMONTH(AE$3,0),AE$3+6)),"◆",""))</f>
      </c>
      <c r="AF103" s="26">
        <f>IF(OR($A103="",AF$3=""),"",IF(AND($J103&lt;&gt;"",$K103&lt;&gt;"",$J103=$K103,$J103&gt;=AF$3,$J103&lt;=IF(param_mode_affichage="mois",EOMONTH(AF$3,0),AF$3+6)),"◆",""))</f>
      </c>
      <c r="AG103" s="26">
        <f>IF(OR($A103="",AG$3=""),"",IF(AND($J103&lt;&gt;"",$K103&lt;&gt;"",$J103=$K103,$J103&gt;=AG$3,$J103&lt;=IF(param_mode_affichage="mois",EOMONTH(AG$3,0),AG$3+6)),"◆",""))</f>
      </c>
      <c r="AH103" s="26">
        <f>IF(OR($A103="",AH$3=""),"",IF(AND($J103&lt;&gt;"",$K103&lt;&gt;"",$J103=$K103,$J103&gt;=AH$3,$J103&lt;=IF(param_mode_affichage="mois",EOMONTH(AH$3,0),AH$3+6)),"◆",""))</f>
      </c>
      <c r="AI103" s="26">
        <f>IF(OR($A103="",AI$3=""),"",IF(AND($J103&lt;&gt;"",$K103&lt;&gt;"",$J103=$K103,$J103&gt;=AI$3,$J103&lt;=IF(param_mode_affichage="mois",EOMONTH(AI$3,0),AI$3+6)),"◆",""))</f>
      </c>
      <c r="AJ103" s="26">
        <f>IF(OR($A103="",AJ$3=""),"",IF(AND($J103&lt;&gt;"",$K103&lt;&gt;"",$J103=$K103,$J103&gt;=AJ$3,$J103&lt;=IF(param_mode_affichage="mois",EOMONTH(AJ$3,0),AJ$3+6)),"◆",""))</f>
      </c>
      <c r="AK103" s="26">
        <f>IF(OR($A103="",AK$3=""),"",IF(AND($J103&lt;&gt;"",$K103&lt;&gt;"",$J103=$K103,$J103&gt;=AK$3,$J103&lt;=IF(param_mode_affichage="mois",EOMONTH(AK$3,0),AK$3+6)),"◆",""))</f>
      </c>
      <c r="AL103" s="26">
        <f>IF(OR($A103="",AL$3=""),"",IF(AND($J103&lt;&gt;"",$K103&lt;&gt;"",$J103=$K103,$J103&gt;=AL$3,$J103&lt;=IF(param_mode_affichage="mois",EOMONTH(AL$3,0),AL$3+6)),"◆",""))</f>
      </c>
      <c r="AM103" s="26">
        <f>IF(OR($A103="",AM$3=""),"",IF(AND($J103&lt;&gt;"",$K103&lt;&gt;"",$J103=$K103,$J103&gt;=AM$3,$J103&lt;=IF(param_mode_affichage="mois",EOMONTH(AM$3,0),AM$3+6)),"◆",""))</f>
      </c>
      <c r="AN103" s="26">
        <f>IF(OR($A103="",AN$3=""),"",IF(AND($J103&lt;&gt;"",$K103&lt;&gt;"",$J103=$K103,$J103&gt;=AN$3,$J103&lt;=IF(param_mode_affichage="mois",EOMONTH(AN$3,0),AN$3+6)),"◆",""))</f>
      </c>
      <c r="AO103" s="26">
        <f>IF(OR($A103="",AO$3=""),"",IF(AND($J103&lt;&gt;"",$K103&lt;&gt;"",$J103=$K103,$J103&gt;=AO$3,$J103&lt;=IF(param_mode_affichage="mois",EOMONTH(AO$3,0),AO$3+6)),"◆",""))</f>
      </c>
      <c r="AP103" s="26">
        <f>IF(OR($A103="",AP$3=""),"",IF(AND($J103&lt;&gt;"",$K103&lt;&gt;"",$J103=$K103,$J103&gt;=AP$3,$J103&lt;=IF(param_mode_affichage="mois",EOMONTH(AP$3,0),AP$3+6)),"◆",""))</f>
      </c>
      <c r="AQ103" s="26">
        <f>IF(OR($A103="",AQ$3=""),"",IF(AND($J103&lt;&gt;"",$K103&lt;&gt;"",$J103=$K103,$J103&gt;=AQ$3,$J103&lt;=IF(param_mode_affichage="mois",EOMONTH(AQ$3,0),AQ$3+6)),"◆",""))</f>
      </c>
      <c r="AR103" s="26">
        <f>IF(OR($A103="",AR$3=""),"",IF(AND($J103&lt;&gt;"",$K103&lt;&gt;"",$J103=$K103,$J103&gt;=AR$3,$J103&lt;=IF(param_mode_affichage="mois",EOMONTH(AR$3,0),AR$3+6)),"◆",""))</f>
      </c>
      <c r="AS103" s="26">
        <f>IF(OR($A103="",AS$3=""),"",IF(AND($J103&lt;&gt;"",$K103&lt;&gt;"",$J103=$K103,$J103&gt;=AS$3,$J103&lt;=IF(param_mode_affichage="mois",EOMONTH(AS$3,0),AS$3+6)),"◆",""))</f>
      </c>
      <c r="AT103" s="26">
        <f>IF(OR($A103="",AT$3=""),"",IF(AND($J103&lt;&gt;"",$K103&lt;&gt;"",$J103=$K103,$J103&gt;=AT$3,$J103&lt;=IF(param_mode_affichage="mois",EOMONTH(AT$3,0),AT$3+6)),"◆",""))</f>
      </c>
      <c r="AU103" s="26">
        <f>IF(OR($A103="",AU$3=""),"",IF(AND($J103&lt;&gt;"",$K103&lt;&gt;"",$J103=$K103,$J103&gt;=AU$3,$J103&lt;=IF(param_mode_affichage="mois",EOMONTH(AU$3,0),AU$3+6)),"◆",""))</f>
      </c>
      <c r="AV103" s="26">
        <f>IF(OR($A103="",AV$3=""),"",IF(AND($J103&lt;&gt;"",$K103&lt;&gt;"",$J103=$K103,$J103&gt;=AV$3,$J103&lt;=IF(param_mode_affichage="mois",EOMONTH(AV$3,0),AV$3+6)),"◆",""))</f>
      </c>
      <c r="AW103" s="26">
        <f>IF(OR($A103="",AW$3=""),"",IF(AND($J103&lt;&gt;"",$K103&lt;&gt;"",$J103=$K103,$J103&gt;=AW$3,$J103&lt;=IF(param_mode_affichage="mois",EOMONTH(AW$3,0),AW$3+6)),"◆",""))</f>
      </c>
      <c r="AX103" s="26">
        <f>IF(OR($A103="",AX$3=""),"",IF(AND($J103&lt;&gt;"",$K103&lt;&gt;"",$J103=$K103,$J103&gt;=AX$3,$J103&lt;=IF(param_mode_affichage="mois",EOMONTH(AX$3,0),AX$3+6)),"◆",""))</f>
      </c>
      <c r="AY103" s="26">
        <f>IF(OR($A103="",AY$3=""),"",IF(AND($J103&lt;&gt;"",$K103&lt;&gt;"",$J103=$K103,$J103&gt;=AY$3,$J103&lt;=IF(param_mode_affichage="mois",EOMONTH(AY$3,0),AY$3+6)),"◆",""))</f>
      </c>
      <c r="AZ103" s="26">
        <f>IF(OR($A103="",AZ$3=""),"",IF(AND($J103&lt;&gt;"",$K103&lt;&gt;"",$J103=$K103,$J103&gt;=AZ$3,$J103&lt;=IF(param_mode_affichage="mois",EOMONTH(AZ$3,0),AZ$3+6)),"◆",""))</f>
      </c>
      <c r="BA103" s="26">
        <f>IF(OR($A103="",BA$3=""),"",IF(AND($J103&lt;&gt;"",$K103&lt;&gt;"",$J103=$K103,$J103&gt;=BA$3,$J103&lt;=IF(param_mode_affichage="mois",EOMONTH(BA$3,0),BA$3+6)),"◆",""))</f>
      </c>
      <c r="BB103" s="26">
        <f>IF(OR($A103="",BB$3=""),"",IF(AND($J103&lt;&gt;"",$K103&lt;&gt;"",$J103=$K103,$J103&gt;=BB$3,$J103&lt;=IF(param_mode_affichage="mois",EOMONTH(BB$3,0),BB$3+6)),"◆",""))</f>
      </c>
      <c r="BC103" s="26">
        <f>IF(OR($A103="",BC$3=""),"",IF(AND($J103&lt;&gt;"",$K103&lt;&gt;"",$J103=$K103,$J103&gt;=BC$3,$J103&lt;=IF(param_mode_affichage="mois",EOMONTH(BC$3,0),BC$3+6)),"◆",""))</f>
      </c>
      <c r="BD103" s="26">
        <f>IF(OR($A103="",BD$3=""),"",IF(AND($J103&lt;&gt;"",$K103&lt;&gt;"",$J103=$K103,$J103&gt;=BD$3,$J103&lt;=IF(param_mode_affichage="mois",EOMONTH(BD$3,0),BD$3+6)),"◆",""))</f>
      </c>
      <c r="BE103" s="26">
        <f>IF(OR($A103="",BE$3=""),"",IF(AND($J103&lt;&gt;"",$K103&lt;&gt;"",$J103=$K103,$J103&gt;=BE$3,$J103&lt;=IF(param_mode_affichage="mois",EOMONTH(BE$3,0),BE$3+6)),"◆",""))</f>
      </c>
      <c r="BF103" s="26">
        <f>IF(OR($A103="",BF$3=""),"",IF(AND($J103&lt;&gt;"",$K103&lt;&gt;"",$J103=$K103,$J103&gt;=BF$3,$J103&lt;=IF(param_mode_affichage="mois",EOMONTH(BF$3,0),BF$3+6)),"◆",""))</f>
      </c>
      <c r="BG103" s="26">
        <f>IF(OR($A103="",BG$3=""),"",IF(AND($J103&lt;&gt;"",$K103&lt;&gt;"",$J103=$K103,$J103&gt;=BG$3,$J103&lt;=IF(param_mode_affichage="mois",EOMONTH(BG$3,0),BG$3+6)),"◆",""))</f>
      </c>
      <c r="BH103" s="26">
        <f>IF(OR($A103="",BH$3=""),"",IF(AND($J103&lt;&gt;"",$K103&lt;&gt;"",$J103=$K103,$J103&gt;=BH$3,$J103&lt;=IF(param_mode_affichage="mois",EOMONTH(BH$3,0),BH$3+6)),"◆",""))</f>
      </c>
      <c r="BI103" s="26">
        <f>IF(OR($A103="",BI$3=""),"",IF(AND($J103&lt;&gt;"",$K103&lt;&gt;"",$J103=$K103,$J103&gt;=BI$3,$J103&lt;=IF(param_mode_affichage="mois",EOMONTH(BI$3,0),BI$3+6)),"◆",""))</f>
      </c>
      <c r="BJ103" s="26">
        <f>IF(OR($A103="",BJ$3=""),"",IF(AND($J103&lt;&gt;"",$K103&lt;&gt;"",$J103=$K103,$J103&gt;=BJ$3,$J103&lt;=IF(param_mode_affichage="mois",EOMONTH(BJ$3,0),BJ$3+6)),"◆",""))</f>
      </c>
      <c r="BK103" s="26">
        <f>IF(OR($A103="",BK$3=""),"",IF(AND($J103&lt;&gt;"",$K103&lt;&gt;"",$J103=$K103,$J103&gt;=BK$3,$J103&lt;=IF(param_mode_affichage="mois",EOMONTH(BK$3,0),BK$3+6)),"◆",""))</f>
      </c>
      <c r="BL103" s="26">
        <f>IF(OR($A103="",BL$3=""),"",IF(AND($J103&lt;&gt;"",$K103&lt;&gt;"",$J103=$K103,$J103&gt;=BL$3,$J103&lt;=IF(param_mode_affichage="mois",EOMONTH(BL$3,0),BL$3+6)),"◆",""))</f>
      </c>
    </row>
    <row r="104" spans="1:64" x14ac:dyDescent="0.25">
      <c r="A104" s="23">
        <f>IFERROR(INDEX(tblTasks[ID],ROW()-4),"")</f>
      </c>
      <c r="B104" s="24">
        <f>IF($A104="","",INDEX(tblTasks[Sujet],ROW()-4))</f>
      </c>
      <c r="C104" s="23">
        <f>IF($A104="","",INDEX(tblTasks[Responsable],ROW()-4))</f>
      </c>
      <c r="D104" s="23">
        <f>IF($A104="","",INDEX(tblTasks[Statut],ROW()-4))</f>
      </c>
      <c r="E104" s="23">
        <f>IF($A104="","",INDEX(tblTasks[Depend_de],ROW()-4))</f>
      </c>
      <c r="F104" s="23">
        <f>IF($A104="","",INDEX(tblTasks[Blocage],ROW()-4))</f>
      </c>
      <c r="G104" s="23">
        <f>IF($A104="","",INDEX(tblTasks[Niveau_criticite],ROW()-4))</f>
      </c>
      <c r="H104" s="23">
        <f>IF($A104="","",INDEX(tblTasks[Goulot],ROW()-4))</f>
      </c>
      <c r="I104" s="23">
        <f>IF($A104="","",IF(LOWER($F104)="oui","non",IF($E104="","oui",IFERROR(IF(LOWER(INDEX(tblTasks[Statut],MATCH($E104,tblTasks[ID],0)))="clos","oui","non"),"non"))))</f>
      </c>
      <c r="J104" s="25">
        <f>IF($A104="","",INDEX(tblTasks[Date_debut_prevue],ROW()-4))</f>
      </c>
      <c r="K104" s="25">
        <f>IF($A104="","",INDEX(tblTasks[Date_fin_prevue],ROW()-4))</f>
      </c>
      <c r="L104" s="23">
        <f>IF($A104="","",INDEX(tblTasks[Irreversibilite],ROW()-4))</f>
      </c>
      <c r="M104" s="26">
        <f>IF(OR($A104="",M$3=""),"",IF(AND($J104&lt;&gt;"",$K104&lt;&gt;"",$J104=$K104,$J104&gt;=M$3,$J104&lt;=IF(param_mode_affichage="mois",EOMONTH(M$3,0),M$3+6)),"◆",""))</f>
      </c>
      <c r="N104" s="26">
        <f>IF(OR($A104="",N$3=""),"",IF(AND($J104&lt;&gt;"",$K104&lt;&gt;"",$J104=$K104,$J104&gt;=N$3,$J104&lt;=IF(param_mode_affichage="mois",EOMONTH(N$3,0),N$3+6)),"◆",""))</f>
      </c>
      <c r="O104" s="26">
        <f>IF(OR($A104="",O$3=""),"",IF(AND($J104&lt;&gt;"",$K104&lt;&gt;"",$J104=$K104,$J104&gt;=O$3,$J104&lt;=IF(param_mode_affichage="mois",EOMONTH(O$3,0),O$3+6)),"◆",""))</f>
      </c>
      <c r="P104" s="26">
        <f>IF(OR($A104="",P$3=""),"",IF(AND($J104&lt;&gt;"",$K104&lt;&gt;"",$J104=$K104,$J104&gt;=P$3,$J104&lt;=IF(param_mode_affichage="mois",EOMONTH(P$3,0),P$3+6)),"◆",""))</f>
      </c>
      <c r="Q104" s="26">
        <f>IF(OR($A104="",Q$3=""),"",IF(AND($J104&lt;&gt;"",$K104&lt;&gt;"",$J104=$K104,$J104&gt;=Q$3,$J104&lt;=IF(param_mode_affichage="mois",EOMONTH(Q$3,0),Q$3+6)),"◆",""))</f>
      </c>
      <c r="R104" s="26">
        <f>IF(OR($A104="",R$3=""),"",IF(AND($J104&lt;&gt;"",$K104&lt;&gt;"",$J104=$K104,$J104&gt;=R$3,$J104&lt;=IF(param_mode_affichage="mois",EOMONTH(R$3,0),R$3+6)),"◆",""))</f>
      </c>
      <c r="S104" s="26">
        <f>IF(OR($A104="",S$3=""),"",IF(AND($J104&lt;&gt;"",$K104&lt;&gt;"",$J104=$K104,$J104&gt;=S$3,$J104&lt;=IF(param_mode_affichage="mois",EOMONTH(S$3,0),S$3+6)),"◆",""))</f>
      </c>
      <c r="T104" s="26">
        <f>IF(OR($A104="",T$3=""),"",IF(AND($J104&lt;&gt;"",$K104&lt;&gt;"",$J104=$K104,$J104&gt;=T$3,$J104&lt;=IF(param_mode_affichage="mois",EOMONTH(T$3,0),T$3+6)),"◆",""))</f>
      </c>
      <c r="U104" s="26">
        <f>IF(OR($A104="",U$3=""),"",IF(AND($J104&lt;&gt;"",$K104&lt;&gt;"",$J104=$K104,$J104&gt;=U$3,$J104&lt;=IF(param_mode_affichage="mois",EOMONTH(U$3,0),U$3+6)),"◆",""))</f>
      </c>
      <c r="V104" s="26">
        <f>IF(OR($A104="",V$3=""),"",IF(AND($J104&lt;&gt;"",$K104&lt;&gt;"",$J104=$K104,$J104&gt;=V$3,$J104&lt;=IF(param_mode_affichage="mois",EOMONTH(V$3,0),V$3+6)),"◆",""))</f>
      </c>
      <c r="W104" s="26">
        <f>IF(OR($A104="",W$3=""),"",IF(AND($J104&lt;&gt;"",$K104&lt;&gt;"",$J104=$K104,$J104&gt;=W$3,$J104&lt;=IF(param_mode_affichage="mois",EOMONTH(W$3,0),W$3+6)),"◆",""))</f>
      </c>
      <c r="X104" s="26">
        <f>IF(OR($A104="",X$3=""),"",IF(AND($J104&lt;&gt;"",$K104&lt;&gt;"",$J104=$K104,$J104&gt;=X$3,$J104&lt;=IF(param_mode_affichage="mois",EOMONTH(X$3,0),X$3+6)),"◆",""))</f>
      </c>
      <c r="Y104" s="26">
        <f>IF(OR($A104="",Y$3=""),"",IF(AND($J104&lt;&gt;"",$K104&lt;&gt;"",$J104=$K104,$J104&gt;=Y$3,$J104&lt;=IF(param_mode_affichage="mois",EOMONTH(Y$3,0),Y$3+6)),"◆",""))</f>
      </c>
      <c r="Z104" s="26">
        <f>IF(OR($A104="",Z$3=""),"",IF(AND($J104&lt;&gt;"",$K104&lt;&gt;"",$J104=$K104,$J104&gt;=Z$3,$J104&lt;=IF(param_mode_affichage="mois",EOMONTH(Z$3,0),Z$3+6)),"◆",""))</f>
      </c>
      <c r="AA104" s="26">
        <f>IF(OR($A104="",AA$3=""),"",IF(AND($J104&lt;&gt;"",$K104&lt;&gt;"",$J104=$K104,$J104&gt;=AA$3,$J104&lt;=IF(param_mode_affichage="mois",EOMONTH(AA$3,0),AA$3+6)),"◆",""))</f>
      </c>
      <c r="AB104" s="26">
        <f>IF(OR($A104="",AB$3=""),"",IF(AND($J104&lt;&gt;"",$K104&lt;&gt;"",$J104=$K104,$J104&gt;=AB$3,$J104&lt;=IF(param_mode_affichage="mois",EOMONTH(AB$3,0),AB$3+6)),"◆",""))</f>
      </c>
      <c r="AC104" s="26">
        <f>IF(OR($A104="",AC$3=""),"",IF(AND($J104&lt;&gt;"",$K104&lt;&gt;"",$J104=$K104,$J104&gt;=AC$3,$J104&lt;=IF(param_mode_affichage="mois",EOMONTH(AC$3,0),AC$3+6)),"◆",""))</f>
      </c>
      <c r="AD104" s="26">
        <f>IF(OR($A104="",AD$3=""),"",IF(AND($J104&lt;&gt;"",$K104&lt;&gt;"",$J104=$K104,$J104&gt;=AD$3,$J104&lt;=IF(param_mode_affichage="mois",EOMONTH(AD$3,0),AD$3+6)),"◆",""))</f>
      </c>
      <c r="AE104" s="26">
        <f>IF(OR($A104="",AE$3=""),"",IF(AND($J104&lt;&gt;"",$K104&lt;&gt;"",$J104=$K104,$J104&gt;=AE$3,$J104&lt;=IF(param_mode_affichage="mois",EOMONTH(AE$3,0),AE$3+6)),"◆",""))</f>
      </c>
      <c r="AF104" s="26">
        <f>IF(OR($A104="",AF$3=""),"",IF(AND($J104&lt;&gt;"",$K104&lt;&gt;"",$J104=$K104,$J104&gt;=AF$3,$J104&lt;=IF(param_mode_affichage="mois",EOMONTH(AF$3,0),AF$3+6)),"◆",""))</f>
      </c>
      <c r="AG104" s="26">
        <f>IF(OR($A104="",AG$3=""),"",IF(AND($J104&lt;&gt;"",$K104&lt;&gt;"",$J104=$K104,$J104&gt;=AG$3,$J104&lt;=IF(param_mode_affichage="mois",EOMONTH(AG$3,0),AG$3+6)),"◆",""))</f>
      </c>
      <c r="AH104" s="26">
        <f>IF(OR($A104="",AH$3=""),"",IF(AND($J104&lt;&gt;"",$K104&lt;&gt;"",$J104=$K104,$J104&gt;=AH$3,$J104&lt;=IF(param_mode_affichage="mois",EOMONTH(AH$3,0),AH$3+6)),"◆",""))</f>
      </c>
      <c r="AI104" s="26">
        <f>IF(OR($A104="",AI$3=""),"",IF(AND($J104&lt;&gt;"",$K104&lt;&gt;"",$J104=$K104,$J104&gt;=AI$3,$J104&lt;=IF(param_mode_affichage="mois",EOMONTH(AI$3,0),AI$3+6)),"◆",""))</f>
      </c>
      <c r="AJ104" s="26">
        <f>IF(OR($A104="",AJ$3=""),"",IF(AND($J104&lt;&gt;"",$K104&lt;&gt;"",$J104=$K104,$J104&gt;=AJ$3,$J104&lt;=IF(param_mode_affichage="mois",EOMONTH(AJ$3,0),AJ$3+6)),"◆",""))</f>
      </c>
      <c r="AK104" s="26">
        <f>IF(OR($A104="",AK$3=""),"",IF(AND($J104&lt;&gt;"",$K104&lt;&gt;"",$J104=$K104,$J104&gt;=AK$3,$J104&lt;=IF(param_mode_affichage="mois",EOMONTH(AK$3,0),AK$3+6)),"◆",""))</f>
      </c>
      <c r="AL104" s="26">
        <f>IF(OR($A104="",AL$3=""),"",IF(AND($J104&lt;&gt;"",$K104&lt;&gt;"",$J104=$K104,$J104&gt;=AL$3,$J104&lt;=IF(param_mode_affichage="mois",EOMONTH(AL$3,0),AL$3+6)),"◆",""))</f>
      </c>
      <c r="AM104" s="26">
        <f>IF(OR($A104="",AM$3=""),"",IF(AND($J104&lt;&gt;"",$K104&lt;&gt;"",$J104=$K104,$J104&gt;=AM$3,$J104&lt;=IF(param_mode_affichage="mois",EOMONTH(AM$3,0),AM$3+6)),"◆",""))</f>
      </c>
      <c r="AN104" s="26">
        <f>IF(OR($A104="",AN$3=""),"",IF(AND($J104&lt;&gt;"",$K104&lt;&gt;"",$J104=$K104,$J104&gt;=AN$3,$J104&lt;=IF(param_mode_affichage="mois",EOMONTH(AN$3,0),AN$3+6)),"◆",""))</f>
      </c>
      <c r="AO104" s="26">
        <f>IF(OR($A104="",AO$3=""),"",IF(AND($J104&lt;&gt;"",$K104&lt;&gt;"",$J104=$K104,$J104&gt;=AO$3,$J104&lt;=IF(param_mode_affichage="mois",EOMONTH(AO$3,0),AO$3+6)),"◆",""))</f>
      </c>
      <c r="AP104" s="26">
        <f>IF(OR($A104="",AP$3=""),"",IF(AND($J104&lt;&gt;"",$K104&lt;&gt;"",$J104=$K104,$J104&gt;=AP$3,$J104&lt;=IF(param_mode_affichage="mois",EOMONTH(AP$3,0),AP$3+6)),"◆",""))</f>
      </c>
      <c r="AQ104" s="26">
        <f>IF(OR($A104="",AQ$3=""),"",IF(AND($J104&lt;&gt;"",$K104&lt;&gt;"",$J104=$K104,$J104&gt;=AQ$3,$J104&lt;=IF(param_mode_affichage="mois",EOMONTH(AQ$3,0),AQ$3+6)),"◆",""))</f>
      </c>
      <c r="AR104" s="26">
        <f>IF(OR($A104="",AR$3=""),"",IF(AND($J104&lt;&gt;"",$K104&lt;&gt;"",$J104=$K104,$J104&gt;=AR$3,$J104&lt;=IF(param_mode_affichage="mois",EOMONTH(AR$3,0),AR$3+6)),"◆",""))</f>
      </c>
      <c r="AS104" s="26">
        <f>IF(OR($A104="",AS$3=""),"",IF(AND($J104&lt;&gt;"",$K104&lt;&gt;"",$J104=$K104,$J104&gt;=AS$3,$J104&lt;=IF(param_mode_affichage="mois",EOMONTH(AS$3,0),AS$3+6)),"◆",""))</f>
      </c>
      <c r="AT104" s="26">
        <f>IF(OR($A104="",AT$3=""),"",IF(AND($J104&lt;&gt;"",$K104&lt;&gt;"",$J104=$K104,$J104&gt;=AT$3,$J104&lt;=IF(param_mode_affichage="mois",EOMONTH(AT$3,0),AT$3+6)),"◆",""))</f>
      </c>
      <c r="AU104" s="26">
        <f>IF(OR($A104="",AU$3=""),"",IF(AND($J104&lt;&gt;"",$K104&lt;&gt;"",$J104=$K104,$J104&gt;=AU$3,$J104&lt;=IF(param_mode_affichage="mois",EOMONTH(AU$3,0),AU$3+6)),"◆",""))</f>
      </c>
      <c r="AV104" s="26">
        <f>IF(OR($A104="",AV$3=""),"",IF(AND($J104&lt;&gt;"",$K104&lt;&gt;"",$J104=$K104,$J104&gt;=AV$3,$J104&lt;=IF(param_mode_affichage="mois",EOMONTH(AV$3,0),AV$3+6)),"◆",""))</f>
      </c>
      <c r="AW104" s="26">
        <f>IF(OR($A104="",AW$3=""),"",IF(AND($J104&lt;&gt;"",$K104&lt;&gt;"",$J104=$K104,$J104&gt;=AW$3,$J104&lt;=IF(param_mode_affichage="mois",EOMONTH(AW$3,0),AW$3+6)),"◆",""))</f>
      </c>
      <c r="AX104" s="26">
        <f>IF(OR($A104="",AX$3=""),"",IF(AND($J104&lt;&gt;"",$K104&lt;&gt;"",$J104=$K104,$J104&gt;=AX$3,$J104&lt;=IF(param_mode_affichage="mois",EOMONTH(AX$3,0),AX$3+6)),"◆",""))</f>
      </c>
      <c r="AY104" s="26">
        <f>IF(OR($A104="",AY$3=""),"",IF(AND($J104&lt;&gt;"",$K104&lt;&gt;"",$J104=$K104,$J104&gt;=AY$3,$J104&lt;=IF(param_mode_affichage="mois",EOMONTH(AY$3,0),AY$3+6)),"◆",""))</f>
      </c>
      <c r="AZ104" s="26">
        <f>IF(OR($A104="",AZ$3=""),"",IF(AND($J104&lt;&gt;"",$K104&lt;&gt;"",$J104=$K104,$J104&gt;=AZ$3,$J104&lt;=IF(param_mode_affichage="mois",EOMONTH(AZ$3,0),AZ$3+6)),"◆",""))</f>
      </c>
      <c r="BA104" s="26">
        <f>IF(OR($A104="",BA$3=""),"",IF(AND($J104&lt;&gt;"",$K104&lt;&gt;"",$J104=$K104,$J104&gt;=BA$3,$J104&lt;=IF(param_mode_affichage="mois",EOMONTH(BA$3,0),BA$3+6)),"◆",""))</f>
      </c>
      <c r="BB104" s="26">
        <f>IF(OR($A104="",BB$3=""),"",IF(AND($J104&lt;&gt;"",$K104&lt;&gt;"",$J104=$K104,$J104&gt;=BB$3,$J104&lt;=IF(param_mode_affichage="mois",EOMONTH(BB$3,0),BB$3+6)),"◆",""))</f>
      </c>
      <c r="BC104" s="26">
        <f>IF(OR($A104="",BC$3=""),"",IF(AND($J104&lt;&gt;"",$K104&lt;&gt;"",$J104=$K104,$J104&gt;=BC$3,$J104&lt;=IF(param_mode_affichage="mois",EOMONTH(BC$3,0),BC$3+6)),"◆",""))</f>
      </c>
      <c r="BD104" s="26">
        <f>IF(OR($A104="",BD$3=""),"",IF(AND($J104&lt;&gt;"",$K104&lt;&gt;"",$J104=$K104,$J104&gt;=BD$3,$J104&lt;=IF(param_mode_affichage="mois",EOMONTH(BD$3,0),BD$3+6)),"◆",""))</f>
      </c>
      <c r="BE104" s="26">
        <f>IF(OR($A104="",BE$3=""),"",IF(AND($J104&lt;&gt;"",$K104&lt;&gt;"",$J104=$K104,$J104&gt;=BE$3,$J104&lt;=IF(param_mode_affichage="mois",EOMONTH(BE$3,0),BE$3+6)),"◆",""))</f>
      </c>
      <c r="BF104" s="26">
        <f>IF(OR($A104="",BF$3=""),"",IF(AND($J104&lt;&gt;"",$K104&lt;&gt;"",$J104=$K104,$J104&gt;=BF$3,$J104&lt;=IF(param_mode_affichage="mois",EOMONTH(BF$3,0),BF$3+6)),"◆",""))</f>
      </c>
      <c r="BG104" s="26">
        <f>IF(OR($A104="",BG$3=""),"",IF(AND($J104&lt;&gt;"",$K104&lt;&gt;"",$J104=$K104,$J104&gt;=BG$3,$J104&lt;=IF(param_mode_affichage="mois",EOMONTH(BG$3,0),BG$3+6)),"◆",""))</f>
      </c>
      <c r="BH104" s="26">
        <f>IF(OR($A104="",BH$3=""),"",IF(AND($J104&lt;&gt;"",$K104&lt;&gt;"",$J104=$K104,$J104&gt;=BH$3,$J104&lt;=IF(param_mode_affichage="mois",EOMONTH(BH$3,0),BH$3+6)),"◆",""))</f>
      </c>
      <c r="BI104" s="26">
        <f>IF(OR($A104="",BI$3=""),"",IF(AND($J104&lt;&gt;"",$K104&lt;&gt;"",$J104=$K104,$J104&gt;=BI$3,$J104&lt;=IF(param_mode_affichage="mois",EOMONTH(BI$3,0),BI$3+6)),"◆",""))</f>
      </c>
      <c r="BJ104" s="26">
        <f>IF(OR($A104="",BJ$3=""),"",IF(AND($J104&lt;&gt;"",$K104&lt;&gt;"",$J104=$K104,$J104&gt;=BJ$3,$J104&lt;=IF(param_mode_affichage="mois",EOMONTH(BJ$3,0),BJ$3+6)),"◆",""))</f>
      </c>
      <c r="BK104" s="26">
        <f>IF(OR($A104="",BK$3=""),"",IF(AND($J104&lt;&gt;"",$K104&lt;&gt;"",$J104=$K104,$J104&gt;=BK$3,$J104&lt;=IF(param_mode_affichage="mois",EOMONTH(BK$3,0),BK$3+6)),"◆",""))</f>
      </c>
      <c r="BL104" s="26">
        <f>IF(OR($A104="",BL$3=""),"",IF(AND($J104&lt;&gt;"",$K104&lt;&gt;"",$J104=$K104,$J104&gt;=BL$3,$J104&lt;=IF(param_mode_affichage="mois",EOMONTH(BL$3,0),BL$3+6)),"◆",""))</f>
      </c>
    </row>
    <row r="105" spans="1:64" x14ac:dyDescent="0.25">
      <c r="A105" s="23">
        <f>IFERROR(INDEX(tblTasks[ID],ROW()-4),"")</f>
      </c>
      <c r="B105" s="24">
        <f>IF($A105="","",INDEX(tblTasks[Sujet],ROW()-4))</f>
      </c>
      <c r="C105" s="23">
        <f>IF($A105="","",INDEX(tblTasks[Responsable],ROW()-4))</f>
      </c>
      <c r="D105" s="23">
        <f>IF($A105="","",INDEX(tblTasks[Statut],ROW()-4))</f>
      </c>
      <c r="E105" s="23">
        <f>IF($A105="","",INDEX(tblTasks[Depend_de],ROW()-4))</f>
      </c>
      <c r="F105" s="23">
        <f>IF($A105="","",INDEX(tblTasks[Blocage],ROW()-4))</f>
      </c>
      <c r="G105" s="23">
        <f>IF($A105="","",INDEX(tblTasks[Niveau_criticite],ROW()-4))</f>
      </c>
      <c r="H105" s="23">
        <f>IF($A105="","",INDEX(tblTasks[Goulot],ROW()-4))</f>
      </c>
      <c r="I105" s="23">
        <f>IF($A105="","",IF(LOWER($F105)="oui","non",IF($E105="","oui",IFERROR(IF(LOWER(INDEX(tblTasks[Statut],MATCH($E105,tblTasks[ID],0)))="clos","oui","non"),"non"))))</f>
      </c>
      <c r="J105" s="25">
        <f>IF($A105="","",INDEX(tblTasks[Date_debut_prevue],ROW()-4))</f>
      </c>
      <c r="K105" s="25">
        <f>IF($A105="","",INDEX(tblTasks[Date_fin_prevue],ROW()-4))</f>
      </c>
      <c r="L105" s="23">
        <f>IF($A105="","",INDEX(tblTasks[Irreversibilite],ROW()-4))</f>
      </c>
      <c r="M105" s="26">
        <f>IF(OR($A105="",M$3=""),"",IF(AND($J105&lt;&gt;"",$K105&lt;&gt;"",$J105=$K105,$J105&gt;=M$3,$J105&lt;=IF(param_mode_affichage="mois",EOMONTH(M$3,0),M$3+6)),"◆",""))</f>
      </c>
      <c r="N105" s="26">
        <f>IF(OR($A105="",N$3=""),"",IF(AND($J105&lt;&gt;"",$K105&lt;&gt;"",$J105=$K105,$J105&gt;=N$3,$J105&lt;=IF(param_mode_affichage="mois",EOMONTH(N$3,0),N$3+6)),"◆",""))</f>
      </c>
      <c r="O105" s="26">
        <f>IF(OR($A105="",O$3=""),"",IF(AND($J105&lt;&gt;"",$K105&lt;&gt;"",$J105=$K105,$J105&gt;=O$3,$J105&lt;=IF(param_mode_affichage="mois",EOMONTH(O$3,0),O$3+6)),"◆",""))</f>
      </c>
      <c r="P105" s="26">
        <f>IF(OR($A105="",P$3=""),"",IF(AND($J105&lt;&gt;"",$K105&lt;&gt;"",$J105=$K105,$J105&gt;=P$3,$J105&lt;=IF(param_mode_affichage="mois",EOMONTH(P$3,0),P$3+6)),"◆",""))</f>
      </c>
      <c r="Q105" s="26">
        <f>IF(OR($A105="",Q$3=""),"",IF(AND($J105&lt;&gt;"",$K105&lt;&gt;"",$J105=$K105,$J105&gt;=Q$3,$J105&lt;=IF(param_mode_affichage="mois",EOMONTH(Q$3,0),Q$3+6)),"◆",""))</f>
      </c>
      <c r="R105" s="26">
        <f>IF(OR($A105="",R$3=""),"",IF(AND($J105&lt;&gt;"",$K105&lt;&gt;"",$J105=$K105,$J105&gt;=R$3,$J105&lt;=IF(param_mode_affichage="mois",EOMONTH(R$3,0),R$3+6)),"◆",""))</f>
      </c>
      <c r="S105" s="26">
        <f>IF(OR($A105="",S$3=""),"",IF(AND($J105&lt;&gt;"",$K105&lt;&gt;"",$J105=$K105,$J105&gt;=S$3,$J105&lt;=IF(param_mode_affichage="mois",EOMONTH(S$3,0),S$3+6)),"◆",""))</f>
      </c>
      <c r="T105" s="26">
        <f>IF(OR($A105="",T$3=""),"",IF(AND($J105&lt;&gt;"",$K105&lt;&gt;"",$J105=$K105,$J105&gt;=T$3,$J105&lt;=IF(param_mode_affichage="mois",EOMONTH(T$3,0),T$3+6)),"◆",""))</f>
      </c>
      <c r="U105" s="26">
        <f>IF(OR($A105="",U$3=""),"",IF(AND($J105&lt;&gt;"",$K105&lt;&gt;"",$J105=$K105,$J105&gt;=U$3,$J105&lt;=IF(param_mode_affichage="mois",EOMONTH(U$3,0),U$3+6)),"◆",""))</f>
      </c>
      <c r="V105" s="26">
        <f>IF(OR($A105="",V$3=""),"",IF(AND($J105&lt;&gt;"",$K105&lt;&gt;"",$J105=$K105,$J105&gt;=V$3,$J105&lt;=IF(param_mode_affichage="mois",EOMONTH(V$3,0),V$3+6)),"◆",""))</f>
      </c>
      <c r="W105" s="26">
        <f>IF(OR($A105="",W$3=""),"",IF(AND($J105&lt;&gt;"",$K105&lt;&gt;"",$J105=$K105,$J105&gt;=W$3,$J105&lt;=IF(param_mode_affichage="mois",EOMONTH(W$3,0),W$3+6)),"◆",""))</f>
      </c>
      <c r="X105" s="26">
        <f>IF(OR($A105="",X$3=""),"",IF(AND($J105&lt;&gt;"",$K105&lt;&gt;"",$J105=$K105,$J105&gt;=X$3,$J105&lt;=IF(param_mode_affichage="mois",EOMONTH(X$3,0),X$3+6)),"◆",""))</f>
      </c>
      <c r="Y105" s="26">
        <f>IF(OR($A105="",Y$3=""),"",IF(AND($J105&lt;&gt;"",$K105&lt;&gt;"",$J105=$K105,$J105&gt;=Y$3,$J105&lt;=IF(param_mode_affichage="mois",EOMONTH(Y$3,0),Y$3+6)),"◆",""))</f>
      </c>
      <c r="Z105" s="26">
        <f>IF(OR($A105="",Z$3=""),"",IF(AND($J105&lt;&gt;"",$K105&lt;&gt;"",$J105=$K105,$J105&gt;=Z$3,$J105&lt;=IF(param_mode_affichage="mois",EOMONTH(Z$3,0),Z$3+6)),"◆",""))</f>
      </c>
      <c r="AA105" s="26">
        <f>IF(OR($A105="",AA$3=""),"",IF(AND($J105&lt;&gt;"",$K105&lt;&gt;"",$J105=$K105,$J105&gt;=AA$3,$J105&lt;=IF(param_mode_affichage="mois",EOMONTH(AA$3,0),AA$3+6)),"◆",""))</f>
      </c>
      <c r="AB105" s="26">
        <f>IF(OR($A105="",AB$3=""),"",IF(AND($J105&lt;&gt;"",$K105&lt;&gt;"",$J105=$K105,$J105&gt;=AB$3,$J105&lt;=IF(param_mode_affichage="mois",EOMONTH(AB$3,0),AB$3+6)),"◆",""))</f>
      </c>
      <c r="AC105" s="26">
        <f>IF(OR($A105="",AC$3=""),"",IF(AND($J105&lt;&gt;"",$K105&lt;&gt;"",$J105=$K105,$J105&gt;=AC$3,$J105&lt;=IF(param_mode_affichage="mois",EOMONTH(AC$3,0),AC$3+6)),"◆",""))</f>
      </c>
      <c r="AD105" s="26">
        <f>IF(OR($A105="",AD$3=""),"",IF(AND($J105&lt;&gt;"",$K105&lt;&gt;"",$J105=$K105,$J105&gt;=AD$3,$J105&lt;=IF(param_mode_affichage="mois",EOMONTH(AD$3,0),AD$3+6)),"◆",""))</f>
      </c>
      <c r="AE105" s="26">
        <f>IF(OR($A105="",AE$3=""),"",IF(AND($J105&lt;&gt;"",$K105&lt;&gt;"",$J105=$K105,$J105&gt;=AE$3,$J105&lt;=IF(param_mode_affichage="mois",EOMONTH(AE$3,0),AE$3+6)),"◆",""))</f>
      </c>
      <c r="AF105" s="26">
        <f>IF(OR($A105="",AF$3=""),"",IF(AND($J105&lt;&gt;"",$K105&lt;&gt;"",$J105=$K105,$J105&gt;=AF$3,$J105&lt;=IF(param_mode_affichage="mois",EOMONTH(AF$3,0),AF$3+6)),"◆",""))</f>
      </c>
      <c r="AG105" s="26">
        <f>IF(OR($A105="",AG$3=""),"",IF(AND($J105&lt;&gt;"",$K105&lt;&gt;"",$J105=$K105,$J105&gt;=AG$3,$J105&lt;=IF(param_mode_affichage="mois",EOMONTH(AG$3,0),AG$3+6)),"◆",""))</f>
      </c>
      <c r="AH105" s="26">
        <f>IF(OR($A105="",AH$3=""),"",IF(AND($J105&lt;&gt;"",$K105&lt;&gt;"",$J105=$K105,$J105&gt;=AH$3,$J105&lt;=IF(param_mode_affichage="mois",EOMONTH(AH$3,0),AH$3+6)),"◆",""))</f>
      </c>
      <c r="AI105" s="26">
        <f>IF(OR($A105="",AI$3=""),"",IF(AND($J105&lt;&gt;"",$K105&lt;&gt;"",$J105=$K105,$J105&gt;=AI$3,$J105&lt;=IF(param_mode_affichage="mois",EOMONTH(AI$3,0),AI$3+6)),"◆",""))</f>
      </c>
      <c r="AJ105" s="26">
        <f>IF(OR($A105="",AJ$3=""),"",IF(AND($J105&lt;&gt;"",$K105&lt;&gt;"",$J105=$K105,$J105&gt;=AJ$3,$J105&lt;=IF(param_mode_affichage="mois",EOMONTH(AJ$3,0),AJ$3+6)),"◆",""))</f>
      </c>
      <c r="AK105" s="26">
        <f>IF(OR($A105="",AK$3=""),"",IF(AND($J105&lt;&gt;"",$K105&lt;&gt;"",$J105=$K105,$J105&gt;=AK$3,$J105&lt;=IF(param_mode_affichage="mois",EOMONTH(AK$3,0),AK$3+6)),"◆",""))</f>
      </c>
      <c r="AL105" s="26">
        <f>IF(OR($A105="",AL$3=""),"",IF(AND($J105&lt;&gt;"",$K105&lt;&gt;"",$J105=$K105,$J105&gt;=AL$3,$J105&lt;=IF(param_mode_affichage="mois",EOMONTH(AL$3,0),AL$3+6)),"◆",""))</f>
      </c>
      <c r="AM105" s="26">
        <f>IF(OR($A105="",AM$3=""),"",IF(AND($J105&lt;&gt;"",$K105&lt;&gt;"",$J105=$K105,$J105&gt;=AM$3,$J105&lt;=IF(param_mode_affichage="mois",EOMONTH(AM$3,0),AM$3+6)),"◆",""))</f>
      </c>
      <c r="AN105" s="26">
        <f>IF(OR($A105="",AN$3=""),"",IF(AND($J105&lt;&gt;"",$K105&lt;&gt;"",$J105=$K105,$J105&gt;=AN$3,$J105&lt;=IF(param_mode_affichage="mois",EOMONTH(AN$3,0),AN$3+6)),"◆",""))</f>
      </c>
      <c r="AO105" s="26">
        <f>IF(OR($A105="",AO$3=""),"",IF(AND($J105&lt;&gt;"",$K105&lt;&gt;"",$J105=$K105,$J105&gt;=AO$3,$J105&lt;=IF(param_mode_affichage="mois",EOMONTH(AO$3,0),AO$3+6)),"◆",""))</f>
      </c>
      <c r="AP105" s="26">
        <f>IF(OR($A105="",AP$3=""),"",IF(AND($J105&lt;&gt;"",$K105&lt;&gt;"",$J105=$K105,$J105&gt;=AP$3,$J105&lt;=IF(param_mode_affichage="mois",EOMONTH(AP$3,0),AP$3+6)),"◆",""))</f>
      </c>
      <c r="AQ105" s="26">
        <f>IF(OR($A105="",AQ$3=""),"",IF(AND($J105&lt;&gt;"",$K105&lt;&gt;"",$J105=$K105,$J105&gt;=AQ$3,$J105&lt;=IF(param_mode_affichage="mois",EOMONTH(AQ$3,0),AQ$3+6)),"◆",""))</f>
      </c>
      <c r="AR105" s="26">
        <f>IF(OR($A105="",AR$3=""),"",IF(AND($J105&lt;&gt;"",$K105&lt;&gt;"",$J105=$K105,$J105&gt;=AR$3,$J105&lt;=IF(param_mode_affichage="mois",EOMONTH(AR$3,0),AR$3+6)),"◆",""))</f>
      </c>
      <c r="AS105" s="26">
        <f>IF(OR($A105="",AS$3=""),"",IF(AND($J105&lt;&gt;"",$K105&lt;&gt;"",$J105=$K105,$J105&gt;=AS$3,$J105&lt;=IF(param_mode_affichage="mois",EOMONTH(AS$3,0),AS$3+6)),"◆",""))</f>
      </c>
      <c r="AT105" s="26">
        <f>IF(OR($A105="",AT$3=""),"",IF(AND($J105&lt;&gt;"",$K105&lt;&gt;"",$J105=$K105,$J105&gt;=AT$3,$J105&lt;=IF(param_mode_affichage="mois",EOMONTH(AT$3,0),AT$3+6)),"◆",""))</f>
      </c>
      <c r="AU105" s="26">
        <f>IF(OR($A105="",AU$3=""),"",IF(AND($J105&lt;&gt;"",$K105&lt;&gt;"",$J105=$K105,$J105&gt;=AU$3,$J105&lt;=IF(param_mode_affichage="mois",EOMONTH(AU$3,0),AU$3+6)),"◆",""))</f>
      </c>
      <c r="AV105" s="26">
        <f>IF(OR($A105="",AV$3=""),"",IF(AND($J105&lt;&gt;"",$K105&lt;&gt;"",$J105=$K105,$J105&gt;=AV$3,$J105&lt;=IF(param_mode_affichage="mois",EOMONTH(AV$3,0),AV$3+6)),"◆",""))</f>
      </c>
      <c r="AW105" s="26">
        <f>IF(OR($A105="",AW$3=""),"",IF(AND($J105&lt;&gt;"",$K105&lt;&gt;"",$J105=$K105,$J105&gt;=AW$3,$J105&lt;=IF(param_mode_affichage="mois",EOMONTH(AW$3,0),AW$3+6)),"◆",""))</f>
      </c>
      <c r="AX105" s="26">
        <f>IF(OR($A105="",AX$3=""),"",IF(AND($J105&lt;&gt;"",$K105&lt;&gt;"",$J105=$K105,$J105&gt;=AX$3,$J105&lt;=IF(param_mode_affichage="mois",EOMONTH(AX$3,0),AX$3+6)),"◆",""))</f>
      </c>
      <c r="AY105" s="26">
        <f>IF(OR($A105="",AY$3=""),"",IF(AND($J105&lt;&gt;"",$K105&lt;&gt;"",$J105=$K105,$J105&gt;=AY$3,$J105&lt;=IF(param_mode_affichage="mois",EOMONTH(AY$3,0),AY$3+6)),"◆",""))</f>
      </c>
      <c r="AZ105" s="26">
        <f>IF(OR($A105="",AZ$3=""),"",IF(AND($J105&lt;&gt;"",$K105&lt;&gt;"",$J105=$K105,$J105&gt;=AZ$3,$J105&lt;=IF(param_mode_affichage="mois",EOMONTH(AZ$3,0),AZ$3+6)),"◆",""))</f>
      </c>
      <c r="BA105" s="26">
        <f>IF(OR($A105="",BA$3=""),"",IF(AND($J105&lt;&gt;"",$K105&lt;&gt;"",$J105=$K105,$J105&gt;=BA$3,$J105&lt;=IF(param_mode_affichage="mois",EOMONTH(BA$3,0),BA$3+6)),"◆",""))</f>
      </c>
      <c r="BB105" s="26">
        <f>IF(OR($A105="",BB$3=""),"",IF(AND($J105&lt;&gt;"",$K105&lt;&gt;"",$J105=$K105,$J105&gt;=BB$3,$J105&lt;=IF(param_mode_affichage="mois",EOMONTH(BB$3,0),BB$3+6)),"◆",""))</f>
      </c>
      <c r="BC105" s="26">
        <f>IF(OR($A105="",BC$3=""),"",IF(AND($J105&lt;&gt;"",$K105&lt;&gt;"",$J105=$K105,$J105&gt;=BC$3,$J105&lt;=IF(param_mode_affichage="mois",EOMONTH(BC$3,0),BC$3+6)),"◆",""))</f>
      </c>
      <c r="BD105" s="26">
        <f>IF(OR($A105="",BD$3=""),"",IF(AND($J105&lt;&gt;"",$K105&lt;&gt;"",$J105=$K105,$J105&gt;=BD$3,$J105&lt;=IF(param_mode_affichage="mois",EOMONTH(BD$3,0),BD$3+6)),"◆",""))</f>
      </c>
      <c r="BE105" s="26">
        <f>IF(OR($A105="",BE$3=""),"",IF(AND($J105&lt;&gt;"",$K105&lt;&gt;"",$J105=$K105,$J105&gt;=BE$3,$J105&lt;=IF(param_mode_affichage="mois",EOMONTH(BE$3,0),BE$3+6)),"◆",""))</f>
      </c>
      <c r="BF105" s="26">
        <f>IF(OR($A105="",BF$3=""),"",IF(AND($J105&lt;&gt;"",$K105&lt;&gt;"",$J105=$K105,$J105&gt;=BF$3,$J105&lt;=IF(param_mode_affichage="mois",EOMONTH(BF$3,0),BF$3+6)),"◆",""))</f>
      </c>
      <c r="BG105" s="26">
        <f>IF(OR($A105="",BG$3=""),"",IF(AND($J105&lt;&gt;"",$K105&lt;&gt;"",$J105=$K105,$J105&gt;=BG$3,$J105&lt;=IF(param_mode_affichage="mois",EOMONTH(BG$3,0),BG$3+6)),"◆",""))</f>
      </c>
      <c r="BH105" s="26">
        <f>IF(OR($A105="",BH$3=""),"",IF(AND($J105&lt;&gt;"",$K105&lt;&gt;"",$J105=$K105,$J105&gt;=BH$3,$J105&lt;=IF(param_mode_affichage="mois",EOMONTH(BH$3,0),BH$3+6)),"◆",""))</f>
      </c>
      <c r="BI105" s="26">
        <f>IF(OR($A105="",BI$3=""),"",IF(AND($J105&lt;&gt;"",$K105&lt;&gt;"",$J105=$K105,$J105&gt;=BI$3,$J105&lt;=IF(param_mode_affichage="mois",EOMONTH(BI$3,0),BI$3+6)),"◆",""))</f>
      </c>
      <c r="BJ105" s="26">
        <f>IF(OR($A105="",BJ$3=""),"",IF(AND($J105&lt;&gt;"",$K105&lt;&gt;"",$J105=$K105,$J105&gt;=BJ$3,$J105&lt;=IF(param_mode_affichage="mois",EOMONTH(BJ$3,0),BJ$3+6)),"◆",""))</f>
      </c>
      <c r="BK105" s="26">
        <f>IF(OR($A105="",BK$3=""),"",IF(AND($J105&lt;&gt;"",$K105&lt;&gt;"",$J105=$K105,$J105&gt;=BK$3,$J105&lt;=IF(param_mode_affichage="mois",EOMONTH(BK$3,0),BK$3+6)),"◆",""))</f>
      </c>
      <c r="BL105" s="26">
        <f>IF(OR($A105="",BL$3=""),"",IF(AND($J105&lt;&gt;"",$K105&lt;&gt;"",$J105=$K105,$J105&gt;=BL$3,$J105&lt;=IF(param_mode_affichage="mois",EOMONTH(BL$3,0),BL$3+6)),"◆",""))</f>
      </c>
    </row>
    <row r="106" spans="1:64" x14ac:dyDescent="0.25">
      <c r="A106" s="23">
        <f>IFERROR(INDEX(tblTasks[ID],ROW()-4),"")</f>
      </c>
      <c r="B106" s="24">
        <f>IF($A106="","",INDEX(tblTasks[Sujet],ROW()-4))</f>
      </c>
      <c r="C106" s="23">
        <f>IF($A106="","",INDEX(tblTasks[Responsable],ROW()-4))</f>
      </c>
      <c r="D106" s="23">
        <f>IF($A106="","",INDEX(tblTasks[Statut],ROW()-4))</f>
      </c>
      <c r="E106" s="23">
        <f>IF($A106="","",INDEX(tblTasks[Depend_de],ROW()-4))</f>
      </c>
      <c r="F106" s="23">
        <f>IF($A106="","",INDEX(tblTasks[Blocage],ROW()-4))</f>
      </c>
      <c r="G106" s="23">
        <f>IF($A106="","",INDEX(tblTasks[Niveau_criticite],ROW()-4))</f>
      </c>
      <c r="H106" s="23">
        <f>IF($A106="","",INDEX(tblTasks[Goulot],ROW()-4))</f>
      </c>
      <c r="I106" s="23">
        <f>IF($A106="","",IF(LOWER($F106)="oui","non",IF($E106="","oui",IFERROR(IF(LOWER(INDEX(tblTasks[Statut],MATCH($E106,tblTasks[ID],0)))="clos","oui","non"),"non"))))</f>
      </c>
      <c r="J106" s="25">
        <f>IF($A106="","",INDEX(tblTasks[Date_debut_prevue],ROW()-4))</f>
      </c>
      <c r="K106" s="25">
        <f>IF($A106="","",INDEX(tblTasks[Date_fin_prevue],ROW()-4))</f>
      </c>
      <c r="L106" s="23">
        <f>IF($A106="","",INDEX(tblTasks[Irreversibilite],ROW()-4))</f>
      </c>
      <c r="M106" s="26">
        <f>IF(OR($A106="",M$3=""),"",IF(AND($J106&lt;&gt;"",$K106&lt;&gt;"",$J106=$K106,$J106&gt;=M$3,$J106&lt;=IF(param_mode_affichage="mois",EOMONTH(M$3,0),M$3+6)),"◆",""))</f>
      </c>
      <c r="N106" s="26">
        <f>IF(OR($A106="",N$3=""),"",IF(AND($J106&lt;&gt;"",$K106&lt;&gt;"",$J106=$K106,$J106&gt;=N$3,$J106&lt;=IF(param_mode_affichage="mois",EOMONTH(N$3,0),N$3+6)),"◆",""))</f>
      </c>
      <c r="O106" s="26">
        <f>IF(OR($A106="",O$3=""),"",IF(AND($J106&lt;&gt;"",$K106&lt;&gt;"",$J106=$K106,$J106&gt;=O$3,$J106&lt;=IF(param_mode_affichage="mois",EOMONTH(O$3,0),O$3+6)),"◆",""))</f>
      </c>
      <c r="P106" s="26">
        <f>IF(OR($A106="",P$3=""),"",IF(AND($J106&lt;&gt;"",$K106&lt;&gt;"",$J106=$K106,$J106&gt;=P$3,$J106&lt;=IF(param_mode_affichage="mois",EOMONTH(P$3,0),P$3+6)),"◆",""))</f>
      </c>
      <c r="Q106" s="26">
        <f>IF(OR($A106="",Q$3=""),"",IF(AND($J106&lt;&gt;"",$K106&lt;&gt;"",$J106=$K106,$J106&gt;=Q$3,$J106&lt;=IF(param_mode_affichage="mois",EOMONTH(Q$3,0),Q$3+6)),"◆",""))</f>
      </c>
      <c r="R106" s="26">
        <f>IF(OR($A106="",R$3=""),"",IF(AND($J106&lt;&gt;"",$K106&lt;&gt;"",$J106=$K106,$J106&gt;=R$3,$J106&lt;=IF(param_mode_affichage="mois",EOMONTH(R$3,0),R$3+6)),"◆",""))</f>
      </c>
      <c r="S106" s="26">
        <f>IF(OR($A106="",S$3=""),"",IF(AND($J106&lt;&gt;"",$K106&lt;&gt;"",$J106=$K106,$J106&gt;=S$3,$J106&lt;=IF(param_mode_affichage="mois",EOMONTH(S$3,0),S$3+6)),"◆",""))</f>
      </c>
      <c r="T106" s="26">
        <f>IF(OR($A106="",T$3=""),"",IF(AND($J106&lt;&gt;"",$K106&lt;&gt;"",$J106=$K106,$J106&gt;=T$3,$J106&lt;=IF(param_mode_affichage="mois",EOMONTH(T$3,0),T$3+6)),"◆",""))</f>
      </c>
      <c r="U106" s="26">
        <f>IF(OR($A106="",U$3=""),"",IF(AND($J106&lt;&gt;"",$K106&lt;&gt;"",$J106=$K106,$J106&gt;=U$3,$J106&lt;=IF(param_mode_affichage="mois",EOMONTH(U$3,0),U$3+6)),"◆",""))</f>
      </c>
      <c r="V106" s="26">
        <f>IF(OR($A106="",V$3=""),"",IF(AND($J106&lt;&gt;"",$K106&lt;&gt;"",$J106=$K106,$J106&gt;=V$3,$J106&lt;=IF(param_mode_affichage="mois",EOMONTH(V$3,0),V$3+6)),"◆",""))</f>
      </c>
      <c r="W106" s="26">
        <f>IF(OR($A106="",W$3=""),"",IF(AND($J106&lt;&gt;"",$K106&lt;&gt;"",$J106=$K106,$J106&gt;=W$3,$J106&lt;=IF(param_mode_affichage="mois",EOMONTH(W$3,0),W$3+6)),"◆",""))</f>
      </c>
      <c r="X106" s="26">
        <f>IF(OR($A106="",X$3=""),"",IF(AND($J106&lt;&gt;"",$K106&lt;&gt;"",$J106=$K106,$J106&gt;=X$3,$J106&lt;=IF(param_mode_affichage="mois",EOMONTH(X$3,0),X$3+6)),"◆",""))</f>
      </c>
      <c r="Y106" s="26">
        <f>IF(OR($A106="",Y$3=""),"",IF(AND($J106&lt;&gt;"",$K106&lt;&gt;"",$J106=$K106,$J106&gt;=Y$3,$J106&lt;=IF(param_mode_affichage="mois",EOMONTH(Y$3,0),Y$3+6)),"◆",""))</f>
      </c>
      <c r="Z106" s="26">
        <f>IF(OR($A106="",Z$3=""),"",IF(AND($J106&lt;&gt;"",$K106&lt;&gt;"",$J106=$K106,$J106&gt;=Z$3,$J106&lt;=IF(param_mode_affichage="mois",EOMONTH(Z$3,0),Z$3+6)),"◆",""))</f>
      </c>
      <c r="AA106" s="26">
        <f>IF(OR($A106="",AA$3=""),"",IF(AND($J106&lt;&gt;"",$K106&lt;&gt;"",$J106=$K106,$J106&gt;=AA$3,$J106&lt;=IF(param_mode_affichage="mois",EOMONTH(AA$3,0),AA$3+6)),"◆",""))</f>
      </c>
      <c r="AB106" s="26">
        <f>IF(OR($A106="",AB$3=""),"",IF(AND($J106&lt;&gt;"",$K106&lt;&gt;"",$J106=$K106,$J106&gt;=AB$3,$J106&lt;=IF(param_mode_affichage="mois",EOMONTH(AB$3,0),AB$3+6)),"◆",""))</f>
      </c>
      <c r="AC106" s="26">
        <f>IF(OR($A106="",AC$3=""),"",IF(AND($J106&lt;&gt;"",$K106&lt;&gt;"",$J106=$K106,$J106&gt;=AC$3,$J106&lt;=IF(param_mode_affichage="mois",EOMONTH(AC$3,0),AC$3+6)),"◆",""))</f>
      </c>
      <c r="AD106" s="26">
        <f>IF(OR($A106="",AD$3=""),"",IF(AND($J106&lt;&gt;"",$K106&lt;&gt;"",$J106=$K106,$J106&gt;=AD$3,$J106&lt;=IF(param_mode_affichage="mois",EOMONTH(AD$3,0),AD$3+6)),"◆",""))</f>
      </c>
      <c r="AE106" s="26">
        <f>IF(OR($A106="",AE$3=""),"",IF(AND($J106&lt;&gt;"",$K106&lt;&gt;"",$J106=$K106,$J106&gt;=AE$3,$J106&lt;=IF(param_mode_affichage="mois",EOMONTH(AE$3,0),AE$3+6)),"◆",""))</f>
      </c>
      <c r="AF106" s="26">
        <f>IF(OR($A106="",AF$3=""),"",IF(AND($J106&lt;&gt;"",$K106&lt;&gt;"",$J106=$K106,$J106&gt;=AF$3,$J106&lt;=IF(param_mode_affichage="mois",EOMONTH(AF$3,0),AF$3+6)),"◆",""))</f>
      </c>
      <c r="AG106" s="26">
        <f>IF(OR($A106="",AG$3=""),"",IF(AND($J106&lt;&gt;"",$K106&lt;&gt;"",$J106=$K106,$J106&gt;=AG$3,$J106&lt;=IF(param_mode_affichage="mois",EOMONTH(AG$3,0),AG$3+6)),"◆",""))</f>
      </c>
      <c r="AH106" s="26">
        <f>IF(OR($A106="",AH$3=""),"",IF(AND($J106&lt;&gt;"",$K106&lt;&gt;"",$J106=$K106,$J106&gt;=AH$3,$J106&lt;=IF(param_mode_affichage="mois",EOMONTH(AH$3,0),AH$3+6)),"◆",""))</f>
      </c>
      <c r="AI106" s="26">
        <f>IF(OR($A106="",AI$3=""),"",IF(AND($J106&lt;&gt;"",$K106&lt;&gt;"",$J106=$K106,$J106&gt;=AI$3,$J106&lt;=IF(param_mode_affichage="mois",EOMONTH(AI$3,0),AI$3+6)),"◆",""))</f>
      </c>
      <c r="AJ106" s="26">
        <f>IF(OR($A106="",AJ$3=""),"",IF(AND($J106&lt;&gt;"",$K106&lt;&gt;"",$J106=$K106,$J106&gt;=AJ$3,$J106&lt;=IF(param_mode_affichage="mois",EOMONTH(AJ$3,0),AJ$3+6)),"◆",""))</f>
      </c>
      <c r="AK106" s="26">
        <f>IF(OR($A106="",AK$3=""),"",IF(AND($J106&lt;&gt;"",$K106&lt;&gt;"",$J106=$K106,$J106&gt;=AK$3,$J106&lt;=IF(param_mode_affichage="mois",EOMONTH(AK$3,0),AK$3+6)),"◆",""))</f>
      </c>
      <c r="AL106" s="26">
        <f>IF(OR($A106="",AL$3=""),"",IF(AND($J106&lt;&gt;"",$K106&lt;&gt;"",$J106=$K106,$J106&gt;=AL$3,$J106&lt;=IF(param_mode_affichage="mois",EOMONTH(AL$3,0),AL$3+6)),"◆",""))</f>
      </c>
      <c r="AM106" s="26">
        <f>IF(OR($A106="",AM$3=""),"",IF(AND($J106&lt;&gt;"",$K106&lt;&gt;"",$J106=$K106,$J106&gt;=AM$3,$J106&lt;=IF(param_mode_affichage="mois",EOMONTH(AM$3,0),AM$3+6)),"◆",""))</f>
      </c>
      <c r="AN106" s="26">
        <f>IF(OR($A106="",AN$3=""),"",IF(AND($J106&lt;&gt;"",$K106&lt;&gt;"",$J106=$K106,$J106&gt;=AN$3,$J106&lt;=IF(param_mode_affichage="mois",EOMONTH(AN$3,0),AN$3+6)),"◆",""))</f>
      </c>
      <c r="AO106" s="26">
        <f>IF(OR($A106="",AO$3=""),"",IF(AND($J106&lt;&gt;"",$K106&lt;&gt;"",$J106=$K106,$J106&gt;=AO$3,$J106&lt;=IF(param_mode_affichage="mois",EOMONTH(AO$3,0),AO$3+6)),"◆",""))</f>
      </c>
      <c r="AP106" s="26">
        <f>IF(OR($A106="",AP$3=""),"",IF(AND($J106&lt;&gt;"",$K106&lt;&gt;"",$J106=$K106,$J106&gt;=AP$3,$J106&lt;=IF(param_mode_affichage="mois",EOMONTH(AP$3,0),AP$3+6)),"◆",""))</f>
      </c>
      <c r="AQ106" s="26">
        <f>IF(OR($A106="",AQ$3=""),"",IF(AND($J106&lt;&gt;"",$K106&lt;&gt;"",$J106=$K106,$J106&gt;=AQ$3,$J106&lt;=IF(param_mode_affichage="mois",EOMONTH(AQ$3,0),AQ$3+6)),"◆",""))</f>
      </c>
      <c r="AR106" s="26">
        <f>IF(OR($A106="",AR$3=""),"",IF(AND($J106&lt;&gt;"",$K106&lt;&gt;"",$J106=$K106,$J106&gt;=AR$3,$J106&lt;=IF(param_mode_affichage="mois",EOMONTH(AR$3,0),AR$3+6)),"◆",""))</f>
      </c>
      <c r="AS106" s="26">
        <f>IF(OR($A106="",AS$3=""),"",IF(AND($J106&lt;&gt;"",$K106&lt;&gt;"",$J106=$K106,$J106&gt;=AS$3,$J106&lt;=IF(param_mode_affichage="mois",EOMONTH(AS$3,0),AS$3+6)),"◆",""))</f>
      </c>
      <c r="AT106" s="26">
        <f>IF(OR($A106="",AT$3=""),"",IF(AND($J106&lt;&gt;"",$K106&lt;&gt;"",$J106=$K106,$J106&gt;=AT$3,$J106&lt;=IF(param_mode_affichage="mois",EOMONTH(AT$3,0),AT$3+6)),"◆",""))</f>
      </c>
      <c r="AU106" s="26">
        <f>IF(OR($A106="",AU$3=""),"",IF(AND($J106&lt;&gt;"",$K106&lt;&gt;"",$J106=$K106,$J106&gt;=AU$3,$J106&lt;=IF(param_mode_affichage="mois",EOMONTH(AU$3,0),AU$3+6)),"◆",""))</f>
      </c>
      <c r="AV106" s="26">
        <f>IF(OR($A106="",AV$3=""),"",IF(AND($J106&lt;&gt;"",$K106&lt;&gt;"",$J106=$K106,$J106&gt;=AV$3,$J106&lt;=IF(param_mode_affichage="mois",EOMONTH(AV$3,0),AV$3+6)),"◆",""))</f>
      </c>
      <c r="AW106" s="26">
        <f>IF(OR($A106="",AW$3=""),"",IF(AND($J106&lt;&gt;"",$K106&lt;&gt;"",$J106=$K106,$J106&gt;=AW$3,$J106&lt;=IF(param_mode_affichage="mois",EOMONTH(AW$3,0),AW$3+6)),"◆",""))</f>
      </c>
      <c r="AX106" s="26">
        <f>IF(OR($A106="",AX$3=""),"",IF(AND($J106&lt;&gt;"",$K106&lt;&gt;"",$J106=$K106,$J106&gt;=AX$3,$J106&lt;=IF(param_mode_affichage="mois",EOMONTH(AX$3,0),AX$3+6)),"◆",""))</f>
      </c>
      <c r="AY106" s="26">
        <f>IF(OR($A106="",AY$3=""),"",IF(AND($J106&lt;&gt;"",$K106&lt;&gt;"",$J106=$K106,$J106&gt;=AY$3,$J106&lt;=IF(param_mode_affichage="mois",EOMONTH(AY$3,0),AY$3+6)),"◆",""))</f>
      </c>
      <c r="AZ106" s="26">
        <f>IF(OR($A106="",AZ$3=""),"",IF(AND($J106&lt;&gt;"",$K106&lt;&gt;"",$J106=$K106,$J106&gt;=AZ$3,$J106&lt;=IF(param_mode_affichage="mois",EOMONTH(AZ$3,0),AZ$3+6)),"◆",""))</f>
      </c>
      <c r="BA106" s="26">
        <f>IF(OR($A106="",BA$3=""),"",IF(AND($J106&lt;&gt;"",$K106&lt;&gt;"",$J106=$K106,$J106&gt;=BA$3,$J106&lt;=IF(param_mode_affichage="mois",EOMONTH(BA$3,0),BA$3+6)),"◆",""))</f>
      </c>
      <c r="BB106" s="26">
        <f>IF(OR($A106="",BB$3=""),"",IF(AND($J106&lt;&gt;"",$K106&lt;&gt;"",$J106=$K106,$J106&gt;=BB$3,$J106&lt;=IF(param_mode_affichage="mois",EOMONTH(BB$3,0),BB$3+6)),"◆",""))</f>
      </c>
      <c r="BC106" s="26">
        <f>IF(OR($A106="",BC$3=""),"",IF(AND($J106&lt;&gt;"",$K106&lt;&gt;"",$J106=$K106,$J106&gt;=BC$3,$J106&lt;=IF(param_mode_affichage="mois",EOMONTH(BC$3,0),BC$3+6)),"◆",""))</f>
      </c>
      <c r="BD106" s="26">
        <f>IF(OR($A106="",BD$3=""),"",IF(AND($J106&lt;&gt;"",$K106&lt;&gt;"",$J106=$K106,$J106&gt;=BD$3,$J106&lt;=IF(param_mode_affichage="mois",EOMONTH(BD$3,0),BD$3+6)),"◆",""))</f>
      </c>
      <c r="BE106" s="26">
        <f>IF(OR($A106="",BE$3=""),"",IF(AND($J106&lt;&gt;"",$K106&lt;&gt;"",$J106=$K106,$J106&gt;=BE$3,$J106&lt;=IF(param_mode_affichage="mois",EOMONTH(BE$3,0),BE$3+6)),"◆",""))</f>
      </c>
      <c r="BF106" s="26">
        <f>IF(OR($A106="",BF$3=""),"",IF(AND($J106&lt;&gt;"",$K106&lt;&gt;"",$J106=$K106,$J106&gt;=BF$3,$J106&lt;=IF(param_mode_affichage="mois",EOMONTH(BF$3,0),BF$3+6)),"◆",""))</f>
      </c>
      <c r="BG106" s="26">
        <f>IF(OR($A106="",BG$3=""),"",IF(AND($J106&lt;&gt;"",$K106&lt;&gt;"",$J106=$K106,$J106&gt;=BG$3,$J106&lt;=IF(param_mode_affichage="mois",EOMONTH(BG$3,0),BG$3+6)),"◆",""))</f>
      </c>
      <c r="BH106" s="26">
        <f>IF(OR($A106="",BH$3=""),"",IF(AND($J106&lt;&gt;"",$K106&lt;&gt;"",$J106=$K106,$J106&gt;=BH$3,$J106&lt;=IF(param_mode_affichage="mois",EOMONTH(BH$3,0),BH$3+6)),"◆",""))</f>
      </c>
      <c r="BI106" s="26">
        <f>IF(OR($A106="",BI$3=""),"",IF(AND($J106&lt;&gt;"",$K106&lt;&gt;"",$J106=$K106,$J106&gt;=BI$3,$J106&lt;=IF(param_mode_affichage="mois",EOMONTH(BI$3,0),BI$3+6)),"◆",""))</f>
      </c>
      <c r="BJ106" s="26">
        <f>IF(OR($A106="",BJ$3=""),"",IF(AND($J106&lt;&gt;"",$K106&lt;&gt;"",$J106=$K106,$J106&gt;=BJ$3,$J106&lt;=IF(param_mode_affichage="mois",EOMONTH(BJ$3,0),BJ$3+6)),"◆",""))</f>
      </c>
      <c r="BK106" s="26">
        <f>IF(OR($A106="",BK$3=""),"",IF(AND($J106&lt;&gt;"",$K106&lt;&gt;"",$J106=$K106,$J106&gt;=BK$3,$J106&lt;=IF(param_mode_affichage="mois",EOMONTH(BK$3,0),BK$3+6)),"◆",""))</f>
      </c>
      <c r="BL106" s="26">
        <f>IF(OR($A106="",BL$3=""),"",IF(AND($J106&lt;&gt;"",$K106&lt;&gt;"",$J106=$K106,$J106&gt;=BL$3,$J106&lt;=IF(param_mode_affichage="mois",EOMONTH(BL$3,0),BL$3+6)),"◆",""))</f>
      </c>
    </row>
    <row r="107" spans="1:64" x14ac:dyDescent="0.25">
      <c r="A107" s="23">
        <f>IFERROR(INDEX(tblTasks[ID],ROW()-4),"")</f>
      </c>
      <c r="B107" s="24">
        <f>IF($A107="","",INDEX(tblTasks[Sujet],ROW()-4))</f>
      </c>
      <c r="C107" s="23">
        <f>IF($A107="","",INDEX(tblTasks[Responsable],ROW()-4))</f>
      </c>
      <c r="D107" s="23">
        <f>IF($A107="","",INDEX(tblTasks[Statut],ROW()-4))</f>
      </c>
      <c r="E107" s="23">
        <f>IF($A107="","",INDEX(tblTasks[Depend_de],ROW()-4))</f>
      </c>
      <c r="F107" s="23">
        <f>IF($A107="","",INDEX(tblTasks[Blocage],ROW()-4))</f>
      </c>
      <c r="G107" s="23">
        <f>IF($A107="","",INDEX(tblTasks[Niveau_criticite],ROW()-4))</f>
      </c>
      <c r="H107" s="23">
        <f>IF($A107="","",INDEX(tblTasks[Goulot],ROW()-4))</f>
      </c>
      <c r="I107" s="23">
        <f>IF($A107="","",IF(LOWER($F107)="oui","non",IF($E107="","oui",IFERROR(IF(LOWER(INDEX(tblTasks[Statut],MATCH($E107,tblTasks[ID],0)))="clos","oui","non"),"non"))))</f>
      </c>
      <c r="J107" s="25">
        <f>IF($A107="","",INDEX(tblTasks[Date_debut_prevue],ROW()-4))</f>
      </c>
      <c r="K107" s="25">
        <f>IF($A107="","",INDEX(tblTasks[Date_fin_prevue],ROW()-4))</f>
      </c>
      <c r="L107" s="23">
        <f>IF($A107="","",INDEX(tblTasks[Irreversibilite],ROW()-4))</f>
      </c>
      <c r="M107" s="26">
        <f>IF(OR($A107="",M$3=""),"",IF(AND($J107&lt;&gt;"",$K107&lt;&gt;"",$J107=$K107,$J107&gt;=M$3,$J107&lt;=IF(param_mode_affichage="mois",EOMONTH(M$3,0),M$3+6)),"◆",""))</f>
      </c>
      <c r="N107" s="26">
        <f>IF(OR($A107="",N$3=""),"",IF(AND($J107&lt;&gt;"",$K107&lt;&gt;"",$J107=$K107,$J107&gt;=N$3,$J107&lt;=IF(param_mode_affichage="mois",EOMONTH(N$3,0),N$3+6)),"◆",""))</f>
      </c>
      <c r="O107" s="26">
        <f>IF(OR($A107="",O$3=""),"",IF(AND($J107&lt;&gt;"",$K107&lt;&gt;"",$J107=$K107,$J107&gt;=O$3,$J107&lt;=IF(param_mode_affichage="mois",EOMONTH(O$3,0),O$3+6)),"◆",""))</f>
      </c>
      <c r="P107" s="26">
        <f>IF(OR($A107="",P$3=""),"",IF(AND($J107&lt;&gt;"",$K107&lt;&gt;"",$J107=$K107,$J107&gt;=P$3,$J107&lt;=IF(param_mode_affichage="mois",EOMONTH(P$3,0),P$3+6)),"◆",""))</f>
      </c>
      <c r="Q107" s="26">
        <f>IF(OR($A107="",Q$3=""),"",IF(AND($J107&lt;&gt;"",$K107&lt;&gt;"",$J107=$K107,$J107&gt;=Q$3,$J107&lt;=IF(param_mode_affichage="mois",EOMONTH(Q$3,0),Q$3+6)),"◆",""))</f>
      </c>
      <c r="R107" s="26">
        <f>IF(OR($A107="",R$3=""),"",IF(AND($J107&lt;&gt;"",$K107&lt;&gt;"",$J107=$K107,$J107&gt;=R$3,$J107&lt;=IF(param_mode_affichage="mois",EOMONTH(R$3,0),R$3+6)),"◆",""))</f>
      </c>
      <c r="S107" s="26">
        <f>IF(OR($A107="",S$3=""),"",IF(AND($J107&lt;&gt;"",$K107&lt;&gt;"",$J107=$K107,$J107&gt;=S$3,$J107&lt;=IF(param_mode_affichage="mois",EOMONTH(S$3,0),S$3+6)),"◆",""))</f>
      </c>
      <c r="T107" s="26">
        <f>IF(OR($A107="",T$3=""),"",IF(AND($J107&lt;&gt;"",$K107&lt;&gt;"",$J107=$K107,$J107&gt;=T$3,$J107&lt;=IF(param_mode_affichage="mois",EOMONTH(T$3,0),T$3+6)),"◆",""))</f>
      </c>
      <c r="U107" s="26">
        <f>IF(OR($A107="",U$3=""),"",IF(AND($J107&lt;&gt;"",$K107&lt;&gt;"",$J107=$K107,$J107&gt;=U$3,$J107&lt;=IF(param_mode_affichage="mois",EOMONTH(U$3,0),U$3+6)),"◆",""))</f>
      </c>
      <c r="V107" s="26">
        <f>IF(OR($A107="",V$3=""),"",IF(AND($J107&lt;&gt;"",$K107&lt;&gt;"",$J107=$K107,$J107&gt;=V$3,$J107&lt;=IF(param_mode_affichage="mois",EOMONTH(V$3,0),V$3+6)),"◆",""))</f>
      </c>
      <c r="W107" s="26">
        <f>IF(OR($A107="",W$3=""),"",IF(AND($J107&lt;&gt;"",$K107&lt;&gt;"",$J107=$K107,$J107&gt;=W$3,$J107&lt;=IF(param_mode_affichage="mois",EOMONTH(W$3,0),W$3+6)),"◆",""))</f>
      </c>
      <c r="X107" s="26">
        <f>IF(OR($A107="",X$3=""),"",IF(AND($J107&lt;&gt;"",$K107&lt;&gt;"",$J107=$K107,$J107&gt;=X$3,$J107&lt;=IF(param_mode_affichage="mois",EOMONTH(X$3,0),X$3+6)),"◆",""))</f>
      </c>
      <c r="Y107" s="26">
        <f>IF(OR($A107="",Y$3=""),"",IF(AND($J107&lt;&gt;"",$K107&lt;&gt;"",$J107=$K107,$J107&gt;=Y$3,$J107&lt;=IF(param_mode_affichage="mois",EOMONTH(Y$3,0),Y$3+6)),"◆",""))</f>
      </c>
      <c r="Z107" s="26">
        <f>IF(OR($A107="",Z$3=""),"",IF(AND($J107&lt;&gt;"",$K107&lt;&gt;"",$J107=$K107,$J107&gt;=Z$3,$J107&lt;=IF(param_mode_affichage="mois",EOMONTH(Z$3,0),Z$3+6)),"◆",""))</f>
      </c>
      <c r="AA107" s="26">
        <f>IF(OR($A107="",AA$3=""),"",IF(AND($J107&lt;&gt;"",$K107&lt;&gt;"",$J107=$K107,$J107&gt;=AA$3,$J107&lt;=IF(param_mode_affichage="mois",EOMONTH(AA$3,0),AA$3+6)),"◆",""))</f>
      </c>
      <c r="AB107" s="26">
        <f>IF(OR($A107="",AB$3=""),"",IF(AND($J107&lt;&gt;"",$K107&lt;&gt;"",$J107=$K107,$J107&gt;=AB$3,$J107&lt;=IF(param_mode_affichage="mois",EOMONTH(AB$3,0),AB$3+6)),"◆",""))</f>
      </c>
      <c r="AC107" s="26">
        <f>IF(OR($A107="",AC$3=""),"",IF(AND($J107&lt;&gt;"",$K107&lt;&gt;"",$J107=$K107,$J107&gt;=AC$3,$J107&lt;=IF(param_mode_affichage="mois",EOMONTH(AC$3,0),AC$3+6)),"◆",""))</f>
      </c>
      <c r="AD107" s="26">
        <f>IF(OR($A107="",AD$3=""),"",IF(AND($J107&lt;&gt;"",$K107&lt;&gt;"",$J107=$K107,$J107&gt;=AD$3,$J107&lt;=IF(param_mode_affichage="mois",EOMONTH(AD$3,0),AD$3+6)),"◆",""))</f>
      </c>
      <c r="AE107" s="26">
        <f>IF(OR($A107="",AE$3=""),"",IF(AND($J107&lt;&gt;"",$K107&lt;&gt;"",$J107=$K107,$J107&gt;=AE$3,$J107&lt;=IF(param_mode_affichage="mois",EOMONTH(AE$3,0),AE$3+6)),"◆",""))</f>
      </c>
      <c r="AF107" s="26">
        <f>IF(OR($A107="",AF$3=""),"",IF(AND($J107&lt;&gt;"",$K107&lt;&gt;"",$J107=$K107,$J107&gt;=AF$3,$J107&lt;=IF(param_mode_affichage="mois",EOMONTH(AF$3,0),AF$3+6)),"◆",""))</f>
      </c>
      <c r="AG107" s="26">
        <f>IF(OR($A107="",AG$3=""),"",IF(AND($J107&lt;&gt;"",$K107&lt;&gt;"",$J107=$K107,$J107&gt;=AG$3,$J107&lt;=IF(param_mode_affichage="mois",EOMONTH(AG$3,0),AG$3+6)),"◆",""))</f>
      </c>
      <c r="AH107" s="26">
        <f>IF(OR($A107="",AH$3=""),"",IF(AND($J107&lt;&gt;"",$K107&lt;&gt;"",$J107=$K107,$J107&gt;=AH$3,$J107&lt;=IF(param_mode_affichage="mois",EOMONTH(AH$3,0),AH$3+6)),"◆",""))</f>
      </c>
      <c r="AI107" s="26">
        <f>IF(OR($A107="",AI$3=""),"",IF(AND($J107&lt;&gt;"",$K107&lt;&gt;"",$J107=$K107,$J107&gt;=AI$3,$J107&lt;=IF(param_mode_affichage="mois",EOMONTH(AI$3,0),AI$3+6)),"◆",""))</f>
      </c>
      <c r="AJ107" s="26">
        <f>IF(OR($A107="",AJ$3=""),"",IF(AND($J107&lt;&gt;"",$K107&lt;&gt;"",$J107=$K107,$J107&gt;=AJ$3,$J107&lt;=IF(param_mode_affichage="mois",EOMONTH(AJ$3,0),AJ$3+6)),"◆",""))</f>
      </c>
      <c r="AK107" s="26">
        <f>IF(OR($A107="",AK$3=""),"",IF(AND($J107&lt;&gt;"",$K107&lt;&gt;"",$J107=$K107,$J107&gt;=AK$3,$J107&lt;=IF(param_mode_affichage="mois",EOMONTH(AK$3,0),AK$3+6)),"◆",""))</f>
      </c>
      <c r="AL107" s="26">
        <f>IF(OR($A107="",AL$3=""),"",IF(AND($J107&lt;&gt;"",$K107&lt;&gt;"",$J107=$K107,$J107&gt;=AL$3,$J107&lt;=IF(param_mode_affichage="mois",EOMONTH(AL$3,0),AL$3+6)),"◆",""))</f>
      </c>
      <c r="AM107" s="26">
        <f>IF(OR($A107="",AM$3=""),"",IF(AND($J107&lt;&gt;"",$K107&lt;&gt;"",$J107=$K107,$J107&gt;=AM$3,$J107&lt;=IF(param_mode_affichage="mois",EOMONTH(AM$3,0),AM$3+6)),"◆",""))</f>
      </c>
      <c r="AN107" s="26">
        <f>IF(OR($A107="",AN$3=""),"",IF(AND($J107&lt;&gt;"",$K107&lt;&gt;"",$J107=$K107,$J107&gt;=AN$3,$J107&lt;=IF(param_mode_affichage="mois",EOMONTH(AN$3,0),AN$3+6)),"◆",""))</f>
      </c>
      <c r="AO107" s="26">
        <f>IF(OR($A107="",AO$3=""),"",IF(AND($J107&lt;&gt;"",$K107&lt;&gt;"",$J107=$K107,$J107&gt;=AO$3,$J107&lt;=IF(param_mode_affichage="mois",EOMONTH(AO$3,0),AO$3+6)),"◆",""))</f>
      </c>
      <c r="AP107" s="26">
        <f>IF(OR($A107="",AP$3=""),"",IF(AND($J107&lt;&gt;"",$K107&lt;&gt;"",$J107=$K107,$J107&gt;=AP$3,$J107&lt;=IF(param_mode_affichage="mois",EOMONTH(AP$3,0),AP$3+6)),"◆",""))</f>
      </c>
      <c r="AQ107" s="26">
        <f>IF(OR($A107="",AQ$3=""),"",IF(AND($J107&lt;&gt;"",$K107&lt;&gt;"",$J107=$K107,$J107&gt;=AQ$3,$J107&lt;=IF(param_mode_affichage="mois",EOMONTH(AQ$3,0),AQ$3+6)),"◆",""))</f>
      </c>
      <c r="AR107" s="26">
        <f>IF(OR($A107="",AR$3=""),"",IF(AND($J107&lt;&gt;"",$K107&lt;&gt;"",$J107=$K107,$J107&gt;=AR$3,$J107&lt;=IF(param_mode_affichage="mois",EOMONTH(AR$3,0),AR$3+6)),"◆",""))</f>
      </c>
      <c r="AS107" s="26">
        <f>IF(OR($A107="",AS$3=""),"",IF(AND($J107&lt;&gt;"",$K107&lt;&gt;"",$J107=$K107,$J107&gt;=AS$3,$J107&lt;=IF(param_mode_affichage="mois",EOMONTH(AS$3,0),AS$3+6)),"◆",""))</f>
      </c>
      <c r="AT107" s="26">
        <f>IF(OR($A107="",AT$3=""),"",IF(AND($J107&lt;&gt;"",$K107&lt;&gt;"",$J107=$K107,$J107&gt;=AT$3,$J107&lt;=IF(param_mode_affichage="mois",EOMONTH(AT$3,0),AT$3+6)),"◆",""))</f>
      </c>
      <c r="AU107" s="26">
        <f>IF(OR($A107="",AU$3=""),"",IF(AND($J107&lt;&gt;"",$K107&lt;&gt;"",$J107=$K107,$J107&gt;=AU$3,$J107&lt;=IF(param_mode_affichage="mois",EOMONTH(AU$3,0),AU$3+6)),"◆",""))</f>
      </c>
      <c r="AV107" s="26">
        <f>IF(OR($A107="",AV$3=""),"",IF(AND($J107&lt;&gt;"",$K107&lt;&gt;"",$J107=$K107,$J107&gt;=AV$3,$J107&lt;=IF(param_mode_affichage="mois",EOMONTH(AV$3,0),AV$3+6)),"◆",""))</f>
      </c>
      <c r="AW107" s="26">
        <f>IF(OR($A107="",AW$3=""),"",IF(AND($J107&lt;&gt;"",$K107&lt;&gt;"",$J107=$K107,$J107&gt;=AW$3,$J107&lt;=IF(param_mode_affichage="mois",EOMONTH(AW$3,0),AW$3+6)),"◆",""))</f>
      </c>
      <c r="AX107" s="26">
        <f>IF(OR($A107="",AX$3=""),"",IF(AND($J107&lt;&gt;"",$K107&lt;&gt;"",$J107=$K107,$J107&gt;=AX$3,$J107&lt;=IF(param_mode_affichage="mois",EOMONTH(AX$3,0),AX$3+6)),"◆",""))</f>
      </c>
      <c r="AY107" s="26">
        <f>IF(OR($A107="",AY$3=""),"",IF(AND($J107&lt;&gt;"",$K107&lt;&gt;"",$J107=$K107,$J107&gt;=AY$3,$J107&lt;=IF(param_mode_affichage="mois",EOMONTH(AY$3,0),AY$3+6)),"◆",""))</f>
      </c>
      <c r="AZ107" s="26">
        <f>IF(OR($A107="",AZ$3=""),"",IF(AND($J107&lt;&gt;"",$K107&lt;&gt;"",$J107=$K107,$J107&gt;=AZ$3,$J107&lt;=IF(param_mode_affichage="mois",EOMONTH(AZ$3,0),AZ$3+6)),"◆",""))</f>
      </c>
      <c r="BA107" s="26">
        <f>IF(OR($A107="",BA$3=""),"",IF(AND($J107&lt;&gt;"",$K107&lt;&gt;"",$J107=$K107,$J107&gt;=BA$3,$J107&lt;=IF(param_mode_affichage="mois",EOMONTH(BA$3,0),BA$3+6)),"◆",""))</f>
      </c>
      <c r="BB107" s="26">
        <f>IF(OR($A107="",BB$3=""),"",IF(AND($J107&lt;&gt;"",$K107&lt;&gt;"",$J107=$K107,$J107&gt;=BB$3,$J107&lt;=IF(param_mode_affichage="mois",EOMONTH(BB$3,0),BB$3+6)),"◆",""))</f>
      </c>
      <c r="BC107" s="26">
        <f>IF(OR($A107="",BC$3=""),"",IF(AND($J107&lt;&gt;"",$K107&lt;&gt;"",$J107=$K107,$J107&gt;=BC$3,$J107&lt;=IF(param_mode_affichage="mois",EOMONTH(BC$3,0),BC$3+6)),"◆",""))</f>
      </c>
      <c r="BD107" s="26">
        <f>IF(OR($A107="",BD$3=""),"",IF(AND($J107&lt;&gt;"",$K107&lt;&gt;"",$J107=$K107,$J107&gt;=BD$3,$J107&lt;=IF(param_mode_affichage="mois",EOMONTH(BD$3,0),BD$3+6)),"◆",""))</f>
      </c>
      <c r="BE107" s="26">
        <f>IF(OR($A107="",BE$3=""),"",IF(AND($J107&lt;&gt;"",$K107&lt;&gt;"",$J107=$K107,$J107&gt;=BE$3,$J107&lt;=IF(param_mode_affichage="mois",EOMONTH(BE$3,0),BE$3+6)),"◆",""))</f>
      </c>
      <c r="BF107" s="26">
        <f>IF(OR($A107="",BF$3=""),"",IF(AND($J107&lt;&gt;"",$K107&lt;&gt;"",$J107=$K107,$J107&gt;=BF$3,$J107&lt;=IF(param_mode_affichage="mois",EOMONTH(BF$3,0),BF$3+6)),"◆",""))</f>
      </c>
      <c r="BG107" s="26">
        <f>IF(OR($A107="",BG$3=""),"",IF(AND($J107&lt;&gt;"",$K107&lt;&gt;"",$J107=$K107,$J107&gt;=BG$3,$J107&lt;=IF(param_mode_affichage="mois",EOMONTH(BG$3,0),BG$3+6)),"◆",""))</f>
      </c>
      <c r="BH107" s="26">
        <f>IF(OR($A107="",BH$3=""),"",IF(AND($J107&lt;&gt;"",$K107&lt;&gt;"",$J107=$K107,$J107&gt;=BH$3,$J107&lt;=IF(param_mode_affichage="mois",EOMONTH(BH$3,0),BH$3+6)),"◆",""))</f>
      </c>
      <c r="BI107" s="26">
        <f>IF(OR($A107="",BI$3=""),"",IF(AND($J107&lt;&gt;"",$K107&lt;&gt;"",$J107=$K107,$J107&gt;=BI$3,$J107&lt;=IF(param_mode_affichage="mois",EOMONTH(BI$3,0),BI$3+6)),"◆",""))</f>
      </c>
      <c r="BJ107" s="26">
        <f>IF(OR($A107="",BJ$3=""),"",IF(AND($J107&lt;&gt;"",$K107&lt;&gt;"",$J107=$K107,$J107&gt;=BJ$3,$J107&lt;=IF(param_mode_affichage="mois",EOMONTH(BJ$3,0),BJ$3+6)),"◆",""))</f>
      </c>
      <c r="BK107" s="26">
        <f>IF(OR($A107="",BK$3=""),"",IF(AND($J107&lt;&gt;"",$K107&lt;&gt;"",$J107=$K107,$J107&gt;=BK$3,$J107&lt;=IF(param_mode_affichage="mois",EOMONTH(BK$3,0),BK$3+6)),"◆",""))</f>
      </c>
      <c r="BL107" s="26">
        <f>IF(OR($A107="",BL$3=""),"",IF(AND($J107&lt;&gt;"",$K107&lt;&gt;"",$J107=$K107,$J107&gt;=BL$3,$J107&lt;=IF(param_mode_affichage="mois",EOMONTH(BL$3,0),BL$3+6)),"◆",""))</f>
      </c>
    </row>
    <row r="108" spans="1:64" x14ac:dyDescent="0.25">
      <c r="A108" s="23">
        <f>IFERROR(INDEX(tblTasks[ID],ROW()-4),"")</f>
      </c>
      <c r="B108" s="24">
        <f>IF($A108="","",INDEX(tblTasks[Sujet],ROW()-4))</f>
      </c>
      <c r="C108" s="23">
        <f>IF($A108="","",INDEX(tblTasks[Responsable],ROW()-4))</f>
      </c>
      <c r="D108" s="23">
        <f>IF($A108="","",INDEX(tblTasks[Statut],ROW()-4))</f>
      </c>
      <c r="E108" s="23">
        <f>IF($A108="","",INDEX(tblTasks[Depend_de],ROW()-4))</f>
      </c>
      <c r="F108" s="23">
        <f>IF($A108="","",INDEX(tblTasks[Blocage],ROW()-4))</f>
      </c>
      <c r="G108" s="23">
        <f>IF($A108="","",INDEX(tblTasks[Niveau_criticite],ROW()-4))</f>
      </c>
      <c r="H108" s="23">
        <f>IF($A108="","",INDEX(tblTasks[Goulot],ROW()-4))</f>
      </c>
      <c r="I108" s="23">
        <f>IF($A108="","",IF(LOWER($F108)="oui","non",IF($E108="","oui",IFERROR(IF(LOWER(INDEX(tblTasks[Statut],MATCH($E108,tblTasks[ID],0)))="clos","oui","non"),"non"))))</f>
      </c>
      <c r="J108" s="25">
        <f>IF($A108="","",INDEX(tblTasks[Date_debut_prevue],ROW()-4))</f>
      </c>
      <c r="K108" s="25">
        <f>IF($A108="","",INDEX(tblTasks[Date_fin_prevue],ROW()-4))</f>
      </c>
      <c r="L108" s="23">
        <f>IF($A108="","",INDEX(tblTasks[Irreversibilite],ROW()-4))</f>
      </c>
      <c r="M108" s="26">
        <f>IF(OR($A108="",M$3=""),"",IF(AND($J108&lt;&gt;"",$K108&lt;&gt;"",$J108=$K108,$J108&gt;=M$3,$J108&lt;=IF(param_mode_affichage="mois",EOMONTH(M$3,0),M$3+6)),"◆",""))</f>
      </c>
      <c r="N108" s="26">
        <f>IF(OR($A108="",N$3=""),"",IF(AND($J108&lt;&gt;"",$K108&lt;&gt;"",$J108=$K108,$J108&gt;=N$3,$J108&lt;=IF(param_mode_affichage="mois",EOMONTH(N$3,0),N$3+6)),"◆",""))</f>
      </c>
      <c r="O108" s="26">
        <f>IF(OR($A108="",O$3=""),"",IF(AND($J108&lt;&gt;"",$K108&lt;&gt;"",$J108=$K108,$J108&gt;=O$3,$J108&lt;=IF(param_mode_affichage="mois",EOMONTH(O$3,0),O$3+6)),"◆",""))</f>
      </c>
      <c r="P108" s="26">
        <f>IF(OR($A108="",P$3=""),"",IF(AND($J108&lt;&gt;"",$K108&lt;&gt;"",$J108=$K108,$J108&gt;=P$3,$J108&lt;=IF(param_mode_affichage="mois",EOMONTH(P$3,0),P$3+6)),"◆",""))</f>
      </c>
      <c r="Q108" s="26">
        <f>IF(OR($A108="",Q$3=""),"",IF(AND($J108&lt;&gt;"",$K108&lt;&gt;"",$J108=$K108,$J108&gt;=Q$3,$J108&lt;=IF(param_mode_affichage="mois",EOMONTH(Q$3,0),Q$3+6)),"◆",""))</f>
      </c>
      <c r="R108" s="26">
        <f>IF(OR($A108="",R$3=""),"",IF(AND($J108&lt;&gt;"",$K108&lt;&gt;"",$J108=$K108,$J108&gt;=R$3,$J108&lt;=IF(param_mode_affichage="mois",EOMONTH(R$3,0),R$3+6)),"◆",""))</f>
      </c>
      <c r="S108" s="26">
        <f>IF(OR($A108="",S$3=""),"",IF(AND($J108&lt;&gt;"",$K108&lt;&gt;"",$J108=$K108,$J108&gt;=S$3,$J108&lt;=IF(param_mode_affichage="mois",EOMONTH(S$3,0),S$3+6)),"◆",""))</f>
      </c>
      <c r="T108" s="26">
        <f>IF(OR($A108="",T$3=""),"",IF(AND($J108&lt;&gt;"",$K108&lt;&gt;"",$J108=$K108,$J108&gt;=T$3,$J108&lt;=IF(param_mode_affichage="mois",EOMONTH(T$3,0),T$3+6)),"◆",""))</f>
      </c>
      <c r="U108" s="26">
        <f>IF(OR($A108="",U$3=""),"",IF(AND($J108&lt;&gt;"",$K108&lt;&gt;"",$J108=$K108,$J108&gt;=U$3,$J108&lt;=IF(param_mode_affichage="mois",EOMONTH(U$3,0),U$3+6)),"◆",""))</f>
      </c>
      <c r="V108" s="26">
        <f>IF(OR($A108="",V$3=""),"",IF(AND($J108&lt;&gt;"",$K108&lt;&gt;"",$J108=$K108,$J108&gt;=V$3,$J108&lt;=IF(param_mode_affichage="mois",EOMONTH(V$3,0),V$3+6)),"◆",""))</f>
      </c>
      <c r="W108" s="26">
        <f>IF(OR($A108="",W$3=""),"",IF(AND($J108&lt;&gt;"",$K108&lt;&gt;"",$J108=$K108,$J108&gt;=W$3,$J108&lt;=IF(param_mode_affichage="mois",EOMONTH(W$3,0),W$3+6)),"◆",""))</f>
      </c>
      <c r="X108" s="26">
        <f>IF(OR($A108="",X$3=""),"",IF(AND($J108&lt;&gt;"",$K108&lt;&gt;"",$J108=$K108,$J108&gt;=X$3,$J108&lt;=IF(param_mode_affichage="mois",EOMONTH(X$3,0),X$3+6)),"◆",""))</f>
      </c>
      <c r="Y108" s="26">
        <f>IF(OR($A108="",Y$3=""),"",IF(AND($J108&lt;&gt;"",$K108&lt;&gt;"",$J108=$K108,$J108&gt;=Y$3,$J108&lt;=IF(param_mode_affichage="mois",EOMONTH(Y$3,0),Y$3+6)),"◆",""))</f>
      </c>
      <c r="Z108" s="26">
        <f>IF(OR($A108="",Z$3=""),"",IF(AND($J108&lt;&gt;"",$K108&lt;&gt;"",$J108=$K108,$J108&gt;=Z$3,$J108&lt;=IF(param_mode_affichage="mois",EOMONTH(Z$3,0),Z$3+6)),"◆",""))</f>
      </c>
      <c r="AA108" s="26">
        <f>IF(OR($A108="",AA$3=""),"",IF(AND($J108&lt;&gt;"",$K108&lt;&gt;"",$J108=$K108,$J108&gt;=AA$3,$J108&lt;=IF(param_mode_affichage="mois",EOMONTH(AA$3,0),AA$3+6)),"◆",""))</f>
      </c>
      <c r="AB108" s="26">
        <f>IF(OR($A108="",AB$3=""),"",IF(AND($J108&lt;&gt;"",$K108&lt;&gt;"",$J108=$K108,$J108&gt;=AB$3,$J108&lt;=IF(param_mode_affichage="mois",EOMONTH(AB$3,0),AB$3+6)),"◆",""))</f>
      </c>
      <c r="AC108" s="26">
        <f>IF(OR($A108="",AC$3=""),"",IF(AND($J108&lt;&gt;"",$K108&lt;&gt;"",$J108=$K108,$J108&gt;=AC$3,$J108&lt;=IF(param_mode_affichage="mois",EOMONTH(AC$3,0),AC$3+6)),"◆",""))</f>
      </c>
      <c r="AD108" s="26">
        <f>IF(OR($A108="",AD$3=""),"",IF(AND($J108&lt;&gt;"",$K108&lt;&gt;"",$J108=$K108,$J108&gt;=AD$3,$J108&lt;=IF(param_mode_affichage="mois",EOMONTH(AD$3,0),AD$3+6)),"◆",""))</f>
      </c>
      <c r="AE108" s="26">
        <f>IF(OR($A108="",AE$3=""),"",IF(AND($J108&lt;&gt;"",$K108&lt;&gt;"",$J108=$K108,$J108&gt;=AE$3,$J108&lt;=IF(param_mode_affichage="mois",EOMONTH(AE$3,0),AE$3+6)),"◆",""))</f>
      </c>
      <c r="AF108" s="26">
        <f>IF(OR($A108="",AF$3=""),"",IF(AND($J108&lt;&gt;"",$K108&lt;&gt;"",$J108=$K108,$J108&gt;=AF$3,$J108&lt;=IF(param_mode_affichage="mois",EOMONTH(AF$3,0),AF$3+6)),"◆",""))</f>
      </c>
      <c r="AG108" s="26">
        <f>IF(OR($A108="",AG$3=""),"",IF(AND($J108&lt;&gt;"",$K108&lt;&gt;"",$J108=$K108,$J108&gt;=AG$3,$J108&lt;=IF(param_mode_affichage="mois",EOMONTH(AG$3,0),AG$3+6)),"◆",""))</f>
      </c>
      <c r="AH108" s="26">
        <f>IF(OR($A108="",AH$3=""),"",IF(AND($J108&lt;&gt;"",$K108&lt;&gt;"",$J108=$K108,$J108&gt;=AH$3,$J108&lt;=IF(param_mode_affichage="mois",EOMONTH(AH$3,0),AH$3+6)),"◆",""))</f>
      </c>
      <c r="AI108" s="26">
        <f>IF(OR($A108="",AI$3=""),"",IF(AND($J108&lt;&gt;"",$K108&lt;&gt;"",$J108=$K108,$J108&gt;=AI$3,$J108&lt;=IF(param_mode_affichage="mois",EOMONTH(AI$3,0),AI$3+6)),"◆",""))</f>
      </c>
      <c r="AJ108" s="26">
        <f>IF(OR($A108="",AJ$3=""),"",IF(AND($J108&lt;&gt;"",$K108&lt;&gt;"",$J108=$K108,$J108&gt;=AJ$3,$J108&lt;=IF(param_mode_affichage="mois",EOMONTH(AJ$3,0),AJ$3+6)),"◆",""))</f>
      </c>
      <c r="AK108" s="26">
        <f>IF(OR($A108="",AK$3=""),"",IF(AND($J108&lt;&gt;"",$K108&lt;&gt;"",$J108=$K108,$J108&gt;=AK$3,$J108&lt;=IF(param_mode_affichage="mois",EOMONTH(AK$3,0),AK$3+6)),"◆",""))</f>
      </c>
      <c r="AL108" s="26">
        <f>IF(OR($A108="",AL$3=""),"",IF(AND($J108&lt;&gt;"",$K108&lt;&gt;"",$J108=$K108,$J108&gt;=AL$3,$J108&lt;=IF(param_mode_affichage="mois",EOMONTH(AL$3,0),AL$3+6)),"◆",""))</f>
      </c>
      <c r="AM108" s="26">
        <f>IF(OR($A108="",AM$3=""),"",IF(AND($J108&lt;&gt;"",$K108&lt;&gt;"",$J108=$K108,$J108&gt;=AM$3,$J108&lt;=IF(param_mode_affichage="mois",EOMONTH(AM$3,0),AM$3+6)),"◆",""))</f>
      </c>
      <c r="AN108" s="26">
        <f>IF(OR($A108="",AN$3=""),"",IF(AND($J108&lt;&gt;"",$K108&lt;&gt;"",$J108=$K108,$J108&gt;=AN$3,$J108&lt;=IF(param_mode_affichage="mois",EOMONTH(AN$3,0),AN$3+6)),"◆",""))</f>
      </c>
      <c r="AO108" s="26">
        <f>IF(OR($A108="",AO$3=""),"",IF(AND($J108&lt;&gt;"",$K108&lt;&gt;"",$J108=$K108,$J108&gt;=AO$3,$J108&lt;=IF(param_mode_affichage="mois",EOMONTH(AO$3,0),AO$3+6)),"◆",""))</f>
      </c>
      <c r="AP108" s="26">
        <f>IF(OR($A108="",AP$3=""),"",IF(AND($J108&lt;&gt;"",$K108&lt;&gt;"",$J108=$K108,$J108&gt;=AP$3,$J108&lt;=IF(param_mode_affichage="mois",EOMONTH(AP$3,0),AP$3+6)),"◆",""))</f>
      </c>
      <c r="AQ108" s="26">
        <f>IF(OR($A108="",AQ$3=""),"",IF(AND($J108&lt;&gt;"",$K108&lt;&gt;"",$J108=$K108,$J108&gt;=AQ$3,$J108&lt;=IF(param_mode_affichage="mois",EOMONTH(AQ$3,0),AQ$3+6)),"◆",""))</f>
      </c>
      <c r="AR108" s="26">
        <f>IF(OR($A108="",AR$3=""),"",IF(AND($J108&lt;&gt;"",$K108&lt;&gt;"",$J108=$K108,$J108&gt;=AR$3,$J108&lt;=IF(param_mode_affichage="mois",EOMONTH(AR$3,0),AR$3+6)),"◆",""))</f>
      </c>
      <c r="AS108" s="26">
        <f>IF(OR($A108="",AS$3=""),"",IF(AND($J108&lt;&gt;"",$K108&lt;&gt;"",$J108=$K108,$J108&gt;=AS$3,$J108&lt;=IF(param_mode_affichage="mois",EOMONTH(AS$3,0),AS$3+6)),"◆",""))</f>
      </c>
      <c r="AT108" s="26">
        <f>IF(OR($A108="",AT$3=""),"",IF(AND($J108&lt;&gt;"",$K108&lt;&gt;"",$J108=$K108,$J108&gt;=AT$3,$J108&lt;=IF(param_mode_affichage="mois",EOMONTH(AT$3,0),AT$3+6)),"◆",""))</f>
      </c>
      <c r="AU108" s="26">
        <f>IF(OR($A108="",AU$3=""),"",IF(AND($J108&lt;&gt;"",$K108&lt;&gt;"",$J108=$K108,$J108&gt;=AU$3,$J108&lt;=IF(param_mode_affichage="mois",EOMONTH(AU$3,0),AU$3+6)),"◆",""))</f>
      </c>
      <c r="AV108" s="26">
        <f>IF(OR($A108="",AV$3=""),"",IF(AND($J108&lt;&gt;"",$K108&lt;&gt;"",$J108=$K108,$J108&gt;=AV$3,$J108&lt;=IF(param_mode_affichage="mois",EOMONTH(AV$3,0),AV$3+6)),"◆",""))</f>
      </c>
      <c r="AW108" s="26">
        <f>IF(OR($A108="",AW$3=""),"",IF(AND($J108&lt;&gt;"",$K108&lt;&gt;"",$J108=$K108,$J108&gt;=AW$3,$J108&lt;=IF(param_mode_affichage="mois",EOMONTH(AW$3,0),AW$3+6)),"◆",""))</f>
      </c>
      <c r="AX108" s="26">
        <f>IF(OR($A108="",AX$3=""),"",IF(AND($J108&lt;&gt;"",$K108&lt;&gt;"",$J108=$K108,$J108&gt;=AX$3,$J108&lt;=IF(param_mode_affichage="mois",EOMONTH(AX$3,0),AX$3+6)),"◆",""))</f>
      </c>
      <c r="AY108" s="26">
        <f>IF(OR($A108="",AY$3=""),"",IF(AND($J108&lt;&gt;"",$K108&lt;&gt;"",$J108=$K108,$J108&gt;=AY$3,$J108&lt;=IF(param_mode_affichage="mois",EOMONTH(AY$3,0),AY$3+6)),"◆",""))</f>
      </c>
      <c r="AZ108" s="26">
        <f>IF(OR($A108="",AZ$3=""),"",IF(AND($J108&lt;&gt;"",$K108&lt;&gt;"",$J108=$K108,$J108&gt;=AZ$3,$J108&lt;=IF(param_mode_affichage="mois",EOMONTH(AZ$3,0),AZ$3+6)),"◆",""))</f>
      </c>
      <c r="BA108" s="26">
        <f>IF(OR($A108="",BA$3=""),"",IF(AND($J108&lt;&gt;"",$K108&lt;&gt;"",$J108=$K108,$J108&gt;=BA$3,$J108&lt;=IF(param_mode_affichage="mois",EOMONTH(BA$3,0),BA$3+6)),"◆",""))</f>
      </c>
      <c r="BB108" s="26">
        <f>IF(OR($A108="",BB$3=""),"",IF(AND($J108&lt;&gt;"",$K108&lt;&gt;"",$J108=$K108,$J108&gt;=BB$3,$J108&lt;=IF(param_mode_affichage="mois",EOMONTH(BB$3,0),BB$3+6)),"◆",""))</f>
      </c>
      <c r="BC108" s="26">
        <f>IF(OR($A108="",BC$3=""),"",IF(AND($J108&lt;&gt;"",$K108&lt;&gt;"",$J108=$K108,$J108&gt;=BC$3,$J108&lt;=IF(param_mode_affichage="mois",EOMONTH(BC$3,0),BC$3+6)),"◆",""))</f>
      </c>
      <c r="BD108" s="26">
        <f>IF(OR($A108="",BD$3=""),"",IF(AND($J108&lt;&gt;"",$K108&lt;&gt;"",$J108=$K108,$J108&gt;=BD$3,$J108&lt;=IF(param_mode_affichage="mois",EOMONTH(BD$3,0),BD$3+6)),"◆",""))</f>
      </c>
      <c r="BE108" s="26">
        <f>IF(OR($A108="",BE$3=""),"",IF(AND($J108&lt;&gt;"",$K108&lt;&gt;"",$J108=$K108,$J108&gt;=BE$3,$J108&lt;=IF(param_mode_affichage="mois",EOMONTH(BE$3,0),BE$3+6)),"◆",""))</f>
      </c>
      <c r="BF108" s="26">
        <f>IF(OR($A108="",BF$3=""),"",IF(AND($J108&lt;&gt;"",$K108&lt;&gt;"",$J108=$K108,$J108&gt;=BF$3,$J108&lt;=IF(param_mode_affichage="mois",EOMONTH(BF$3,0),BF$3+6)),"◆",""))</f>
      </c>
      <c r="BG108" s="26">
        <f>IF(OR($A108="",BG$3=""),"",IF(AND($J108&lt;&gt;"",$K108&lt;&gt;"",$J108=$K108,$J108&gt;=BG$3,$J108&lt;=IF(param_mode_affichage="mois",EOMONTH(BG$3,0),BG$3+6)),"◆",""))</f>
      </c>
      <c r="BH108" s="26">
        <f>IF(OR($A108="",BH$3=""),"",IF(AND($J108&lt;&gt;"",$K108&lt;&gt;"",$J108=$K108,$J108&gt;=BH$3,$J108&lt;=IF(param_mode_affichage="mois",EOMONTH(BH$3,0),BH$3+6)),"◆",""))</f>
      </c>
      <c r="BI108" s="26">
        <f>IF(OR($A108="",BI$3=""),"",IF(AND($J108&lt;&gt;"",$K108&lt;&gt;"",$J108=$K108,$J108&gt;=BI$3,$J108&lt;=IF(param_mode_affichage="mois",EOMONTH(BI$3,0),BI$3+6)),"◆",""))</f>
      </c>
      <c r="BJ108" s="26">
        <f>IF(OR($A108="",BJ$3=""),"",IF(AND($J108&lt;&gt;"",$K108&lt;&gt;"",$J108=$K108,$J108&gt;=BJ$3,$J108&lt;=IF(param_mode_affichage="mois",EOMONTH(BJ$3,0),BJ$3+6)),"◆",""))</f>
      </c>
      <c r="BK108" s="26">
        <f>IF(OR($A108="",BK$3=""),"",IF(AND($J108&lt;&gt;"",$K108&lt;&gt;"",$J108=$K108,$J108&gt;=BK$3,$J108&lt;=IF(param_mode_affichage="mois",EOMONTH(BK$3,0),BK$3+6)),"◆",""))</f>
      </c>
      <c r="BL108" s="26">
        <f>IF(OR($A108="",BL$3=""),"",IF(AND($J108&lt;&gt;"",$K108&lt;&gt;"",$J108=$K108,$J108&gt;=BL$3,$J108&lt;=IF(param_mode_affichage="mois",EOMONTH(BL$3,0),BL$3+6)),"◆",""))</f>
      </c>
    </row>
    <row r="109" spans="1:64" x14ac:dyDescent="0.25">
      <c r="A109" s="23">
        <f>IFERROR(INDEX(tblTasks[ID],ROW()-4),"")</f>
      </c>
      <c r="B109" s="24">
        <f>IF($A109="","",INDEX(tblTasks[Sujet],ROW()-4))</f>
      </c>
      <c r="C109" s="23">
        <f>IF($A109="","",INDEX(tblTasks[Responsable],ROW()-4))</f>
      </c>
      <c r="D109" s="23">
        <f>IF($A109="","",INDEX(tblTasks[Statut],ROW()-4))</f>
      </c>
      <c r="E109" s="23">
        <f>IF($A109="","",INDEX(tblTasks[Depend_de],ROW()-4))</f>
      </c>
      <c r="F109" s="23">
        <f>IF($A109="","",INDEX(tblTasks[Blocage],ROW()-4))</f>
      </c>
      <c r="G109" s="23">
        <f>IF($A109="","",INDEX(tblTasks[Niveau_criticite],ROW()-4))</f>
      </c>
      <c r="H109" s="23">
        <f>IF($A109="","",INDEX(tblTasks[Goulot],ROW()-4))</f>
      </c>
      <c r="I109" s="23">
        <f>IF($A109="","",IF(LOWER($F109)="oui","non",IF($E109="","oui",IFERROR(IF(LOWER(INDEX(tblTasks[Statut],MATCH($E109,tblTasks[ID],0)))="clos","oui","non"),"non"))))</f>
      </c>
      <c r="J109" s="25">
        <f>IF($A109="","",INDEX(tblTasks[Date_debut_prevue],ROW()-4))</f>
      </c>
      <c r="K109" s="25">
        <f>IF($A109="","",INDEX(tblTasks[Date_fin_prevue],ROW()-4))</f>
      </c>
      <c r="L109" s="23">
        <f>IF($A109="","",INDEX(tblTasks[Irreversibilite],ROW()-4))</f>
      </c>
      <c r="M109" s="26">
        <f>IF(OR($A109="",M$3=""),"",IF(AND($J109&lt;&gt;"",$K109&lt;&gt;"",$J109=$K109,$J109&gt;=M$3,$J109&lt;=IF(param_mode_affichage="mois",EOMONTH(M$3,0),M$3+6)),"◆",""))</f>
      </c>
      <c r="N109" s="26">
        <f>IF(OR($A109="",N$3=""),"",IF(AND($J109&lt;&gt;"",$K109&lt;&gt;"",$J109=$K109,$J109&gt;=N$3,$J109&lt;=IF(param_mode_affichage="mois",EOMONTH(N$3,0),N$3+6)),"◆",""))</f>
      </c>
      <c r="O109" s="26">
        <f>IF(OR($A109="",O$3=""),"",IF(AND($J109&lt;&gt;"",$K109&lt;&gt;"",$J109=$K109,$J109&gt;=O$3,$J109&lt;=IF(param_mode_affichage="mois",EOMONTH(O$3,0),O$3+6)),"◆",""))</f>
      </c>
      <c r="P109" s="26">
        <f>IF(OR($A109="",P$3=""),"",IF(AND($J109&lt;&gt;"",$K109&lt;&gt;"",$J109=$K109,$J109&gt;=P$3,$J109&lt;=IF(param_mode_affichage="mois",EOMONTH(P$3,0),P$3+6)),"◆",""))</f>
      </c>
      <c r="Q109" s="26">
        <f>IF(OR($A109="",Q$3=""),"",IF(AND($J109&lt;&gt;"",$K109&lt;&gt;"",$J109=$K109,$J109&gt;=Q$3,$J109&lt;=IF(param_mode_affichage="mois",EOMONTH(Q$3,0),Q$3+6)),"◆",""))</f>
      </c>
      <c r="R109" s="26">
        <f>IF(OR($A109="",R$3=""),"",IF(AND($J109&lt;&gt;"",$K109&lt;&gt;"",$J109=$K109,$J109&gt;=R$3,$J109&lt;=IF(param_mode_affichage="mois",EOMONTH(R$3,0),R$3+6)),"◆",""))</f>
      </c>
      <c r="S109" s="26">
        <f>IF(OR($A109="",S$3=""),"",IF(AND($J109&lt;&gt;"",$K109&lt;&gt;"",$J109=$K109,$J109&gt;=S$3,$J109&lt;=IF(param_mode_affichage="mois",EOMONTH(S$3,0),S$3+6)),"◆",""))</f>
      </c>
      <c r="T109" s="26">
        <f>IF(OR($A109="",T$3=""),"",IF(AND($J109&lt;&gt;"",$K109&lt;&gt;"",$J109=$K109,$J109&gt;=T$3,$J109&lt;=IF(param_mode_affichage="mois",EOMONTH(T$3,0),T$3+6)),"◆",""))</f>
      </c>
      <c r="U109" s="26">
        <f>IF(OR($A109="",U$3=""),"",IF(AND($J109&lt;&gt;"",$K109&lt;&gt;"",$J109=$K109,$J109&gt;=U$3,$J109&lt;=IF(param_mode_affichage="mois",EOMONTH(U$3,0),U$3+6)),"◆",""))</f>
      </c>
      <c r="V109" s="26">
        <f>IF(OR($A109="",V$3=""),"",IF(AND($J109&lt;&gt;"",$K109&lt;&gt;"",$J109=$K109,$J109&gt;=V$3,$J109&lt;=IF(param_mode_affichage="mois",EOMONTH(V$3,0),V$3+6)),"◆",""))</f>
      </c>
      <c r="W109" s="26">
        <f>IF(OR($A109="",W$3=""),"",IF(AND($J109&lt;&gt;"",$K109&lt;&gt;"",$J109=$K109,$J109&gt;=W$3,$J109&lt;=IF(param_mode_affichage="mois",EOMONTH(W$3,0),W$3+6)),"◆",""))</f>
      </c>
      <c r="X109" s="26">
        <f>IF(OR($A109="",X$3=""),"",IF(AND($J109&lt;&gt;"",$K109&lt;&gt;"",$J109=$K109,$J109&gt;=X$3,$J109&lt;=IF(param_mode_affichage="mois",EOMONTH(X$3,0),X$3+6)),"◆",""))</f>
      </c>
      <c r="Y109" s="26">
        <f>IF(OR($A109="",Y$3=""),"",IF(AND($J109&lt;&gt;"",$K109&lt;&gt;"",$J109=$K109,$J109&gt;=Y$3,$J109&lt;=IF(param_mode_affichage="mois",EOMONTH(Y$3,0),Y$3+6)),"◆",""))</f>
      </c>
      <c r="Z109" s="26">
        <f>IF(OR($A109="",Z$3=""),"",IF(AND($J109&lt;&gt;"",$K109&lt;&gt;"",$J109=$K109,$J109&gt;=Z$3,$J109&lt;=IF(param_mode_affichage="mois",EOMONTH(Z$3,0),Z$3+6)),"◆",""))</f>
      </c>
      <c r="AA109" s="26">
        <f>IF(OR($A109="",AA$3=""),"",IF(AND($J109&lt;&gt;"",$K109&lt;&gt;"",$J109=$K109,$J109&gt;=AA$3,$J109&lt;=IF(param_mode_affichage="mois",EOMONTH(AA$3,0),AA$3+6)),"◆",""))</f>
      </c>
      <c r="AB109" s="26">
        <f>IF(OR($A109="",AB$3=""),"",IF(AND($J109&lt;&gt;"",$K109&lt;&gt;"",$J109=$K109,$J109&gt;=AB$3,$J109&lt;=IF(param_mode_affichage="mois",EOMONTH(AB$3,0),AB$3+6)),"◆",""))</f>
      </c>
      <c r="AC109" s="26">
        <f>IF(OR($A109="",AC$3=""),"",IF(AND($J109&lt;&gt;"",$K109&lt;&gt;"",$J109=$K109,$J109&gt;=AC$3,$J109&lt;=IF(param_mode_affichage="mois",EOMONTH(AC$3,0),AC$3+6)),"◆",""))</f>
      </c>
      <c r="AD109" s="26">
        <f>IF(OR($A109="",AD$3=""),"",IF(AND($J109&lt;&gt;"",$K109&lt;&gt;"",$J109=$K109,$J109&gt;=AD$3,$J109&lt;=IF(param_mode_affichage="mois",EOMONTH(AD$3,0),AD$3+6)),"◆",""))</f>
      </c>
      <c r="AE109" s="26">
        <f>IF(OR($A109="",AE$3=""),"",IF(AND($J109&lt;&gt;"",$K109&lt;&gt;"",$J109=$K109,$J109&gt;=AE$3,$J109&lt;=IF(param_mode_affichage="mois",EOMONTH(AE$3,0),AE$3+6)),"◆",""))</f>
      </c>
      <c r="AF109" s="26">
        <f>IF(OR($A109="",AF$3=""),"",IF(AND($J109&lt;&gt;"",$K109&lt;&gt;"",$J109=$K109,$J109&gt;=AF$3,$J109&lt;=IF(param_mode_affichage="mois",EOMONTH(AF$3,0),AF$3+6)),"◆",""))</f>
      </c>
      <c r="AG109" s="26">
        <f>IF(OR($A109="",AG$3=""),"",IF(AND($J109&lt;&gt;"",$K109&lt;&gt;"",$J109=$K109,$J109&gt;=AG$3,$J109&lt;=IF(param_mode_affichage="mois",EOMONTH(AG$3,0),AG$3+6)),"◆",""))</f>
      </c>
      <c r="AH109" s="26">
        <f>IF(OR($A109="",AH$3=""),"",IF(AND($J109&lt;&gt;"",$K109&lt;&gt;"",$J109=$K109,$J109&gt;=AH$3,$J109&lt;=IF(param_mode_affichage="mois",EOMONTH(AH$3,0),AH$3+6)),"◆",""))</f>
      </c>
      <c r="AI109" s="26">
        <f>IF(OR($A109="",AI$3=""),"",IF(AND($J109&lt;&gt;"",$K109&lt;&gt;"",$J109=$K109,$J109&gt;=AI$3,$J109&lt;=IF(param_mode_affichage="mois",EOMONTH(AI$3,0),AI$3+6)),"◆",""))</f>
      </c>
      <c r="AJ109" s="26">
        <f>IF(OR($A109="",AJ$3=""),"",IF(AND($J109&lt;&gt;"",$K109&lt;&gt;"",$J109=$K109,$J109&gt;=AJ$3,$J109&lt;=IF(param_mode_affichage="mois",EOMONTH(AJ$3,0),AJ$3+6)),"◆",""))</f>
      </c>
      <c r="AK109" s="26">
        <f>IF(OR($A109="",AK$3=""),"",IF(AND($J109&lt;&gt;"",$K109&lt;&gt;"",$J109=$K109,$J109&gt;=AK$3,$J109&lt;=IF(param_mode_affichage="mois",EOMONTH(AK$3,0),AK$3+6)),"◆",""))</f>
      </c>
      <c r="AL109" s="26">
        <f>IF(OR($A109="",AL$3=""),"",IF(AND($J109&lt;&gt;"",$K109&lt;&gt;"",$J109=$K109,$J109&gt;=AL$3,$J109&lt;=IF(param_mode_affichage="mois",EOMONTH(AL$3,0),AL$3+6)),"◆",""))</f>
      </c>
      <c r="AM109" s="26">
        <f>IF(OR($A109="",AM$3=""),"",IF(AND($J109&lt;&gt;"",$K109&lt;&gt;"",$J109=$K109,$J109&gt;=AM$3,$J109&lt;=IF(param_mode_affichage="mois",EOMONTH(AM$3,0),AM$3+6)),"◆",""))</f>
      </c>
      <c r="AN109" s="26">
        <f>IF(OR($A109="",AN$3=""),"",IF(AND($J109&lt;&gt;"",$K109&lt;&gt;"",$J109=$K109,$J109&gt;=AN$3,$J109&lt;=IF(param_mode_affichage="mois",EOMONTH(AN$3,0),AN$3+6)),"◆",""))</f>
      </c>
      <c r="AO109" s="26">
        <f>IF(OR($A109="",AO$3=""),"",IF(AND($J109&lt;&gt;"",$K109&lt;&gt;"",$J109=$K109,$J109&gt;=AO$3,$J109&lt;=IF(param_mode_affichage="mois",EOMONTH(AO$3,0),AO$3+6)),"◆",""))</f>
      </c>
      <c r="AP109" s="26">
        <f>IF(OR($A109="",AP$3=""),"",IF(AND($J109&lt;&gt;"",$K109&lt;&gt;"",$J109=$K109,$J109&gt;=AP$3,$J109&lt;=IF(param_mode_affichage="mois",EOMONTH(AP$3,0),AP$3+6)),"◆",""))</f>
      </c>
      <c r="AQ109" s="26">
        <f>IF(OR($A109="",AQ$3=""),"",IF(AND($J109&lt;&gt;"",$K109&lt;&gt;"",$J109=$K109,$J109&gt;=AQ$3,$J109&lt;=IF(param_mode_affichage="mois",EOMONTH(AQ$3,0),AQ$3+6)),"◆",""))</f>
      </c>
      <c r="AR109" s="26">
        <f>IF(OR($A109="",AR$3=""),"",IF(AND($J109&lt;&gt;"",$K109&lt;&gt;"",$J109=$K109,$J109&gt;=AR$3,$J109&lt;=IF(param_mode_affichage="mois",EOMONTH(AR$3,0),AR$3+6)),"◆",""))</f>
      </c>
      <c r="AS109" s="26">
        <f>IF(OR($A109="",AS$3=""),"",IF(AND($J109&lt;&gt;"",$K109&lt;&gt;"",$J109=$K109,$J109&gt;=AS$3,$J109&lt;=IF(param_mode_affichage="mois",EOMONTH(AS$3,0),AS$3+6)),"◆",""))</f>
      </c>
      <c r="AT109" s="26">
        <f>IF(OR($A109="",AT$3=""),"",IF(AND($J109&lt;&gt;"",$K109&lt;&gt;"",$J109=$K109,$J109&gt;=AT$3,$J109&lt;=IF(param_mode_affichage="mois",EOMONTH(AT$3,0),AT$3+6)),"◆",""))</f>
      </c>
      <c r="AU109" s="26">
        <f>IF(OR($A109="",AU$3=""),"",IF(AND($J109&lt;&gt;"",$K109&lt;&gt;"",$J109=$K109,$J109&gt;=AU$3,$J109&lt;=IF(param_mode_affichage="mois",EOMONTH(AU$3,0),AU$3+6)),"◆",""))</f>
      </c>
      <c r="AV109" s="26">
        <f>IF(OR($A109="",AV$3=""),"",IF(AND($J109&lt;&gt;"",$K109&lt;&gt;"",$J109=$K109,$J109&gt;=AV$3,$J109&lt;=IF(param_mode_affichage="mois",EOMONTH(AV$3,0),AV$3+6)),"◆",""))</f>
      </c>
      <c r="AW109" s="26">
        <f>IF(OR($A109="",AW$3=""),"",IF(AND($J109&lt;&gt;"",$K109&lt;&gt;"",$J109=$K109,$J109&gt;=AW$3,$J109&lt;=IF(param_mode_affichage="mois",EOMONTH(AW$3,0),AW$3+6)),"◆",""))</f>
      </c>
      <c r="AX109" s="26">
        <f>IF(OR($A109="",AX$3=""),"",IF(AND($J109&lt;&gt;"",$K109&lt;&gt;"",$J109=$K109,$J109&gt;=AX$3,$J109&lt;=IF(param_mode_affichage="mois",EOMONTH(AX$3,0),AX$3+6)),"◆",""))</f>
      </c>
      <c r="AY109" s="26">
        <f>IF(OR($A109="",AY$3=""),"",IF(AND($J109&lt;&gt;"",$K109&lt;&gt;"",$J109=$K109,$J109&gt;=AY$3,$J109&lt;=IF(param_mode_affichage="mois",EOMONTH(AY$3,0),AY$3+6)),"◆",""))</f>
      </c>
      <c r="AZ109" s="26">
        <f>IF(OR($A109="",AZ$3=""),"",IF(AND($J109&lt;&gt;"",$K109&lt;&gt;"",$J109=$K109,$J109&gt;=AZ$3,$J109&lt;=IF(param_mode_affichage="mois",EOMONTH(AZ$3,0),AZ$3+6)),"◆",""))</f>
      </c>
      <c r="BA109" s="26">
        <f>IF(OR($A109="",BA$3=""),"",IF(AND($J109&lt;&gt;"",$K109&lt;&gt;"",$J109=$K109,$J109&gt;=BA$3,$J109&lt;=IF(param_mode_affichage="mois",EOMONTH(BA$3,0),BA$3+6)),"◆",""))</f>
      </c>
      <c r="BB109" s="26">
        <f>IF(OR($A109="",BB$3=""),"",IF(AND($J109&lt;&gt;"",$K109&lt;&gt;"",$J109=$K109,$J109&gt;=BB$3,$J109&lt;=IF(param_mode_affichage="mois",EOMONTH(BB$3,0),BB$3+6)),"◆",""))</f>
      </c>
      <c r="BC109" s="26">
        <f>IF(OR($A109="",BC$3=""),"",IF(AND($J109&lt;&gt;"",$K109&lt;&gt;"",$J109=$K109,$J109&gt;=BC$3,$J109&lt;=IF(param_mode_affichage="mois",EOMONTH(BC$3,0),BC$3+6)),"◆",""))</f>
      </c>
      <c r="BD109" s="26">
        <f>IF(OR($A109="",BD$3=""),"",IF(AND($J109&lt;&gt;"",$K109&lt;&gt;"",$J109=$K109,$J109&gt;=BD$3,$J109&lt;=IF(param_mode_affichage="mois",EOMONTH(BD$3,0),BD$3+6)),"◆",""))</f>
      </c>
      <c r="BE109" s="26">
        <f>IF(OR($A109="",BE$3=""),"",IF(AND($J109&lt;&gt;"",$K109&lt;&gt;"",$J109=$K109,$J109&gt;=BE$3,$J109&lt;=IF(param_mode_affichage="mois",EOMONTH(BE$3,0),BE$3+6)),"◆",""))</f>
      </c>
      <c r="BF109" s="26">
        <f>IF(OR($A109="",BF$3=""),"",IF(AND($J109&lt;&gt;"",$K109&lt;&gt;"",$J109=$K109,$J109&gt;=BF$3,$J109&lt;=IF(param_mode_affichage="mois",EOMONTH(BF$3,0),BF$3+6)),"◆",""))</f>
      </c>
      <c r="BG109" s="26">
        <f>IF(OR($A109="",BG$3=""),"",IF(AND($J109&lt;&gt;"",$K109&lt;&gt;"",$J109=$K109,$J109&gt;=BG$3,$J109&lt;=IF(param_mode_affichage="mois",EOMONTH(BG$3,0),BG$3+6)),"◆",""))</f>
      </c>
      <c r="BH109" s="26">
        <f>IF(OR($A109="",BH$3=""),"",IF(AND($J109&lt;&gt;"",$K109&lt;&gt;"",$J109=$K109,$J109&gt;=BH$3,$J109&lt;=IF(param_mode_affichage="mois",EOMONTH(BH$3,0),BH$3+6)),"◆",""))</f>
      </c>
      <c r="BI109" s="26">
        <f>IF(OR($A109="",BI$3=""),"",IF(AND($J109&lt;&gt;"",$K109&lt;&gt;"",$J109=$K109,$J109&gt;=BI$3,$J109&lt;=IF(param_mode_affichage="mois",EOMONTH(BI$3,0),BI$3+6)),"◆",""))</f>
      </c>
      <c r="BJ109" s="26">
        <f>IF(OR($A109="",BJ$3=""),"",IF(AND($J109&lt;&gt;"",$K109&lt;&gt;"",$J109=$K109,$J109&gt;=BJ$3,$J109&lt;=IF(param_mode_affichage="mois",EOMONTH(BJ$3,0),BJ$3+6)),"◆",""))</f>
      </c>
      <c r="BK109" s="26">
        <f>IF(OR($A109="",BK$3=""),"",IF(AND($J109&lt;&gt;"",$K109&lt;&gt;"",$J109=$K109,$J109&gt;=BK$3,$J109&lt;=IF(param_mode_affichage="mois",EOMONTH(BK$3,0),BK$3+6)),"◆",""))</f>
      </c>
      <c r="BL109" s="26">
        <f>IF(OR($A109="",BL$3=""),"",IF(AND($J109&lt;&gt;"",$K109&lt;&gt;"",$J109=$K109,$J109&gt;=BL$3,$J109&lt;=IF(param_mode_affichage="mois",EOMONTH(BL$3,0),BL$3+6)),"◆",""))</f>
      </c>
    </row>
    <row r="110" spans="1:64" x14ac:dyDescent="0.25">
      <c r="A110" s="23">
        <f>IFERROR(INDEX(tblTasks[ID],ROW()-4),"")</f>
      </c>
      <c r="B110" s="24">
        <f>IF($A110="","",INDEX(tblTasks[Sujet],ROW()-4))</f>
      </c>
      <c r="C110" s="23">
        <f>IF($A110="","",INDEX(tblTasks[Responsable],ROW()-4))</f>
      </c>
      <c r="D110" s="23">
        <f>IF($A110="","",INDEX(tblTasks[Statut],ROW()-4))</f>
      </c>
      <c r="E110" s="23">
        <f>IF($A110="","",INDEX(tblTasks[Depend_de],ROW()-4))</f>
      </c>
      <c r="F110" s="23">
        <f>IF($A110="","",INDEX(tblTasks[Blocage],ROW()-4))</f>
      </c>
      <c r="G110" s="23">
        <f>IF($A110="","",INDEX(tblTasks[Niveau_criticite],ROW()-4))</f>
      </c>
      <c r="H110" s="23">
        <f>IF($A110="","",INDEX(tblTasks[Goulot],ROW()-4))</f>
      </c>
      <c r="I110" s="23">
        <f>IF($A110="","",IF(LOWER($F110)="oui","non",IF($E110="","oui",IFERROR(IF(LOWER(INDEX(tblTasks[Statut],MATCH($E110,tblTasks[ID],0)))="clos","oui","non"),"non"))))</f>
      </c>
      <c r="J110" s="25">
        <f>IF($A110="","",INDEX(tblTasks[Date_debut_prevue],ROW()-4))</f>
      </c>
      <c r="K110" s="25">
        <f>IF($A110="","",INDEX(tblTasks[Date_fin_prevue],ROW()-4))</f>
      </c>
      <c r="L110" s="23">
        <f>IF($A110="","",INDEX(tblTasks[Irreversibilite],ROW()-4))</f>
      </c>
      <c r="M110" s="26">
        <f>IF(OR($A110="",M$3=""),"",IF(AND($J110&lt;&gt;"",$K110&lt;&gt;"",$J110=$K110,$J110&gt;=M$3,$J110&lt;=IF(param_mode_affichage="mois",EOMONTH(M$3,0),M$3+6)),"◆",""))</f>
      </c>
      <c r="N110" s="26">
        <f>IF(OR($A110="",N$3=""),"",IF(AND($J110&lt;&gt;"",$K110&lt;&gt;"",$J110=$K110,$J110&gt;=N$3,$J110&lt;=IF(param_mode_affichage="mois",EOMONTH(N$3,0),N$3+6)),"◆",""))</f>
      </c>
      <c r="O110" s="26">
        <f>IF(OR($A110="",O$3=""),"",IF(AND($J110&lt;&gt;"",$K110&lt;&gt;"",$J110=$K110,$J110&gt;=O$3,$J110&lt;=IF(param_mode_affichage="mois",EOMONTH(O$3,0),O$3+6)),"◆",""))</f>
      </c>
      <c r="P110" s="26">
        <f>IF(OR($A110="",P$3=""),"",IF(AND($J110&lt;&gt;"",$K110&lt;&gt;"",$J110=$K110,$J110&gt;=P$3,$J110&lt;=IF(param_mode_affichage="mois",EOMONTH(P$3,0),P$3+6)),"◆",""))</f>
      </c>
      <c r="Q110" s="26">
        <f>IF(OR($A110="",Q$3=""),"",IF(AND($J110&lt;&gt;"",$K110&lt;&gt;"",$J110=$K110,$J110&gt;=Q$3,$J110&lt;=IF(param_mode_affichage="mois",EOMONTH(Q$3,0),Q$3+6)),"◆",""))</f>
      </c>
      <c r="R110" s="26">
        <f>IF(OR($A110="",R$3=""),"",IF(AND($J110&lt;&gt;"",$K110&lt;&gt;"",$J110=$K110,$J110&gt;=R$3,$J110&lt;=IF(param_mode_affichage="mois",EOMONTH(R$3,0),R$3+6)),"◆",""))</f>
      </c>
      <c r="S110" s="26">
        <f>IF(OR($A110="",S$3=""),"",IF(AND($J110&lt;&gt;"",$K110&lt;&gt;"",$J110=$K110,$J110&gt;=S$3,$J110&lt;=IF(param_mode_affichage="mois",EOMONTH(S$3,0),S$3+6)),"◆",""))</f>
      </c>
      <c r="T110" s="26">
        <f>IF(OR($A110="",T$3=""),"",IF(AND($J110&lt;&gt;"",$K110&lt;&gt;"",$J110=$K110,$J110&gt;=T$3,$J110&lt;=IF(param_mode_affichage="mois",EOMONTH(T$3,0),T$3+6)),"◆",""))</f>
      </c>
      <c r="U110" s="26">
        <f>IF(OR($A110="",U$3=""),"",IF(AND($J110&lt;&gt;"",$K110&lt;&gt;"",$J110=$K110,$J110&gt;=U$3,$J110&lt;=IF(param_mode_affichage="mois",EOMONTH(U$3,0),U$3+6)),"◆",""))</f>
      </c>
      <c r="V110" s="26">
        <f>IF(OR($A110="",V$3=""),"",IF(AND($J110&lt;&gt;"",$K110&lt;&gt;"",$J110=$K110,$J110&gt;=V$3,$J110&lt;=IF(param_mode_affichage="mois",EOMONTH(V$3,0),V$3+6)),"◆",""))</f>
      </c>
      <c r="W110" s="26">
        <f>IF(OR($A110="",W$3=""),"",IF(AND($J110&lt;&gt;"",$K110&lt;&gt;"",$J110=$K110,$J110&gt;=W$3,$J110&lt;=IF(param_mode_affichage="mois",EOMONTH(W$3,0),W$3+6)),"◆",""))</f>
      </c>
      <c r="X110" s="26">
        <f>IF(OR($A110="",X$3=""),"",IF(AND($J110&lt;&gt;"",$K110&lt;&gt;"",$J110=$K110,$J110&gt;=X$3,$J110&lt;=IF(param_mode_affichage="mois",EOMONTH(X$3,0),X$3+6)),"◆",""))</f>
      </c>
      <c r="Y110" s="26">
        <f>IF(OR($A110="",Y$3=""),"",IF(AND($J110&lt;&gt;"",$K110&lt;&gt;"",$J110=$K110,$J110&gt;=Y$3,$J110&lt;=IF(param_mode_affichage="mois",EOMONTH(Y$3,0),Y$3+6)),"◆",""))</f>
      </c>
      <c r="Z110" s="26">
        <f>IF(OR($A110="",Z$3=""),"",IF(AND($J110&lt;&gt;"",$K110&lt;&gt;"",$J110=$K110,$J110&gt;=Z$3,$J110&lt;=IF(param_mode_affichage="mois",EOMONTH(Z$3,0),Z$3+6)),"◆",""))</f>
      </c>
      <c r="AA110" s="26">
        <f>IF(OR($A110="",AA$3=""),"",IF(AND($J110&lt;&gt;"",$K110&lt;&gt;"",$J110=$K110,$J110&gt;=AA$3,$J110&lt;=IF(param_mode_affichage="mois",EOMONTH(AA$3,0),AA$3+6)),"◆",""))</f>
      </c>
      <c r="AB110" s="26">
        <f>IF(OR($A110="",AB$3=""),"",IF(AND($J110&lt;&gt;"",$K110&lt;&gt;"",$J110=$K110,$J110&gt;=AB$3,$J110&lt;=IF(param_mode_affichage="mois",EOMONTH(AB$3,0),AB$3+6)),"◆",""))</f>
      </c>
      <c r="AC110" s="26">
        <f>IF(OR($A110="",AC$3=""),"",IF(AND($J110&lt;&gt;"",$K110&lt;&gt;"",$J110=$K110,$J110&gt;=AC$3,$J110&lt;=IF(param_mode_affichage="mois",EOMONTH(AC$3,0),AC$3+6)),"◆",""))</f>
      </c>
      <c r="AD110" s="26">
        <f>IF(OR($A110="",AD$3=""),"",IF(AND($J110&lt;&gt;"",$K110&lt;&gt;"",$J110=$K110,$J110&gt;=AD$3,$J110&lt;=IF(param_mode_affichage="mois",EOMONTH(AD$3,0),AD$3+6)),"◆",""))</f>
      </c>
      <c r="AE110" s="26">
        <f>IF(OR($A110="",AE$3=""),"",IF(AND($J110&lt;&gt;"",$K110&lt;&gt;"",$J110=$K110,$J110&gt;=AE$3,$J110&lt;=IF(param_mode_affichage="mois",EOMONTH(AE$3,0),AE$3+6)),"◆",""))</f>
      </c>
      <c r="AF110" s="26">
        <f>IF(OR($A110="",AF$3=""),"",IF(AND($J110&lt;&gt;"",$K110&lt;&gt;"",$J110=$K110,$J110&gt;=AF$3,$J110&lt;=IF(param_mode_affichage="mois",EOMONTH(AF$3,0),AF$3+6)),"◆",""))</f>
      </c>
      <c r="AG110" s="26">
        <f>IF(OR($A110="",AG$3=""),"",IF(AND($J110&lt;&gt;"",$K110&lt;&gt;"",$J110=$K110,$J110&gt;=AG$3,$J110&lt;=IF(param_mode_affichage="mois",EOMONTH(AG$3,0),AG$3+6)),"◆",""))</f>
      </c>
      <c r="AH110" s="26">
        <f>IF(OR($A110="",AH$3=""),"",IF(AND($J110&lt;&gt;"",$K110&lt;&gt;"",$J110=$K110,$J110&gt;=AH$3,$J110&lt;=IF(param_mode_affichage="mois",EOMONTH(AH$3,0),AH$3+6)),"◆",""))</f>
      </c>
      <c r="AI110" s="26">
        <f>IF(OR($A110="",AI$3=""),"",IF(AND($J110&lt;&gt;"",$K110&lt;&gt;"",$J110=$K110,$J110&gt;=AI$3,$J110&lt;=IF(param_mode_affichage="mois",EOMONTH(AI$3,0),AI$3+6)),"◆",""))</f>
      </c>
      <c r="AJ110" s="26">
        <f>IF(OR($A110="",AJ$3=""),"",IF(AND($J110&lt;&gt;"",$K110&lt;&gt;"",$J110=$K110,$J110&gt;=AJ$3,$J110&lt;=IF(param_mode_affichage="mois",EOMONTH(AJ$3,0),AJ$3+6)),"◆",""))</f>
      </c>
      <c r="AK110" s="26">
        <f>IF(OR($A110="",AK$3=""),"",IF(AND($J110&lt;&gt;"",$K110&lt;&gt;"",$J110=$K110,$J110&gt;=AK$3,$J110&lt;=IF(param_mode_affichage="mois",EOMONTH(AK$3,0),AK$3+6)),"◆",""))</f>
      </c>
      <c r="AL110" s="26">
        <f>IF(OR($A110="",AL$3=""),"",IF(AND($J110&lt;&gt;"",$K110&lt;&gt;"",$J110=$K110,$J110&gt;=AL$3,$J110&lt;=IF(param_mode_affichage="mois",EOMONTH(AL$3,0),AL$3+6)),"◆",""))</f>
      </c>
      <c r="AM110" s="26">
        <f>IF(OR($A110="",AM$3=""),"",IF(AND($J110&lt;&gt;"",$K110&lt;&gt;"",$J110=$K110,$J110&gt;=AM$3,$J110&lt;=IF(param_mode_affichage="mois",EOMONTH(AM$3,0),AM$3+6)),"◆",""))</f>
      </c>
      <c r="AN110" s="26">
        <f>IF(OR($A110="",AN$3=""),"",IF(AND($J110&lt;&gt;"",$K110&lt;&gt;"",$J110=$K110,$J110&gt;=AN$3,$J110&lt;=IF(param_mode_affichage="mois",EOMONTH(AN$3,0),AN$3+6)),"◆",""))</f>
      </c>
      <c r="AO110" s="26">
        <f>IF(OR($A110="",AO$3=""),"",IF(AND($J110&lt;&gt;"",$K110&lt;&gt;"",$J110=$K110,$J110&gt;=AO$3,$J110&lt;=IF(param_mode_affichage="mois",EOMONTH(AO$3,0),AO$3+6)),"◆",""))</f>
      </c>
      <c r="AP110" s="26">
        <f>IF(OR($A110="",AP$3=""),"",IF(AND($J110&lt;&gt;"",$K110&lt;&gt;"",$J110=$K110,$J110&gt;=AP$3,$J110&lt;=IF(param_mode_affichage="mois",EOMONTH(AP$3,0),AP$3+6)),"◆",""))</f>
      </c>
      <c r="AQ110" s="26">
        <f>IF(OR($A110="",AQ$3=""),"",IF(AND($J110&lt;&gt;"",$K110&lt;&gt;"",$J110=$K110,$J110&gt;=AQ$3,$J110&lt;=IF(param_mode_affichage="mois",EOMONTH(AQ$3,0),AQ$3+6)),"◆",""))</f>
      </c>
      <c r="AR110" s="26">
        <f>IF(OR($A110="",AR$3=""),"",IF(AND($J110&lt;&gt;"",$K110&lt;&gt;"",$J110=$K110,$J110&gt;=AR$3,$J110&lt;=IF(param_mode_affichage="mois",EOMONTH(AR$3,0),AR$3+6)),"◆",""))</f>
      </c>
      <c r="AS110" s="26">
        <f>IF(OR($A110="",AS$3=""),"",IF(AND($J110&lt;&gt;"",$K110&lt;&gt;"",$J110=$K110,$J110&gt;=AS$3,$J110&lt;=IF(param_mode_affichage="mois",EOMONTH(AS$3,0),AS$3+6)),"◆",""))</f>
      </c>
      <c r="AT110" s="26">
        <f>IF(OR($A110="",AT$3=""),"",IF(AND($J110&lt;&gt;"",$K110&lt;&gt;"",$J110=$K110,$J110&gt;=AT$3,$J110&lt;=IF(param_mode_affichage="mois",EOMONTH(AT$3,0),AT$3+6)),"◆",""))</f>
      </c>
      <c r="AU110" s="26">
        <f>IF(OR($A110="",AU$3=""),"",IF(AND($J110&lt;&gt;"",$K110&lt;&gt;"",$J110=$K110,$J110&gt;=AU$3,$J110&lt;=IF(param_mode_affichage="mois",EOMONTH(AU$3,0),AU$3+6)),"◆",""))</f>
      </c>
      <c r="AV110" s="26">
        <f>IF(OR($A110="",AV$3=""),"",IF(AND($J110&lt;&gt;"",$K110&lt;&gt;"",$J110=$K110,$J110&gt;=AV$3,$J110&lt;=IF(param_mode_affichage="mois",EOMONTH(AV$3,0),AV$3+6)),"◆",""))</f>
      </c>
      <c r="AW110" s="26">
        <f>IF(OR($A110="",AW$3=""),"",IF(AND($J110&lt;&gt;"",$K110&lt;&gt;"",$J110=$K110,$J110&gt;=AW$3,$J110&lt;=IF(param_mode_affichage="mois",EOMONTH(AW$3,0),AW$3+6)),"◆",""))</f>
      </c>
      <c r="AX110" s="26">
        <f>IF(OR($A110="",AX$3=""),"",IF(AND($J110&lt;&gt;"",$K110&lt;&gt;"",$J110=$K110,$J110&gt;=AX$3,$J110&lt;=IF(param_mode_affichage="mois",EOMONTH(AX$3,0),AX$3+6)),"◆",""))</f>
      </c>
      <c r="AY110" s="26">
        <f>IF(OR($A110="",AY$3=""),"",IF(AND($J110&lt;&gt;"",$K110&lt;&gt;"",$J110=$K110,$J110&gt;=AY$3,$J110&lt;=IF(param_mode_affichage="mois",EOMONTH(AY$3,0),AY$3+6)),"◆",""))</f>
      </c>
      <c r="AZ110" s="26">
        <f>IF(OR($A110="",AZ$3=""),"",IF(AND($J110&lt;&gt;"",$K110&lt;&gt;"",$J110=$K110,$J110&gt;=AZ$3,$J110&lt;=IF(param_mode_affichage="mois",EOMONTH(AZ$3,0),AZ$3+6)),"◆",""))</f>
      </c>
      <c r="BA110" s="26">
        <f>IF(OR($A110="",BA$3=""),"",IF(AND($J110&lt;&gt;"",$K110&lt;&gt;"",$J110=$K110,$J110&gt;=BA$3,$J110&lt;=IF(param_mode_affichage="mois",EOMONTH(BA$3,0),BA$3+6)),"◆",""))</f>
      </c>
      <c r="BB110" s="26">
        <f>IF(OR($A110="",BB$3=""),"",IF(AND($J110&lt;&gt;"",$K110&lt;&gt;"",$J110=$K110,$J110&gt;=BB$3,$J110&lt;=IF(param_mode_affichage="mois",EOMONTH(BB$3,0),BB$3+6)),"◆",""))</f>
      </c>
      <c r="BC110" s="26">
        <f>IF(OR($A110="",BC$3=""),"",IF(AND($J110&lt;&gt;"",$K110&lt;&gt;"",$J110=$K110,$J110&gt;=BC$3,$J110&lt;=IF(param_mode_affichage="mois",EOMONTH(BC$3,0),BC$3+6)),"◆",""))</f>
      </c>
      <c r="BD110" s="26">
        <f>IF(OR($A110="",BD$3=""),"",IF(AND($J110&lt;&gt;"",$K110&lt;&gt;"",$J110=$K110,$J110&gt;=BD$3,$J110&lt;=IF(param_mode_affichage="mois",EOMONTH(BD$3,0),BD$3+6)),"◆",""))</f>
      </c>
      <c r="BE110" s="26">
        <f>IF(OR($A110="",BE$3=""),"",IF(AND($J110&lt;&gt;"",$K110&lt;&gt;"",$J110=$K110,$J110&gt;=BE$3,$J110&lt;=IF(param_mode_affichage="mois",EOMONTH(BE$3,0),BE$3+6)),"◆",""))</f>
      </c>
      <c r="BF110" s="26">
        <f>IF(OR($A110="",BF$3=""),"",IF(AND($J110&lt;&gt;"",$K110&lt;&gt;"",$J110=$K110,$J110&gt;=BF$3,$J110&lt;=IF(param_mode_affichage="mois",EOMONTH(BF$3,0),BF$3+6)),"◆",""))</f>
      </c>
      <c r="BG110" s="26">
        <f>IF(OR($A110="",BG$3=""),"",IF(AND($J110&lt;&gt;"",$K110&lt;&gt;"",$J110=$K110,$J110&gt;=BG$3,$J110&lt;=IF(param_mode_affichage="mois",EOMONTH(BG$3,0),BG$3+6)),"◆",""))</f>
      </c>
      <c r="BH110" s="26">
        <f>IF(OR($A110="",BH$3=""),"",IF(AND($J110&lt;&gt;"",$K110&lt;&gt;"",$J110=$K110,$J110&gt;=BH$3,$J110&lt;=IF(param_mode_affichage="mois",EOMONTH(BH$3,0),BH$3+6)),"◆",""))</f>
      </c>
      <c r="BI110" s="26">
        <f>IF(OR($A110="",BI$3=""),"",IF(AND($J110&lt;&gt;"",$K110&lt;&gt;"",$J110=$K110,$J110&gt;=BI$3,$J110&lt;=IF(param_mode_affichage="mois",EOMONTH(BI$3,0),BI$3+6)),"◆",""))</f>
      </c>
      <c r="BJ110" s="26">
        <f>IF(OR($A110="",BJ$3=""),"",IF(AND($J110&lt;&gt;"",$K110&lt;&gt;"",$J110=$K110,$J110&gt;=BJ$3,$J110&lt;=IF(param_mode_affichage="mois",EOMONTH(BJ$3,0),BJ$3+6)),"◆",""))</f>
      </c>
      <c r="BK110" s="26">
        <f>IF(OR($A110="",BK$3=""),"",IF(AND($J110&lt;&gt;"",$K110&lt;&gt;"",$J110=$K110,$J110&gt;=BK$3,$J110&lt;=IF(param_mode_affichage="mois",EOMONTH(BK$3,0),BK$3+6)),"◆",""))</f>
      </c>
      <c r="BL110" s="26">
        <f>IF(OR($A110="",BL$3=""),"",IF(AND($J110&lt;&gt;"",$K110&lt;&gt;"",$J110=$K110,$J110&gt;=BL$3,$J110&lt;=IF(param_mode_affichage="mois",EOMONTH(BL$3,0),BL$3+6)),"◆",""))</f>
      </c>
    </row>
    <row r="111" spans="1:64" x14ac:dyDescent="0.25">
      <c r="A111" s="23">
        <f>IFERROR(INDEX(tblTasks[ID],ROW()-4),"")</f>
      </c>
      <c r="B111" s="24">
        <f>IF($A111="","",INDEX(tblTasks[Sujet],ROW()-4))</f>
      </c>
      <c r="C111" s="23">
        <f>IF($A111="","",INDEX(tblTasks[Responsable],ROW()-4))</f>
      </c>
      <c r="D111" s="23">
        <f>IF($A111="","",INDEX(tblTasks[Statut],ROW()-4))</f>
      </c>
      <c r="E111" s="23">
        <f>IF($A111="","",INDEX(tblTasks[Depend_de],ROW()-4))</f>
      </c>
      <c r="F111" s="23">
        <f>IF($A111="","",INDEX(tblTasks[Blocage],ROW()-4))</f>
      </c>
      <c r="G111" s="23">
        <f>IF($A111="","",INDEX(tblTasks[Niveau_criticite],ROW()-4))</f>
      </c>
      <c r="H111" s="23">
        <f>IF($A111="","",INDEX(tblTasks[Goulot],ROW()-4))</f>
      </c>
      <c r="I111" s="23">
        <f>IF($A111="","",IF(LOWER($F111)="oui","non",IF($E111="","oui",IFERROR(IF(LOWER(INDEX(tblTasks[Statut],MATCH($E111,tblTasks[ID],0)))="clos","oui","non"),"non"))))</f>
      </c>
      <c r="J111" s="25">
        <f>IF($A111="","",INDEX(tblTasks[Date_debut_prevue],ROW()-4))</f>
      </c>
      <c r="K111" s="25">
        <f>IF($A111="","",INDEX(tblTasks[Date_fin_prevue],ROW()-4))</f>
      </c>
      <c r="L111" s="23">
        <f>IF($A111="","",INDEX(tblTasks[Irreversibilite],ROW()-4))</f>
      </c>
      <c r="M111" s="26">
        <f>IF(OR($A111="",M$3=""),"",IF(AND($J111&lt;&gt;"",$K111&lt;&gt;"",$J111=$K111,$J111&gt;=M$3,$J111&lt;=IF(param_mode_affichage="mois",EOMONTH(M$3,0),M$3+6)),"◆",""))</f>
      </c>
      <c r="N111" s="26">
        <f>IF(OR($A111="",N$3=""),"",IF(AND($J111&lt;&gt;"",$K111&lt;&gt;"",$J111=$K111,$J111&gt;=N$3,$J111&lt;=IF(param_mode_affichage="mois",EOMONTH(N$3,0),N$3+6)),"◆",""))</f>
      </c>
      <c r="O111" s="26">
        <f>IF(OR($A111="",O$3=""),"",IF(AND($J111&lt;&gt;"",$K111&lt;&gt;"",$J111=$K111,$J111&gt;=O$3,$J111&lt;=IF(param_mode_affichage="mois",EOMONTH(O$3,0),O$3+6)),"◆",""))</f>
      </c>
      <c r="P111" s="26">
        <f>IF(OR($A111="",P$3=""),"",IF(AND($J111&lt;&gt;"",$K111&lt;&gt;"",$J111=$K111,$J111&gt;=P$3,$J111&lt;=IF(param_mode_affichage="mois",EOMONTH(P$3,0),P$3+6)),"◆",""))</f>
      </c>
      <c r="Q111" s="26">
        <f>IF(OR($A111="",Q$3=""),"",IF(AND($J111&lt;&gt;"",$K111&lt;&gt;"",$J111=$K111,$J111&gt;=Q$3,$J111&lt;=IF(param_mode_affichage="mois",EOMONTH(Q$3,0),Q$3+6)),"◆",""))</f>
      </c>
      <c r="R111" s="26">
        <f>IF(OR($A111="",R$3=""),"",IF(AND($J111&lt;&gt;"",$K111&lt;&gt;"",$J111=$K111,$J111&gt;=R$3,$J111&lt;=IF(param_mode_affichage="mois",EOMONTH(R$3,0),R$3+6)),"◆",""))</f>
      </c>
      <c r="S111" s="26">
        <f>IF(OR($A111="",S$3=""),"",IF(AND($J111&lt;&gt;"",$K111&lt;&gt;"",$J111=$K111,$J111&gt;=S$3,$J111&lt;=IF(param_mode_affichage="mois",EOMONTH(S$3,0),S$3+6)),"◆",""))</f>
      </c>
      <c r="T111" s="26">
        <f>IF(OR($A111="",T$3=""),"",IF(AND($J111&lt;&gt;"",$K111&lt;&gt;"",$J111=$K111,$J111&gt;=T$3,$J111&lt;=IF(param_mode_affichage="mois",EOMONTH(T$3,0),T$3+6)),"◆",""))</f>
      </c>
      <c r="U111" s="26">
        <f>IF(OR($A111="",U$3=""),"",IF(AND($J111&lt;&gt;"",$K111&lt;&gt;"",$J111=$K111,$J111&gt;=U$3,$J111&lt;=IF(param_mode_affichage="mois",EOMONTH(U$3,0),U$3+6)),"◆",""))</f>
      </c>
      <c r="V111" s="26">
        <f>IF(OR($A111="",V$3=""),"",IF(AND($J111&lt;&gt;"",$K111&lt;&gt;"",$J111=$K111,$J111&gt;=V$3,$J111&lt;=IF(param_mode_affichage="mois",EOMONTH(V$3,0),V$3+6)),"◆",""))</f>
      </c>
      <c r="W111" s="26">
        <f>IF(OR($A111="",W$3=""),"",IF(AND($J111&lt;&gt;"",$K111&lt;&gt;"",$J111=$K111,$J111&gt;=W$3,$J111&lt;=IF(param_mode_affichage="mois",EOMONTH(W$3,0),W$3+6)),"◆",""))</f>
      </c>
      <c r="X111" s="26">
        <f>IF(OR($A111="",X$3=""),"",IF(AND($J111&lt;&gt;"",$K111&lt;&gt;"",$J111=$K111,$J111&gt;=X$3,$J111&lt;=IF(param_mode_affichage="mois",EOMONTH(X$3,0),X$3+6)),"◆",""))</f>
      </c>
      <c r="Y111" s="26">
        <f>IF(OR($A111="",Y$3=""),"",IF(AND($J111&lt;&gt;"",$K111&lt;&gt;"",$J111=$K111,$J111&gt;=Y$3,$J111&lt;=IF(param_mode_affichage="mois",EOMONTH(Y$3,0),Y$3+6)),"◆",""))</f>
      </c>
      <c r="Z111" s="26">
        <f>IF(OR($A111="",Z$3=""),"",IF(AND($J111&lt;&gt;"",$K111&lt;&gt;"",$J111=$K111,$J111&gt;=Z$3,$J111&lt;=IF(param_mode_affichage="mois",EOMONTH(Z$3,0),Z$3+6)),"◆",""))</f>
      </c>
      <c r="AA111" s="26">
        <f>IF(OR($A111="",AA$3=""),"",IF(AND($J111&lt;&gt;"",$K111&lt;&gt;"",$J111=$K111,$J111&gt;=AA$3,$J111&lt;=IF(param_mode_affichage="mois",EOMONTH(AA$3,0),AA$3+6)),"◆",""))</f>
      </c>
      <c r="AB111" s="26">
        <f>IF(OR($A111="",AB$3=""),"",IF(AND($J111&lt;&gt;"",$K111&lt;&gt;"",$J111=$K111,$J111&gt;=AB$3,$J111&lt;=IF(param_mode_affichage="mois",EOMONTH(AB$3,0),AB$3+6)),"◆",""))</f>
      </c>
      <c r="AC111" s="26">
        <f>IF(OR($A111="",AC$3=""),"",IF(AND($J111&lt;&gt;"",$K111&lt;&gt;"",$J111=$K111,$J111&gt;=AC$3,$J111&lt;=IF(param_mode_affichage="mois",EOMONTH(AC$3,0),AC$3+6)),"◆",""))</f>
      </c>
      <c r="AD111" s="26">
        <f>IF(OR($A111="",AD$3=""),"",IF(AND($J111&lt;&gt;"",$K111&lt;&gt;"",$J111=$K111,$J111&gt;=AD$3,$J111&lt;=IF(param_mode_affichage="mois",EOMONTH(AD$3,0),AD$3+6)),"◆",""))</f>
      </c>
      <c r="AE111" s="26">
        <f>IF(OR($A111="",AE$3=""),"",IF(AND($J111&lt;&gt;"",$K111&lt;&gt;"",$J111=$K111,$J111&gt;=AE$3,$J111&lt;=IF(param_mode_affichage="mois",EOMONTH(AE$3,0),AE$3+6)),"◆",""))</f>
      </c>
      <c r="AF111" s="26">
        <f>IF(OR($A111="",AF$3=""),"",IF(AND($J111&lt;&gt;"",$K111&lt;&gt;"",$J111=$K111,$J111&gt;=AF$3,$J111&lt;=IF(param_mode_affichage="mois",EOMONTH(AF$3,0),AF$3+6)),"◆",""))</f>
      </c>
      <c r="AG111" s="26">
        <f>IF(OR($A111="",AG$3=""),"",IF(AND($J111&lt;&gt;"",$K111&lt;&gt;"",$J111=$K111,$J111&gt;=AG$3,$J111&lt;=IF(param_mode_affichage="mois",EOMONTH(AG$3,0),AG$3+6)),"◆",""))</f>
      </c>
      <c r="AH111" s="26">
        <f>IF(OR($A111="",AH$3=""),"",IF(AND($J111&lt;&gt;"",$K111&lt;&gt;"",$J111=$K111,$J111&gt;=AH$3,$J111&lt;=IF(param_mode_affichage="mois",EOMONTH(AH$3,0),AH$3+6)),"◆",""))</f>
      </c>
      <c r="AI111" s="26">
        <f>IF(OR($A111="",AI$3=""),"",IF(AND($J111&lt;&gt;"",$K111&lt;&gt;"",$J111=$K111,$J111&gt;=AI$3,$J111&lt;=IF(param_mode_affichage="mois",EOMONTH(AI$3,0),AI$3+6)),"◆",""))</f>
      </c>
      <c r="AJ111" s="26">
        <f>IF(OR($A111="",AJ$3=""),"",IF(AND($J111&lt;&gt;"",$K111&lt;&gt;"",$J111=$K111,$J111&gt;=AJ$3,$J111&lt;=IF(param_mode_affichage="mois",EOMONTH(AJ$3,0),AJ$3+6)),"◆",""))</f>
      </c>
      <c r="AK111" s="26">
        <f>IF(OR($A111="",AK$3=""),"",IF(AND($J111&lt;&gt;"",$K111&lt;&gt;"",$J111=$K111,$J111&gt;=AK$3,$J111&lt;=IF(param_mode_affichage="mois",EOMONTH(AK$3,0),AK$3+6)),"◆",""))</f>
      </c>
      <c r="AL111" s="26">
        <f>IF(OR($A111="",AL$3=""),"",IF(AND($J111&lt;&gt;"",$K111&lt;&gt;"",$J111=$K111,$J111&gt;=AL$3,$J111&lt;=IF(param_mode_affichage="mois",EOMONTH(AL$3,0),AL$3+6)),"◆",""))</f>
      </c>
      <c r="AM111" s="26">
        <f>IF(OR($A111="",AM$3=""),"",IF(AND($J111&lt;&gt;"",$K111&lt;&gt;"",$J111=$K111,$J111&gt;=AM$3,$J111&lt;=IF(param_mode_affichage="mois",EOMONTH(AM$3,0),AM$3+6)),"◆",""))</f>
      </c>
      <c r="AN111" s="26">
        <f>IF(OR($A111="",AN$3=""),"",IF(AND($J111&lt;&gt;"",$K111&lt;&gt;"",$J111=$K111,$J111&gt;=AN$3,$J111&lt;=IF(param_mode_affichage="mois",EOMONTH(AN$3,0),AN$3+6)),"◆",""))</f>
      </c>
      <c r="AO111" s="26">
        <f>IF(OR($A111="",AO$3=""),"",IF(AND($J111&lt;&gt;"",$K111&lt;&gt;"",$J111=$K111,$J111&gt;=AO$3,$J111&lt;=IF(param_mode_affichage="mois",EOMONTH(AO$3,0),AO$3+6)),"◆",""))</f>
      </c>
      <c r="AP111" s="26">
        <f>IF(OR($A111="",AP$3=""),"",IF(AND($J111&lt;&gt;"",$K111&lt;&gt;"",$J111=$K111,$J111&gt;=AP$3,$J111&lt;=IF(param_mode_affichage="mois",EOMONTH(AP$3,0),AP$3+6)),"◆",""))</f>
      </c>
      <c r="AQ111" s="26">
        <f>IF(OR($A111="",AQ$3=""),"",IF(AND($J111&lt;&gt;"",$K111&lt;&gt;"",$J111=$K111,$J111&gt;=AQ$3,$J111&lt;=IF(param_mode_affichage="mois",EOMONTH(AQ$3,0),AQ$3+6)),"◆",""))</f>
      </c>
      <c r="AR111" s="26">
        <f>IF(OR($A111="",AR$3=""),"",IF(AND($J111&lt;&gt;"",$K111&lt;&gt;"",$J111=$K111,$J111&gt;=AR$3,$J111&lt;=IF(param_mode_affichage="mois",EOMONTH(AR$3,0),AR$3+6)),"◆",""))</f>
      </c>
      <c r="AS111" s="26">
        <f>IF(OR($A111="",AS$3=""),"",IF(AND($J111&lt;&gt;"",$K111&lt;&gt;"",$J111=$K111,$J111&gt;=AS$3,$J111&lt;=IF(param_mode_affichage="mois",EOMONTH(AS$3,0),AS$3+6)),"◆",""))</f>
      </c>
      <c r="AT111" s="26">
        <f>IF(OR($A111="",AT$3=""),"",IF(AND($J111&lt;&gt;"",$K111&lt;&gt;"",$J111=$K111,$J111&gt;=AT$3,$J111&lt;=IF(param_mode_affichage="mois",EOMONTH(AT$3,0),AT$3+6)),"◆",""))</f>
      </c>
      <c r="AU111" s="26">
        <f>IF(OR($A111="",AU$3=""),"",IF(AND($J111&lt;&gt;"",$K111&lt;&gt;"",$J111=$K111,$J111&gt;=AU$3,$J111&lt;=IF(param_mode_affichage="mois",EOMONTH(AU$3,0),AU$3+6)),"◆",""))</f>
      </c>
      <c r="AV111" s="26">
        <f>IF(OR($A111="",AV$3=""),"",IF(AND($J111&lt;&gt;"",$K111&lt;&gt;"",$J111=$K111,$J111&gt;=AV$3,$J111&lt;=IF(param_mode_affichage="mois",EOMONTH(AV$3,0),AV$3+6)),"◆",""))</f>
      </c>
      <c r="AW111" s="26">
        <f>IF(OR($A111="",AW$3=""),"",IF(AND($J111&lt;&gt;"",$K111&lt;&gt;"",$J111=$K111,$J111&gt;=AW$3,$J111&lt;=IF(param_mode_affichage="mois",EOMONTH(AW$3,0),AW$3+6)),"◆",""))</f>
      </c>
      <c r="AX111" s="26">
        <f>IF(OR($A111="",AX$3=""),"",IF(AND($J111&lt;&gt;"",$K111&lt;&gt;"",$J111=$K111,$J111&gt;=AX$3,$J111&lt;=IF(param_mode_affichage="mois",EOMONTH(AX$3,0),AX$3+6)),"◆",""))</f>
      </c>
      <c r="AY111" s="26">
        <f>IF(OR($A111="",AY$3=""),"",IF(AND($J111&lt;&gt;"",$K111&lt;&gt;"",$J111=$K111,$J111&gt;=AY$3,$J111&lt;=IF(param_mode_affichage="mois",EOMONTH(AY$3,0),AY$3+6)),"◆",""))</f>
      </c>
      <c r="AZ111" s="26">
        <f>IF(OR($A111="",AZ$3=""),"",IF(AND($J111&lt;&gt;"",$K111&lt;&gt;"",$J111=$K111,$J111&gt;=AZ$3,$J111&lt;=IF(param_mode_affichage="mois",EOMONTH(AZ$3,0),AZ$3+6)),"◆",""))</f>
      </c>
      <c r="BA111" s="26">
        <f>IF(OR($A111="",BA$3=""),"",IF(AND($J111&lt;&gt;"",$K111&lt;&gt;"",$J111=$K111,$J111&gt;=BA$3,$J111&lt;=IF(param_mode_affichage="mois",EOMONTH(BA$3,0),BA$3+6)),"◆",""))</f>
      </c>
      <c r="BB111" s="26">
        <f>IF(OR($A111="",BB$3=""),"",IF(AND($J111&lt;&gt;"",$K111&lt;&gt;"",$J111=$K111,$J111&gt;=BB$3,$J111&lt;=IF(param_mode_affichage="mois",EOMONTH(BB$3,0),BB$3+6)),"◆",""))</f>
      </c>
      <c r="BC111" s="26">
        <f>IF(OR($A111="",BC$3=""),"",IF(AND($J111&lt;&gt;"",$K111&lt;&gt;"",$J111=$K111,$J111&gt;=BC$3,$J111&lt;=IF(param_mode_affichage="mois",EOMONTH(BC$3,0),BC$3+6)),"◆",""))</f>
      </c>
      <c r="BD111" s="26">
        <f>IF(OR($A111="",BD$3=""),"",IF(AND($J111&lt;&gt;"",$K111&lt;&gt;"",$J111=$K111,$J111&gt;=BD$3,$J111&lt;=IF(param_mode_affichage="mois",EOMONTH(BD$3,0),BD$3+6)),"◆",""))</f>
      </c>
      <c r="BE111" s="26">
        <f>IF(OR($A111="",BE$3=""),"",IF(AND($J111&lt;&gt;"",$K111&lt;&gt;"",$J111=$K111,$J111&gt;=BE$3,$J111&lt;=IF(param_mode_affichage="mois",EOMONTH(BE$3,0),BE$3+6)),"◆",""))</f>
      </c>
      <c r="BF111" s="26">
        <f>IF(OR($A111="",BF$3=""),"",IF(AND($J111&lt;&gt;"",$K111&lt;&gt;"",$J111=$K111,$J111&gt;=BF$3,$J111&lt;=IF(param_mode_affichage="mois",EOMONTH(BF$3,0),BF$3+6)),"◆",""))</f>
      </c>
      <c r="BG111" s="26">
        <f>IF(OR($A111="",BG$3=""),"",IF(AND($J111&lt;&gt;"",$K111&lt;&gt;"",$J111=$K111,$J111&gt;=BG$3,$J111&lt;=IF(param_mode_affichage="mois",EOMONTH(BG$3,0),BG$3+6)),"◆",""))</f>
      </c>
      <c r="BH111" s="26">
        <f>IF(OR($A111="",BH$3=""),"",IF(AND($J111&lt;&gt;"",$K111&lt;&gt;"",$J111=$K111,$J111&gt;=BH$3,$J111&lt;=IF(param_mode_affichage="mois",EOMONTH(BH$3,0),BH$3+6)),"◆",""))</f>
      </c>
      <c r="BI111" s="26">
        <f>IF(OR($A111="",BI$3=""),"",IF(AND($J111&lt;&gt;"",$K111&lt;&gt;"",$J111=$K111,$J111&gt;=BI$3,$J111&lt;=IF(param_mode_affichage="mois",EOMONTH(BI$3,0),BI$3+6)),"◆",""))</f>
      </c>
      <c r="BJ111" s="26">
        <f>IF(OR($A111="",BJ$3=""),"",IF(AND($J111&lt;&gt;"",$K111&lt;&gt;"",$J111=$K111,$J111&gt;=BJ$3,$J111&lt;=IF(param_mode_affichage="mois",EOMONTH(BJ$3,0),BJ$3+6)),"◆",""))</f>
      </c>
      <c r="BK111" s="26">
        <f>IF(OR($A111="",BK$3=""),"",IF(AND($J111&lt;&gt;"",$K111&lt;&gt;"",$J111=$K111,$J111&gt;=BK$3,$J111&lt;=IF(param_mode_affichage="mois",EOMONTH(BK$3,0),BK$3+6)),"◆",""))</f>
      </c>
      <c r="BL111" s="26">
        <f>IF(OR($A111="",BL$3=""),"",IF(AND($J111&lt;&gt;"",$K111&lt;&gt;"",$J111=$K111,$J111&gt;=BL$3,$J111&lt;=IF(param_mode_affichage="mois",EOMONTH(BL$3,0),BL$3+6)),"◆",""))</f>
      </c>
    </row>
    <row r="112" spans="1:64" x14ac:dyDescent="0.25">
      <c r="A112" s="23">
        <f>IFERROR(INDEX(tblTasks[ID],ROW()-4),"")</f>
      </c>
      <c r="B112" s="24">
        <f>IF($A112="","",INDEX(tblTasks[Sujet],ROW()-4))</f>
      </c>
      <c r="C112" s="23">
        <f>IF($A112="","",INDEX(tblTasks[Responsable],ROW()-4))</f>
      </c>
      <c r="D112" s="23">
        <f>IF($A112="","",INDEX(tblTasks[Statut],ROW()-4))</f>
      </c>
      <c r="E112" s="23">
        <f>IF($A112="","",INDEX(tblTasks[Depend_de],ROW()-4))</f>
      </c>
      <c r="F112" s="23">
        <f>IF($A112="","",INDEX(tblTasks[Blocage],ROW()-4))</f>
      </c>
      <c r="G112" s="23">
        <f>IF($A112="","",INDEX(tblTasks[Niveau_criticite],ROW()-4))</f>
      </c>
      <c r="H112" s="23">
        <f>IF($A112="","",INDEX(tblTasks[Goulot],ROW()-4))</f>
      </c>
      <c r="I112" s="23">
        <f>IF($A112="","",IF(LOWER($F112)="oui","non",IF($E112="","oui",IFERROR(IF(LOWER(INDEX(tblTasks[Statut],MATCH($E112,tblTasks[ID],0)))="clos","oui","non"),"non"))))</f>
      </c>
      <c r="J112" s="25">
        <f>IF($A112="","",INDEX(tblTasks[Date_debut_prevue],ROW()-4))</f>
      </c>
      <c r="K112" s="25">
        <f>IF($A112="","",INDEX(tblTasks[Date_fin_prevue],ROW()-4))</f>
      </c>
      <c r="L112" s="23">
        <f>IF($A112="","",INDEX(tblTasks[Irreversibilite],ROW()-4))</f>
      </c>
      <c r="M112" s="26">
        <f>IF(OR($A112="",M$3=""),"",IF(AND($J112&lt;&gt;"",$K112&lt;&gt;"",$J112=$K112,$J112&gt;=M$3,$J112&lt;=IF(param_mode_affichage="mois",EOMONTH(M$3,0),M$3+6)),"◆",""))</f>
      </c>
      <c r="N112" s="26">
        <f>IF(OR($A112="",N$3=""),"",IF(AND($J112&lt;&gt;"",$K112&lt;&gt;"",$J112=$K112,$J112&gt;=N$3,$J112&lt;=IF(param_mode_affichage="mois",EOMONTH(N$3,0),N$3+6)),"◆",""))</f>
      </c>
      <c r="O112" s="26">
        <f>IF(OR($A112="",O$3=""),"",IF(AND($J112&lt;&gt;"",$K112&lt;&gt;"",$J112=$K112,$J112&gt;=O$3,$J112&lt;=IF(param_mode_affichage="mois",EOMONTH(O$3,0),O$3+6)),"◆",""))</f>
      </c>
      <c r="P112" s="26">
        <f>IF(OR($A112="",P$3=""),"",IF(AND($J112&lt;&gt;"",$K112&lt;&gt;"",$J112=$K112,$J112&gt;=P$3,$J112&lt;=IF(param_mode_affichage="mois",EOMONTH(P$3,0),P$3+6)),"◆",""))</f>
      </c>
      <c r="Q112" s="26">
        <f>IF(OR($A112="",Q$3=""),"",IF(AND($J112&lt;&gt;"",$K112&lt;&gt;"",$J112=$K112,$J112&gt;=Q$3,$J112&lt;=IF(param_mode_affichage="mois",EOMONTH(Q$3,0),Q$3+6)),"◆",""))</f>
      </c>
      <c r="R112" s="26">
        <f>IF(OR($A112="",R$3=""),"",IF(AND($J112&lt;&gt;"",$K112&lt;&gt;"",$J112=$K112,$J112&gt;=R$3,$J112&lt;=IF(param_mode_affichage="mois",EOMONTH(R$3,0),R$3+6)),"◆",""))</f>
      </c>
      <c r="S112" s="26">
        <f>IF(OR($A112="",S$3=""),"",IF(AND($J112&lt;&gt;"",$K112&lt;&gt;"",$J112=$K112,$J112&gt;=S$3,$J112&lt;=IF(param_mode_affichage="mois",EOMONTH(S$3,0),S$3+6)),"◆",""))</f>
      </c>
      <c r="T112" s="26">
        <f>IF(OR($A112="",T$3=""),"",IF(AND($J112&lt;&gt;"",$K112&lt;&gt;"",$J112=$K112,$J112&gt;=T$3,$J112&lt;=IF(param_mode_affichage="mois",EOMONTH(T$3,0),T$3+6)),"◆",""))</f>
      </c>
      <c r="U112" s="26">
        <f>IF(OR($A112="",U$3=""),"",IF(AND($J112&lt;&gt;"",$K112&lt;&gt;"",$J112=$K112,$J112&gt;=U$3,$J112&lt;=IF(param_mode_affichage="mois",EOMONTH(U$3,0),U$3+6)),"◆",""))</f>
      </c>
      <c r="V112" s="26">
        <f>IF(OR($A112="",V$3=""),"",IF(AND($J112&lt;&gt;"",$K112&lt;&gt;"",$J112=$K112,$J112&gt;=V$3,$J112&lt;=IF(param_mode_affichage="mois",EOMONTH(V$3,0),V$3+6)),"◆",""))</f>
      </c>
      <c r="W112" s="26">
        <f>IF(OR($A112="",W$3=""),"",IF(AND($J112&lt;&gt;"",$K112&lt;&gt;"",$J112=$K112,$J112&gt;=W$3,$J112&lt;=IF(param_mode_affichage="mois",EOMONTH(W$3,0),W$3+6)),"◆",""))</f>
      </c>
      <c r="X112" s="26">
        <f>IF(OR($A112="",X$3=""),"",IF(AND($J112&lt;&gt;"",$K112&lt;&gt;"",$J112=$K112,$J112&gt;=X$3,$J112&lt;=IF(param_mode_affichage="mois",EOMONTH(X$3,0),X$3+6)),"◆",""))</f>
      </c>
      <c r="Y112" s="26">
        <f>IF(OR($A112="",Y$3=""),"",IF(AND($J112&lt;&gt;"",$K112&lt;&gt;"",$J112=$K112,$J112&gt;=Y$3,$J112&lt;=IF(param_mode_affichage="mois",EOMONTH(Y$3,0),Y$3+6)),"◆",""))</f>
      </c>
      <c r="Z112" s="26">
        <f>IF(OR($A112="",Z$3=""),"",IF(AND($J112&lt;&gt;"",$K112&lt;&gt;"",$J112=$K112,$J112&gt;=Z$3,$J112&lt;=IF(param_mode_affichage="mois",EOMONTH(Z$3,0),Z$3+6)),"◆",""))</f>
      </c>
      <c r="AA112" s="26">
        <f>IF(OR($A112="",AA$3=""),"",IF(AND($J112&lt;&gt;"",$K112&lt;&gt;"",$J112=$K112,$J112&gt;=AA$3,$J112&lt;=IF(param_mode_affichage="mois",EOMONTH(AA$3,0),AA$3+6)),"◆",""))</f>
      </c>
      <c r="AB112" s="26">
        <f>IF(OR($A112="",AB$3=""),"",IF(AND($J112&lt;&gt;"",$K112&lt;&gt;"",$J112=$K112,$J112&gt;=AB$3,$J112&lt;=IF(param_mode_affichage="mois",EOMONTH(AB$3,0),AB$3+6)),"◆",""))</f>
      </c>
      <c r="AC112" s="26">
        <f>IF(OR($A112="",AC$3=""),"",IF(AND($J112&lt;&gt;"",$K112&lt;&gt;"",$J112=$K112,$J112&gt;=AC$3,$J112&lt;=IF(param_mode_affichage="mois",EOMONTH(AC$3,0),AC$3+6)),"◆",""))</f>
      </c>
      <c r="AD112" s="26">
        <f>IF(OR($A112="",AD$3=""),"",IF(AND($J112&lt;&gt;"",$K112&lt;&gt;"",$J112=$K112,$J112&gt;=AD$3,$J112&lt;=IF(param_mode_affichage="mois",EOMONTH(AD$3,0),AD$3+6)),"◆",""))</f>
      </c>
      <c r="AE112" s="26">
        <f>IF(OR($A112="",AE$3=""),"",IF(AND($J112&lt;&gt;"",$K112&lt;&gt;"",$J112=$K112,$J112&gt;=AE$3,$J112&lt;=IF(param_mode_affichage="mois",EOMONTH(AE$3,0),AE$3+6)),"◆",""))</f>
      </c>
      <c r="AF112" s="26">
        <f>IF(OR($A112="",AF$3=""),"",IF(AND($J112&lt;&gt;"",$K112&lt;&gt;"",$J112=$K112,$J112&gt;=AF$3,$J112&lt;=IF(param_mode_affichage="mois",EOMONTH(AF$3,0),AF$3+6)),"◆",""))</f>
      </c>
      <c r="AG112" s="26">
        <f>IF(OR($A112="",AG$3=""),"",IF(AND($J112&lt;&gt;"",$K112&lt;&gt;"",$J112=$K112,$J112&gt;=AG$3,$J112&lt;=IF(param_mode_affichage="mois",EOMONTH(AG$3,0),AG$3+6)),"◆",""))</f>
      </c>
      <c r="AH112" s="26">
        <f>IF(OR($A112="",AH$3=""),"",IF(AND($J112&lt;&gt;"",$K112&lt;&gt;"",$J112=$K112,$J112&gt;=AH$3,$J112&lt;=IF(param_mode_affichage="mois",EOMONTH(AH$3,0),AH$3+6)),"◆",""))</f>
      </c>
      <c r="AI112" s="26">
        <f>IF(OR($A112="",AI$3=""),"",IF(AND($J112&lt;&gt;"",$K112&lt;&gt;"",$J112=$K112,$J112&gt;=AI$3,$J112&lt;=IF(param_mode_affichage="mois",EOMONTH(AI$3,0),AI$3+6)),"◆",""))</f>
      </c>
      <c r="AJ112" s="26">
        <f>IF(OR($A112="",AJ$3=""),"",IF(AND($J112&lt;&gt;"",$K112&lt;&gt;"",$J112=$K112,$J112&gt;=AJ$3,$J112&lt;=IF(param_mode_affichage="mois",EOMONTH(AJ$3,0),AJ$3+6)),"◆",""))</f>
      </c>
      <c r="AK112" s="26">
        <f>IF(OR($A112="",AK$3=""),"",IF(AND($J112&lt;&gt;"",$K112&lt;&gt;"",$J112=$K112,$J112&gt;=AK$3,$J112&lt;=IF(param_mode_affichage="mois",EOMONTH(AK$3,0),AK$3+6)),"◆",""))</f>
      </c>
      <c r="AL112" s="26">
        <f>IF(OR($A112="",AL$3=""),"",IF(AND($J112&lt;&gt;"",$K112&lt;&gt;"",$J112=$K112,$J112&gt;=AL$3,$J112&lt;=IF(param_mode_affichage="mois",EOMONTH(AL$3,0),AL$3+6)),"◆",""))</f>
      </c>
      <c r="AM112" s="26">
        <f>IF(OR($A112="",AM$3=""),"",IF(AND($J112&lt;&gt;"",$K112&lt;&gt;"",$J112=$K112,$J112&gt;=AM$3,$J112&lt;=IF(param_mode_affichage="mois",EOMONTH(AM$3,0),AM$3+6)),"◆",""))</f>
      </c>
      <c r="AN112" s="26">
        <f>IF(OR($A112="",AN$3=""),"",IF(AND($J112&lt;&gt;"",$K112&lt;&gt;"",$J112=$K112,$J112&gt;=AN$3,$J112&lt;=IF(param_mode_affichage="mois",EOMONTH(AN$3,0),AN$3+6)),"◆",""))</f>
      </c>
      <c r="AO112" s="26">
        <f>IF(OR($A112="",AO$3=""),"",IF(AND($J112&lt;&gt;"",$K112&lt;&gt;"",$J112=$K112,$J112&gt;=AO$3,$J112&lt;=IF(param_mode_affichage="mois",EOMONTH(AO$3,0),AO$3+6)),"◆",""))</f>
      </c>
      <c r="AP112" s="26">
        <f>IF(OR($A112="",AP$3=""),"",IF(AND($J112&lt;&gt;"",$K112&lt;&gt;"",$J112=$K112,$J112&gt;=AP$3,$J112&lt;=IF(param_mode_affichage="mois",EOMONTH(AP$3,0),AP$3+6)),"◆",""))</f>
      </c>
      <c r="AQ112" s="26">
        <f>IF(OR($A112="",AQ$3=""),"",IF(AND($J112&lt;&gt;"",$K112&lt;&gt;"",$J112=$K112,$J112&gt;=AQ$3,$J112&lt;=IF(param_mode_affichage="mois",EOMONTH(AQ$3,0),AQ$3+6)),"◆",""))</f>
      </c>
      <c r="AR112" s="26">
        <f>IF(OR($A112="",AR$3=""),"",IF(AND($J112&lt;&gt;"",$K112&lt;&gt;"",$J112=$K112,$J112&gt;=AR$3,$J112&lt;=IF(param_mode_affichage="mois",EOMONTH(AR$3,0),AR$3+6)),"◆",""))</f>
      </c>
      <c r="AS112" s="26">
        <f>IF(OR($A112="",AS$3=""),"",IF(AND($J112&lt;&gt;"",$K112&lt;&gt;"",$J112=$K112,$J112&gt;=AS$3,$J112&lt;=IF(param_mode_affichage="mois",EOMONTH(AS$3,0),AS$3+6)),"◆",""))</f>
      </c>
      <c r="AT112" s="26">
        <f>IF(OR($A112="",AT$3=""),"",IF(AND($J112&lt;&gt;"",$K112&lt;&gt;"",$J112=$K112,$J112&gt;=AT$3,$J112&lt;=IF(param_mode_affichage="mois",EOMONTH(AT$3,0),AT$3+6)),"◆",""))</f>
      </c>
      <c r="AU112" s="26">
        <f>IF(OR($A112="",AU$3=""),"",IF(AND($J112&lt;&gt;"",$K112&lt;&gt;"",$J112=$K112,$J112&gt;=AU$3,$J112&lt;=IF(param_mode_affichage="mois",EOMONTH(AU$3,0),AU$3+6)),"◆",""))</f>
      </c>
      <c r="AV112" s="26">
        <f>IF(OR($A112="",AV$3=""),"",IF(AND($J112&lt;&gt;"",$K112&lt;&gt;"",$J112=$K112,$J112&gt;=AV$3,$J112&lt;=IF(param_mode_affichage="mois",EOMONTH(AV$3,0),AV$3+6)),"◆",""))</f>
      </c>
      <c r="AW112" s="26">
        <f>IF(OR($A112="",AW$3=""),"",IF(AND($J112&lt;&gt;"",$K112&lt;&gt;"",$J112=$K112,$J112&gt;=AW$3,$J112&lt;=IF(param_mode_affichage="mois",EOMONTH(AW$3,0),AW$3+6)),"◆",""))</f>
      </c>
      <c r="AX112" s="26">
        <f>IF(OR($A112="",AX$3=""),"",IF(AND($J112&lt;&gt;"",$K112&lt;&gt;"",$J112=$K112,$J112&gt;=AX$3,$J112&lt;=IF(param_mode_affichage="mois",EOMONTH(AX$3,0),AX$3+6)),"◆",""))</f>
      </c>
      <c r="AY112" s="26">
        <f>IF(OR($A112="",AY$3=""),"",IF(AND($J112&lt;&gt;"",$K112&lt;&gt;"",$J112=$K112,$J112&gt;=AY$3,$J112&lt;=IF(param_mode_affichage="mois",EOMONTH(AY$3,0),AY$3+6)),"◆",""))</f>
      </c>
      <c r="AZ112" s="26">
        <f>IF(OR($A112="",AZ$3=""),"",IF(AND($J112&lt;&gt;"",$K112&lt;&gt;"",$J112=$K112,$J112&gt;=AZ$3,$J112&lt;=IF(param_mode_affichage="mois",EOMONTH(AZ$3,0),AZ$3+6)),"◆",""))</f>
      </c>
      <c r="BA112" s="26">
        <f>IF(OR($A112="",BA$3=""),"",IF(AND($J112&lt;&gt;"",$K112&lt;&gt;"",$J112=$K112,$J112&gt;=BA$3,$J112&lt;=IF(param_mode_affichage="mois",EOMONTH(BA$3,0),BA$3+6)),"◆",""))</f>
      </c>
      <c r="BB112" s="26">
        <f>IF(OR($A112="",BB$3=""),"",IF(AND($J112&lt;&gt;"",$K112&lt;&gt;"",$J112=$K112,$J112&gt;=BB$3,$J112&lt;=IF(param_mode_affichage="mois",EOMONTH(BB$3,0),BB$3+6)),"◆",""))</f>
      </c>
      <c r="BC112" s="26">
        <f>IF(OR($A112="",BC$3=""),"",IF(AND($J112&lt;&gt;"",$K112&lt;&gt;"",$J112=$K112,$J112&gt;=BC$3,$J112&lt;=IF(param_mode_affichage="mois",EOMONTH(BC$3,0),BC$3+6)),"◆",""))</f>
      </c>
      <c r="BD112" s="26">
        <f>IF(OR($A112="",BD$3=""),"",IF(AND($J112&lt;&gt;"",$K112&lt;&gt;"",$J112=$K112,$J112&gt;=BD$3,$J112&lt;=IF(param_mode_affichage="mois",EOMONTH(BD$3,0),BD$3+6)),"◆",""))</f>
      </c>
      <c r="BE112" s="26">
        <f>IF(OR($A112="",BE$3=""),"",IF(AND($J112&lt;&gt;"",$K112&lt;&gt;"",$J112=$K112,$J112&gt;=BE$3,$J112&lt;=IF(param_mode_affichage="mois",EOMONTH(BE$3,0),BE$3+6)),"◆",""))</f>
      </c>
      <c r="BF112" s="26">
        <f>IF(OR($A112="",BF$3=""),"",IF(AND($J112&lt;&gt;"",$K112&lt;&gt;"",$J112=$K112,$J112&gt;=BF$3,$J112&lt;=IF(param_mode_affichage="mois",EOMONTH(BF$3,0),BF$3+6)),"◆",""))</f>
      </c>
      <c r="BG112" s="26">
        <f>IF(OR($A112="",BG$3=""),"",IF(AND($J112&lt;&gt;"",$K112&lt;&gt;"",$J112=$K112,$J112&gt;=BG$3,$J112&lt;=IF(param_mode_affichage="mois",EOMONTH(BG$3,0),BG$3+6)),"◆",""))</f>
      </c>
      <c r="BH112" s="26">
        <f>IF(OR($A112="",BH$3=""),"",IF(AND($J112&lt;&gt;"",$K112&lt;&gt;"",$J112=$K112,$J112&gt;=BH$3,$J112&lt;=IF(param_mode_affichage="mois",EOMONTH(BH$3,0),BH$3+6)),"◆",""))</f>
      </c>
      <c r="BI112" s="26">
        <f>IF(OR($A112="",BI$3=""),"",IF(AND($J112&lt;&gt;"",$K112&lt;&gt;"",$J112=$K112,$J112&gt;=BI$3,$J112&lt;=IF(param_mode_affichage="mois",EOMONTH(BI$3,0),BI$3+6)),"◆",""))</f>
      </c>
      <c r="BJ112" s="26">
        <f>IF(OR($A112="",BJ$3=""),"",IF(AND($J112&lt;&gt;"",$K112&lt;&gt;"",$J112=$K112,$J112&gt;=BJ$3,$J112&lt;=IF(param_mode_affichage="mois",EOMONTH(BJ$3,0),BJ$3+6)),"◆",""))</f>
      </c>
      <c r="BK112" s="26">
        <f>IF(OR($A112="",BK$3=""),"",IF(AND($J112&lt;&gt;"",$K112&lt;&gt;"",$J112=$K112,$J112&gt;=BK$3,$J112&lt;=IF(param_mode_affichage="mois",EOMONTH(BK$3,0),BK$3+6)),"◆",""))</f>
      </c>
      <c r="BL112" s="26">
        <f>IF(OR($A112="",BL$3=""),"",IF(AND($J112&lt;&gt;"",$K112&lt;&gt;"",$J112=$K112,$J112&gt;=BL$3,$J112&lt;=IF(param_mode_affichage="mois",EOMONTH(BL$3,0),BL$3+6)),"◆",""))</f>
      </c>
    </row>
    <row r="113" spans="1:64" x14ac:dyDescent="0.25">
      <c r="A113" s="23">
        <f>IFERROR(INDEX(tblTasks[ID],ROW()-4),"")</f>
      </c>
      <c r="B113" s="24">
        <f>IF($A113="","",INDEX(tblTasks[Sujet],ROW()-4))</f>
      </c>
      <c r="C113" s="23">
        <f>IF($A113="","",INDEX(tblTasks[Responsable],ROW()-4))</f>
      </c>
      <c r="D113" s="23">
        <f>IF($A113="","",INDEX(tblTasks[Statut],ROW()-4))</f>
      </c>
      <c r="E113" s="23">
        <f>IF($A113="","",INDEX(tblTasks[Depend_de],ROW()-4))</f>
      </c>
      <c r="F113" s="23">
        <f>IF($A113="","",INDEX(tblTasks[Blocage],ROW()-4))</f>
      </c>
      <c r="G113" s="23">
        <f>IF($A113="","",INDEX(tblTasks[Niveau_criticite],ROW()-4))</f>
      </c>
      <c r="H113" s="23">
        <f>IF($A113="","",INDEX(tblTasks[Goulot],ROW()-4))</f>
      </c>
      <c r="I113" s="23">
        <f>IF($A113="","",IF(LOWER($F113)="oui","non",IF($E113="","oui",IFERROR(IF(LOWER(INDEX(tblTasks[Statut],MATCH($E113,tblTasks[ID],0)))="clos","oui","non"),"non"))))</f>
      </c>
      <c r="J113" s="25">
        <f>IF($A113="","",INDEX(tblTasks[Date_debut_prevue],ROW()-4))</f>
      </c>
      <c r="K113" s="25">
        <f>IF($A113="","",INDEX(tblTasks[Date_fin_prevue],ROW()-4))</f>
      </c>
      <c r="L113" s="23">
        <f>IF($A113="","",INDEX(tblTasks[Irreversibilite],ROW()-4))</f>
      </c>
      <c r="M113" s="26">
        <f>IF(OR($A113="",M$3=""),"",IF(AND($J113&lt;&gt;"",$K113&lt;&gt;"",$J113=$K113,$J113&gt;=M$3,$J113&lt;=IF(param_mode_affichage="mois",EOMONTH(M$3,0),M$3+6)),"◆",""))</f>
      </c>
      <c r="N113" s="26">
        <f>IF(OR($A113="",N$3=""),"",IF(AND($J113&lt;&gt;"",$K113&lt;&gt;"",$J113=$K113,$J113&gt;=N$3,$J113&lt;=IF(param_mode_affichage="mois",EOMONTH(N$3,0),N$3+6)),"◆",""))</f>
      </c>
      <c r="O113" s="26">
        <f>IF(OR($A113="",O$3=""),"",IF(AND($J113&lt;&gt;"",$K113&lt;&gt;"",$J113=$K113,$J113&gt;=O$3,$J113&lt;=IF(param_mode_affichage="mois",EOMONTH(O$3,0),O$3+6)),"◆",""))</f>
      </c>
      <c r="P113" s="26">
        <f>IF(OR($A113="",P$3=""),"",IF(AND($J113&lt;&gt;"",$K113&lt;&gt;"",$J113=$K113,$J113&gt;=P$3,$J113&lt;=IF(param_mode_affichage="mois",EOMONTH(P$3,0),P$3+6)),"◆",""))</f>
      </c>
      <c r="Q113" s="26">
        <f>IF(OR($A113="",Q$3=""),"",IF(AND($J113&lt;&gt;"",$K113&lt;&gt;"",$J113=$K113,$J113&gt;=Q$3,$J113&lt;=IF(param_mode_affichage="mois",EOMONTH(Q$3,0),Q$3+6)),"◆",""))</f>
      </c>
      <c r="R113" s="26">
        <f>IF(OR($A113="",R$3=""),"",IF(AND($J113&lt;&gt;"",$K113&lt;&gt;"",$J113=$K113,$J113&gt;=R$3,$J113&lt;=IF(param_mode_affichage="mois",EOMONTH(R$3,0),R$3+6)),"◆",""))</f>
      </c>
      <c r="S113" s="26">
        <f>IF(OR($A113="",S$3=""),"",IF(AND($J113&lt;&gt;"",$K113&lt;&gt;"",$J113=$K113,$J113&gt;=S$3,$J113&lt;=IF(param_mode_affichage="mois",EOMONTH(S$3,0),S$3+6)),"◆",""))</f>
      </c>
      <c r="T113" s="26">
        <f>IF(OR($A113="",T$3=""),"",IF(AND($J113&lt;&gt;"",$K113&lt;&gt;"",$J113=$K113,$J113&gt;=T$3,$J113&lt;=IF(param_mode_affichage="mois",EOMONTH(T$3,0),T$3+6)),"◆",""))</f>
      </c>
      <c r="U113" s="26">
        <f>IF(OR($A113="",U$3=""),"",IF(AND($J113&lt;&gt;"",$K113&lt;&gt;"",$J113=$K113,$J113&gt;=U$3,$J113&lt;=IF(param_mode_affichage="mois",EOMONTH(U$3,0),U$3+6)),"◆",""))</f>
      </c>
      <c r="V113" s="26">
        <f>IF(OR($A113="",V$3=""),"",IF(AND($J113&lt;&gt;"",$K113&lt;&gt;"",$J113=$K113,$J113&gt;=V$3,$J113&lt;=IF(param_mode_affichage="mois",EOMONTH(V$3,0),V$3+6)),"◆",""))</f>
      </c>
      <c r="W113" s="26">
        <f>IF(OR($A113="",W$3=""),"",IF(AND($J113&lt;&gt;"",$K113&lt;&gt;"",$J113=$K113,$J113&gt;=W$3,$J113&lt;=IF(param_mode_affichage="mois",EOMONTH(W$3,0),W$3+6)),"◆",""))</f>
      </c>
      <c r="X113" s="26">
        <f>IF(OR($A113="",X$3=""),"",IF(AND($J113&lt;&gt;"",$K113&lt;&gt;"",$J113=$K113,$J113&gt;=X$3,$J113&lt;=IF(param_mode_affichage="mois",EOMONTH(X$3,0),X$3+6)),"◆",""))</f>
      </c>
      <c r="Y113" s="26">
        <f>IF(OR($A113="",Y$3=""),"",IF(AND($J113&lt;&gt;"",$K113&lt;&gt;"",$J113=$K113,$J113&gt;=Y$3,$J113&lt;=IF(param_mode_affichage="mois",EOMONTH(Y$3,0),Y$3+6)),"◆",""))</f>
      </c>
      <c r="Z113" s="26">
        <f>IF(OR($A113="",Z$3=""),"",IF(AND($J113&lt;&gt;"",$K113&lt;&gt;"",$J113=$K113,$J113&gt;=Z$3,$J113&lt;=IF(param_mode_affichage="mois",EOMONTH(Z$3,0),Z$3+6)),"◆",""))</f>
      </c>
      <c r="AA113" s="26">
        <f>IF(OR($A113="",AA$3=""),"",IF(AND($J113&lt;&gt;"",$K113&lt;&gt;"",$J113=$K113,$J113&gt;=AA$3,$J113&lt;=IF(param_mode_affichage="mois",EOMONTH(AA$3,0),AA$3+6)),"◆",""))</f>
      </c>
      <c r="AB113" s="26">
        <f>IF(OR($A113="",AB$3=""),"",IF(AND($J113&lt;&gt;"",$K113&lt;&gt;"",$J113=$K113,$J113&gt;=AB$3,$J113&lt;=IF(param_mode_affichage="mois",EOMONTH(AB$3,0),AB$3+6)),"◆",""))</f>
      </c>
      <c r="AC113" s="26">
        <f>IF(OR($A113="",AC$3=""),"",IF(AND($J113&lt;&gt;"",$K113&lt;&gt;"",$J113=$K113,$J113&gt;=AC$3,$J113&lt;=IF(param_mode_affichage="mois",EOMONTH(AC$3,0),AC$3+6)),"◆",""))</f>
      </c>
      <c r="AD113" s="26">
        <f>IF(OR($A113="",AD$3=""),"",IF(AND($J113&lt;&gt;"",$K113&lt;&gt;"",$J113=$K113,$J113&gt;=AD$3,$J113&lt;=IF(param_mode_affichage="mois",EOMONTH(AD$3,0),AD$3+6)),"◆",""))</f>
      </c>
      <c r="AE113" s="26">
        <f>IF(OR($A113="",AE$3=""),"",IF(AND($J113&lt;&gt;"",$K113&lt;&gt;"",$J113=$K113,$J113&gt;=AE$3,$J113&lt;=IF(param_mode_affichage="mois",EOMONTH(AE$3,0),AE$3+6)),"◆",""))</f>
      </c>
      <c r="AF113" s="26">
        <f>IF(OR($A113="",AF$3=""),"",IF(AND($J113&lt;&gt;"",$K113&lt;&gt;"",$J113=$K113,$J113&gt;=AF$3,$J113&lt;=IF(param_mode_affichage="mois",EOMONTH(AF$3,0),AF$3+6)),"◆",""))</f>
      </c>
      <c r="AG113" s="26">
        <f>IF(OR($A113="",AG$3=""),"",IF(AND($J113&lt;&gt;"",$K113&lt;&gt;"",$J113=$K113,$J113&gt;=AG$3,$J113&lt;=IF(param_mode_affichage="mois",EOMONTH(AG$3,0),AG$3+6)),"◆",""))</f>
      </c>
      <c r="AH113" s="26">
        <f>IF(OR($A113="",AH$3=""),"",IF(AND($J113&lt;&gt;"",$K113&lt;&gt;"",$J113=$K113,$J113&gt;=AH$3,$J113&lt;=IF(param_mode_affichage="mois",EOMONTH(AH$3,0),AH$3+6)),"◆",""))</f>
      </c>
      <c r="AI113" s="26">
        <f>IF(OR($A113="",AI$3=""),"",IF(AND($J113&lt;&gt;"",$K113&lt;&gt;"",$J113=$K113,$J113&gt;=AI$3,$J113&lt;=IF(param_mode_affichage="mois",EOMONTH(AI$3,0),AI$3+6)),"◆",""))</f>
      </c>
      <c r="AJ113" s="26">
        <f>IF(OR($A113="",AJ$3=""),"",IF(AND($J113&lt;&gt;"",$K113&lt;&gt;"",$J113=$K113,$J113&gt;=AJ$3,$J113&lt;=IF(param_mode_affichage="mois",EOMONTH(AJ$3,0),AJ$3+6)),"◆",""))</f>
      </c>
      <c r="AK113" s="26">
        <f>IF(OR($A113="",AK$3=""),"",IF(AND($J113&lt;&gt;"",$K113&lt;&gt;"",$J113=$K113,$J113&gt;=AK$3,$J113&lt;=IF(param_mode_affichage="mois",EOMONTH(AK$3,0),AK$3+6)),"◆",""))</f>
      </c>
      <c r="AL113" s="26">
        <f>IF(OR($A113="",AL$3=""),"",IF(AND($J113&lt;&gt;"",$K113&lt;&gt;"",$J113=$K113,$J113&gt;=AL$3,$J113&lt;=IF(param_mode_affichage="mois",EOMONTH(AL$3,0),AL$3+6)),"◆",""))</f>
      </c>
      <c r="AM113" s="26">
        <f>IF(OR($A113="",AM$3=""),"",IF(AND($J113&lt;&gt;"",$K113&lt;&gt;"",$J113=$K113,$J113&gt;=AM$3,$J113&lt;=IF(param_mode_affichage="mois",EOMONTH(AM$3,0),AM$3+6)),"◆",""))</f>
      </c>
      <c r="AN113" s="26">
        <f>IF(OR($A113="",AN$3=""),"",IF(AND($J113&lt;&gt;"",$K113&lt;&gt;"",$J113=$K113,$J113&gt;=AN$3,$J113&lt;=IF(param_mode_affichage="mois",EOMONTH(AN$3,0),AN$3+6)),"◆",""))</f>
      </c>
      <c r="AO113" s="26">
        <f>IF(OR($A113="",AO$3=""),"",IF(AND($J113&lt;&gt;"",$K113&lt;&gt;"",$J113=$K113,$J113&gt;=AO$3,$J113&lt;=IF(param_mode_affichage="mois",EOMONTH(AO$3,0),AO$3+6)),"◆",""))</f>
      </c>
      <c r="AP113" s="26">
        <f>IF(OR($A113="",AP$3=""),"",IF(AND($J113&lt;&gt;"",$K113&lt;&gt;"",$J113=$K113,$J113&gt;=AP$3,$J113&lt;=IF(param_mode_affichage="mois",EOMONTH(AP$3,0),AP$3+6)),"◆",""))</f>
      </c>
      <c r="AQ113" s="26">
        <f>IF(OR($A113="",AQ$3=""),"",IF(AND($J113&lt;&gt;"",$K113&lt;&gt;"",$J113=$K113,$J113&gt;=AQ$3,$J113&lt;=IF(param_mode_affichage="mois",EOMONTH(AQ$3,0),AQ$3+6)),"◆",""))</f>
      </c>
      <c r="AR113" s="26">
        <f>IF(OR($A113="",AR$3=""),"",IF(AND($J113&lt;&gt;"",$K113&lt;&gt;"",$J113=$K113,$J113&gt;=AR$3,$J113&lt;=IF(param_mode_affichage="mois",EOMONTH(AR$3,0),AR$3+6)),"◆",""))</f>
      </c>
      <c r="AS113" s="26">
        <f>IF(OR($A113="",AS$3=""),"",IF(AND($J113&lt;&gt;"",$K113&lt;&gt;"",$J113=$K113,$J113&gt;=AS$3,$J113&lt;=IF(param_mode_affichage="mois",EOMONTH(AS$3,0),AS$3+6)),"◆",""))</f>
      </c>
      <c r="AT113" s="26">
        <f>IF(OR($A113="",AT$3=""),"",IF(AND($J113&lt;&gt;"",$K113&lt;&gt;"",$J113=$K113,$J113&gt;=AT$3,$J113&lt;=IF(param_mode_affichage="mois",EOMONTH(AT$3,0),AT$3+6)),"◆",""))</f>
      </c>
      <c r="AU113" s="26">
        <f>IF(OR($A113="",AU$3=""),"",IF(AND($J113&lt;&gt;"",$K113&lt;&gt;"",$J113=$K113,$J113&gt;=AU$3,$J113&lt;=IF(param_mode_affichage="mois",EOMONTH(AU$3,0),AU$3+6)),"◆",""))</f>
      </c>
      <c r="AV113" s="26">
        <f>IF(OR($A113="",AV$3=""),"",IF(AND($J113&lt;&gt;"",$K113&lt;&gt;"",$J113=$K113,$J113&gt;=AV$3,$J113&lt;=IF(param_mode_affichage="mois",EOMONTH(AV$3,0),AV$3+6)),"◆",""))</f>
      </c>
      <c r="AW113" s="26">
        <f>IF(OR($A113="",AW$3=""),"",IF(AND($J113&lt;&gt;"",$K113&lt;&gt;"",$J113=$K113,$J113&gt;=AW$3,$J113&lt;=IF(param_mode_affichage="mois",EOMONTH(AW$3,0),AW$3+6)),"◆",""))</f>
      </c>
      <c r="AX113" s="26">
        <f>IF(OR($A113="",AX$3=""),"",IF(AND($J113&lt;&gt;"",$K113&lt;&gt;"",$J113=$K113,$J113&gt;=AX$3,$J113&lt;=IF(param_mode_affichage="mois",EOMONTH(AX$3,0),AX$3+6)),"◆",""))</f>
      </c>
      <c r="AY113" s="26">
        <f>IF(OR($A113="",AY$3=""),"",IF(AND($J113&lt;&gt;"",$K113&lt;&gt;"",$J113=$K113,$J113&gt;=AY$3,$J113&lt;=IF(param_mode_affichage="mois",EOMONTH(AY$3,0),AY$3+6)),"◆",""))</f>
      </c>
      <c r="AZ113" s="26">
        <f>IF(OR($A113="",AZ$3=""),"",IF(AND($J113&lt;&gt;"",$K113&lt;&gt;"",$J113=$K113,$J113&gt;=AZ$3,$J113&lt;=IF(param_mode_affichage="mois",EOMONTH(AZ$3,0),AZ$3+6)),"◆",""))</f>
      </c>
      <c r="BA113" s="26">
        <f>IF(OR($A113="",BA$3=""),"",IF(AND($J113&lt;&gt;"",$K113&lt;&gt;"",$J113=$K113,$J113&gt;=BA$3,$J113&lt;=IF(param_mode_affichage="mois",EOMONTH(BA$3,0),BA$3+6)),"◆",""))</f>
      </c>
      <c r="BB113" s="26">
        <f>IF(OR($A113="",BB$3=""),"",IF(AND($J113&lt;&gt;"",$K113&lt;&gt;"",$J113=$K113,$J113&gt;=BB$3,$J113&lt;=IF(param_mode_affichage="mois",EOMONTH(BB$3,0),BB$3+6)),"◆",""))</f>
      </c>
      <c r="BC113" s="26">
        <f>IF(OR($A113="",BC$3=""),"",IF(AND($J113&lt;&gt;"",$K113&lt;&gt;"",$J113=$K113,$J113&gt;=BC$3,$J113&lt;=IF(param_mode_affichage="mois",EOMONTH(BC$3,0),BC$3+6)),"◆",""))</f>
      </c>
      <c r="BD113" s="26">
        <f>IF(OR($A113="",BD$3=""),"",IF(AND($J113&lt;&gt;"",$K113&lt;&gt;"",$J113=$K113,$J113&gt;=BD$3,$J113&lt;=IF(param_mode_affichage="mois",EOMONTH(BD$3,0),BD$3+6)),"◆",""))</f>
      </c>
      <c r="BE113" s="26">
        <f>IF(OR($A113="",BE$3=""),"",IF(AND($J113&lt;&gt;"",$K113&lt;&gt;"",$J113=$K113,$J113&gt;=BE$3,$J113&lt;=IF(param_mode_affichage="mois",EOMONTH(BE$3,0),BE$3+6)),"◆",""))</f>
      </c>
      <c r="BF113" s="26">
        <f>IF(OR($A113="",BF$3=""),"",IF(AND($J113&lt;&gt;"",$K113&lt;&gt;"",$J113=$K113,$J113&gt;=BF$3,$J113&lt;=IF(param_mode_affichage="mois",EOMONTH(BF$3,0),BF$3+6)),"◆",""))</f>
      </c>
      <c r="BG113" s="26">
        <f>IF(OR($A113="",BG$3=""),"",IF(AND($J113&lt;&gt;"",$K113&lt;&gt;"",$J113=$K113,$J113&gt;=BG$3,$J113&lt;=IF(param_mode_affichage="mois",EOMONTH(BG$3,0),BG$3+6)),"◆",""))</f>
      </c>
      <c r="BH113" s="26">
        <f>IF(OR($A113="",BH$3=""),"",IF(AND($J113&lt;&gt;"",$K113&lt;&gt;"",$J113=$K113,$J113&gt;=BH$3,$J113&lt;=IF(param_mode_affichage="mois",EOMONTH(BH$3,0),BH$3+6)),"◆",""))</f>
      </c>
      <c r="BI113" s="26">
        <f>IF(OR($A113="",BI$3=""),"",IF(AND($J113&lt;&gt;"",$K113&lt;&gt;"",$J113=$K113,$J113&gt;=BI$3,$J113&lt;=IF(param_mode_affichage="mois",EOMONTH(BI$3,0),BI$3+6)),"◆",""))</f>
      </c>
      <c r="BJ113" s="26">
        <f>IF(OR($A113="",BJ$3=""),"",IF(AND($J113&lt;&gt;"",$K113&lt;&gt;"",$J113=$K113,$J113&gt;=BJ$3,$J113&lt;=IF(param_mode_affichage="mois",EOMONTH(BJ$3,0),BJ$3+6)),"◆",""))</f>
      </c>
      <c r="BK113" s="26">
        <f>IF(OR($A113="",BK$3=""),"",IF(AND($J113&lt;&gt;"",$K113&lt;&gt;"",$J113=$K113,$J113&gt;=BK$3,$J113&lt;=IF(param_mode_affichage="mois",EOMONTH(BK$3,0),BK$3+6)),"◆",""))</f>
      </c>
      <c r="BL113" s="26">
        <f>IF(OR($A113="",BL$3=""),"",IF(AND($J113&lt;&gt;"",$K113&lt;&gt;"",$J113=$K113,$J113&gt;=BL$3,$J113&lt;=IF(param_mode_affichage="mois",EOMONTH(BL$3,0),BL$3+6)),"◆",""))</f>
      </c>
    </row>
    <row r="114" spans="1:64" x14ac:dyDescent="0.25">
      <c r="A114" s="23">
        <f>IFERROR(INDEX(tblTasks[ID],ROW()-4),"")</f>
      </c>
      <c r="B114" s="24">
        <f>IF($A114="","",INDEX(tblTasks[Sujet],ROW()-4))</f>
      </c>
      <c r="C114" s="23">
        <f>IF($A114="","",INDEX(tblTasks[Responsable],ROW()-4))</f>
      </c>
      <c r="D114" s="23">
        <f>IF($A114="","",INDEX(tblTasks[Statut],ROW()-4))</f>
      </c>
      <c r="E114" s="23">
        <f>IF($A114="","",INDEX(tblTasks[Depend_de],ROW()-4))</f>
      </c>
      <c r="F114" s="23">
        <f>IF($A114="","",INDEX(tblTasks[Blocage],ROW()-4))</f>
      </c>
      <c r="G114" s="23">
        <f>IF($A114="","",INDEX(tblTasks[Niveau_criticite],ROW()-4))</f>
      </c>
      <c r="H114" s="23">
        <f>IF($A114="","",INDEX(tblTasks[Goulot],ROW()-4))</f>
      </c>
      <c r="I114" s="23">
        <f>IF($A114="","",IF(LOWER($F114)="oui","non",IF($E114="","oui",IFERROR(IF(LOWER(INDEX(tblTasks[Statut],MATCH($E114,tblTasks[ID],0)))="clos","oui","non"),"non"))))</f>
      </c>
      <c r="J114" s="25">
        <f>IF($A114="","",INDEX(tblTasks[Date_debut_prevue],ROW()-4))</f>
      </c>
      <c r="K114" s="25">
        <f>IF($A114="","",INDEX(tblTasks[Date_fin_prevue],ROW()-4))</f>
      </c>
      <c r="L114" s="23">
        <f>IF($A114="","",INDEX(tblTasks[Irreversibilite],ROW()-4))</f>
      </c>
      <c r="M114" s="26">
        <f>IF(OR($A114="",M$3=""),"",IF(AND($J114&lt;&gt;"",$K114&lt;&gt;"",$J114=$K114,$J114&gt;=M$3,$J114&lt;=IF(param_mode_affichage="mois",EOMONTH(M$3,0),M$3+6)),"◆",""))</f>
      </c>
      <c r="N114" s="26">
        <f>IF(OR($A114="",N$3=""),"",IF(AND($J114&lt;&gt;"",$K114&lt;&gt;"",$J114=$K114,$J114&gt;=N$3,$J114&lt;=IF(param_mode_affichage="mois",EOMONTH(N$3,0),N$3+6)),"◆",""))</f>
      </c>
      <c r="O114" s="26">
        <f>IF(OR($A114="",O$3=""),"",IF(AND($J114&lt;&gt;"",$K114&lt;&gt;"",$J114=$K114,$J114&gt;=O$3,$J114&lt;=IF(param_mode_affichage="mois",EOMONTH(O$3,0),O$3+6)),"◆",""))</f>
      </c>
      <c r="P114" s="26">
        <f>IF(OR($A114="",P$3=""),"",IF(AND($J114&lt;&gt;"",$K114&lt;&gt;"",$J114=$K114,$J114&gt;=P$3,$J114&lt;=IF(param_mode_affichage="mois",EOMONTH(P$3,0),P$3+6)),"◆",""))</f>
      </c>
      <c r="Q114" s="26">
        <f>IF(OR($A114="",Q$3=""),"",IF(AND($J114&lt;&gt;"",$K114&lt;&gt;"",$J114=$K114,$J114&gt;=Q$3,$J114&lt;=IF(param_mode_affichage="mois",EOMONTH(Q$3,0),Q$3+6)),"◆",""))</f>
      </c>
      <c r="R114" s="26">
        <f>IF(OR($A114="",R$3=""),"",IF(AND($J114&lt;&gt;"",$K114&lt;&gt;"",$J114=$K114,$J114&gt;=R$3,$J114&lt;=IF(param_mode_affichage="mois",EOMONTH(R$3,0),R$3+6)),"◆",""))</f>
      </c>
      <c r="S114" s="26">
        <f>IF(OR($A114="",S$3=""),"",IF(AND($J114&lt;&gt;"",$K114&lt;&gt;"",$J114=$K114,$J114&gt;=S$3,$J114&lt;=IF(param_mode_affichage="mois",EOMONTH(S$3,0),S$3+6)),"◆",""))</f>
      </c>
      <c r="T114" s="26">
        <f>IF(OR($A114="",T$3=""),"",IF(AND($J114&lt;&gt;"",$K114&lt;&gt;"",$J114=$K114,$J114&gt;=T$3,$J114&lt;=IF(param_mode_affichage="mois",EOMONTH(T$3,0),T$3+6)),"◆",""))</f>
      </c>
      <c r="U114" s="26">
        <f>IF(OR($A114="",U$3=""),"",IF(AND($J114&lt;&gt;"",$K114&lt;&gt;"",$J114=$K114,$J114&gt;=U$3,$J114&lt;=IF(param_mode_affichage="mois",EOMONTH(U$3,0),U$3+6)),"◆",""))</f>
      </c>
      <c r="V114" s="26">
        <f>IF(OR($A114="",V$3=""),"",IF(AND($J114&lt;&gt;"",$K114&lt;&gt;"",$J114=$K114,$J114&gt;=V$3,$J114&lt;=IF(param_mode_affichage="mois",EOMONTH(V$3,0),V$3+6)),"◆",""))</f>
      </c>
      <c r="W114" s="26">
        <f>IF(OR($A114="",W$3=""),"",IF(AND($J114&lt;&gt;"",$K114&lt;&gt;"",$J114=$K114,$J114&gt;=W$3,$J114&lt;=IF(param_mode_affichage="mois",EOMONTH(W$3,0),W$3+6)),"◆",""))</f>
      </c>
      <c r="X114" s="26">
        <f>IF(OR($A114="",X$3=""),"",IF(AND($J114&lt;&gt;"",$K114&lt;&gt;"",$J114=$K114,$J114&gt;=X$3,$J114&lt;=IF(param_mode_affichage="mois",EOMONTH(X$3,0),X$3+6)),"◆",""))</f>
      </c>
      <c r="Y114" s="26">
        <f>IF(OR($A114="",Y$3=""),"",IF(AND($J114&lt;&gt;"",$K114&lt;&gt;"",$J114=$K114,$J114&gt;=Y$3,$J114&lt;=IF(param_mode_affichage="mois",EOMONTH(Y$3,0),Y$3+6)),"◆",""))</f>
      </c>
      <c r="Z114" s="26">
        <f>IF(OR($A114="",Z$3=""),"",IF(AND($J114&lt;&gt;"",$K114&lt;&gt;"",$J114=$K114,$J114&gt;=Z$3,$J114&lt;=IF(param_mode_affichage="mois",EOMONTH(Z$3,0),Z$3+6)),"◆",""))</f>
      </c>
      <c r="AA114" s="26">
        <f>IF(OR($A114="",AA$3=""),"",IF(AND($J114&lt;&gt;"",$K114&lt;&gt;"",$J114=$K114,$J114&gt;=AA$3,$J114&lt;=IF(param_mode_affichage="mois",EOMONTH(AA$3,0),AA$3+6)),"◆",""))</f>
      </c>
      <c r="AB114" s="26">
        <f>IF(OR($A114="",AB$3=""),"",IF(AND($J114&lt;&gt;"",$K114&lt;&gt;"",$J114=$K114,$J114&gt;=AB$3,$J114&lt;=IF(param_mode_affichage="mois",EOMONTH(AB$3,0),AB$3+6)),"◆",""))</f>
      </c>
      <c r="AC114" s="26">
        <f>IF(OR($A114="",AC$3=""),"",IF(AND($J114&lt;&gt;"",$K114&lt;&gt;"",$J114=$K114,$J114&gt;=AC$3,$J114&lt;=IF(param_mode_affichage="mois",EOMONTH(AC$3,0),AC$3+6)),"◆",""))</f>
      </c>
      <c r="AD114" s="26">
        <f>IF(OR($A114="",AD$3=""),"",IF(AND($J114&lt;&gt;"",$K114&lt;&gt;"",$J114=$K114,$J114&gt;=AD$3,$J114&lt;=IF(param_mode_affichage="mois",EOMONTH(AD$3,0),AD$3+6)),"◆",""))</f>
      </c>
      <c r="AE114" s="26">
        <f>IF(OR($A114="",AE$3=""),"",IF(AND($J114&lt;&gt;"",$K114&lt;&gt;"",$J114=$K114,$J114&gt;=AE$3,$J114&lt;=IF(param_mode_affichage="mois",EOMONTH(AE$3,0),AE$3+6)),"◆",""))</f>
      </c>
      <c r="AF114" s="26">
        <f>IF(OR($A114="",AF$3=""),"",IF(AND($J114&lt;&gt;"",$K114&lt;&gt;"",$J114=$K114,$J114&gt;=AF$3,$J114&lt;=IF(param_mode_affichage="mois",EOMONTH(AF$3,0),AF$3+6)),"◆",""))</f>
      </c>
      <c r="AG114" s="26">
        <f>IF(OR($A114="",AG$3=""),"",IF(AND($J114&lt;&gt;"",$K114&lt;&gt;"",$J114=$K114,$J114&gt;=AG$3,$J114&lt;=IF(param_mode_affichage="mois",EOMONTH(AG$3,0),AG$3+6)),"◆",""))</f>
      </c>
      <c r="AH114" s="26">
        <f>IF(OR($A114="",AH$3=""),"",IF(AND($J114&lt;&gt;"",$K114&lt;&gt;"",$J114=$K114,$J114&gt;=AH$3,$J114&lt;=IF(param_mode_affichage="mois",EOMONTH(AH$3,0),AH$3+6)),"◆",""))</f>
      </c>
      <c r="AI114" s="26">
        <f>IF(OR($A114="",AI$3=""),"",IF(AND($J114&lt;&gt;"",$K114&lt;&gt;"",$J114=$K114,$J114&gt;=AI$3,$J114&lt;=IF(param_mode_affichage="mois",EOMONTH(AI$3,0),AI$3+6)),"◆",""))</f>
      </c>
      <c r="AJ114" s="26">
        <f>IF(OR($A114="",AJ$3=""),"",IF(AND($J114&lt;&gt;"",$K114&lt;&gt;"",$J114=$K114,$J114&gt;=AJ$3,$J114&lt;=IF(param_mode_affichage="mois",EOMONTH(AJ$3,0),AJ$3+6)),"◆",""))</f>
      </c>
      <c r="AK114" s="26">
        <f>IF(OR($A114="",AK$3=""),"",IF(AND($J114&lt;&gt;"",$K114&lt;&gt;"",$J114=$K114,$J114&gt;=AK$3,$J114&lt;=IF(param_mode_affichage="mois",EOMONTH(AK$3,0),AK$3+6)),"◆",""))</f>
      </c>
      <c r="AL114" s="26">
        <f>IF(OR($A114="",AL$3=""),"",IF(AND($J114&lt;&gt;"",$K114&lt;&gt;"",$J114=$K114,$J114&gt;=AL$3,$J114&lt;=IF(param_mode_affichage="mois",EOMONTH(AL$3,0),AL$3+6)),"◆",""))</f>
      </c>
      <c r="AM114" s="26">
        <f>IF(OR($A114="",AM$3=""),"",IF(AND($J114&lt;&gt;"",$K114&lt;&gt;"",$J114=$K114,$J114&gt;=AM$3,$J114&lt;=IF(param_mode_affichage="mois",EOMONTH(AM$3,0),AM$3+6)),"◆",""))</f>
      </c>
      <c r="AN114" s="26">
        <f>IF(OR($A114="",AN$3=""),"",IF(AND($J114&lt;&gt;"",$K114&lt;&gt;"",$J114=$K114,$J114&gt;=AN$3,$J114&lt;=IF(param_mode_affichage="mois",EOMONTH(AN$3,0),AN$3+6)),"◆",""))</f>
      </c>
      <c r="AO114" s="26">
        <f>IF(OR($A114="",AO$3=""),"",IF(AND($J114&lt;&gt;"",$K114&lt;&gt;"",$J114=$K114,$J114&gt;=AO$3,$J114&lt;=IF(param_mode_affichage="mois",EOMONTH(AO$3,0),AO$3+6)),"◆",""))</f>
      </c>
      <c r="AP114" s="26">
        <f>IF(OR($A114="",AP$3=""),"",IF(AND($J114&lt;&gt;"",$K114&lt;&gt;"",$J114=$K114,$J114&gt;=AP$3,$J114&lt;=IF(param_mode_affichage="mois",EOMONTH(AP$3,0),AP$3+6)),"◆",""))</f>
      </c>
      <c r="AQ114" s="26">
        <f>IF(OR($A114="",AQ$3=""),"",IF(AND($J114&lt;&gt;"",$K114&lt;&gt;"",$J114=$K114,$J114&gt;=AQ$3,$J114&lt;=IF(param_mode_affichage="mois",EOMONTH(AQ$3,0),AQ$3+6)),"◆",""))</f>
      </c>
      <c r="AR114" s="26">
        <f>IF(OR($A114="",AR$3=""),"",IF(AND($J114&lt;&gt;"",$K114&lt;&gt;"",$J114=$K114,$J114&gt;=AR$3,$J114&lt;=IF(param_mode_affichage="mois",EOMONTH(AR$3,0),AR$3+6)),"◆",""))</f>
      </c>
      <c r="AS114" s="26">
        <f>IF(OR($A114="",AS$3=""),"",IF(AND($J114&lt;&gt;"",$K114&lt;&gt;"",$J114=$K114,$J114&gt;=AS$3,$J114&lt;=IF(param_mode_affichage="mois",EOMONTH(AS$3,0),AS$3+6)),"◆",""))</f>
      </c>
      <c r="AT114" s="26">
        <f>IF(OR($A114="",AT$3=""),"",IF(AND($J114&lt;&gt;"",$K114&lt;&gt;"",$J114=$K114,$J114&gt;=AT$3,$J114&lt;=IF(param_mode_affichage="mois",EOMONTH(AT$3,0),AT$3+6)),"◆",""))</f>
      </c>
      <c r="AU114" s="26">
        <f>IF(OR($A114="",AU$3=""),"",IF(AND($J114&lt;&gt;"",$K114&lt;&gt;"",$J114=$K114,$J114&gt;=AU$3,$J114&lt;=IF(param_mode_affichage="mois",EOMONTH(AU$3,0),AU$3+6)),"◆",""))</f>
      </c>
      <c r="AV114" s="26">
        <f>IF(OR($A114="",AV$3=""),"",IF(AND($J114&lt;&gt;"",$K114&lt;&gt;"",$J114=$K114,$J114&gt;=AV$3,$J114&lt;=IF(param_mode_affichage="mois",EOMONTH(AV$3,0),AV$3+6)),"◆",""))</f>
      </c>
      <c r="AW114" s="26">
        <f>IF(OR($A114="",AW$3=""),"",IF(AND($J114&lt;&gt;"",$K114&lt;&gt;"",$J114=$K114,$J114&gt;=AW$3,$J114&lt;=IF(param_mode_affichage="mois",EOMONTH(AW$3,0),AW$3+6)),"◆",""))</f>
      </c>
      <c r="AX114" s="26">
        <f>IF(OR($A114="",AX$3=""),"",IF(AND($J114&lt;&gt;"",$K114&lt;&gt;"",$J114=$K114,$J114&gt;=AX$3,$J114&lt;=IF(param_mode_affichage="mois",EOMONTH(AX$3,0),AX$3+6)),"◆",""))</f>
      </c>
      <c r="AY114" s="26">
        <f>IF(OR($A114="",AY$3=""),"",IF(AND($J114&lt;&gt;"",$K114&lt;&gt;"",$J114=$K114,$J114&gt;=AY$3,$J114&lt;=IF(param_mode_affichage="mois",EOMONTH(AY$3,0),AY$3+6)),"◆",""))</f>
      </c>
      <c r="AZ114" s="26">
        <f>IF(OR($A114="",AZ$3=""),"",IF(AND($J114&lt;&gt;"",$K114&lt;&gt;"",$J114=$K114,$J114&gt;=AZ$3,$J114&lt;=IF(param_mode_affichage="mois",EOMONTH(AZ$3,0),AZ$3+6)),"◆",""))</f>
      </c>
      <c r="BA114" s="26">
        <f>IF(OR($A114="",BA$3=""),"",IF(AND($J114&lt;&gt;"",$K114&lt;&gt;"",$J114=$K114,$J114&gt;=BA$3,$J114&lt;=IF(param_mode_affichage="mois",EOMONTH(BA$3,0),BA$3+6)),"◆",""))</f>
      </c>
      <c r="BB114" s="26">
        <f>IF(OR($A114="",BB$3=""),"",IF(AND($J114&lt;&gt;"",$K114&lt;&gt;"",$J114=$K114,$J114&gt;=BB$3,$J114&lt;=IF(param_mode_affichage="mois",EOMONTH(BB$3,0),BB$3+6)),"◆",""))</f>
      </c>
      <c r="BC114" s="26">
        <f>IF(OR($A114="",BC$3=""),"",IF(AND($J114&lt;&gt;"",$K114&lt;&gt;"",$J114=$K114,$J114&gt;=BC$3,$J114&lt;=IF(param_mode_affichage="mois",EOMONTH(BC$3,0),BC$3+6)),"◆",""))</f>
      </c>
      <c r="BD114" s="26">
        <f>IF(OR($A114="",BD$3=""),"",IF(AND($J114&lt;&gt;"",$K114&lt;&gt;"",$J114=$K114,$J114&gt;=BD$3,$J114&lt;=IF(param_mode_affichage="mois",EOMONTH(BD$3,0),BD$3+6)),"◆",""))</f>
      </c>
      <c r="BE114" s="26">
        <f>IF(OR($A114="",BE$3=""),"",IF(AND($J114&lt;&gt;"",$K114&lt;&gt;"",$J114=$K114,$J114&gt;=BE$3,$J114&lt;=IF(param_mode_affichage="mois",EOMONTH(BE$3,0),BE$3+6)),"◆",""))</f>
      </c>
      <c r="BF114" s="26">
        <f>IF(OR($A114="",BF$3=""),"",IF(AND($J114&lt;&gt;"",$K114&lt;&gt;"",$J114=$K114,$J114&gt;=BF$3,$J114&lt;=IF(param_mode_affichage="mois",EOMONTH(BF$3,0),BF$3+6)),"◆",""))</f>
      </c>
      <c r="BG114" s="26">
        <f>IF(OR($A114="",BG$3=""),"",IF(AND($J114&lt;&gt;"",$K114&lt;&gt;"",$J114=$K114,$J114&gt;=BG$3,$J114&lt;=IF(param_mode_affichage="mois",EOMONTH(BG$3,0),BG$3+6)),"◆",""))</f>
      </c>
      <c r="BH114" s="26">
        <f>IF(OR($A114="",BH$3=""),"",IF(AND($J114&lt;&gt;"",$K114&lt;&gt;"",$J114=$K114,$J114&gt;=BH$3,$J114&lt;=IF(param_mode_affichage="mois",EOMONTH(BH$3,0),BH$3+6)),"◆",""))</f>
      </c>
      <c r="BI114" s="26">
        <f>IF(OR($A114="",BI$3=""),"",IF(AND($J114&lt;&gt;"",$K114&lt;&gt;"",$J114=$K114,$J114&gt;=BI$3,$J114&lt;=IF(param_mode_affichage="mois",EOMONTH(BI$3,0),BI$3+6)),"◆",""))</f>
      </c>
      <c r="BJ114" s="26">
        <f>IF(OR($A114="",BJ$3=""),"",IF(AND($J114&lt;&gt;"",$K114&lt;&gt;"",$J114=$K114,$J114&gt;=BJ$3,$J114&lt;=IF(param_mode_affichage="mois",EOMONTH(BJ$3,0),BJ$3+6)),"◆",""))</f>
      </c>
      <c r="BK114" s="26">
        <f>IF(OR($A114="",BK$3=""),"",IF(AND($J114&lt;&gt;"",$K114&lt;&gt;"",$J114=$K114,$J114&gt;=BK$3,$J114&lt;=IF(param_mode_affichage="mois",EOMONTH(BK$3,0),BK$3+6)),"◆",""))</f>
      </c>
      <c r="BL114" s="26">
        <f>IF(OR($A114="",BL$3=""),"",IF(AND($J114&lt;&gt;"",$K114&lt;&gt;"",$J114=$K114,$J114&gt;=BL$3,$J114&lt;=IF(param_mode_affichage="mois",EOMONTH(BL$3,0),BL$3+6)),"◆",""))</f>
      </c>
    </row>
    <row r="115" spans="1:64" x14ac:dyDescent="0.25">
      <c r="A115" s="23">
        <f>IFERROR(INDEX(tblTasks[ID],ROW()-4),"")</f>
      </c>
      <c r="B115" s="24">
        <f>IF($A115="","",INDEX(tblTasks[Sujet],ROW()-4))</f>
      </c>
      <c r="C115" s="23">
        <f>IF($A115="","",INDEX(tblTasks[Responsable],ROW()-4))</f>
      </c>
      <c r="D115" s="23">
        <f>IF($A115="","",INDEX(tblTasks[Statut],ROW()-4))</f>
      </c>
      <c r="E115" s="23">
        <f>IF($A115="","",INDEX(tblTasks[Depend_de],ROW()-4))</f>
      </c>
      <c r="F115" s="23">
        <f>IF($A115="","",INDEX(tblTasks[Blocage],ROW()-4))</f>
      </c>
      <c r="G115" s="23">
        <f>IF($A115="","",INDEX(tblTasks[Niveau_criticite],ROW()-4))</f>
      </c>
      <c r="H115" s="23">
        <f>IF($A115="","",INDEX(tblTasks[Goulot],ROW()-4))</f>
      </c>
      <c r="I115" s="23">
        <f>IF($A115="","",IF(LOWER($F115)="oui","non",IF($E115="","oui",IFERROR(IF(LOWER(INDEX(tblTasks[Statut],MATCH($E115,tblTasks[ID],0)))="clos","oui","non"),"non"))))</f>
      </c>
      <c r="J115" s="25">
        <f>IF($A115="","",INDEX(tblTasks[Date_debut_prevue],ROW()-4))</f>
      </c>
      <c r="K115" s="25">
        <f>IF($A115="","",INDEX(tblTasks[Date_fin_prevue],ROW()-4))</f>
      </c>
      <c r="L115" s="23">
        <f>IF($A115="","",INDEX(tblTasks[Irreversibilite],ROW()-4))</f>
      </c>
      <c r="M115" s="26">
        <f>IF(OR($A115="",M$3=""),"",IF(AND($J115&lt;&gt;"",$K115&lt;&gt;"",$J115=$K115,$J115&gt;=M$3,$J115&lt;=IF(param_mode_affichage="mois",EOMONTH(M$3,0),M$3+6)),"◆",""))</f>
      </c>
      <c r="N115" s="26">
        <f>IF(OR($A115="",N$3=""),"",IF(AND($J115&lt;&gt;"",$K115&lt;&gt;"",$J115=$K115,$J115&gt;=N$3,$J115&lt;=IF(param_mode_affichage="mois",EOMONTH(N$3,0),N$3+6)),"◆",""))</f>
      </c>
      <c r="O115" s="26">
        <f>IF(OR($A115="",O$3=""),"",IF(AND($J115&lt;&gt;"",$K115&lt;&gt;"",$J115=$K115,$J115&gt;=O$3,$J115&lt;=IF(param_mode_affichage="mois",EOMONTH(O$3,0),O$3+6)),"◆",""))</f>
      </c>
      <c r="P115" s="26">
        <f>IF(OR($A115="",P$3=""),"",IF(AND($J115&lt;&gt;"",$K115&lt;&gt;"",$J115=$K115,$J115&gt;=P$3,$J115&lt;=IF(param_mode_affichage="mois",EOMONTH(P$3,0),P$3+6)),"◆",""))</f>
      </c>
      <c r="Q115" s="26">
        <f>IF(OR($A115="",Q$3=""),"",IF(AND($J115&lt;&gt;"",$K115&lt;&gt;"",$J115=$K115,$J115&gt;=Q$3,$J115&lt;=IF(param_mode_affichage="mois",EOMONTH(Q$3,0),Q$3+6)),"◆",""))</f>
      </c>
      <c r="R115" s="26">
        <f>IF(OR($A115="",R$3=""),"",IF(AND($J115&lt;&gt;"",$K115&lt;&gt;"",$J115=$K115,$J115&gt;=R$3,$J115&lt;=IF(param_mode_affichage="mois",EOMONTH(R$3,0),R$3+6)),"◆",""))</f>
      </c>
      <c r="S115" s="26">
        <f>IF(OR($A115="",S$3=""),"",IF(AND($J115&lt;&gt;"",$K115&lt;&gt;"",$J115=$K115,$J115&gt;=S$3,$J115&lt;=IF(param_mode_affichage="mois",EOMONTH(S$3,0),S$3+6)),"◆",""))</f>
      </c>
      <c r="T115" s="26">
        <f>IF(OR($A115="",T$3=""),"",IF(AND($J115&lt;&gt;"",$K115&lt;&gt;"",$J115=$K115,$J115&gt;=T$3,$J115&lt;=IF(param_mode_affichage="mois",EOMONTH(T$3,0),T$3+6)),"◆",""))</f>
      </c>
      <c r="U115" s="26">
        <f>IF(OR($A115="",U$3=""),"",IF(AND($J115&lt;&gt;"",$K115&lt;&gt;"",$J115=$K115,$J115&gt;=U$3,$J115&lt;=IF(param_mode_affichage="mois",EOMONTH(U$3,0),U$3+6)),"◆",""))</f>
      </c>
      <c r="V115" s="26">
        <f>IF(OR($A115="",V$3=""),"",IF(AND($J115&lt;&gt;"",$K115&lt;&gt;"",$J115=$K115,$J115&gt;=V$3,$J115&lt;=IF(param_mode_affichage="mois",EOMONTH(V$3,0),V$3+6)),"◆",""))</f>
      </c>
      <c r="W115" s="26">
        <f>IF(OR($A115="",W$3=""),"",IF(AND($J115&lt;&gt;"",$K115&lt;&gt;"",$J115=$K115,$J115&gt;=W$3,$J115&lt;=IF(param_mode_affichage="mois",EOMONTH(W$3,0),W$3+6)),"◆",""))</f>
      </c>
      <c r="X115" s="26">
        <f>IF(OR($A115="",X$3=""),"",IF(AND($J115&lt;&gt;"",$K115&lt;&gt;"",$J115=$K115,$J115&gt;=X$3,$J115&lt;=IF(param_mode_affichage="mois",EOMONTH(X$3,0),X$3+6)),"◆",""))</f>
      </c>
      <c r="Y115" s="26">
        <f>IF(OR($A115="",Y$3=""),"",IF(AND($J115&lt;&gt;"",$K115&lt;&gt;"",$J115=$K115,$J115&gt;=Y$3,$J115&lt;=IF(param_mode_affichage="mois",EOMONTH(Y$3,0),Y$3+6)),"◆",""))</f>
      </c>
      <c r="Z115" s="26">
        <f>IF(OR($A115="",Z$3=""),"",IF(AND($J115&lt;&gt;"",$K115&lt;&gt;"",$J115=$K115,$J115&gt;=Z$3,$J115&lt;=IF(param_mode_affichage="mois",EOMONTH(Z$3,0),Z$3+6)),"◆",""))</f>
      </c>
      <c r="AA115" s="26">
        <f>IF(OR($A115="",AA$3=""),"",IF(AND($J115&lt;&gt;"",$K115&lt;&gt;"",$J115=$K115,$J115&gt;=AA$3,$J115&lt;=IF(param_mode_affichage="mois",EOMONTH(AA$3,0),AA$3+6)),"◆",""))</f>
      </c>
      <c r="AB115" s="26">
        <f>IF(OR($A115="",AB$3=""),"",IF(AND($J115&lt;&gt;"",$K115&lt;&gt;"",$J115=$K115,$J115&gt;=AB$3,$J115&lt;=IF(param_mode_affichage="mois",EOMONTH(AB$3,0),AB$3+6)),"◆",""))</f>
      </c>
      <c r="AC115" s="26">
        <f>IF(OR($A115="",AC$3=""),"",IF(AND($J115&lt;&gt;"",$K115&lt;&gt;"",$J115=$K115,$J115&gt;=AC$3,$J115&lt;=IF(param_mode_affichage="mois",EOMONTH(AC$3,0),AC$3+6)),"◆",""))</f>
      </c>
      <c r="AD115" s="26">
        <f>IF(OR($A115="",AD$3=""),"",IF(AND($J115&lt;&gt;"",$K115&lt;&gt;"",$J115=$K115,$J115&gt;=AD$3,$J115&lt;=IF(param_mode_affichage="mois",EOMONTH(AD$3,0),AD$3+6)),"◆",""))</f>
      </c>
      <c r="AE115" s="26">
        <f>IF(OR($A115="",AE$3=""),"",IF(AND($J115&lt;&gt;"",$K115&lt;&gt;"",$J115=$K115,$J115&gt;=AE$3,$J115&lt;=IF(param_mode_affichage="mois",EOMONTH(AE$3,0),AE$3+6)),"◆",""))</f>
      </c>
      <c r="AF115" s="26">
        <f>IF(OR($A115="",AF$3=""),"",IF(AND($J115&lt;&gt;"",$K115&lt;&gt;"",$J115=$K115,$J115&gt;=AF$3,$J115&lt;=IF(param_mode_affichage="mois",EOMONTH(AF$3,0),AF$3+6)),"◆",""))</f>
      </c>
      <c r="AG115" s="26">
        <f>IF(OR($A115="",AG$3=""),"",IF(AND($J115&lt;&gt;"",$K115&lt;&gt;"",$J115=$K115,$J115&gt;=AG$3,$J115&lt;=IF(param_mode_affichage="mois",EOMONTH(AG$3,0),AG$3+6)),"◆",""))</f>
      </c>
      <c r="AH115" s="26">
        <f>IF(OR($A115="",AH$3=""),"",IF(AND($J115&lt;&gt;"",$K115&lt;&gt;"",$J115=$K115,$J115&gt;=AH$3,$J115&lt;=IF(param_mode_affichage="mois",EOMONTH(AH$3,0),AH$3+6)),"◆",""))</f>
      </c>
      <c r="AI115" s="26">
        <f>IF(OR($A115="",AI$3=""),"",IF(AND($J115&lt;&gt;"",$K115&lt;&gt;"",$J115=$K115,$J115&gt;=AI$3,$J115&lt;=IF(param_mode_affichage="mois",EOMONTH(AI$3,0),AI$3+6)),"◆",""))</f>
      </c>
      <c r="AJ115" s="26">
        <f>IF(OR($A115="",AJ$3=""),"",IF(AND($J115&lt;&gt;"",$K115&lt;&gt;"",$J115=$K115,$J115&gt;=AJ$3,$J115&lt;=IF(param_mode_affichage="mois",EOMONTH(AJ$3,0),AJ$3+6)),"◆",""))</f>
      </c>
      <c r="AK115" s="26">
        <f>IF(OR($A115="",AK$3=""),"",IF(AND($J115&lt;&gt;"",$K115&lt;&gt;"",$J115=$K115,$J115&gt;=AK$3,$J115&lt;=IF(param_mode_affichage="mois",EOMONTH(AK$3,0),AK$3+6)),"◆",""))</f>
      </c>
      <c r="AL115" s="26">
        <f>IF(OR($A115="",AL$3=""),"",IF(AND($J115&lt;&gt;"",$K115&lt;&gt;"",$J115=$K115,$J115&gt;=AL$3,$J115&lt;=IF(param_mode_affichage="mois",EOMONTH(AL$3,0),AL$3+6)),"◆",""))</f>
      </c>
      <c r="AM115" s="26">
        <f>IF(OR($A115="",AM$3=""),"",IF(AND($J115&lt;&gt;"",$K115&lt;&gt;"",$J115=$K115,$J115&gt;=AM$3,$J115&lt;=IF(param_mode_affichage="mois",EOMONTH(AM$3,0),AM$3+6)),"◆",""))</f>
      </c>
      <c r="AN115" s="26">
        <f>IF(OR($A115="",AN$3=""),"",IF(AND($J115&lt;&gt;"",$K115&lt;&gt;"",$J115=$K115,$J115&gt;=AN$3,$J115&lt;=IF(param_mode_affichage="mois",EOMONTH(AN$3,0),AN$3+6)),"◆",""))</f>
      </c>
      <c r="AO115" s="26">
        <f>IF(OR($A115="",AO$3=""),"",IF(AND($J115&lt;&gt;"",$K115&lt;&gt;"",$J115=$K115,$J115&gt;=AO$3,$J115&lt;=IF(param_mode_affichage="mois",EOMONTH(AO$3,0),AO$3+6)),"◆",""))</f>
      </c>
      <c r="AP115" s="26">
        <f>IF(OR($A115="",AP$3=""),"",IF(AND($J115&lt;&gt;"",$K115&lt;&gt;"",$J115=$K115,$J115&gt;=AP$3,$J115&lt;=IF(param_mode_affichage="mois",EOMONTH(AP$3,0),AP$3+6)),"◆",""))</f>
      </c>
      <c r="AQ115" s="26">
        <f>IF(OR($A115="",AQ$3=""),"",IF(AND($J115&lt;&gt;"",$K115&lt;&gt;"",$J115=$K115,$J115&gt;=AQ$3,$J115&lt;=IF(param_mode_affichage="mois",EOMONTH(AQ$3,0),AQ$3+6)),"◆",""))</f>
      </c>
      <c r="AR115" s="26">
        <f>IF(OR($A115="",AR$3=""),"",IF(AND($J115&lt;&gt;"",$K115&lt;&gt;"",$J115=$K115,$J115&gt;=AR$3,$J115&lt;=IF(param_mode_affichage="mois",EOMONTH(AR$3,0),AR$3+6)),"◆",""))</f>
      </c>
      <c r="AS115" s="26">
        <f>IF(OR($A115="",AS$3=""),"",IF(AND($J115&lt;&gt;"",$K115&lt;&gt;"",$J115=$K115,$J115&gt;=AS$3,$J115&lt;=IF(param_mode_affichage="mois",EOMONTH(AS$3,0),AS$3+6)),"◆",""))</f>
      </c>
      <c r="AT115" s="26">
        <f>IF(OR($A115="",AT$3=""),"",IF(AND($J115&lt;&gt;"",$K115&lt;&gt;"",$J115=$K115,$J115&gt;=AT$3,$J115&lt;=IF(param_mode_affichage="mois",EOMONTH(AT$3,0),AT$3+6)),"◆",""))</f>
      </c>
      <c r="AU115" s="26">
        <f>IF(OR($A115="",AU$3=""),"",IF(AND($J115&lt;&gt;"",$K115&lt;&gt;"",$J115=$K115,$J115&gt;=AU$3,$J115&lt;=IF(param_mode_affichage="mois",EOMONTH(AU$3,0),AU$3+6)),"◆",""))</f>
      </c>
      <c r="AV115" s="26">
        <f>IF(OR($A115="",AV$3=""),"",IF(AND($J115&lt;&gt;"",$K115&lt;&gt;"",$J115=$K115,$J115&gt;=AV$3,$J115&lt;=IF(param_mode_affichage="mois",EOMONTH(AV$3,0),AV$3+6)),"◆",""))</f>
      </c>
      <c r="AW115" s="26">
        <f>IF(OR($A115="",AW$3=""),"",IF(AND($J115&lt;&gt;"",$K115&lt;&gt;"",$J115=$K115,$J115&gt;=AW$3,$J115&lt;=IF(param_mode_affichage="mois",EOMONTH(AW$3,0),AW$3+6)),"◆",""))</f>
      </c>
      <c r="AX115" s="26">
        <f>IF(OR($A115="",AX$3=""),"",IF(AND($J115&lt;&gt;"",$K115&lt;&gt;"",$J115=$K115,$J115&gt;=AX$3,$J115&lt;=IF(param_mode_affichage="mois",EOMONTH(AX$3,0),AX$3+6)),"◆",""))</f>
      </c>
      <c r="AY115" s="26">
        <f>IF(OR($A115="",AY$3=""),"",IF(AND($J115&lt;&gt;"",$K115&lt;&gt;"",$J115=$K115,$J115&gt;=AY$3,$J115&lt;=IF(param_mode_affichage="mois",EOMONTH(AY$3,0),AY$3+6)),"◆",""))</f>
      </c>
      <c r="AZ115" s="26">
        <f>IF(OR($A115="",AZ$3=""),"",IF(AND($J115&lt;&gt;"",$K115&lt;&gt;"",$J115=$K115,$J115&gt;=AZ$3,$J115&lt;=IF(param_mode_affichage="mois",EOMONTH(AZ$3,0),AZ$3+6)),"◆",""))</f>
      </c>
      <c r="BA115" s="26">
        <f>IF(OR($A115="",BA$3=""),"",IF(AND($J115&lt;&gt;"",$K115&lt;&gt;"",$J115=$K115,$J115&gt;=BA$3,$J115&lt;=IF(param_mode_affichage="mois",EOMONTH(BA$3,0),BA$3+6)),"◆",""))</f>
      </c>
      <c r="BB115" s="26">
        <f>IF(OR($A115="",BB$3=""),"",IF(AND($J115&lt;&gt;"",$K115&lt;&gt;"",$J115=$K115,$J115&gt;=BB$3,$J115&lt;=IF(param_mode_affichage="mois",EOMONTH(BB$3,0),BB$3+6)),"◆",""))</f>
      </c>
      <c r="BC115" s="26">
        <f>IF(OR($A115="",BC$3=""),"",IF(AND($J115&lt;&gt;"",$K115&lt;&gt;"",$J115=$K115,$J115&gt;=BC$3,$J115&lt;=IF(param_mode_affichage="mois",EOMONTH(BC$3,0),BC$3+6)),"◆",""))</f>
      </c>
      <c r="BD115" s="26">
        <f>IF(OR($A115="",BD$3=""),"",IF(AND($J115&lt;&gt;"",$K115&lt;&gt;"",$J115=$K115,$J115&gt;=BD$3,$J115&lt;=IF(param_mode_affichage="mois",EOMONTH(BD$3,0),BD$3+6)),"◆",""))</f>
      </c>
      <c r="BE115" s="26">
        <f>IF(OR($A115="",BE$3=""),"",IF(AND($J115&lt;&gt;"",$K115&lt;&gt;"",$J115=$K115,$J115&gt;=BE$3,$J115&lt;=IF(param_mode_affichage="mois",EOMONTH(BE$3,0),BE$3+6)),"◆",""))</f>
      </c>
      <c r="BF115" s="26">
        <f>IF(OR($A115="",BF$3=""),"",IF(AND($J115&lt;&gt;"",$K115&lt;&gt;"",$J115=$K115,$J115&gt;=BF$3,$J115&lt;=IF(param_mode_affichage="mois",EOMONTH(BF$3,0),BF$3+6)),"◆",""))</f>
      </c>
      <c r="BG115" s="26">
        <f>IF(OR($A115="",BG$3=""),"",IF(AND($J115&lt;&gt;"",$K115&lt;&gt;"",$J115=$K115,$J115&gt;=BG$3,$J115&lt;=IF(param_mode_affichage="mois",EOMONTH(BG$3,0),BG$3+6)),"◆",""))</f>
      </c>
      <c r="BH115" s="26">
        <f>IF(OR($A115="",BH$3=""),"",IF(AND($J115&lt;&gt;"",$K115&lt;&gt;"",$J115=$K115,$J115&gt;=BH$3,$J115&lt;=IF(param_mode_affichage="mois",EOMONTH(BH$3,0),BH$3+6)),"◆",""))</f>
      </c>
      <c r="BI115" s="26">
        <f>IF(OR($A115="",BI$3=""),"",IF(AND($J115&lt;&gt;"",$K115&lt;&gt;"",$J115=$K115,$J115&gt;=BI$3,$J115&lt;=IF(param_mode_affichage="mois",EOMONTH(BI$3,0),BI$3+6)),"◆",""))</f>
      </c>
      <c r="BJ115" s="26">
        <f>IF(OR($A115="",BJ$3=""),"",IF(AND($J115&lt;&gt;"",$K115&lt;&gt;"",$J115=$K115,$J115&gt;=BJ$3,$J115&lt;=IF(param_mode_affichage="mois",EOMONTH(BJ$3,0),BJ$3+6)),"◆",""))</f>
      </c>
      <c r="BK115" s="26">
        <f>IF(OR($A115="",BK$3=""),"",IF(AND($J115&lt;&gt;"",$K115&lt;&gt;"",$J115=$K115,$J115&gt;=BK$3,$J115&lt;=IF(param_mode_affichage="mois",EOMONTH(BK$3,0),BK$3+6)),"◆",""))</f>
      </c>
      <c r="BL115" s="26">
        <f>IF(OR($A115="",BL$3=""),"",IF(AND($J115&lt;&gt;"",$K115&lt;&gt;"",$J115=$K115,$J115&gt;=BL$3,$J115&lt;=IF(param_mode_affichage="mois",EOMONTH(BL$3,0),BL$3+6)),"◆",""))</f>
      </c>
    </row>
    <row r="116" spans="1:64" x14ac:dyDescent="0.25">
      <c r="A116" s="23">
        <f>IFERROR(INDEX(tblTasks[ID],ROW()-4),"")</f>
      </c>
      <c r="B116" s="24">
        <f>IF($A116="","",INDEX(tblTasks[Sujet],ROW()-4))</f>
      </c>
      <c r="C116" s="23">
        <f>IF($A116="","",INDEX(tblTasks[Responsable],ROW()-4))</f>
      </c>
      <c r="D116" s="23">
        <f>IF($A116="","",INDEX(tblTasks[Statut],ROW()-4))</f>
      </c>
      <c r="E116" s="23">
        <f>IF($A116="","",INDEX(tblTasks[Depend_de],ROW()-4))</f>
      </c>
      <c r="F116" s="23">
        <f>IF($A116="","",INDEX(tblTasks[Blocage],ROW()-4))</f>
      </c>
      <c r="G116" s="23">
        <f>IF($A116="","",INDEX(tblTasks[Niveau_criticite],ROW()-4))</f>
      </c>
      <c r="H116" s="23">
        <f>IF($A116="","",INDEX(tblTasks[Goulot],ROW()-4))</f>
      </c>
      <c r="I116" s="23">
        <f>IF($A116="","",IF(LOWER($F116)="oui","non",IF($E116="","oui",IFERROR(IF(LOWER(INDEX(tblTasks[Statut],MATCH($E116,tblTasks[ID],0)))="clos","oui","non"),"non"))))</f>
      </c>
      <c r="J116" s="25">
        <f>IF($A116="","",INDEX(tblTasks[Date_debut_prevue],ROW()-4))</f>
      </c>
      <c r="K116" s="25">
        <f>IF($A116="","",INDEX(tblTasks[Date_fin_prevue],ROW()-4))</f>
      </c>
      <c r="L116" s="23">
        <f>IF($A116="","",INDEX(tblTasks[Irreversibilite],ROW()-4))</f>
      </c>
      <c r="M116" s="26">
        <f>IF(OR($A116="",M$3=""),"",IF(AND($J116&lt;&gt;"",$K116&lt;&gt;"",$J116=$K116,$J116&gt;=M$3,$J116&lt;=IF(param_mode_affichage="mois",EOMONTH(M$3,0),M$3+6)),"◆",""))</f>
      </c>
      <c r="N116" s="26">
        <f>IF(OR($A116="",N$3=""),"",IF(AND($J116&lt;&gt;"",$K116&lt;&gt;"",$J116=$K116,$J116&gt;=N$3,$J116&lt;=IF(param_mode_affichage="mois",EOMONTH(N$3,0),N$3+6)),"◆",""))</f>
      </c>
      <c r="O116" s="26">
        <f>IF(OR($A116="",O$3=""),"",IF(AND($J116&lt;&gt;"",$K116&lt;&gt;"",$J116=$K116,$J116&gt;=O$3,$J116&lt;=IF(param_mode_affichage="mois",EOMONTH(O$3,0),O$3+6)),"◆",""))</f>
      </c>
      <c r="P116" s="26">
        <f>IF(OR($A116="",P$3=""),"",IF(AND($J116&lt;&gt;"",$K116&lt;&gt;"",$J116=$K116,$J116&gt;=P$3,$J116&lt;=IF(param_mode_affichage="mois",EOMONTH(P$3,0),P$3+6)),"◆",""))</f>
      </c>
      <c r="Q116" s="26">
        <f>IF(OR($A116="",Q$3=""),"",IF(AND($J116&lt;&gt;"",$K116&lt;&gt;"",$J116=$K116,$J116&gt;=Q$3,$J116&lt;=IF(param_mode_affichage="mois",EOMONTH(Q$3,0),Q$3+6)),"◆",""))</f>
      </c>
      <c r="R116" s="26">
        <f>IF(OR($A116="",R$3=""),"",IF(AND($J116&lt;&gt;"",$K116&lt;&gt;"",$J116=$K116,$J116&gt;=R$3,$J116&lt;=IF(param_mode_affichage="mois",EOMONTH(R$3,0),R$3+6)),"◆",""))</f>
      </c>
      <c r="S116" s="26">
        <f>IF(OR($A116="",S$3=""),"",IF(AND($J116&lt;&gt;"",$K116&lt;&gt;"",$J116=$K116,$J116&gt;=S$3,$J116&lt;=IF(param_mode_affichage="mois",EOMONTH(S$3,0),S$3+6)),"◆",""))</f>
      </c>
      <c r="T116" s="26">
        <f>IF(OR($A116="",T$3=""),"",IF(AND($J116&lt;&gt;"",$K116&lt;&gt;"",$J116=$K116,$J116&gt;=T$3,$J116&lt;=IF(param_mode_affichage="mois",EOMONTH(T$3,0),T$3+6)),"◆",""))</f>
      </c>
      <c r="U116" s="26">
        <f>IF(OR($A116="",U$3=""),"",IF(AND($J116&lt;&gt;"",$K116&lt;&gt;"",$J116=$K116,$J116&gt;=U$3,$J116&lt;=IF(param_mode_affichage="mois",EOMONTH(U$3,0),U$3+6)),"◆",""))</f>
      </c>
      <c r="V116" s="26">
        <f>IF(OR($A116="",V$3=""),"",IF(AND($J116&lt;&gt;"",$K116&lt;&gt;"",$J116=$K116,$J116&gt;=V$3,$J116&lt;=IF(param_mode_affichage="mois",EOMONTH(V$3,0),V$3+6)),"◆",""))</f>
      </c>
      <c r="W116" s="26">
        <f>IF(OR($A116="",W$3=""),"",IF(AND($J116&lt;&gt;"",$K116&lt;&gt;"",$J116=$K116,$J116&gt;=W$3,$J116&lt;=IF(param_mode_affichage="mois",EOMONTH(W$3,0),W$3+6)),"◆",""))</f>
      </c>
      <c r="X116" s="26">
        <f>IF(OR($A116="",X$3=""),"",IF(AND($J116&lt;&gt;"",$K116&lt;&gt;"",$J116=$K116,$J116&gt;=X$3,$J116&lt;=IF(param_mode_affichage="mois",EOMONTH(X$3,0),X$3+6)),"◆",""))</f>
      </c>
      <c r="Y116" s="26">
        <f>IF(OR($A116="",Y$3=""),"",IF(AND($J116&lt;&gt;"",$K116&lt;&gt;"",$J116=$K116,$J116&gt;=Y$3,$J116&lt;=IF(param_mode_affichage="mois",EOMONTH(Y$3,0),Y$3+6)),"◆",""))</f>
      </c>
      <c r="Z116" s="26">
        <f>IF(OR($A116="",Z$3=""),"",IF(AND($J116&lt;&gt;"",$K116&lt;&gt;"",$J116=$K116,$J116&gt;=Z$3,$J116&lt;=IF(param_mode_affichage="mois",EOMONTH(Z$3,0),Z$3+6)),"◆",""))</f>
      </c>
      <c r="AA116" s="26">
        <f>IF(OR($A116="",AA$3=""),"",IF(AND($J116&lt;&gt;"",$K116&lt;&gt;"",$J116=$K116,$J116&gt;=AA$3,$J116&lt;=IF(param_mode_affichage="mois",EOMONTH(AA$3,0),AA$3+6)),"◆",""))</f>
      </c>
      <c r="AB116" s="26">
        <f>IF(OR($A116="",AB$3=""),"",IF(AND($J116&lt;&gt;"",$K116&lt;&gt;"",$J116=$K116,$J116&gt;=AB$3,$J116&lt;=IF(param_mode_affichage="mois",EOMONTH(AB$3,0),AB$3+6)),"◆",""))</f>
      </c>
      <c r="AC116" s="26">
        <f>IF(OR($A116="",AC$3=""),"",IF(AND($J116&lt;&gt;"",$K116&lt;&gt;"",$J116=$K116,$J116&gt;=AC$3,$J116&lt;=IF(param_mode_affichage="mois",EOMONTH(AC$3,0),AC$3+6)),"◆",""))</f>
      </c>
      <c r="AD116" s="26">
        <f>IF(OR($A116="",AD$3=""),"",IF(AND($J116&lt;&gt;"",$K116&lt;&gt;"",$J116=$K116,$J116&gt;=AD$3,$J116&lt;=IF(param_mode_affichage="mois",EOMONTH(AD$3,0),AD$3+6)),"◆",""))</f>
      </c>
      <c r="AE116" s="26">
        <f>IF(OR($A116="",AE$3=""),"",IF(AND($J116&lt;&gt;"",$K116&lt;&gt;"",$J116=$K116,$J116&gt;=AE$3,$J116&lt;=IF(param_mode_affichage="mois",EOMONTH(AE$3,0),AE$3+6)),"◆",""))</f>
      </c>
      <c r="AF116" s="26">
        <f>IF(OR($A116="",AF$3=""),"",IF(AND($J116&lt;&gt;"",$K116&lt;&gt;"",$J116=$K116,$J116&gt;=AF$3,$J116&lt;=IF(param_mode_affichage="mois",EOMONTH(AF$3,0),AF$3+6)),"◆",""))</f>
      </c>
      <c r="AG116" s="26">
        <f>IF(OR($A116="",AG$3=""),"",IF(AND($J116&lt;&gt;"",$K116&lt;&gt;"",$J116=$K116,$J116&gt;=AG$3,$J116&lt;=IF(param_mode_affichage="mois",EOMONTH(AG$3,0),AG$3+6)),"◆",""))</f>
      </c>
      <c r="AH116" s="26">
        <f>IF(OR($A116="",AH$3=""),"",IF(AND($J116&lt;&gt;"",$K116&lt;&gt;"",$J116=$K116,$J116&gt;=AH$3,$J116&lt;=IF(param_mode_affichage="mois",EOMONTH(AH$3,0),AH$3+6)),"◆",""))</f>
      </c>
      <c r="AI116" s="26">
        <f>IF(OR($A116="",AI$3=""),"",IF(AND($J116&lt;&gt;"",$K116&lt;&gt;"",$J116=$K116,$J116&gt;=AI$3,$J116&lt;=IF(param_mode_affichage="mois",EOMONTH(AI$3,0),AI$3+6)),"◆",""))</f>
      </c>
      <c r="AJ116" s="26">
        <f>IF(OR($A116="",AJ$3=""),"",IF(AND($J116&lt;&gt;"",$K116&lt;&gt;"",$J116=$K116,$J116&gt;=AJ$3,$J116&lt;=IF(param_mode_affichage="mois",EOMONTH(AJ$3,0),AJ$3+6)),"◆",""))</f>
      </c>
      <c r="AK116" s="26">
        <f>IF(OR($A116="",AK$3=""),"",IF(AND($J116&lt;&gt;"",$K116&lt;&gt;"",$J116=$K116,$J116&gt;=AK$3,$J116&lt;=IF(param_mode_affichage="mois",EOMONTH(AK$3,0),AK$3+6)),"◆",""))</f>
      </c>
      <c r="AL116" s="26">
        <f>IF(OR($A116="",AL$3=""),"",IF(AND($J116&lt;&gt;"",$K116&lt;&gt;"",$J116=$K116,$J116&gt;=AL$3,$J116&lt;=IF(param_mode_affichage="mois",EOMONTH(AL$3,0),AL$3+6)),"◆",""))</f>
      </c>
      <c r="AM116" s="26">
        <f>IF(OR($A116="",AM$3=""),"",IF(AND($J116&lt;&gt;"",$K116&lt;&gt;"",$J116=$K116,$J116&gt;=AM$3,$J116&lt;=IF(param_mode_affichage="mois",EOMONTH(AM$3,0),AM$3+6)),"◆",""))</f>
      </c>
      <c r="AN116" s="26">
        <f>IF(OR($A116="",AN$3=""),"",IF(AND($J116&lt;&gt;"",$K116&lt;&gt;"",$J116=$K116,$J116&gt;=AN$3,$J116&lt;=IF(param_mode_affichage="mois",EOMONTH(AN$3,0),AN$3+6)),"◆",""))</f>
      </c>
      <c r="AO116" s="26">
        <f>IF(OR($A116="",AO$3=""),"",IF(AND($J116&lt;&gt;"",$K116&lt;&gt;"",$J116=$K116,$J116&gt;=AO$3,$J116&lt;=IF(param_mode_affichage="mois",EOMONTH(AO$3,0),AO$3+6)),"◆",""))</f>
      </c>
      <c r="AP116" s="26">
        <f>IF(OR($A116="",AP$3=""),"",IF(AND($J116&lt;&gt;"",$K116&lt;&gt;"",$J116=$K116,$J116&gt;=AP$3,$J116&lt;=IF(param_mode_affichage="mois",EOMONTH(AP$3,0),AP$3+6)),"◆",""))</f>
      </c>
      <c r="AQ116" s="26">
        <f>IF(OR($A116="",AQ$3=""),"",IF(AND($J116&lt;&gt;"",$K116&lt;&gt;"",$J116=$K116,$J116&gt;=AQ$3,$J116&lt;=IF(param_mode_affichage="mois",EOMONTH(AQ$3,0),AQ$3+6)),"◆",""))</f>
      </c>
      <c r="AR116" s="26">
        <f>IF(OR($A116="",AR$3=""),"",IF(AND($J116&lt;&gt;"",$K116&lt;&gt;"",$J116=$K116,$J116&gt;=AR$3,$J116&lt;=IF(param_mode_affichage="mois",EOMONTH(AR$3,0),AR$3+6)),"◆",""))</f>
      </c>
      <c r="AS116" s="26">
        <f>IF(OR($A116="",AS$3=""),"",IF(AND($J116&lt;&gt;"",$K116&lt;&gt;"",$J116=$K116,$J116&gt;=AS$3,$J116&lt;=IF(param_mode_affichage="mois",EOMONTH(AS$3,0),AS$3+6)),"◆",""))</f>
      </c>
      <c r="AT116" s="26">
        <f>IF(OR($A116="",AT$3=""),"",IF(AND($J116&lt;&gt;"",$K116&lt;&gt;"",$J116=$K116,$J116&gt;=AT$3,$J116&lt;=IF(param_mode_affichage="mois",EOMONTH(AT$3,0),AT$3+6)),"◆",""))</f>
      </c>
      <c r="AU116" s="26">
        <f>IF(OR($A116="",AU$3=""),"",IF(AND($J116&lt;&gt;"",$K116&lt;&gt;"",$J116=$K116,$J116&gt;=AU$3,$J116&lt;=IF(param_mode_affichage="mois",EOMONTH(AU$3,0),AU$3+6)),"◆",""))</f>
      </c>
      <c r="AV116" s="26">
        <f>IF(OR($A116="",AV$3=""),"",IF(AND($J116&lt;&gt;"",$K116&lt;&gt;"",$J116=$K116,$J116&gt;=AV$3,$J116&lt;=IF(param_mode_affichage="mois",EOMONTH(AV$3,0),AV$3+6)),"◆",""))</f>
      </c>
      <c r="AW116" s="26">
        <f>IF(OR($A116="",AW$3=""),"",IF(AND($J116&lt;&gt;"",$K116&lt;&gt;"",$J116=$K116,$J116&gt;=AW$3,$J116&lt;=IF(param_mode_affichage="mois",EOMONTH(AW$3,0),AW$3+6)),"◆",""))</f>
      </c>
      <c r="AX116" s="26">
        <f>IF(OR($A116="",AX$3=""),"",IF(AND($J116&lt;&gt;"",$K116&lt;&gt;"",$J116=$K116,$J116&gt;=AX$3,$J116&lt;=IF(param_mode_affichage="mois",EOMONTH(AX$3,0),AX$3+6)),"◆",""))</f>
      </c>
      <c r="AY116" s="26">
        <f>IF(OR($A116="",AY$3=""),"",IF(AND($J116&lt;&gt;"",$K116&lt;&gt;"",$J116=$K116,$J116&gt;=AY$3,$J116&lt;=IF(param_mode_affichage="mois",EOMONTH(AY$3,0),AY$3+6)),"◆",""))</f>
      </c>
      <c r="AZ116" s="26">
        <f>IF(OR($A116="",AZ$3=""),"",IF(AND($J116&lt;&gt;"",$K116&lt;&gt;"",$J116=$K116,$J116&gt;=AZ$3,$J116&lt;=IF(param_mode_affichage="mois",EOMONTH(AZ$3,0),AZ$3+6)),"◆",""))</f>
      </c>
      <c r="BA116" s="26">
        <f>IF(OR($A116="",BA$3=""),"",IF(AND($J116&lt;&gt;"",$K116&lt;&gt;"",$J116=$K116,$J116&gt;=BA$3,$J116&lt;=IF(param_mode_affichage="mois",EOMONTH(BA$3,0),BA$3+6)),"◆",""))</f>
      </c>
      <c r="BB116" s="26">
        <f>IF(OR($A116="",BB$3=""),"",IF(AND($J116&lt;&gt;"",$K116&lt;&gt;"",$J116=$K116,$J116&gt;=BB$3,$J116&lt;=IF(param_mode_affichage="mois",EOMONTH(BB$3,0),BB$3+6)),"◆",""))</f>
      </c>
      <c r="BC116" s="26">
        <f>IF(OR($A116="",BC$3=""),"",IF(AND($J116&lt;&gt;"",$K116&lt;&gt;"",$J116=$K116,$J116&gt;=BC$3,$J116&lt;=IF(param_mode_affichage="mois",EOMONTH(BC$3,0),BC$3+6)),"◆",""))</f>
      </c>
      <c r="BD116" s="26">
        <f>IF(OR($A116="",BD$3=""),"",IF(AND($J116&lt;&gt;"",$K116&lt;&gt;"",$J116=$K116,$J116&gt;=BD$3,$J116&lt;=IF(param_mode_affichage="mois",EOMONTH(BD$3,0),BD$3+6)),"◆",""))</f>
      </c>
      <c r="BE116" s="26">
        <f>IF(OR($A116="",BE$3=""),"",IF(AND($J116&lt;&gt;"",$K116&lt;&gt;"",$J116=$K116,$J116&gt;=BE$3,$J116&lt;=IF(param_mode_affichage="mois",EOMONTH(BE$3,0),BE$3+6)),"◆",""))</f>
      </c>
      <c r="BF116" s="26">
        <f>IF(OR($A116="",BF$3=""),"",IF(AND($J116&lt;&gt;"",$K116&lt;&gt;"",$J116=$K116,$J116&gt;=BF$3,$J116&lt;=IF(param_mode_affichage="mois",EOMONTH(BF$3,0),BF$3+6)),"◆",""))</f>
      </c>
      <c r="BG116" s="26">
        <f>IF(OR($A116="",BG$3=""),"",IF(AND($J116&lt;&gt;"",$K116&lt;&gt;"",$J116=$K116,$J116&gt;=BG$3,$J116&lt;=IF(param_mode_affichage="mois",EOMONTH(BG$3,0),BG$3+6)),"◆",""))</f>
      </c>
      <c r="BH116" s="26">
        <f>IF(OR($A116="",BH$3=""),"",IF(AND($J116&lt;&gt;"",$K116&lt;&gt;"",$J116=$K116,$J116&gt;=BH$3,$J116&lt;=IF(param_mode_affichage="mois",EOMONTH(BH$3,0),BH$3+6)),"◆",""))</f>
      </c>
      <c r="BI116" s="26">
        <f>IF(OR($A116="",BI$3=""),"",IF(AND($J116&lt;&gt;"",$K116&lt;&gt;"",$J116=$K116,$J116&gt;=BI$3,$J116&lt;=IF(param_mode_affichage="mois",EOMONTH(BI$3,0),BI$3+6)),"◆",""))</f>
      </c>
      <c r="BJ116" s="26">
        <f>IF(OR($A116="",BJ$3=""),"",IF(AND($J116&lt;&gt;"",$K116&lt;&gt;"",$J116=$K116,$J116&gt;=BJ$3,$J116&lt;=IF(param_mode_affichage="mois",EOMONTH(BJ$3,0),BJ$3+6)),"◆",""))</f>
      </c>
      <c r="BK116" s="26">
        <f>IF(OR($A116="",BK$3=""),"",IF(AND($J116&lt;&gt;"",$K116&lt;&gt;"",$J116=$K116,$J116&gt;=BK$3,$J116&lt;=IF(param_mode_affichage="mois",EOMONTH(BK$3,0),BK$3+6)),"◆",""))</f>
      </c>
      <c r="BL116" s="26">
        <f>IF(OR($A116="",BL$3=""),"",IF(AND($J116&lt;&gt;"",$K116&lt;&gt;"",$J116=$K116,$J116&gt;=BL$3,$J116&lt;=IF(param_mode_affichage="mois",EOMONTH(BL$3,0),BL$3+6)),"◆",""))</f>
      </c>
    </row>
    <row r="117" spans="1:64" x14ac:dyDescent="0.25">
      <c r="A117" s="23">
        <f>IFERROR(INDEX(tblTasks[ID],ROW()-4),"")</f>
      </c>
      <c r="B117" s="24">
        <f>IF($A117="","",INDEX(tblTasks[Sujet],ROW()-4))</f>
      </c>
      <c r="C117" s="23">
        <f>IF($A117="","",INDEX(tblTasks[Responsable],ROW()-4))</f>
      </c>
      <c r="D117" s="23">
        <f>IF($A117="","",INDEX(tblTasks[Statut],ROW()-4))</f>
      </c>
      <c r="E117" s="23">
        <f>IF($A117="","",INDEX(tblTasks[Depend_de],ROW()-4))</f>
      </c>
      <c r="F117" s="23">
        <f>IF($A117="","",INDEX(tblTasks[Blocage],ROW()-4))</f>
      </c>
      <c r="G117" s="23">
        <f>IF($A117="","",INDEX(tblTasks[Niveau_criticite],ROW()-4))</f>
      </c>
      <c r="H117" s="23">
        <f>IF($A117="","",INDEX(tblTasks[Goulot],ROW()-4))</f>
      </c>
      <c r="I117" s="23">
        <f>IF($A117="","",IF(LOWER($F117)="oui","non",IF($E117="","oui",IFERROR(IF(LOWER(INDEX(tblTasks[Statut],MATCH($E117,tblTasks[ID],0)))="clos","oui","non"),"non"))))</f>
      </c>
      <c r="J117" s="25">
        <f>IF($A117="","",INDEX(tblTasks[Date_debut_prevue],ROW()-4))</f>
      </c>
      <c r="K117" s="25">
        <f>IF($A117="","",INDEX(tblTasks[Date_fin_prevue],ROW()-4))</f>
      </c>
      <c r="L117" s="23">
        <f>IF($A117="","",INDEX(tblTasks[Irreversibilite],ROW()-4))</f>
      </c>
      <c r="M117" s="26">
        <f>IF(OR($A117="",M$3=""),"",IF(AND($J117&lt;&gt;"",$K117&lt;&gt;"",$J117=$K117,$J117&gt;=M$3,$J117&lt;=IF(param_mode_affichage="mois",EOMONTH(M$3,0),M$3+6)),"◆",""))</f>
      </c>
      <c r="N117" s="26">
        <f>IF(OR($A117="",N$3=""),"",IF(AND($J117&lt;&gt;"",$K117&lt;&gt;"",$J117=$K117,$J117&gt;=N$3,$J117&lt;=IF(param_mode_affichage="mois",EOMONTH(N$3,0),N$3+6)),"◆",""))</f>
      </c>
      <c r="O117" s="26">
        <f>IF(OR($A117="",O$3=""),"",IF(AND($J117&lt;&gt;"",$K117&lt;&gt;"",$J117=$K117,$J117&gt;=O$3,$J117&lt;=IF(param_mode_affichage="mois",EOMONTH(O$3,0),O$3+6)),"◆",""))</f>
      </c>
      <c r="P117" s="26">
        <f>IF(OR($A117="",P$3=""),"",IF(AND($J117&lt;&gt;"",$K117&lt;&gt;"",$J117=$K117,$J117&gt;=P$3,$J117&lt;=IF(param_mode_affichage="mois",EOMONTH(P$3,0),P$3+6)),"◆",""))</f>
      </c>
      <c r="Q117" s="26">
        <f>IF(OR($A117="",Q$3=""),"",IF(AND($J117&lt;&gt;"",$K117&lt;&gt;"",$J117=$K117,$J117&gt;=Q$3,$J117&lt;=IF(param_mode_affichage="mois",EOMONTH(Q$3,0),Q$3+6)),"◆",""))</f>
      </c>
      <c r="R117" s="26">
        <f>IF(OR($A117="",R$3=""),"",IF(AND($J117&lt;&gt;"",$K117&lt;&gt;"",$J117=$K117,$J117&gt;=R$3,$J117&lt;=IF(param_mode_affichage="mois",EOMONTH(R$3,0),R$3+6)),"◆",""))</f>
      </c>
      <c r="S117" s="26">
        <f>IF(OR($A117="",S$3=""),"",IF(AND($J117&lt;&gt;"",$K117&lt;&gt;"",$J117=$K117,$J117&gt;=S$3,$J117&lt;=IF(param_mode_affichage="mois",EOMONTH(S$3,0),S$3+6)),"◆",""))</f>
      </c>
      <c r="T117" s="26">
        <f>IF(OR($A117="",T$3=""),"",IF(AND($J117&lt;&gt;"",$K117&lt;&gt;"",$J117=$K117,$J117&gt;=T$3,$J117&lt;=IF(param_mode_affichage="mois",EOMONTH(T$3,0),T$3+6)),"◆",""))</f>
      </c>
      <c r="U117" s="26">
        <f>IF(OR($A117="",U$3=""),"",IF(AND($J117&lt;&gt;"",$K117&lt;&gt;"",$J117=$K117,$J117&gt;=U$3,$J117&lt;=IF(param_mode_affichage="mois",EOMONTH(U$3,0),U$3+6)),"◆",""))</f>
      </c>
      <c r="V117" s="26">
        <f>IF(OR($A117="",V$3=""),"",IF(AND($J117&lt;&gt;"",$K117&lt;&gt;"",$J117=$K117,$J117&gt;=V$3,$J117&lt;=IF(param_mode_affichage="mois",EOMONTH(V$3,0),V$3+6)),"◆",""))</f>
      </c>
      <c r="W117" s="26">
        <f>IF(OR($A117="",W$3=""),"",IF(AND($J117&lt;&gt;"",$K117&lt;&gt;"",$J117=$K117,$J117&gt;=W$3,$J117&lt;=IF(param_mode_affichage="mois",EOMONTH(W$3,0),W$3+6)),"◆",""))</f>
      </c>
      <c r="X117" s="26">
        <f>IF(OR($A117="",X$3=""),"",IF(AND($J117&lt;&gt;"",$K117&lt;&gt;"",$J117=$K117,$J117&gt;=X$3,$J117&lt;=IF(param_mode_affichage="mois",EOMONTH(X$3,0),X$3+6)),"◆",""))</f>
      </c>
      <c r="Y117" s="26">
        <f>IF(OR($A117="",Y$3=""),"",IF(AND($J117&lt;&gt;"",$K117&lt;&gt;"",$J117=$K117,$J117&gt;=Y$3,$J117&lt;=IF(param_mode_affichage="mois",EOMONTH(Y$3,0),Y$3+6)),"◆",""))</f>
      </c>
      <c r="Z117" s="26">
        <f>IF(OR($A117="",Z$3=""),"",IF(AND($J117&lt;&gt;"",$K117&lt;&gt;"",$J117=$K117,$J117&gt;=Z$3,$J117&lt;=IF(param_mode_affichage="mois",EOMONTH(Z$3,0),Z$3+6)),"◆",""))</f>
      </c>
      <c r="AA117" s="26">
        <f>IF(OR($A117="",AA$3=""),"",IF(AND($J117&lt;&gt;"",$K117&lt;&gt;"",$J117=$K117,$J117&gt;=AA$3,$J117&lt;=IF(param_mode_affichage="mois",EOMONTH(AA$3,0),AA$3+6)),"◆",""))</f>
      </c>
      <c r="AB117" s="26">
        <f>IF(OR($A117="",AB$3=""),"",IF(AND($J117&lt;&gt;"",$K117&lt;&gt;"",$J117=$K117,$J117&gt;=AB$3,$J117&lt;=IF(param_mode_affichage="mois",EOMONTH(AB$3,0),AB$3+6)),"◆",""))</f>
      </c>
      <c r="AC117" s="26">
        <f>IF(OR($A117="",AC$3=""),"",IF(AND($J117&lt;&gt;"",$K117&lt;&gt;"",$J117=$K117,$J117&gt;=AC$3,$J117&lt;=IF(param_mode_affichage="mois",EOMONTH(AC$3,0),AC$3+6)),"◆",""))</f>
      </c>
      <c r="AD117" s="26">
        <f>IF(OR($A117="",AD$3=""),"",IF(AND($J117&lt;&gt;"",$K117&lt;&gt;"",$J117=$K117,$J117&gt;=AD$3,$J117&lt;=IF(param_mode_affichage="mois",EOMONTH(AD$3,0),AD$3+6)),"◆",""))</f>
      </c>
      <c r="AE117" s="26">
        <f>IF(OR($A117="",AE$3=""),"",IF(AND($J117&lt;&gt;"",$K117&lt;&gt;"",$J117=$K117,$J117&gt;=AE$3,$J117&lt;=IF(param_mode_affichage="mois",EOMONTH(AE$3,0),AE$3+6)),"◆",""))</f>
      </c>
      <c r="AF117" s="26">
        <f>IF(OR($A117="",AF$3=""),"",IF(AND($J117&lt;&gt;"",$K117&lt;&gt;"",$J117=$K117,$J117&gt;=AF$3,$J117&lt;=IF(param_mode_affichage="mois",EOMONTH(AF$3,0),AF$3+6)),"◆",""))</f>
      </c>
      <c r="AG117" s="26">
        <f>IF(OR($A117="",AG$3=""),"",IF(AND($J117&lt;&gt;"",$K117&lt;&gt;"",$J117=$K117,$J117&gt;=AG$3,$J117&lt;=IF(param_mode_affichage="mois",EOMONTH(AG$3,0),AG$3+6)),"◆",""))</f>
      </c>
      <c r="AH117" s="26">
        <f>IF(OR($A117="",AH$3=""),"",IF(AND($J117&lt;&gt;"",$K117&lt;&gt;"",$J117=$K117,$J117&gt;=AH$3,$J117&lt;=IF(param_mode_affichage="mois",EOMONTH(AH$3,0),AH$3+6)),"◆",""))</f>
      </c>
      <c r="AI117" s="26">
        <f>IF(OR($A117="",AI$3=""),"",IF(AND($J117&lt;&gt;"",$K117&lt;&gt;"",$J117=$K117,$J117&gt;=AI$3,$J117&lt;=IF(param_mode_affichage="mois",EOMONTH(AI$3,0),AI$3+6)),"◆",""))</f>
      </c>
      <c r="AJ117" s="26">
        <f>IF(OR($A117="",AJ$3=""),"",IF(AND($J117&lt;&gt;"",$K117&lt;&gt;"",$J117=$K117,$J117&gt;=AJ$3,$J117&lt;=IF(param_mode_affichage="mois",EOMONTH(AJ$3,0),AJ$3+6)),"◆",""))</f>
      </c>
      <c r="AK117" s="26">
        <f>IF(OR($A117="",AK$3=""),"",IF(AND($J117&lt;&gt;"",$K117&lt;&gt;"",$J117=$K117,$J117&gt;=AK$3,$J117&lt;=IF(param_mode_affichage="mois",EOMONTH(AK$3,0),AK$3+6)),"◆",""))</f>
      </c>
      <c r="AL117" s="26">
        <f>IF(OR($A117="",AL$3=""),"",IF(AND($J117&lt;&gt;"",$K117&lt;&gt;"",$J117=$K117,$J117&gt;=AL$3,$J117&lt;=IF(param_mode_affichage="mois",EOMONTH(AL$3,0),AL$3+6)),"◆",""))</f>
      </c>
      <c r="AM117" s="26">
        <f>IF(OR($A117="",AM$3=""),"",IF(AND($J117&lt;&gt;"",$K117&lt;&gt;"",$J117=$K117,$J117&gt;=AM$3,$J117&lt;=IF(param_mode_affichage="mois",EOMONTH(AM$3,0),AM$3+6)),"◆",""))</f>
      </c>
      <c r="AN117" s="26">
        <f>IF(OR($A117="",AN$3=""),"",IF(AND($J117&lt;&gt;"",$K117&lt;&gt;"",$J117=$K117,$J117&gt;=AN$3,$J117&lt;=IF(param_mode_affichage="mois",EOMONTH(AN$3,0),AN$3+6)),"◆",""))</f>
      </c>
      <c r="AO117" s="26">
        <f>IF(OR($A117="",AO$3=""),"",IF(AND($J117&lt;&gt;"",$K117&lt;&gt;"",$J117=$K117,$J117&gt;=AO$3,$J117&lt;=IF(param_mode_affichage="mois",EOMONTH(AO$3,0),AO$3+6)),"◆",""))</f>
      </c>
      <c r="AP117" s="26">
        <f>IF(OR($A117="",AP$3=""),"",IF(AND($J117&lt;&gt;"",$K117&lt;&gt;"",$J117=$K117,$J117&gt;=AP$3,$J117&lt;=IF(param_mode_affichage="mois",EOMONTH(AP$3,0),AP$3+6)),"◆",""))</f>
      </c>
      <c r="AQ117" s="26">
        <f>IF(OR($A117="",AQ$3=""),"",IF(AND($J117&lt;&gt;"",$K117&lt;&gt;"",$J117=$K117,$J117&gt;=AQ$3,$J117&lt;=IF(param_mode_affichage="mois",EOMONTH(AQ$3,0),AQ$3+6)),"◆",""))</f>
      </c>
      <c r="AR117" s="26">
        <f>IF(OR($A117="",AR$3=""),"",IF(AND($J117&lt;&gt;"",$K117&lt;&gt;"",$J117=$K117,$J117&gt;=AR$3,$J117&lt;=IF(param_mode_affichage="mois",EOMONTH(AR$3,0),AR$3+6)),"◆",""))</f>
      </c>
      <c r="AS117" s="26">
        <f>IF(OR($A117="",AS$3=""),"",IF(AND($J117&lt;&gt;"",$K117&lt;&gt;"",$J117=$K117,$J117&gt;=AS$3,$J117&lt;=IF(param_mode_affichage="mois",EOMONTH(AS$3,0),AS$3+6)),"◆",""))</f>
      </c>
      <c r="AT117" s="26">
        <f>IF(OR($A117="",AT$3=""),"",IF(AND($J117&lt;&gt;"",$K117&lt;&gt;"",$J117=$K117,$J117&gt;=AT$3,$J117&lt;=IF(param_mode_affichage="mois",EOMONTH(AT$3,0),AT$3+6)),"◆",""))</f>
      </c>
      <c r="AU117" s="26">
        <f>IF(OR($A117="",AU$3=""),"",IF(AND($J117&lt;&gt;"",$K117&lt;&gt;"",$J117=$K117,$J117&gt;=AU$3,$J117&lt;=IF(param_mode_affichage="mois",EOMONTH(AU$3,0),AU$3+6)),"◆",""))</f>
      </c>
      <c r="AV117" s="26">
        <f>IF(OR($A117="",AV$3=""),"",IF(AND($J117&lt;&gt;"",$K117&lt;&gt;"",$J117=$K117,$J117&gt;=AV$3,$J117&lt;=IF(param_mode_affichage="mois",EOMONTH(AV$3,0),AV$3+6)),"◆",""))</f>
      </c>
      <c r="AW117" s="26">
        <f>IF(OR($A117="",AW$3=""),"",IF(AND($J117&lt;&gt;"",$K117&lt;&gt;"",$J117=$K117,$J117&gt;=AW$3,$J117&lt;=IF(param_mode_affichage="mois",EOMONTH(AW$3,0),AW$3+6)),"◆",""))</f>
      </c>
      <c r="AX117" s="26">
        <f>IF(OR($A117="",AX$3=""),"",IF(AND($J117&lt;&gt;"",$K117&lt;&gt;"",$J117=$K117,$J117&gt;=AX$3,$J117&lt;=IF(param_mode_affichage="mois",EOMONTH(AX$3,0),AX$3+6)),"◆",""))</f>
      </c>
      <c r="AY117" s="26">
        <f>IF(OR($A117="",AY$3=""),"",IF(AND($J117&lt;&gt;"",$K117&lt;&gt;"",$J117=$K117,$J117&gt;=AY$3,$J117&lt;=IF(param_mode_affichage="mois",EOMONTH(AY$3,0),AY$3+6)),"◆",""))</f>
      </c>
      <c r="AZ117" s="26">
        <f>IF(OR($A117="",AZ$3=""),"",IF(AND($J117&lt;&gt;"",$K117&lt;&gt;"",$J117=$K117,$J117&gt;=AZ$3,$J117&lt;=IF(param_mode_affichage="mois",EOMONTH(AZ$3,0),AZ$3+6)),"◆",""))</f>
      </c>
      <c r="BA117" s="26">
        <f>IF(OR($A117="",BA$3=""),"",IF(AND($J117&lt;&gt;"",$K117&lt;&gt;"",$J117=$K117,$J117&gt;=BA$3,$J117&lt;=IF(param_mode_affichage="mois",EOMONTH(BA$3,0),BA$3+6)),"◆",""))</f>
      </c>
      <c r="BB117" s="26">
        <f>IF(OR($A117="",BB$3=""),"",IF(AND($J117&lt;&gt;"",$K117&lt;&gt;"",$J117=$K117,$J117&gt;=BB$3,$J117&lt;=IF(param_mode_affichage="mois",EOMONTH(BB$3,0),BB$3+6)),"◆",""))</f>
      </c>
      <c r="BC117" s="26">
        <f>IF(OR($A117="",BC$3=""),"",IF(AND($J117&lt;&gt;"",$K117&lt;&gt;"",$J117=$K117,$J117&gt;=BC$3,$J117&lt;=IF(param_mode_affichage="mois",EOMONTH(BC$3,0),BC$3+6)),"◆",""))</f>
      </c>
      <c r="BD117" s="26">
        <f>IF(OR($A117="",BD$3=""),"",IF(AND($J117&lt;&gt;"",$K117&lt;&gt;"",$J117=$K117,$J117&gt;=BD$3,$J117&lt;=IF(param_mode_affichage="mois",EOMONTH(BD$3,0),BD$3+6)),"◆",""))</f>
      </c>
      <c r="BE117" s="26">
        <f>IF(OR($A117="",BE$3=""),"",IF(AND($J117&lt;&gt;"",$K117&lt;&gt;"",$J117=$K117,$J117&gt;=BE$3,$J117&lt;=IF(param_mode_affichage="mois",EOMONTH(BE$3,0),BE$3+6)),"◆",""))</f>
      </c>
      <c r="BF117" s="26">
        <f>IF(OR($A117="",BF$3=""),"",IF(AND($J117&lt;&gt;"",$K117&lt;&gt;"",$J117=$K117,$J117&gt;=BF$3,$J117&lt;=IF(param_mode_affichage="mois",EOMONTH(BF$3,0),BF$3+6)),"◆",""))</f>
      </c>
      <c r="BG117" s="26">
        <f>IF(OR($A117="",BG$3=""),"",IF(AND($J117&lt;&gt;"",$K117&lt;&gt;"",$J117=$K117,$J117&gt;=BG$3,$J117&lt;=IF(param_mode_affichage="mois",EOMONTH(BG$3,0),BG$3+6)),"◆",""))</f>
      </c>
      <c r="BH117" s="26">
        <f>IF(OR($A117="",BH$3=""),"",IF(AND($J117&lt;&gt;"",$K117&lt;&gt;"",$J117=$K117,$J117&gt;=BH$3,$J117&lt;=IF(param_mode_affichage="mois",EOMONTH(BH$3,0),BH$3+6)),"◆",""))</f>
      </c>
      <c r="BI117" s="26">
        <f>IF(OR($A117="",BI$3=""),"",IF(AND($J117&lt;&gt;"",$K117&lt;&gt;"",$J117=$K117,$J117&gt;=BI$3,$J117&lt;=IF(param_mode_affichage="mois",EOMONTH(BI$3,0),BI$3+6)),"◆",""))</f>
      </c>
      <c r="BJ117" s="26">
        <f>IF(OR($A117="",BJ$3=""),"",IF(AND($J117&lt;&gt;"",$K117&lt;&gt;"",$J117=$K117,$J117&gt;=BJ$3,$J117&lt;=IF(param_mode_affichage="mois",EOMONTH(BJ$3,0),BJ$3+6)),"◆",""))</f>
      </c>
      <c r="BK117" s="26">
        <f>IF(OR($A117="",BK$3=""),"",IF(AND($J117&lt;&gt;"",$K117&lt;&gt;"",$J117=$K117,$J117&gt;=BK$3,$J117&lt;=IF(param_mode_affichage="mois",EOMONTH(BK$3,0),BK$3+6)),"◆",""))</f>
      </c>
      <c r="BL117" s="26">
        <f>IF(OR($A117="",BL$3=""),"",IF(AND($J117&lt;&gt;"",$K117&lt;&gt;"",$J117=$K117,$J117&gt;=BL$3,$J117&lt;=IF(param_mode_affichage="mois",EOMONTH(BL$3,0),BL$3+6)),"◆",""))</f>
      </c>
    </row>
    <row r="118" spans="1:64" x14ac:dyDescent="0.25">
      <c r="A118" s="23">
        <f>IFERROR(INDEX(tblTasks[ID],ROW()-4),"")</f>
      </c>
      <c r="B118" s="24">
        <f>IF($A118="","",INDEX(tblTasks[Sujet],ROW()-4))</f>
      </c>
      <c r="C118" s="23">
        <f>IF($A118="","",INDEX(tblTasks[Responsable],ROW()-4))</f>
      </c>
      <c r="D118" s="23">
        <f>IF($A118="","",INDEX(tblTasks[Statut],ROW()-4))</f>
      </c>
      <c r="E118" s="23">
        <f>IF($A118="","",INDEX(tblTasks[Depend_de],ROW()-4))</f>
      </c>
      <c r="F118" s="23">
        <f>IF($A118="","",INDEX(tblTasks[Blocage],ROW()-4))</f>
      </c>
      <c r="G118" s="23">
        <f>IF($A118="","",INDEX(tblTasks[Niveau_criticite],ROW()-4))</f>
      </c>
      <c r="H118" s="23">
        <f>IF($A118="","",INDEX(tblTasks[Goulot],ROW()-4))</f>
      </c>
      <c r="I118" s="23">
        <f>IF($A118="","",IF(LOWER($F118)="oui","non",IF($E118="","oui",IFERROR(IF(LOWER(INDEX(tblTasks[Statut],MATCH($E118,tblTasks[ID],0)))="clos","oui","non"),"non"))))</f>
      </c>
      <c r="J118" s="25">
        <f>IF($A118="","",INDEX(tblTasks[Date_debut_prevue],ROW()-4))</f>
      </c>
      <c r="K118" s="25">
        <f>IF($A118="","",INDEX(tblTasks[Date_fin_prevue],ROW()-4))</f>
      </c>
      <c r="L118" s="23">
        <f>IF($A118="","",INDEX(tblTasks[Irreversibilite],ROW()-4))</f>
      </c>
      <c r="M118" s="26">
        <f>IF(OR($A118="",M$3=""),"",IF(AND($J118&lt;&gt;"",$K118&lt;&gt;"",$J118=$K118,$J118&gt;=M$3,$J118&lt;=IF(param_mode_affichage="mois",EOMONTH(M$3,0),M$3+6)),"◆",""))</f>
      </c>
      <c r="N118" s="26">
        <f>IF(OR($A118="",N$3=""),"",IF(AND($J118&lt;&gt;"",$K118&lt;&gt;"",$J118=$K118,$J118&gt;=N$3,$J118&lt;=IF(param_mode_affichage="mois",EOMONTH(N$3,0),N$3+6)),"◆",""))</f>
      </c>
      <c r="O118" s="26">
        <f>IF(OR($A118="",O$3=""),"",IF(AND($J118&lt;&gt;"",$K118&lt;&gt;"",$J118=$K118,$J118&gt;=O$3,$J118&lt;=IF(param_mode_affichage="mois",EOMONTH(O$3,0),O$3+6)),"◆",""))</f>
      </c>
      <c r="P118" s="26">
        <f>IF(OR($A118="",P$3=""),"",IF(AND($J118&lt;&gt;"",$K118&lt;&gt;"",$J118=$K118,$J118&gt;=P$3,$J118&lt;=IF(param_mode_affichage="mois",EOMONTH(P$3,0),P$3+6)),"◆",""))</f>
      </c>
      <c r="Q118" s="26">
        <f>IF(OR($A118="",Q$3=""),"",IF(AND($J118&lt;&gt;"",$K118&lt;&gt;"",$J118=$K118,$J118&gt;=Q$3,$J118&lt;=IF(param_mode_affichage="mois",EOMONTH(Q$3,0),Q$3+6)),"◆",""))</f>
      </c>
      <c r="R118" s="26">
        <f>IF(OR($A118="",R$3=""),"",IF(AND($J118&lt;&gt;"",$K118&lt;&gt;"",$J118=$K118,$J118&gt;=R$3,$J118&lt;=IF(param_mode_affichage="mois",EOMONTH(R$3,0),R$3+6)),"◆",""))</f>
      </c>
      <c r="S118" s="26">
        <f>IF(OR($A118="",S$3=""),"",IF(AND($J118&lt;&gt;"",$K118&lt;&gt;"",$J118=$K118,$J118&gt;=S$3,$J118&lt;=IF(param_mode_affichage="mois",EOMONTH(S$3,0),S$3+6)),"◆",""))</f>
      </c>
      <c r="T118" s="26">
        <f>IF(OR($A118="",T$3=""),"",IF(AND($J118&lt;&gt;"",$K118&lt;&gt;"",$J118=$K118,$J118&gt;=T$3,$J118&lt;=IF(param_mode_affichage="mois",EOMONTH(T$3,0),T$3+6)),"◆",""))</f>
      </c>
      <c r="U118" s="26">
        <f>IF(OR($A118="",U$3=""),"",IF(AND($J118&lt;&gt;"",$K118&lt;&gt;"",$J118=$K118,$J118&gt;=U$3,$J118&lt;=IF(param_mode_affichage="mois",EOMONTH(U$3,0),U$3+6)),"◆",""))</f>
      </c>
      <c r="V118" s="26">
        <f>IF(OR($A118="",V$3=""),"",IF(AND($J118&lt;&gt;"",$K118&lt;&gt;"",$J118=$K118,$J118&gt;=V$3,$J118&lt;=IF(param_mode_affichage="mois",EOMONTH(V$3,0),V$3+6)),"◆",""))</f>
      </c>
      <c r="W118" s="26">
        <f>IF(OR($A118="",W$3=""),"",IF(AND($J118&lt;&gt;"",$K118&lt;&gt;"",$J118=$K118,$J118&gt;=W$3,$J118&lt;=IF(param_mode_affichage="mois",EOMONTH(W$3,0),W$3+6)),"◆",""))</f>
      </c>
      <c r="X118" s="26">
        <f>IF(OR($A118="",X$3=""),"",IF(AND($J118&lt;&gt;"",$K118&lt;&gt;"",$J118=$K118,$J118&gt;=X$3,$J118&lt;=IF(param_mode_affichage="mois",EOMONTH(X$3,0),X$3+6)),"◆",""))</f>
      </c>
      <c r="Y118" s="26">
        <f>IF(OR($A118="",Y$3=""),"",IF(AND($J118&lt;&gt;"",$K118&lt;&gt;"",$J118=$K118,$J118&gt;=Y$3,$J118&lt;=IF(param_mode_affichage="mois",EOMONTH(Y$3,0),Y$3+6)),"◆",""))</f>
      </c>
      <c r="Z118" s="26">
        <f>IF(OR($A118="",Z$3=""),"",IF(AND($J118&lt;&gt;"",$K118&lt;&gt;"",$J118=$K118,$J118&gt;=Z$3,$J118&lt;=IF(param_mode_affichage="mois",EOMONTH(Z$3,0),Z$3+6)),"◆",""))</f>
      </c>
      <c r="AA118" s="26">
        <f>IF(OR($A118="",AA$3=""),"",IF(AND($J118&lt;&gt;"",$K118&lt;&gt;"",$J118=$K118,$J118&gt;=AA$3,$J118&lt;=IF(param_mode_affichage="mois",EOMONTH(AA$3,0),AA$3+6)),"◆",""))</f>
      </c>
      <c r="AB118" s="26">
        <f>IF(OR($A118="",AB$3=""),"",IF(AND($J118&lt;&gt;"",$K118&lt;&gt;"",$J118=$K118,$J118&gt;=AB$3,$J118&lt;=IF(param_mode_affichage="mois",EOMONTH(AB$3,0),AB$3+6)),"◆",""))</f>
      </c>
      <c r="AC118" s="26">
        <f>IF(OR($A118="",AC$3=""),"",IF(AND($J118&lt;&gt;"",$K118&lt;&gt;"",$J118=$K118,$J118&gt;=AC$3,$J118&lt;=IF(param_mode_affichage="mois",EOMONTH(AC$3,0),AC$3+6)),"◆",""))</f>
      </c>
      <c r="AD118" s="26">
        <f>IF(OR($A118="",AD$3=""),"",IF(AND($J118&lt;&gt;"",$K118&lt;&gt;"",$J118=$K118,$J118&gt;=AD$3,$J118&lt;=IF(param_mode_affichage="mois",EOMONTH(AD$3,0),AD$3+6)),"◆",""))</f>
      </c>
      <c r="AE118" s="26">
        <f>IF(OR($A118="",AE$3=""),"",IF(AND($J118&lt;&gt;"",$K118&lt;&gt;"",$J118=$K118,$J118&gt;=AE$3,$J118&lt;=IF(param_mode_affichage="mois",EOMONTH(AE$3,0),AE$3+6)),"◆",""))</f>
      </c>
      <c r="AF118" s="26">
        <f>IF(OR($A118="",AF$3=""),"",IF(AND($J118&lt;&gt;"",$K118&lt;&gt;"",$J118=$K118,$J118&gt;=AF$3,$J118&lt;=IF(param_mode_affichage="mois",EOMONTH(AF$3,0),AF$3+6)),"◆",""))</f>
      </c>
      <c r="AG118" s="26">
        <f>IF(OR($A118="",AG$3=""),"",IF(AND($J118&lt;&gt;"",$K118&lt;&gt;"",$J118=$K118,$J118&gt;=AG$3,$J118&lt;=IF(param_mode_affichage="mois",EOMONTH(AG$3,0),AG$3+6)),"◆",""))</f>
      </c>
      <c r="AH118" s="26">
        <f>IF(OR($A118="",AH$3=""),"",IF(AND($J118&lt;&gt;"",$K118&lt;&gt;"",$J118=$K118,$J118&gt;=AH$3,$J118&lt;=IF(param_mode_affichage="mois",EOMONTH(AH$3,0),AH$3+6)),"◆",""))</f>
      </c>
      <c r="AI118" s="26">
        <f>IF(OR($A118="",AI$3=""),"",IF(AND($J118&lt;&gt;"",$K118&lt;&gt;"",$J118=$K118,$J118&gt;=AI$3,$J118&lt;=IF(param_mode_affichage="mois",EOMONTH(AI$3,0),AI$3+6)),"◆",""))</f>
      </c>
      <c r="AJ118" s="26">
        <f>IF(OR($A118="",AJ$3=""),"",IF(AND($J118&lt;&gt;"",$K118&lt;&gt;"",$J118=$K118,$J118&gt;=AJ$3,$J118&lt;=IF(param_mode_affichage="mois",EOMONTH(AJ$3,0),AJ$3+6)),"◆",""))</f>
      </c>
      <c r="AK118" s="26">
        <f>IF(OR($A118="",AK$3=""),"",IF(AND($J118&lt;&gt;"",$K118&lt;&gt;"",$J118=$K118,$J118&gt;=AK$3,$J118&lt;=IF(param_mode_affichage="mois",EOMONTH(AK$3,0),AK$3+6)),"◆",""))</f>
      </c>
      <c r="AL118" s="26">
        <f>IF(OR($A118="",AL$3=""),"",IF(AND($J118&lt;&gt;"",$K118&lt;&gt;"",$J118=$K118,$J118&gt;=AL$3,$J118&lt;=IF(param_mode_affichage="mois",EOMONTH(AL$3,0),AL$3+6)),"◆",""))</f>
      </c>
      <c r="AM118" s="26">
        <f>IF(OR($A118="",AM$3=""),"",IF(AND($J118&lt;&gt;"",$K118&lt;&gt;"",$J118=$K118,$J118&gt;=AM$3,$J118&lt;=IF(param_mode_affichage="mois",EOMONTH(AM$3,0),AM$3+6)),"◆",""))</f>
      </c>
      <c r="AN118" s="26">
        <f>IF(OR($A118="",AN$3=""),"",IF(AND($J118&lt;&gt;"",$K118&lt;&gt;"",$J118=$K118,$J118&gt;=AN$3,$J118&lt;=IF(param_mode_affichage="mois",EOMONTH(AN$3,0),AN$3+6)),"◆",""))</f>
      </c>
      <c r="AO118" s="26">
        <f>IF(OR($A118="",AO$3=""),"",IF(AND($J118&lt;&gt;"",$K118&lt;&gt;"",$J118=$K118,$J118&gt;=AO$3,$J118&lt;=IF(param_mode_affichage="mois",EOMONTH(AO$3,0),AO$3+6)),"◆",""))</f>
      </c>
      <c r="AP118" s="26">
        <f>IF(OR($A118="",AP$3=""),"",IF(AND($J118&lt;&gt;"",$K118&lt;&gt;"",$J118=$K118,$J118&gt;=AP$3,$J118&lt;=IF(param_mode_affichage="mois",EOMONTH(AP$3,0),AP$3+6)),"◆",""))</f>
      </c>
      <c r="AQ118" s="26">
        <f>IF(OR($A118="",AQ$3=""),"",IF(AND($J118&lt;&gt;"",$K118&lt;&gt;"",$J118=$K118,$J118&gt;=AQ$3,$J118&lt;=IF(param_mode_affichage="mois",EOMONTH(AQ$3,0),AQ$3+6)),"◆",""))</f>
      </c>
      <c r="AR118" s="26">
        <f>IF(OR($A118="",AR$3=""),"",IF(AND($J118&lt;&gt;"",$K118&lt;&gt;"",$J118=$K118,$J118&gt;=AR$3,$J118&lt;=IF(param_mode_affichage="mois",EOMONTH(AR$3,0),AR$3+6)),"◆",""))</f>
      </c>
      <c r="AS118" s="26">
        <f>IF(OR($A118="",AS$3=""),"",IF(AND($J118&lt;&gt;"",$K118&lt;&gt;"",$J118=$K118,$J118&gt;=AS$3,$J118&lt;=IF(param_mode_affichage="mois",EOMONTH(AS$3,0),AS$3+6)),"◆",""))</f>
      </c>
      <c r="AT118" s="26">
        <f>IF(OR($A118="",AT$3=""),"",IF(AND($J118&lt;&gt;"",$K118&lt;&gt;"",$J118=$K118,$J118&gt;=AT$3,$J118&lt;=IF(param_mode_affichage="mois",EOMONTH(AT$3,0),AT$3+6)),"◆",""))</f>
      </c>
      <c r="AU118" s="26">
        <f>IF(OR($A118="",AU$3=""),"",IF(AND($J118&lt;&gt;"",$K118&lt;&gt;"",$J118=$K118,$J118&gt;=AU$3,$J118&lt;=IF(param_mode_affichage="mois",EOMONTH(AU$3,0),AU$3+6)),"◆",""))</f>
      </c>
      <c r="AV118" s="26">
        <f>IF(OR($A118="",AV$3=""),"",IF(AND($J118&lt;&gt;"",$K118&lt;&gt;"",$J118=$K118,$J118&gt;=AV$3,$J118&lt;=IF(param_mode_affichage="mois",EOMONTH(AV$3,0),AV$3+6)),"◆",""))</f>
      </c>
      <c r="AW118" s="26">
        <f>IF(OR($A118="",AW$3=""),"",IF(AND($J118&lt;&gt;"",$K118&lt;&gt;"",$J118=$K118,$J118&gt;=AW$3,$J118&lt;=IF(param_mode_affichage="mois",EOMONTH(AW$3,0),AW$3+6)),"◆",""))</f>
      </c>
      <c r="AX118" s="26">
        <f>IF(OR($A118="",AX$3=""),"",IF(AND($J118&lt;&gt;"",$K118&lt;&gt;"",$J118=$K118,$J118&gt;=AX$3,$J118&lt;=IF(param_mode_affichage="mois",EOMONTH(AX$3,0),AX$3+6)),"◆",""))</f>
      </c>
      <c r="AY118" s="26">
        <f>IF(OR($A118="",AY$3=""),"",IF(AND($J118&lt;&gt;"",$K118&lt;&gt;"",$J118=$K118,$J118&gt;=AY$3,$J118&lt;=IF(param_mode_affichage="mois",EOMONTH(AY$3,0),AY$3+6)),"◆",""))</f>
      </c>
      <c r="AZ118" s="26">
        <f>IF(OR($A118="",AZ$3=""),"",IF(AND($J118&lt;&gt;"",$K118&lt;&gt;"",$J118=$K118,$J118&gt;=AZ$3,$J118&lt;=IF(param_mode_affichage="mois",EOMONTH(AZ$3,0),AZ$3+6)),"◆",""))</f>
      </c>
      <c r="BA118" s="26">
        <f>IF(OR($A118="",BA$3=""),"",IF(AND($J118&lt;&gt;"",$K118&lt;&gt;"",$J118=$K118,$J118&gt;=BA$3,$J118&lt;=IF(param_mode_affichage="mois",EOMONTH(BA$3,0),BA$3+6)),"◆",""))</f>
      </c>
      <c r="BB118" s="26">
        <f>IF(OR($A118="",BB$3=""),"",IF(AND($J118&lt;&gt;"",$K118&lt;&gt;"",$J118=$K118,$J118&gt;=BB$3,$J118&lt;=IF(param_mode_affichage="mois",EOMONTH(BB$3,0),BB$3+6)),"◆",""))</f>
      </c>
      <c r="BC118" s="26">
        <f>IF(OR($A118="",BC$3=""),"",IF(AND($J118&lt;&gt;"",$K118&lt;&gt;"",$J118=$K118,$J118&gt;=BC$3,$J118&lt;=IF(param_mode_affichage="mois",EOMONTH(BC$3,0),BC$3+6)),"◆",""))</f>
      </c>
      <c r="BD118" s="26">
        <f>IF(OR($A118="",BD$3=""),"",IF(AND($J118&lt;&gt;"",$K118&lt;&gt;"",$J118=$K118,$J118&gt;=BD$3,$J118&lt;=IF(param_mode_affichage="mois",EOMONTH(BD$3,0),BD$3+6)),"◆",""))</f>
      </c>
      <c r="BE118" s="26">
        <f>IF(OR($A118="",BE$3=""),"",IF(AND($J118&lt;&gt;"",$K118&lt;&gt;"",$J118=$K118,$J118&gt;=BE$3,$J118&lt;=IF(param_mode_affichage="mois",EOMONTH(BE$3,0),BE$3+6)),"◆",""))</f>
      </c>
      <c r="BF118" s="26">
        <f>IF(OR($A118="",BF$3=""),"",IF(AND($J118&lt;&gt;"",$K118&lt;&gt;"",$J118=$K118,$J118&gt;=BF$3,$J118&lt;=IF(param_mode_affichage="mois",EOMONTH(BF$3,0),BF$3+6)),"◆",""))</f>
      </c>
      <c r="BG118" s="26">
        <f>IF(OR($A118="",BG$3=""),"",IF(AND($J118&lt;&gt;"",$K118&lt;&gt;"",$J118=$K118,$J118&gt;=BG$3,$J118&lt;=IF(param_mode_affichage="mois",EOMONTH(BG$3,0),BG$3+6)),"◆",""))</f>
      </c>
      <c r="BH118" s="26">
        <f>IF(OR($A118="",BH$3=""),"",IF(AND($J118&lt;&gt;"",$K118&lt;&gt;"",$J118=$K118,$J118&gt;=BH$3,$J118&lt;=IF(param_mode_affichage="mois",EOMONTH(BH$3,0),BH$3+6)),"◆",""))</f>
      </c>
      <c r="BI118" s="26">
        <f>IF(OR($A118="",BI$3=""),"",IF(AND($J118&lt;&gt;"",$K118&lt;&gt;"",$J118=$K118,$J118&gt;=BI$3,$J118&lt;=IF(param_mode_affichage="mois",EOMONTH(BI$3,0),BI$3+6)),"◆",""))</f>
      </c>
      <c r="BJ118" s="26">
        <f>IF(OR($A118="",BJ$3=""),"",IF(AND($J118&lt;&gt;"",$K118&lt;&gt;"",$J118=$K118,$J118&gt;=BJ$3,$J118&lt;=IF(param_mode_affichage="mois",EOMONTH(BJ$3,0),BJ$3+6)),"◆",""))</f>
      </c>
      <c r="BK118" s="26">
        <f>IF(OR($A118="",BK$3=""),"",IF(AND($J118&lt;&gt;"",$K118&lt;&gt;"",$J118=$K118,$J118&gt;=BK$3,$J118&lt;=IF(param_mode_affichage="mois",EOMONTH(BK$3,0),BK$3+6)),"◆",""))</f>
      </c>
      <c r="BL118" s="26">
        <f>IF(OR($A118="",BL$3=""),"",IF(AND($J118&lt;&gt;"",$K118&lt;&gt;"",$J118=$K118,$J118&gt;=BL$3,$J118&lt;=IF(param_mode_affichage="mois",EOMONTH(BL$3,0),BL$3+6)),"◆",""))</f>
      </c>
    </row>
    <row r="119" spans="1:64" x14ac:dyDescent="0.25">
      <c r="A119" s="23">
        <f>IFERROR(INDEX(tblTasks[ID],ROW()-4),"")</f>
      </c>
      <c r="B119" s="24">
        <f>IF($A119="","",INDEX(tblTasks[Sujet],ROW()-4))</f>
      </c>
      <c r="C119" s="23">
        <f>IF($A119="","",INDEX(tblTasks[Responsable],ROW()-4))</f>
      </c>
      <c r="D119" s="23">
        <f>IF($A119="","",INDEX(tblTasks[Statut],ROW()-4))</f>
      </c>
      <c r="E119" s="23">
        <f>IF($A119="","",INDEX(tblTasks[Depend_de],ROW()-4))</f>
      </c>
      <c r="F119" s="23">
        <f>IF($A119="","",INDEX(tblTasks[Blocage],ROW()-4))</f>
      </c>
      <c r="G119" s="23">
        <f>IF($A119="","",INDEX(tblTasks[Niveau_criticite],ROW()-4))</f>
      </c>
      <c r="H119" s="23">
        <f>IF($A119="","",INDEX(tblTasks[Goulot],ROW()-4))</f>
      </c>
      <c r="I119" s="23">
        <f>IF($A119="","",IF(LOWER($F119)="oui","non",IF($E119="","oui",IFERROR(IF(LOWER(INDEX(tblTasks[Statut],MATCH($E119,tblTasks[ID],0)))="clos","oui","non"),"non"))))</f>
      </c>
      <c r="J119" s="25">
        <f>IF($A119="","",INDEX(tblTasks[Date_debut_prevue],ROW()-4))</f>
      </c>
      <c r="K119" s="25">
        <f>IF($A119="","",INDEX(tblTasks[Date_fin_prevue],ROW()-4))</f>
      </c>
      <c r="L119" s="23">
        <f>IF($A119="","",INDEX(tblTasks[Irreversibilite],ROW()-4))</f>
      </c>
      <c r="M119" s="26">
        <f>IF(OR($A119="",M$3=""),"",IF(AND($J119&lt;&gt;"",$K119&lt;&gt;"",$J119=$K119,$J119&gt;=M$3,$J119&lt;=IF(param_mode_affichage="mois",EOMONTH(M$3,0),M$3+6)),"◆",""))</f>
      </c>
      <c r="N119" s="26">
        <f>IF(OR($A119="",N$3=""),"",IF(AND($J119&lt;&gt;"",$K119&lt;&gt;"",$J119=$K119,$J119&gt;=N$3,$J119&lt;=IF(param_mode_affichage="mois",EOMONTH(N$3,0),N$3+6)),"◆",""))</f>
      </c>
      <c r="O119" s="26">
        <f>IF(OR($A119="",O$3=""),"",IF(AND($J119&lt;&gt;"",$K119&lt;&gt;"",$J119=$K119,$J119&gt;=O$3,$J119&lt;=IF(param_mode_affichage="mois",EOMONTH(O$3,0),O$3+6)),"◆",""))</f>
      </c>
      <c r="P119" s="26">
        <f>IF(OR($A119="",P$3=""),"",IF(AND($J119&lt;&gt;"",$K119&lt;&gt;"",$J119=$K119,$J119&gt;=P$3,$J119&lt;=IF(param_mode_affichage="mois",EOMONTH(P$3,0),P$3+6)),"◆",""))</f>
      </c>
      <c r="Q119" s="26">
        <f>IF(OR($A119="",Q$3=""),"",IF(AND($J119&lt;&gt;"",$K119&lt;&gt;"",$J119=$K119,$J119&gt;=Q$3,$J119&lt;=IF(param_mode_affichage="mois",EOMONTH(Q$3,0),Q$3+6)),"◆",""))</f>
      </c>
      <c r="R119" s="26">
        <f>IF(OR($A119="",R$3=""),"",IF(AND($J119&lt;&gt;"",$K119&lt;&gt;"",$J119=$K119,$J119&gt;=R$3,$J119&lt;=IF(param_mode_affichage="mois",EOMONTH(R$3,0),R$3+6)),"◆",""))</f>
      </c>
      <c r="S119" s="26">
        <f>IF(OR($A119="",S$3=""),"",IF(AND($J119&lt;&gt;"",$K119&lt;&gt;"",$J119=$K119,$J119&gt;=S$3,$J119&lt;=IF(param_mode_affichage="mois",EOMONTH(S$3,0),S$3+6)),"◆",""))</f>
      </c>
      <c r="T119" s="26">
        <f>IF(OR($A119="",T$3=""),"",IF(AND($J119&lt;&gt;"",$K119&lt;&gt;"",$J119=$K119,$J119&gt;=T$3,$J119&lt;=IF(param_mode_affichage="mois",EOMONTH(T$3,0),T$3+6)),"◆",""))</f>
      </c>
      <c r="U119" s="26">
        <f>IF(OR($A119="",U$3=""),"",IF(AND($J119&lt;&gt;"",$K119&lt;&gt;"",$J119=$K119,$J119&gt;=U$3,$J119&lt;=IF(param_mode_affichage="mois",EOMONTH(U$3,0),U$3+6)),"◆",""))</f>
      </c>
      <c r="V119" s="26">
        <f>IF(OR($A119="",V$3=""),"",IF(AND($J119&lt;&gt;"",$K119&lt;&gt;"",$J119=$K119,$J119&gt;=V$3,$J119&lt;=IF(param_mode_affichage="mois",EOMONTH(V$3,0),V$3+6)),"◆",""))</f>
      </c>
      <c r="W119" s="26">
        <f>IF(OR($A119="",W$3=""),"",IF(AND($J119&lt;&gt;"",$K119&lt;&gt;"",$J119=$K119,$J119&gt;=W$3,$J119&lt;=IF(param_mode_affichage="mois",EOMONTH(W$3,0),W$3+6)),"◆",""))</f>
      </c>
      <c r="X119" s="26">
        <f>IF(OR($A119="",X$3=""),"",IF(AND($J119&lt;&gt;"",$K119&lt;&gt;"",$J119=$K119,$J119&gt;=X$3,$J119&lt;=IF(param_mode_affichage="mois",EOMONTH(X$3,0),X$3+6)),"◆",""))</f>
      </c>
      <c r="Y119" s="26">
        <f>IF(OR($A119="",Y$3=""),"",IF(AND($J119&lt;&gt;"",$K119&lt;&gt;"",$J119=$K119,$J119&gt;=Y$3,$J119&lt;=IF(param_mode_affichage="mois",EOMONTH(Y$3,0),Y$3+6)),"◆",""))</f>
      </c>
      <c r="Z119" s="26">
        <f>IF(OR($A119="",Z$3=""),"",IF(AND($J119&lt;&gt;"",$K119&lt;&gt;"",$J119=$K119,$J119&gt;=Z$3,$J119&lt;=IF(param_mode_affichage="mois",EOMONTH(Z$3,0),Z$3+6)),"◆",""))</f>
      </c>
      <c r="AA119" s="26">
        <f>IF(OR($A119="",AA$3=""),"",IF(AND($J119&lt;&gt;"",$K119&lt;&gt;"",$J119=$K119,$J119&gt;=AA$3,$J119&lt;=IF(param_mode_affichage="mois",EOMONTH(AA$3,0),AA$3+6)),"◆",""))</f>
      </c>
      <c r="AB119" s="26">
        <f>IF(OR($A119="",AB$3=""),"",IF(AND($J119&lt;&gt;"",$K119&lt;&gt;"",$J119=$K119,$J119&gt;=AB$3,$J119&lt;=IF(param_mode_affichage="mois",EOMONTH(AB$3,0),AB$3+6)),"◆",""))</f>
      </c>
      <c r="AC119" s="26">
        <f>IF(OR($A119="",AC$3=""),"",IF(AND($J119&lt;&gt;"",$K119&lt;&gt;"",$J119=$K119,$J119&gt;=AC$3,$J119&lt;=IF(param_mode_affichage="mois",EOMONTH(AC$3,0),AC$3+6)),"◆",""))</f>
      </c>
      <c r="AD119" s="26">
        <f>IF(OR($A119="",AD$3=""),"",IF(AND($J119&lt;&gt;"",$K119&lt;&gt;"",$J119=$K119,$J119&gt;=AD$3,$J119&lt;=IF(param_mode_affichage="mois",EOMONTH(AD$3,0),AD$3+6)),"◆",""))</f>
      </c>
      <c r="AE119" s="26">
        <f>IF(OR($A119="",AE$3=""),"",IF(AND($J119&lt;&gt;"",$K119&lt;&gt;"",$J119=$K119,$J119&gt;=AE$3,$J119&lt;=IF(param_mode_affichage="mois",EOMONTH(AE$3,0),AE$3+6)),"◆",""))</f>
      </c>
      <c r="AF119" s="26">
        <f>IF(OR($A119="",AF$3=""),"",IF(AND($J119&lt;&gt;"",$K119&lt;&gt;"",$J119=$K119,$J119&gt;=AF$3,$J119&lt;=IF(param_mode_affichage="mois",EOMONTH(AF$3,0),AF$3+6)),"◆",""))</f>
      </c>
      <c r="AG119" s="26">
        <f>IF(OR($A119="",AG$3=""),"",IF(AND($J119&lt;&gt;"",$K119&lt;&gt;"",$J119=$K119,$J119&gt;=AG$3,$J119&lt;=IF(param_mode_affichage="mois",EOMONTH(AG$3,0),AG$3+6)),"◆",""))</f>
      </c>
      <c r="AH119" s="26">
        <f>IF(OR($A119="",AH$3=""),"",IF(AND($J119&lt;&gt;"",$K119&lt;&gt;"",$J119=$K119,$J119&gt;=AH$3,$J119&lt;=IF(param_mode_affichage="mois",EOMONTH(AH$3,0),AH$3+6)),"◆",""))</f>
      </c>
      <c r="AI119" s="26">
        <f>IF(OR($A119="",AI$3=""),"",IF(AND($J119&lt;&gt;"",$K119&lt;&gt;"",$J119=$K119,$J119&gt;=AI$3,$J119&lt;=IF(param_mode_affichage="mois",EOMONTH(AI$3,0),AI$3+6)),"◆",""))</f>
      </c>
      <c r="AJ119" s="26">
        <f>IF(OR($A119="",AJ$3=""),"",IF(AND($J119&lt;&gt;"",$K119&lt;&gt;"",$J119=$K119,$J119&gt;=AJ$3,$J119&lt;=IF(param_mode_affichage="mois",EOMONTH(AJ$3,0),AJ$3+6)),"◆",""))</f>
      </c>
      <c r="AK119" s="26">
        <f>IF(OR($A119="",AK$3=""),"",IF(AND($J119&lt;&gt;"",$K119&lt;&gt;"",$J119=$K119,$J119&gt;=AK$3,$J119&lt;=IF(param_mode_affichage="mois",EOMONTH(AK$3,0),AK$3+6)),"◆",""))</f>
      </c>
      <c r="AL119" s="26">
        <f>IF(OR($A119="",AL$3=""),"",IF(AND($J119&lt;&gt;"",$K119&lt;&gt;"",$J119=$K119,$J119&gt;=AL$3,$J119&lt;=IF(param_mode_affichage="mois",EOMONTH(AL$3,0),AL$3+6)),"◆",""))</f>
      </c>
      <c r="AM119" s="26">
        <f>IF(OR($A119="",AM$3=""),"",IF(AND($J119&lt;&gt;"",$K119&lt;&gt;"",$J119=$K119,$J119&gt;=AM$3,$J119&lt;=IF(param_mode_affichage="mois",EOMONTH(AM$3,0),AM$3+6)),"◆",""))</f>
      </c>
      <c r="AN119" s="26">
        <f>IF(OR($A119="",AN$3=""),"",IF(AND($J119&lt;&gt;"",$K119&lt;&gt;"",$J119=$K119,$J119&gt;=AN$3,$J119&lt;=IF(param_mode_affichage="mois",EOMONTH(AN$3,0),AN$3+6)),"◆",""))</f>
      </c>
      <c r="AO119" s="26">
        <f>IF(OR($A119="",AO$3=""),"",IF(AND($J119&lt;&gt;"",$K119&lt;&gt;"",$J119=$K119,$J119&gt;=AO$3,$J119&lt;=IF(param_mode_affichage="mois",EOMONTH(AO$3,0),AO$3+6)),"◆",""))</f>
      </c>
      <c r="AP119" s="26">
        <f>IF(OR($A119="",AP$3=""),"",IF(AND($J119&lt;&gt;"",$K119&lt;&gt;"",$J119=$K119,$J119&gt;=AP$3,$J119&lt;=IF(param_mode_affichage="mois",EOMONTH(AP$3,0),AP$3+6)),"◆",""))</f>
      </c>
      <c r="AQ119" s="26">
        <f>IF(OR($A119="",AQ$3=""),"",IF(AND($J119&lt;&gt;"",$K119&lt;&gt;"",$J119=$K119,$J119&gt;=AQ$3,$J119&lt;=IF(param_mode_affichage="mois",EOMONTH(AQ$3,0),AQ$3+6)),"◆",""))</f>
      </c>
      <c r="AR119" s="26">
        <f>IF(OR($A119="",AR$3=""),"",IF(AND($J119&lt;&gt;"",$K119&lt;&gt;"",$J119=$K119,$J119&gt;=AR$3,$J119&lt;=IF(param_mode_affichage="mois",EOMONTH(AR$3,0),AR$3+6)),"◆",""))</f>
      </c>
      <c r="AS119" s="26">
        <f>IF(OR($A119="",AS$3=""),"",IF(AND($J119&lt;&gt;"",$K119&lt;&gt;"",$J119=$K119,$J119&gt;=AS$3,$J119&lt;=IF(param_mode_affichage="mois",EOMONTH(AS$3,0),AS$3+6)),"◆",""))</f>
      </c>
      <c r="AT119" s="26">
        <f>IF(OR($A119="",AT$3=""),"",IF(AND($J119&lt;&gt;"",$K119&lt;&gt;"",$J119=$K119,$J119&gt;=AT$3,$J119&lt;=IF(param_mode_affichage="mois",EOMONTH(AT$3,0),AT$3+6)),"◆",""))</f>
      </c>
      <c r="AU119" s="26">
        <f>IF(OR($A119="",AU$3=""),"",IF(AND($J119&lt;&gt;"",$K119&lt;&gt;"",$J119=$K119,$J119&gt;=AU$3,$J119&lt;=IF(param_mode_affichage="mois",EOMONTH(AU$3,0),AU$3+6)),"◆",""))</f>
      </c>
      <c r="AV119" s="26">
        <f>IF(OR($A119="",AV$3=""),"",IF(AND($J119&lt;&gt;"",$K119&lt;&gt;"",$J119=$K119,$J119&gt;=AV$3,$J119&lt;=IF(param_mode_affichage="mois",EOMONTH(AV$3,0),AV$3+6)),"◆",""))</f>
      </c>
      <c r="AW119" s="26">
        <f>IF(OR($A119="",AW$3=""),"",IF(AND($J119&lt;&gt;"",$K119&lt;&gt;"",$J119=$K119,$J119&gt;=AW$3,$J119&lt;=IF(param_mode_affichage="mois",EOMONTH(AW$3,0),AW$3+6)),"◆",""))</f>
      </c>
      <c r="AX119" s="26">
        <f>IF(OR($A119="",AX$3=""),"",IF(AND($J119&lt;&gt;"",$K119&lt;&gt;"",$J119=$K119,$J119&gt;=AX$3,$J119&lt;=IF(param_mode_affichage="mois",EOMONTH(AX$3,0),AX$3+6)),"◆",""))</f>
      </c>
      <c r="AY119" s="26">
        <f>IF(OR($A119="",AY$3=""),"",IF(AND($J119&lt;&gt;"",$K119&lt;&gt;"",$J119=$K119,$J119&gt;=AY$3,$J119&lt;=IF(param_mode_affichage="mois",EOMONTH(AY$3,0),AY$3+6)),"◆",""))</f>
      </c>
      <c r="AZ119" s="26">
        <f>IF(OR($A119="",AZ$3=""),"",IF(AND($J119&lt;&gt;"",$K119&lt;&gt;"",$J119=$K119,$J119&gt;=AZ$3,$J119&lt;=IF(param_mode_affichage="mois",EOMONTH(AZ$3,0),AZ$3+6)),"◆",""))</f>
      </c>
      <c r="BA119" s="26">
        <f>IF(OR($A119="",BA$3=""),"",IF(AND($J119&lt;&gt;"",$K119&lt;&gt;"",$J119=$K119,$J119&gt;=BA$3,$J119&lt;=IF(param_mode_affichage="mois",EOMONTH(BA$3,0),BA$3+6)),"◆",""))</f>
      </c>
      <c r="BB119" s="26">
        <f>IF(OR($A119="",BB$3=""),"",IF(AND($J119&lt;&gt;"",$K119&lt;&gt;"",$J119=$K119,$J119&gt;=BB$3,$J119&lt;=IF(param_mode_affichage="mois",EOMONTH(BB$3,0),BB$3+6)),"◆",""))</f>
      </c>
      <c r="BC119" s="26">
        <f>IF(OR($A119="",BC$3=""),"",IF(AND($J119&lt;&gt;"",$K119&lt;&gt;"",$J119=$K119,$J119&gt;=BC$3,$J119&lt;=IF(param_mode_affichage="mois",EOMONTH(BC$3,0),BC$3+6)),"◆",""))</f>
      </c>
      <c r="BD119" s="26">
        <f>IF(OR($A119="",BD$3=""),"",IF(AND($J119&lt;&gt;"",$K119&lt;&gt;"",$J119=$K119,$J119&gt;=BD$3,$J119&lt;=IF(param_mode_affichage="mois",EOMONTH(BD$3,0),BD$3+6)),"◆",""))</f>
      </c>
      <c r="BE119" s="26">
        <f>IF(OR($A119="",BE$3=""),"",IF(AND($J119&lt;&gt;"",$K119&lt;&gt;"",$J119=$K119,$J119&gt;=BE$3,$J119&lt;=IF(param_mode_affichage="mois",EOMONTH(BE$3,0),BE$3+6)),"◆",""))</f>
      </c>
      <c r="BF119" s="26">
        <f>IF(OR($A119="",BF$3=""),"",IF(AND($J119&lt;&gt;"",$K119&lt;&gt;"",$J119=$K119,$J119&gt;=BF$3,$J119&lt;=IF(param_mode_affichage="mois",EOMONTH(BF$3,0),BF$3+6)),"◆",""))</f>
      </c>
      <c r="BG119" s="26">
        <f>IF(OR($A119="",BG$3=""),"",IF(AND($J119&lt;&gt;"",$K119&lt;&gt;"",$J119=$K119,$J119&gt;=BG$3,$J119&lt;=IF(param_mode_affichage="mois",EOMONTH(BG$3,0),BG$3+6)),"◆",""))</f>
      </c>
      <c r="BH119" s="26">
        <f>IF(OR($A119="",BH$3=""),"",IF(AND($J119&lt;&gt;"",$K119&lt;&gt;"",$J119=$K119,$J119&gt;=BH$3,$J119&lt;=IF(param_mode_affichage="mois",EOMONTH(BH$3,0),BH$3+6)),"◆",""))</f>
      </c>
      <c r="BI119" s="26">
        <f>IF(OR($A119="",BI$3=""),"",IF(AND($J119&lt;&gt;"",$K119&lt;&gt;"",$J119=$K119,$J119&gt;=BI$3,$J119&lt;=IF(param_mode_affichage="mois",EOMONTH(BI$3,0),BI$3+6)),"◆",""))</f>
      </c>
      <c r="BJ119" s="26">
        <f>IF(OR($A119="",BJ$3=""),"",IF(AND($J119&lt;&gt;"",$K119&lt;&gt;"",$J119=$K119,$J119&gt;=BJ$3,$J119&lt;=IF(param_mode_affichage="mois",EOMONTH(BJ$3,0),BJ$3+6)),"◆",""))</f>
      </c>
      <c r="BK119" s="26">
        <f>IF(OR($A119="",BK$3=""),"",IF(AND($J119&lt;&gt;"",$K119&lt;&gt;"",$J119=$K119,$J119&gt;=BK$3,$J119&lt;=IF(param_mode_affichage="mois",EOMONTH(BK$3,0),BK$3+6)),"◆",""))</f>
      </c>
      <c r="BL119" s="26">
        <f>IF(OR($A119="",BL$3=""),"",IF(AND($J119&lt;&gt;"",$K119&lt;&gt;"",$J119=$K119,$J119&gt;=BL$3,$J119&lt;=IF(param_mode_affichage="mois",EOMONTH(BL$3,0),BL$3+6)),"◆",""))</f>
      </c>
    </row>
    <row r="120" spans="1:64" x14ac:dyDescent="0.25">
      <c r="A120" s="23">
        <f>IFERROR(INDEX(tblTasks[ID],ROW()-4),"")</f>
      </c>
      <c r="B120" s="24">
        <f>IF($A120="","",INDEX(tblTasks[Sujet],ROW()-4))</f>
      </c>
      <c r="C120" s="23">
        <f>IF($A120="","",INDEX(tblTasks[Responsable],ROW()-4))</f>
      </c>
      <c r="D120" s="23">
        <f>IF($A120="","",INDEX(tblTasks[Statut],ROW()-4))</f>
      </c>
      <c r="E120" s="23">
        <f>IF($A120="","",INDEX(tblTasks[Depend_de],ROW()-4))</f>
      </c>
      <c r="F120" s="23">
        <f>IF($A120="","",INDEX(tblTasks[Blocage],ROW()-4))</f>
      </c>
      <c r="G120" s="23">
        <f>IF($A120="","",INDEX(tblTasks[Niveau_criticite],ROW()-4))</f>
      </c>
      <c r="H120" s="23">
        <f>IF($A120="","",INDEX(tblTasks[Goulot],ROW()-4))</f>
      </c>
      <c r="I120" s="23">
        <f>IF($A120="","",IF(LOWER($F120)="oui","non",IF($E120="","oui",IFERROR(IF(LOWER(INDEX(tblTasks[Statut],MATCH($E120,tblTasks[ID],0)))="clos","oui","non"),"non"))))</f>
      </c>
      <c r="J120" s="25">
        <f>IF($A120="","",INDEX(tblTasks[Date_debut_prevue],ROW()-4))</f>
      </c>
      <c r="K120" s="25">
        <f>IF($A120="","",INDEX(tblTasks[Date_fin_prevue],ROW()-4))</f>
      </c>
      <c r="L120" s="23">
        <f>IF($A120="","",INDEX(tblTasks[Irreversibilite],ROW()-4))</f>
      </c>
      <c r="M120" s="26">
        <f>IF(OR($A120="",M$3=""),"",IF(AND($J120&lt;&gt;"",$K120&lt;&gt;"",$J120=$K120,$J120&gt;=M$3,$J120&lt;=IF(param_mode_affichage="mois",EOMONTH(M$3,0),M$3+6)),"◆",""))</f>
      </c>
      <c r="N120" s="26">
        <f>IF(OR($A120="",N$3=""),"",IF(AND($J120&lt;&gt;"",$K120&lt;&gt;"",$J120=$K120,$J120&gt;=N$3,$J120&lt;=IF(param_mode_affichage="mois",EOMONTH(N$3,0),N$3+6)),"◆",""))</f>
      </c>
      <c r="O120" s="26">
        <f>IF(OR($A120="",O$3=""),"",IF(AND($J120&lt;&gt;"",$K120&lt;&gt;"",$J120=$K120,$J120&gt;=O$3,$J120&lt;=IF(param_mode_affichage="mois",EOMONTH(O$3,0),O$3+6)),"◆",""))</f>
      </c>
      <c r="P120" s="26">
        <f>IF(OR($A120="",P$3=""),"",IF(AND($J120&lt;&gt;"",$K120&lt;&gt;"",$J120=$K120,$J120&gt;=P$3,$J120&lt;=IF(param_mode_affichage="mois",EOMONTH(P$3,0),P$3+6)),"◆",""))</f>
      </c>
      <c r="Q120" s="26">
        <f>IF(OR($A120="",Q$3=""),"",IF(AND($J120&lt;&gt;"",$K120&lt;&gt;"",$J120=$K120,$J120&gt;=Q$3,$J120&lt;=IF(param_mode_affichage="mois",EOMONTH(Q$3,0),Q$3+6)),"◆",""))</f>
      </c>
      <c r="R120" s="26">
        <f>IF(OR($A120="",R$3=""),"",IF(AND($J120&lt;&gt;"",$K120&lt;&gt;"",$J120=$K120,$J120&gt;=R$3,$J120&lt;=IF(param_mode_affichage="mois",EOMONTH(R$3,0),R$3+6)),"◆",""))</f>
      </c>
      <c r="S120" s="26">
        <f>IF(OR($A120="",S$3=""),"",IF(AND($J120&lt;&gt;"",$K120&lt;&gt;"",$J120=$K120,$J120&gt;=S$3,$J120&lt;=IF(param_mode_affichage="mois",EOMONTH(S$3,0),S$3+6)),"◆",""))</f>
      </c>
      <c r="T120" s="26">
        <f>IF(OR($A120="",T$3=""),"",IF(AND($J120&lt;&gt;"",$K120&lt;&gt;"",$J120=$K120,$J120&gt;=T$3,$J120&lt;=IF(param_mode_affichage="mois",EOMONTH(T$3,0),T$3+6)),"◆",""))</f>
      </c>
      <c r="U120" s="26">
        <f>IF(OR($A120="",U$3=""),"",IF(AND($J120&lt;&gt;"",$K120&lt;&gt;"",$J120=$K120,$J120&gt;=U$3,$J120&lt;=IF(param_mode_affichage="mois",EOMONTH(U$3,0),U$3+6)),"◆",""))</f>
      </c>
      <c r="V120" s="26">
        <f>IF(OR($A120="",V$3=""),"",IF(AND($J120&lt;&gt;"",$K120&lt;&gt;"",$J120=$K120,$J120&gt;=V$3,$J120&lt;=IF(param_mode_affichage="mois",EOMONTH(V$3,0),V$3+6)),"◆",""))</f>
      </c>
      <c r="W120" s="26">
        <f>IF(OR($A120="",W$3=""),"",IF(AND($J120&lt;&gt;"",$K120&lt;&gt;"",$J120=$K120,$J120&gt;=W$3,$J120&lt;=IF(param_mode_affichage="mois",EOMONTH(W$3,0),W$3+6)),"◆",""))</f>
      </c>
      <c r="X120" s="26">
        <f>IF(OR($A120="",X$3=""),"",IF(AND($J120&lt;&gt;"",$K120&lt;&gt;"",$J120=$K120,$J120&gt;=X$3,$J120&lt;=IF(param_mode_affichage="mois",EOMONTH(X$3,0),X$3+6)),"◆",""))</f>
      </c>
      <c r="Y120" s="26">
        <f>IF(OR($A120="",Y$3=""),"",IF(AND($J120&lt;&gt;"",$K120&lt;&gt;"",$J120=$K120,$J120&gt;=Y$3,$J120&lt;=IF(param_mode_affichage="mois",EOMONTH(Y$3,0),Y$3+6)),"◆",""))</f>
      </c>
      <c r="Z120" s="26">
        <f>IF(OR($A120="",Z$3=""),"",IF(AND($J120&lt;&gt;"",$K120&lt;&gt;"",$J120=$K120,$J120&gt;=Z$3,$J120&lt;=IF(param_mode_affichage="mois",EOMONTH(Z$3,0),Z$3+6)),"◆",""))</f>
      </c>
      <c r="AA120" s="26">
        <f>IF(OR($A120="",AA$3=""),"",IF(AND($J120&lt;&gt;"",$K120&lt;&gt;"",$J120=$K120,$J120&gt;=AA$3,$J120&lt;=IF(param_mode_affichage="mois",EOMONTH(AA$3,0),AA$3+6)),"◆",""))</f>
      </c>
      <c r="AB120" s="26">
        <f>IF(OR($A120="",AB$3=""),"",IF(AND($J120&lt;&gt;"",$K120&lt;&gt;"",$J120=$K120,$J120&gt;=AB$3,$J120&lt;=IF(param_mode_affichage="mois",EOMONTH(AB$3,0),AB$3+6)),"◆",""))</f>
      </c>
      <c r="AC120" s="26">
        <f>IF(OR($A120="",AC$3=""),"",IF(AND($J120&lt;&gt;"",$K120&lt;&gt;"",$J120=$K120,$J120&gt;=AC$3,$J120&lt;=IF(param_mode_affichage="mois",EOMONTH(AC$3,0),AC$3+6)),"◆",""))</f>
      </c>
      <c r="AD120" s="26">
        <f>IF(OR($A120="",AD$3=""),"",IF(AND($J120&lt;&gt;"",$K120&lt;&gt;"",$J120=$K120,$J120&gt;=AD$3,$J120&lt;=IF(param_mode_affichage="mois",EOMONTH(AD$3,0),AD$3+6)),"◆",""))</f>
      </c>
      <c r="AE120" s="26">
        <f>IF(OR($A120="",AE$3=""),"",IF(AND($J120&lt;&gt;"",$K120&lt;&gt;"",$J120=$K120,$J120&gt;=AE$3,$J120&lt;=IF(param_mode_affichage="mois",EOMONTH(AE$3,0),AE$3+6)),"◆",""))</f>
      </c>
      <c r="AF120" s="26">
        <f>IF(OR($A120="",AF$3=""),"",IF(AND($J120&lt;&gt;"",$K120&lt;&gt;"",$J120=$K120,$J120&gt;=AF$3,$J120&lt;=IF(param_mode_affichage="mois",EOMONTH(AF$3,0),AF$3+6)),"◆",""))</f>
      </c>
      <c r="AG120" s="26">
        <f>IF(OR($A120="",AG$3=""),"",IF(AND($J120&lt;&gt;"",$K120&lt;&gt;"",$J120=$K120,$J120&gt;=AG$3,$J120&lt;=IF(param_mode_affichage="mois",EOMONTH(AG$3,0),AG$3+6)),"◆",""))</f>
      </c>
      <c r="AH120" s="26">
        <f>IF(OR($A120="",AH$3=""),"",IF(AND($J120&lt;&gt;"",$K120&lt;&gt;"",$J120=$K120,$J120&gt;=AH$3,$J120&lt;=IF(param_mode_affichage="mois",EOMONTH(AH$3,0),AH$3+6)),"◆",""))</f>
      </c>
      <c r="AI120" s="26">
        <f>IF(OR($A120="",AI$3=""),"",IF(AND($J120&lt;&gt;"",$K120&lt;&gt;"",$J120=$K120,$J120&gt;=AI$3,$J120&lt;=IF(param_mode_affichage="mois",EOMONTH(AI$3,0),AI$3+6)),"◆",""))</f>
      </c>
      <c r="AJ120" s="26">
        <f>IF(OR($A120="",AJ$3=""),"",IF(AND($J120&lt;&gt;"",$K120&lt;&gt;"",$J120=$K120,$J120&gt;=AJ$3,$J120&lt;=IF(param_mode_affichage="mois",EOMONTH(AJ$3,0),AJ$3+6)),"◆",""))</f>
      </c>
      <c r="AK120" s="26">
        <f>IF(OR($A120="",AK$3=""),"",IF(AND($J120&lt;&gt;"",$K120&lt;&gt;"",$J120=$K120,$J120&gt;=AK$3,$J120&lt;=IF(param_mode_affichage="mois",EOMONTH(AK$3,0),AK$3+6)),"◆",""))</f>
      </c>
      <c r="AL120" s="26">
        <f>IF(OR($A120="",AL$3=""),"",IF(AND($J120&lt;&gt;"",$K120&lt;&gt;"",$J120=$K120,$J120&gt;=AL$3,$J120&lt;=IF(param_mode_affichage="mois",EOMONTH(AL$3,0),AL$3+6)),"◆",""))</f>
      </c>
      <c r="AM120" s="26">
        <f>IF(OR($A120="",AM$3=""),"",IF(AND($J120&lt;&gt;"",$K120&lt;&gt;"",$J120=$K120,$J120&gt;=AM$3,$J120&lt;=IF(param_mode_affichage="mois",EOMONTH(AM$3,0),AM$3+6)),"◆",""))</f>
      </c>
      <c r="AN120" s="26">
        <f>IF(OR($A120="",AN$3=""),"",IF(AND($J120&lt;&gt;"",$K120&lt;&gt;"",$J120=$K120,$J120&gt;=AN$3,$J120&lt;=IF(param_mode_affichage="mois",EOMONTH(AN$3,0),AN$3+6)),"◆",""))</f>
      </c>
      <c r="AO120" s="26">
        <f>IF(OR($A120="",AO$3=""),"",IF(AND($J120&lt;&gt;"",$K120&lt;&gt;"",$J120=$K120,$J120&gt;=AO$3,$J120&lt;=IF(param_mode_affichage="mois",EOMONTH(AO$3,0),AO$3+6)),"◆",""))</f>
      </c>
      <c r="AP120" s="26">
        <f>IF(OR($A120="",AP$3=""),"",IF(AND($J120&lt;&gt;"",$K120&lt;&gt;"",$J120=$K120,$J120&gt;=AP$3,$J120&lt;=IF(param_mode_affichage="mois",EOMONTH(AP$3,0),AP$3+6)),"◆",""))</f>
      </c>
      <c r="AQ120" s="26">
        <f>IF(OR($A120="",AQ$3=""),"",IF(AND($J120&lt;&gt;"",$K120&lt;&gt;"",$J120=$K120,$J120&gt;=AQ$3,$J120&lt;=IF(param_mode_affichage="mois",EOMONTH(AQ$3,0),AQ$3+6)),"◆",""))</f>
      </c>
      <c r="AR120" s="26">
        <f>IF(OR($A120="",AR$3=""),"",IF(AND($J120&lt;&gt;"",$K120&lt;&gt;"",$J120=$K120,$J120&gt;=AR$3,$J120&lt;=IF(param_mode_affichage="mois",EOMONTH(AR$3,0),AR$3+6)),"◆",""))</f>
      </c>
      <c r="AS120" s="26">
        <f>IF(OR($A120="",AS$3=""),"",IF(AND($J120&lt;&gt;"",$K120&lt;&gt;"",$J120=$K120,$J120&gt;=AS$3,$J120&lt;=IF(param_mode_affichage="mois",EOMONTH(AS$3,0),AS$3+6)),"◆",""))</f>
      </c>
      <c r="AT120" s="26">
        <f>IF(OR($A120="",AT$3=""),"",IF(AND($J120&lt;&gt;"",$K120&lt;&gt;"",$J120=$K120,$J120&gt;=AT$3,$J120&lt;=IF(param_mode_affichage="mois",EOMONTH(AT$3,0),AT$3+6)),"◆",""))</f>
      </c>
      <c r="AU120" s="26">
        <f>IF(OR($A120="",AU$3=""),"",IF(AND($J120&lt;&gt;"",$K120&lt;&gt;"",$J120=$K120,$J120&gt;=AU$3,$J120&lt;=IF(param_mode_affichage="mois",EOMONTH(AU$3,0),AU$3+6)),"◆",""))</f>
      </c>
      <c r="AV120" s="26">
        <f>IF(OR($A120="",AV$3=""),"",IF(AND($J120&lt;&gt;"",$K120&lt;&gt;"",$J120=$K120,$J120&gt;=AV$3,$J120&lt;=IF(param_mode_affichage="mois",EOMONTH(AV$3,0),AV$3+6)),"◆",""))</f>
      </c>
      <c r="AW120" s="26">
        <f>IF(OR($A120="",AW$3=""),"",IF(AND($J120&lt;&gt;"",$K120&lt;&gt;"",$J120=$K120,$J120&gt;=AW$3,$J120&lt;=IF(param_mode_affichage="mois",EOMONTH(AW$3,0),AW$3+6)),"◆",""))</f>
      </c>
      <c r="AX120" s="26">
        <f>IF(OR($A120="",AX$3=""),"",IF(AND($J120&lt;&gt;"",$K120&lt;&gt;"",$J120=$K120,$J120&gt;=AX$3,$J120&lt;=IF(param_mode_affichage="mois",EOMONTH(AX$3,0),AX$3+6)),"◆",""))</f>
      </c>
      <c r="AY120" s="26">
        <f>IF(OR($A120="",AY$3=""),"",IF(AND($J120&lt;&gt;"",$K120&lt;&gt;"",$J120=$K120,$J120&gt;=AY$3,$J120&lt;=IF(param_mode_affichage="mois",EOMONTH(AY$3,0),AY$3+6)),"◆",""))</f>
      </c>
      <c r="AZ120" s="26">
        <f>IF(OR($A120="",AZ$3=""),"",IF(AND($J120&lt;&gt;"",$K120&lt;&gt;"",$J120=$K120,$J120&gt;=AZ$3,$J120&lt;=IF(param_mode_affichage="mois",EOMONTH(AZ$3,0),AZ$3+6)),"◆",""))</f>
      </c>
      <c r="BA120" s="26">
        <f>IF(OR($A120="",BA$3=""),"",IF(AND($J120&lt;&gt;"",$K120&lt;&gt;"",$J120=$K120,$J120&gt;=BA$3,$J120&lt;=IF(param_mode_affichage="mois",EOMONTH(BA$3,0),BA$3+6)),"◆",""))</f>
      </c>
      <c r="BB120" s="26">
        <f>IF(OR($A120="",BB$3=""),"",IF(AND($J120&lt;&gt;"",$K120&lt;&gt;"",$J120=$K120,$J120&gt;=BB$3,$J120&lt;=IF(param_mode_affichage="mois",EOMONTH(BB$3,0),BB$3+6)),"◆",""))</f>
      </c>
      <c r="BC120" s="26">
        <f>IF(OR($A120="",BC$3=""),"",IF(AND($J120&lt;&gt;"",$K120&lt;&gt;"",$J120=$K120,$J120&gt;=BC$3,$J120&lt;=IF(param_mode_affichage="mois",EOMONTH(BC$3,0),BC$3+6)),"◆",""))</f>
      </c>
      <c r="BD120" s="26">
        <f>IF(OR($A120="",BD$3=""),"",IF(AND($J120&lt;&gt;"",$K120&lt;&gt;"",$J120=$K120,$J120&gt;=BD$3,$J120&lt;=IF(param_mode_affichage="mois",EOMONTH(BD$3,0),BD$3+6)),"◆",""))</f>
      </c>
      <c r="BE120" s="26">
        <f>IF(OR($A120="",BE$3=""),"",IF(AND($J120&lt;&gt;"",$K120&lt;&gt;"",$J120=$K120,$J120&gt;=BE$3,$J120&lt;=IF(param_mode_affichage="mois",EOMONTH(BE$3,0),BE$3+6)),"◆",""))</f>
      </c>
      <c r="BF120" s="26">
        <f>IF(OR($A120="",BF$3=""),"",IF(AND($J120&lt;&gt;"",$K120&lt;&gt;"",$J120=$K120,$J120&gt;=BF$3,$J120&lt;=IF(param_mode_affichage="mois",EOMONTH(BF$3,0),BF$3+6)),"◆",""))</f>
      </c>
      <c r="BG120" s="26">
        <f>IF(OR($A120="",BG$3=""),"",IF(AND($J120&lt;&gt;"",$K120&lt;&gt;"",$J120=$K120,$J120&gt;=BG$3,$J120&lt;=IF(param_mode_affichage="mois",EOMONTH(BG$3,0),BG$3+6)),"◆",""))</f>
      </c>
      <c r="BH120" s="26">
        <f>IF(OR($A120="",BH$3=""),"",IF(AND($J120&lt;&gt;"",$K120&lt;&gt;"",$J120=$K120,$J120&gt;=BH$3,$J120&lt;=IF(param_mode_affichage="mois",EOMONTH(BH$3,0),BH$3+6)),"◆",""))</f>
      </c>
      <c r="BI120" s="26">
        <f>IF(OR($A120="",BI$3=""),"",IF(AND($J120&lt;&gt;"",$K120&lt;&gt;"",$J120=$K120,$J120&gt;=BI$3,$J120&lt;=IF(param_mode_affichage="mois",EOMONTH(BI$3,0),BI$3+6)),"◆",""))</f>
      </c>
      <c r="BJ120" s="26">
        <f>IF(OR($A120="",BJ$3=""),"",IF(AND($J120&lt;&gt;"",$K120&lt;&gt;"",$J120=$K120,$J120&gt;=BJ$3,$J120&lt;=IF(param_mode_affichage="mois",EOMONTH(BJ$3,0),BJ$3+6)),"◆",""))</f>
      </c>
      <c r="BK120" s="26">
        <f>IF(OR($A120="",BK$3=""),"",IF(AND($J120&lt;&gt;"",$K120&lt;&gt;"",$J120=$K120,$J120&gt;=BK$3,$J120&lt;=IF(param_mode_affichage="mois",EOMONTH(BK$3,0),BK$3+6)),"◆",""))</f>
      </c>
      <c r="BL120" s="26">
        <f>IF(OR($A120="",BL$3=""),"",IF(AND($J120&lt;&gt;"",$K120&lt;&gt;"",$J120=$K120,$J120&gt;=BL$3,$J120&lt;=IF(param_mode_affichage="mois",EOMONTH(BL$3,0),BL$3+6)),"◆",""))</f>
      </c>
    </row>
    <row r="121" spans="1:64" x14ac:dyDescent="0.25">
      <c r="A121" s="23">
        <f>IFERROR(INDEX(tblTasks[ID],ROW()-4),"")</f>
      </c>
      <c r="B121" s="24">
        <f>IF($A121="","",INDEX(tblTasks[Sujet],ROW()-4))</f>
      </c>
      <c r="C121" s="23">
        <f>IF($A121="","",INDEX(tblTasks[Responsable],ROW()-4))</f>
      </c>
      <c r="D121" s="23">
        <f>IF($A121="","",INDEX(tblTasks[Statut],ROW()-4))</f>
      </c>
      <c r="E121" s="23">
        <f>IF($A121="","",INDEX(tblTasks[Depend_de],ROW()-4))</f>
      </c>
      <c r="F121" s="23">
        <f>IF($A121="","",INDEX(tblTasks[Blocage],ROW()-4))</f>
      </c>
      <c r="G121" s="23">
        <f>IF($A121="","",INDEX(tblTasks[Niveau_criticite],ROW()-4))</f>
      </c>
      <c r="H121" s="23">
        <f>IF($A121="","",INDEX(tblTasks[Goulot],ROW()-4))</f>
      </c>
      <c r="I121" s="23">
        <f>IF($A121="","",IF(LOWER($F121)="oui","non",IF($E121="","oui",IFERROR(IF(LOWER(INDEX(tblTasks[Statut],MATCH($E121,tblTasks[ID],0)))="clos","oui","non"),"non"))))</f>
      </c>
      <c r="J121" s="25">
        <f>IF($A121="","",INDEX(tblTasks[Date_debut_prevue],ROW()-4))</f>
      </c>
      <c r="K121" s="25">
        <f>IF($A121="","",INDEX(tblTasks[Date_fin_prevue],ROW()-4))</f>
      </c>
      <c r="L121" s="23">
        <f>IF($A121="","",INDEX(tblTasks[Irreversibilite],ROW()-4))</f>
      </c>
      <c r="M121" s="26">
        <f>IF(OR($A121="",M$3=""),"",IF(AND($J121&lt;&gt;"",$K121&lt;&gt;"",$J121=$K121,$J121&gt;=M$3,$J121&lt;=IF(param_mode_affichage="mois",EOMONTH(M$3,0),M$3+6)),"◆",""))</f>
      </c>
      <c r="N121" s="26">
        <f>IF(OR($A121="",N$3=""),"",IF(AND($J121&lt;&gt;"",$K121&lt;&gt;"",$J121=$K121,$J121&gt;=N$3,$J121&lt;=IF(param_mode_affichage="mois",EOMONTH(N$3,0),N$3+6)),"◆",""))</f>
      </c>
      <c r="O121" s="26">
        <f>IF(OR($A121="",O$3=""),"",IF(AND($J121&lt;&gt;"",$K121&lt;&gt;"",$J121=$K121,$J121&gt;=O$3,$J121&lt;=IF(param_mode_affichage="mois",EOMONTH(O$3,0),O$3+6)),"◆",""))</f>
      </c>
      <c r="P121" s="26">
        <f>IF(OR($A121="",P$3=""),"",IF(AND($J121&lt;&gt;"",$K121&lt;&gt;"",$J121=$K121,$J121&gt;=P$3,$J121&lt;=IF(param_mode_affichage="mois",EOMONTH(P$3,0),P$3+6)),"◆",""))</f>
      </c>
      <c r="Q121" s="26">
        <f>IF(OR($A121="",Q$3=""),"",IF(AND($J121&lt;&gt;"",$K121&lt;&gt;"",$J121=$K121,$J121&gt;=Q$3,$J121&lt;=IF(param_mode_affichage="mois",EOMONTH(Q$3,0),Q$3+6)),"◆",""))</f>
      </c>
      <c r="R121" s="26">
        <f>IF(OR($A121="",R$3=""),"",IF(AND($J121&lt;&gt;"",$K121&lt;&gt;"",$J121=$K121,$J121&gt;=R$3,$J121&lt;=IF(param_mode_affichage="mois",EOMONTH(R$3,0),R$3+6)),"◆",""))</f>
      </c>
      <c r="S121" s="26">
        <f>IF(OR($A121="",S$3=""),"",IF(AND($J121&lt;&gt;"",$K121&lt;&gt;"",$J121=$K121,$J121&gt;=S$3,$J121&lt;=IF(param_mode_affichage="mois",EOMONTH(S$3,0),S$3+6)),"◆",""))</f>
      </c>
      <c r="T121" s="26">
        <f>IF(OR($A121="",T$3=""),"",IF(AND($J121&lt;&gt;"",$K121&lt;&gt;"",$J121=$K121,$J121&gt;=T$3,$J121&lt;=IF(param_mode_affichage="mois",EOMONTH(T$3,0),T$3+6)),"◆",""))</f>
      </c>
      <c r="U121" s="26">
        <f>IF(OR($A121="",U$3=""),"",IF(AND($J121&lt;&gt;"",$K121&lt;&gt;"",$J121=$K121,$J121&gt;=U$3,$J121&lt;=IF(param_mode_affichage="mois",EOMONTH(U$3,0),U$3+6)),"◆",""))</f>
      </c>
      <c r="V121" s="26">
        <f>IF(OR($A121="",V$3=""),"",IF(AND($J121&lt;&gt;"",$K121&lt;&gt;"",$J121=$K121,$J121&gt;=V$3,$J121&lt;=IF(param_mode_affichage="mois",EOMONTH(V$3,0),V$3+6)),"◆",""))</f>
      </c>
      <c r="W121" s="26">
        <f>IF(OR($A121="",W$3=""),"",IF(AND($J121&lt;&gt;"",$K121&lt;&gt;"",$J121=$K121,$J121&gt;=W$3,$J121&lt;=IF(param_mode_affichage="mois",EOMONTH(W$3,0),W$3+6)),"◆",""))</f>
      </c>
      <c r="X121" s="26">
        <f>IF(OR($A121="",X$3=""),"",IF(AND($J121&lt;&gt;"",$K121&lt;&gt;"",$J121=$K121,$J121&gt;=X$3,$J121&lt;=IF(param_mode_affichage="mois",EOMONTH(X$3,0),X$3+6)),"◆",""))</f>
      </c>
      <c r="Y121" s="26">
        <f>IF(OR($A121="",Y$3=""),"",IF(AND($J121&lt;&gt;"",$K121&lt;&gt;"",$J121=$K121,$J121&gt;=Y$3,$J121&lt;=IF(param_mode_affichage="mois",EOMONTH(Y$3,0),Y$3+6)),"◆",""))</f>
      </c>
      <c r="Z121" s="26">
        <f>IF(OR($A121="",Z$3=""),"",IF(AND($J121&lt;&gt;"",$K121&lt;&gt;"",$J121=$K121,$J121&gt;=Z$3,$J121&lt;=IF(param_mode_affichage="mois",EOMONTH(Z$3,0),Z$3+6)),"◆",""))</f>
      </c>
      <c r="AA121" s="26">
        <f>IF(OR($A121="",AA$3=""),"",IF(AND($J121&lt;&gt;"",$K121&lt;&gt;"",$J121=$K121,$J121&gt;=AA$3,$J121&lt;=IF(param_mode_affichage="mois",EOMONTH(AA$3,0),AA$3+6)),"◆",""))</f>
      </c>
      <c r="AB121" s="26">
        <f>IF(OR($A121="",AB$3=""),"",IF(AND($J121&lt;&gt;"",$K121&lt;&gt;"",$J121=$K121,$J121&gt;=AB$3,$J121&lt;=IF(param_mode_affichage="mois",EOMONTH(AB$3,0),AB$3+6)),"◆",""))</f>
      </c>
      <c r="AC121" s="26">
        <f>IF(OR($A121="",AC$3=""),"",IF(AND($J121&lt;&gt;"",$K121&lt;&gt;"",$J121=$K121,$J121&gt;=AC$3,$J121&lt;=IF(param_mode_affichage="mois",EOMONTH(AC$3,0),AC$3+6)),"◆",""))</f>
      </c>
      <c r="AD121" s="26">
        <f>IF(OR($A121="",AD$3=""),"",IF(AND($J121&lt;&gt;"",$K121&lt;&gt;"",$J121=$K121,$J121&gt;=AD$3,$J121&lt;=IF(param_mode_affichage="mois",EOMONTH(AD$3,0),AD$3+6)),"◆",""))</f>
      </c>
      <c r="AE121" s="26">
        <f>IF(OR($A121="",AE$3=""),"",IF(AND($J121&lt;&gt;"",$K121&lt;&gt;"",$J121=$K121,$J121&gt;=AE$3,$J121&lt;=IF(param_mode_affichage="mois",EOMONTH(AE$3,0),AE$3+6)),"◆",""))</f>
      </c>
      <c r="AF121" s="26">
        <f>IF(OR($A121="",AF$3=""),"",IF(AND($J121&lt;&gt;"",$K121&lt;&gt;"",$J121=$K121,$J121&gt;=AF$3,$J121&lt;=IF(param_mode_affichage="mois",EOMONTH(AF$3,0),AF$3+6)),"◆",""))</f>
      </c>
      <c r="AG121" s="26">
        <f>IF(OR($A121="",AG$3=""),"",IF(AND($J121&lt;&gt;"",$K121&lt;&gt;"",$J121=$K121,$J121&gt;=AG$3,$J121&lt;=IF(param_mode_affichage="mois",EOMONTH(AG$3,0),AG$3+6)),"◆",""))</f>
      </c>
      <c r="AH121" s="26">
        <f>IF(OR($A121="",AH$3=""),"",IF(AND($J121&lt;&gt;"",$K121&lt;&gt;"",$J121=$K121,$J121&gt;=AH$3,$J121&lt;=IF(param_mode_affichage="mois",EOMONTH(AH$3,0),AH$3+6)),"◆",""))</f>
      </c>
      <c r="AI121" s="26">
        <f>IF(OR($A121="",AI$3=""),"",IF(AND($J121&lt;&gt;"",$K121&lt;&gt;"",$J121=$K121,$J121&gt;=AI$3,$J121&lt;=IF(param_mode_affichage="mois",EOMONTH(AI$3,0),AI$3+6)),"◆",""))</f>
      </c>
      <c r="AJ121" s="26">
        <f>IF(OR($A121="",AJ$3=""),"",IF(AND($J121&lt;&gt;"",$K121&lt;&gt;"",$J121=$K121,$J121&gt;=AJ$3,$J121&lt;=IF(param_mode_affichage="mois",EOMONTH(AJ$3,0),AJ$3+6)),"◆",""))</f>
      </c>
      <c r="AK121" s="26">
        <f>IF(OR($A121="",AK$3=""),"",IF(AND($J121&lt;&gt;"",$K121&lt;&gt;"",$J121=$K121,$J121&gt;=AK$3,$J121&lt;=IF(param_mode_affichage="mois",EOMONTH(AK$3,0),AK$3+6)),"◆",""))</f>
      </c>
      <c r="AL121" s="26">
        <f>IF(OR($A121="",AL$3=""),"",IF(AND($J121&lt;&gt;"",$K121&lt;&gt;"",$J121=$K121,$J121&gt;=AL$3,$J121&lt;=IF(param_mode_affichage="mois",EOMONTH(AL$3,0),AL$3+6)),"◆",""))</f>
      </c>
      <c r="AM121" s="26">
        <f>IF(OR($A121="",AM$3=""),"",IF(AND($J121&lt;&gt;"",$K121&lt;&gt;"",$J121=$K121,$J121&gt;=AM$3,$J121&lt;=IF(param_mode_affichage="mois",EOMONTH(AM$3,0),AM$3+6)),"◆",""))</f>
      </c>
      <c r="AN121" s="26">
        <f>IF(OR($A121="",AN$3=""),"",IF(AND($J121&lt;&gt;"",$K121&lt;&gt;"",$J121=$K121,$J121&gt;=AN$3,$J121&lt;=IF(param_mode_affichage="mois",EOMONTH(AN$3,0),AN$3+6)),"◆",""))</f>
      </c>
      <c r="AO121" s="26">
        <f>IF(OR($A121="",AO$3=""),"",IF(AND($J121&lt;&gt;"",$K121&lt;&gt;"",$J121=$K121,$J121&gt;=AO$3,$J121&lt;=IF(param_mode_affichage="mois",EOMONTH(AO$3,0),AO$3+6)),"◆",""))</f>
      </c>
      <c r="AP121" s="26">
        <f>IF(OR($A121="",AP$3=""),"",IF(AND($J121&lt;&gt;"",$K121&lt;&gt;"",$J121=$K121,$J121&gt;=AP$3,$J121&lt;=IF(param_mode_affichage="mois",EOMONTH(AP$3,0),AP$3+6)),"◆",""))</f>
      </c>
      <c r="AQ121" s="26">
        <f>IF(OR($A121="",AQ$3=""),"",IF(AND($J121&lt;&gt;"",$K121&lt;&gt;"",$J121=$K121,$J121&gt;=AQ$3,$J121&lt;=IF(param_mode_affichage="mois",EOMONTH(AQ$3,0),AQ$3+6)),"◆",""))</f>
      </c>
      <c r="AR121" s="26">
        <f>IF(OR($A121="",AR$3=""),"",IF(AND($J121&lt;&gt;"",$K121&lt;&gt;"",$J121=$K121,$J121&gt;=AR$3,$J121&lt;=IF(param_mode_affichage="mois",EOMONTH(AR$3,0),AR$3+6)),"◆",""))</f>
      </c>
      <c r="AS121" s="26">
        <f>IF(OR($A121="",AS$3=""),"",IF(AND($J121&lt;&gt;"",$K121&lt;&gt;"",$J121=$K121,$J121&gt;=AS$3,$J121&lt;=IF(param_mode_affichage="mois",EOMONTH(AS$3,0),AS$3+6)),"◆",""))</f>
      </c>
      <c r="AT121" s="26">
        <f>IF(OR($A121="",AT$3=""),"",IF(AND($J121&lt;&gt;"",$K121&lt;&gt;"",$J121=$K121,$J121&gt;=AT$3,$J121&lt;=IF(param_mode_affichage="mois",EOMONTH(AT$3,0),AT$3+6)),"◆",""))</f>
      </c>
      <c r="AU121" s="26">
        <f>IF(OR($A121="",AU$3=""),"",IF(AND($J121&lt;&gt;"",$K121&lt;&gt;"",$J121=$K121,$J121&gt;=AU$3,$J121&lt;=IF(param_mode_affichage="mois",EOMONTH(AU$3,0),AU$3+6)),"◆",""))</f>
      </c>
      <c r="AV121" s="26">
        <f>IF(OR($A121="",AV$3=""),"",IF(AND($J121&lt;&gt;"",$K121&lt;&gt;"",$J121=$K121,$J121&gt;=AV$3,$J121&lt;=IF(param_mode_affichage="mois",EOMONTH(AV$3,0),AV$3+6)),"◆",""))</f>
      </c>
      <c r="AW121" s="26">
        <f>IF(OR($A121="",AW$3=""),"",IF(AND($J121&lt;&gt;"",$K121&lt;&gt;"",$J121=$K121,$J121&gt;=AW$3,$J121&lt;=IF(param_mode_affichage="mois",EOMONTH(AW$3,0),AW$3+6)),"◆",""))</f>
      </c>
      <c r="AX121" s="26">
        <f>IF(OR($A121="",AX$3=""),"",IF(AND($J121&lt;&gt;"",$K121&lt;&gt;"",$J121=$K121,$J121&gt;=AX$3,$J121&lt;=IF(param_mode_affichage="mois",EOMONTH(AX$3,0),AX$3+6)),"◆",""))</f>
      </c>
      <c r="AY121" s="26">
        <f>IF(OR($A121="",AY$3=""),"",IF(AND($J121&lt;&gt;"",$K121&lt;&gt;"",$J121=$K121,$J121&gt;=AY$3,$J121&lt;=IF(param_mode_affichage="mois",EOMONTH(AY$3,0),AY$3+6)),"◆",""))</f>
      </c>
      <c r="AZ121" s="26">
        <f>IF(OR($A121="",AZ$3=""),"",IF(AND($J121&lt;&gt;"",$K121&lt;&gt;"",$J121=$K121,$J121&gt;=AZ$3,$J121&lt;=IF(param_mode_affichage="mois",EOMONTH(AZ$3,0),AZ$3+6)),"◆",""))</f>
      </c>
      <c r="BA121" s="26">
        <f>IF(OR($A121="",BA$3=""),"",IF(AND($J121&lt;&gt;"",$K121&lt;&gt;"",$J121=$K121,$J121&gt;=BA$3,$J121&lt;=IF(param_mode_affichage="mois",EOMONTH(BA$3,0),BA$3+6)),"◆",""))</f>
      </c>
      <c r="BB121" s="26">
        <f>IF(OR($A121="",BB$3=""),"",IF(AND($J121&lt;&gt;"",$K121&lt;&gt;"",$J121=$K121,$J121&gt;=BB$3,$J121&lt;=IF(param_mode_affichage="mois",EOMONTH(BB$3,0),BB$3+6)),"◆",""))</f>
      </c>
      <c r="BC121" s="26">
        <f>IF(OR($A121="",BC$3=""),"",IF(AND($J121&lt;&gt;"",$K121&lt;&gt;"",$J121=$K121,$J121&gt;=BC$3,$J121&lt;=IF(param_mode_affichage="mois",EOMONTH(BC$3,0),BC$3+6)),"◆",""))</f>
      </c>
      <c r="BD121" s="26">
        <f>IF(OR($A121="",BD$3=""),"",IF(AND($J121&lt;&gt;"",$K121&lt;&gt;"",$J121=$K121,$J121&gt;=BD$3,$J121&lt;=IF(param_mode_affichage="mois",EOMONTH(BD$3,0),BD$3+6)),"◆",""))</f>
      </c>
      <c r="BE121" s="26">
        <f>IF(OR($A121="",BE$3=""),"",IF(AND($J121&lt;&gt;"",$K121&lt;&gt;"",$J121=$K121,$J121&gt;=BE$3,$J121&lt;=IF(param_mode_affichage="mois",EOMONTH(BE$3,0),BE$3+6)),"◆",""))</f>
      </c>
      <c r="BF121" s="26">
        <f>IF(OR($A121="",BF$3=""),"",IF(AND($J121&lt;&gt;"",$K121&lt;&gt;"",$J121=$K121,$J121&gt;=BF$3,$J121&lt;=IF(param_mode_affichage="mois",EOMONTH(BF$3,0),BF$3+6)),"◆",""))</f>
      </c>
      <c r="BG121" s="26">
        <f>IF(OR($A121="",BG$3=""),"",IF(AND($J121&lt;&gt;"",$K121&lt;&gt;"",$J121=$K121,$J121&gt;=BG$3,$J121&lt;=IF(param_mode_affichage="mois",EOMONTH(BG$3,0),BG$3+6)),"◆",""))</f>
      </c>
      <c r="BH121" s="26">
        <f>IF(OR($A121="",BH$3=""),"",IF(AND($J121&lt;&gt;"",$K121&lt;&gt;"",$J121=$K121,$J121&gt;=BH$3,$J121&lt;=IF(param_mode_affichage="mois",EOMONTH(BH$3,0),BH$3+6)),"◆",""))</f>
      </c>
      <c r="BI121" s="26">
        <f>IF(OR($A121="",BI$3=""),"",IF(AND($J121&lt;&gt;"",$K121&lt;&gt;"",$J121=$K121,$J121&gt;=BI$3,$J121&lt;=IF(param_mode_affichage="mois",EOMONTH(BI$3,0),BI$3+6)),"◆",""))</f>
      </c>
      <c r="BJ121" s="26">
        <f>IF(OR($A121="",BJ$3=""),"",IF(AND($J121&lt;&gt;"",$K121&lt;&gt;"",$J121=$K121,$J121&gt;=BJ$3,$J121&lt;=IF(param_mode_affichage="mois",EOMONTH(BJ$3,0),BJ$3+6)),"◆",""))</f>
      </c>
      <c r="BK121" s="26">
        <f>IF(OR($A121="",BK$3=""),"",IF(AND($J121&lt;&gt;"",$K121&lt;&gt;"",$J121=$K121,$J121&gt;=BK$3,$J121&lt;=IF(param_mode_affichage="mois",EOMONTH(BK$3,0),BK$3+6)),"◆",""))</f>
      </c>
      <c r="BL121" s="26">
        <f>IF(OR($A121="",BL$3=""),"",IF(AND($J121&lt;&gt;"",$K121&lt;&gt;"",$J121=$K121,$J121&gt;=BL$3,$J121&lt;=IF(param_mode_affichage="mois",EOMONTH(BL$3,0),BL$3+6)),"◆",""))</f>
      </c>
    </row>
    <row r="122" spans="1:64" x14ac:dyDescent="0.25">
      <c r="A122" s="23">
        <f>IFERROR(INDEX(tblTasks[ID],ROW()-4),"")</f>
      </c>
      <c r="B122" s="24">
        <f>IF($A122="","",INDEX(tblTasks[Sujet],ROW()-4))</f>
      </c>
      <c r="C122" s="23">
        <f>IF($A122="","",INDEX(tblTasks[Responsable],ROW()-4))</f>
      </c>
      <c r="D122" s="23">
        <f>IF($A122="","",INDEX(tblTasks[Statut],ROW()-4))</f>
      </c>
      <c r="E122" s="23">
        <f>IF($A122="","",INDEX(tblTasks[Depend_de],ROW()-4))</f>
      </c>
      <c r="F122" s="23">
        <f>IF($A122="","",INDEX(tblTasks[Blocage],ROW()-4))</f>
      </c>
      <c r="G122" s="23">
        <f>IF($A122="","",INDEX(tblTasks[Niveau_criticite],ROW()-4))</f>
      </c>
      <c r="H122" s="23">
        <f>IF($A122="","",INDEX(tblTasks[Goulot],ROW()-4))</f>
      </c>
      <c r="I122" s="23">
        <f>IF($A122="","",IF(LOWER($F122)="oui","non",IF($E122="","oui",IFERROR(IF(LOWER(INDEX(tblTasks[Statut],MATCH($E122,tblTasks[ID],0)))="clos","oui","non"),"non"))))</f>
      </c>
      <c r="J122" s="25">
        <f>IF($A122="","",INDEX(tblTasks[Date_debut_prevue],ROW()-4))</f>
      </c>
      <c r="K122" s="25">
        <f>IF($A122="","",INDEX(tblTasks[Date_fin_prevue],ROW()-4))</f>
      </c>
      <c r="L122" s="23">
        <f>IF($A122="","",INDEX(tblTasks[Irreversibilite],ROW()-4))</f>
      </c>
      <c r="M122" s="26">
        <f>IF(OR($A122="",M$3=""),"",IF(AND($J122&lt;&gt;"",$K122&lt;&gt;"",$J122=$K122,$J122&gt;=M$3,$J122&lt;=IF(param_mode_affichage="mois",EOMONTH(M$3,0),M$3+6)),"◆",""))</f>
      </c>
      <c r="N122" s="26">
        <f>IF(OR($A122="",N$3=""),"",IF(AND($J122&lt;&gt;"",$K122&lt;&gt;"",$J122=$K122,$J122&gt;=N$3,$J122&lt;=IF(param_mode_affichage="mois",EOMONTH(N$3,0),N$3+6)),"◆",""))</f>
      </c>
      <c r="O122" s="26">
        <f>IF(OR($A122="",O$3=""),"",IF(AND($J122&lt;&gt;"",$K122&lt;&gt;"",$J122=$K122,$J122&gt;=O$3,$J122&lt;=IF(param_mode_affichage="mois",EOMONTH(O$3,0),O$3+6)),"◆",""))</f>
      </c>
      <c r="P122" s="26">
        <f>IF(OR($A122="",P$3=""),"",IF(AND($J122&lt;&gt;"",$K122&lt;&gt;"",$J122=$K122,$J122&gt;=P$3,$J122&lt;=IF(param_mode_affichage="mois",EOMONTH(P$3,0),P$3+6)),"◆",""))</f>
      </c>
      <c r="Q122" s="26">
        <f>IF(OR($A122="",Q$3=""),"",IF(AND($J122&lt;&gt;"",$K122&lt;&gt;"",$J122=$K122,$J122&gt;=Q$3,$J122&lt;=IF(param_mode_affichage="mois",EOMONTH(Q$3,0),Q$3+6)),"◆",""))</f>
      </c>
      <c r="R122" s="26">
        <f>IF(OR($A122="",R$3=""),"",IF(AND($J122&lt;&gt;"",$K122&lt;&gt;"",$J122=$K122,$J122&gt;=R$3,$J122&lt;=IF(param_mode_affichage="mois",EOMONTH(R$3,0),R$3+6)),"◆",""))</f>
      </c>
      <c r="S122" s="26">
        <f>IF(OR($A122="",S$3=""),"",IF(AND($J122&lt;&gt;"",$K122&lt;&gt;"",$J122=$K122,$J122&gt;=S$3,$J122&lt;=IF(param_mode_affichage="mois",EOMONTH(S$3,0),S$3+6)),"◆",""))</f>
      </c>
      <c r="T122" s="26">
        <f>IF(OR($A122="",T$3=""),"",IF(AND($J122&lt;&gt;"",$K122&lt;&gt;"",$J122=$K122,$J122&gt;=T$3,$J122&lt;=IF(param_mode_affichage="mois",EOMONTH(T$3,0),T$3+6)),"◆",""))</f>
      </c>
      <c r="U122" s="26">
        <f>IF(OR($A122="",U$3=""),"",IF(AND($J122&lt;&gt;"",$K122&lt;&gt;"",$J122=$K122,$J122&gt;=U$3,$J122&lt;=IF(param_mode_affichage="mois",EOMONTH(U$3,0),U$3+6)),"◆",""))</f>
      </c>
      <c r="V122" s="26">
        <f>IF(OR($A122="",V$3=""),"",IF(AND($J122&lt;&gt;"",$K122&lt;&gt;"",$J122=$K122,$J122&gt;=V$3,$J122&lt;=IF(param_mode_affichage="mois",EOMONTH(V$3,0),V$3+6)),"◆",""))</f>
      </c>
      <c r="W122" s="26">
        <f>IF(OR($A122="",W$3=""),"",IF(AND($J122&lt;&gt;"",$K122&lt;&gt;"",$J122=$K122,$J122&gt;=W$3,$J122&lt;=IF(param_mode_affichage="mois",EOMONTH(W$3,0),W$3+6)),"◆",""))</f>
      </c>
      <c r="X122" s="26">
        <f>IF(OR($A122="",X$3=""),"",IF(AND($J122&lt;&gt;"",$K122&lt;&gt;"",$J122=$K122,$J122&gt;=X$3,$J122&lt;=IF(param_mode_affichage="mois",EOMONTH(X$3,0),X$3+6)),"◆",""))</f>
      </c>
      <c r="Y122" s="26">
        <f>IF(OR($A122="",Y$3=""),"",IF(AND($J122&lt;&gt;"",$K122&lt;&gt;"",$J122=$K122,$J122&gt;=Y$3,$J122&lt;=IF(param_mode_affichage="mois",EOMONTH(Y$3,0),Y$3+6)),"◆",""))</f>
      </c>
      <c r="Z122" s="26">
        <f>IF(OR($A122="",Z$3=""),"",IF(AND($J122&lt;&gt;"",$K122&lt;&gt;"",$J122=$K122,$J122&gt;=Z$3,$J122&lt;=IF(param_mode_affichage="mois",EOMONTH(Z$3,0),Z$3+6)),"◆",""))</f>
      </c>
      <c r="AA122" s="26">
        <f>IF(OR($A122="",AA$3=""),"",IF(AND($J122&lt;&gt;"",$K122&lt;&gt;"",$J122=$K122,$J122&gt;=AA$3,$J122&lt;=IF(param_mode_affichage="mois",EOMONTH(AA$3,0),AA$3+6)),"◆",""))</f>
      </c>
      <c r="AB122" s="26">
        <f>IF(OR($A122="",AB$3=""),"",IF(AND($J122&lt;&gt;"",$K122&lt;&gt;"",$J122=$K122,$J122&gt;=AB$3,$J122&lt;=IF(param_mode_affichage="mois",EOMONTH(AB$3,0),AB$3+6)),"◆",""))</f>
      </c>
      <c r="AC122" s="26">
        <f>IF(OR($A122="",AC$3=""),"",IF(AND($J122&lt;&gt;"",$K122&lt;&gt;"",$J122=$K122,$J122&gt;=AC$3,$J122&lt;=IF(param_mode_affichage="mois",EOMONTH(AC$3,0),AC$3+6)),"◆",""))</f>
      </c>
      <c r="AD122" s="26">
        <f>IF(OR($A122="",AD$3=""),"",IF(AND($J122&lt;&gt;"",$K122&lt;&gt;"",$J122=$K122,$J122&gt;=AD$3,$J122&lt;=IF(param_mode_affichage="mois",EOMONTH(AD$3,0),AD$3+6)),"◆",""))</f>
      </c>
      <c r="AE122" s="26">
        <f>IF(OR($A122="",AE$3=""),"",IF(AND($J122&lt;&gt;"",$K122&lt;&gt;"",$J122=$K122,$J122&gt;=AE$3,$J122&lt;=IF(param_mode_affichage="mois",EOMONTH(AE$3,0),AE$3+6)),"◆",""))</f>
      </c>
      <c r="AF122" s="26">
        <f>IF(OR($A122="",AF$3=""),"",IF(AND($J122&lt;&gt;"",$K122&lt;&gt;"",$J122=$K122,$J122&gt;=AF$3,$J122&lt;=IF(param_mode_affichage="mois",EOMONTH(AF$3,0),AF$3+6)),"◆",""))</f>
      </c>
      <c r="AG122" s="26">
        <f>IF(OR($A122="",AG$3=""),"",IF(AND($J122&lt;&gt;"",$K122&lt;&gt;"",$J122=$K122,$J122&gt;=AG$3,$J122&lt;=IF(param_mode_affichage="mois",EOMONTH(AG$3,0),AG$3+6)),"◆",""))</f>
      </c>
      <c r="AH122" s="26">
        <f>IF(OR($A122="",AH$3=""),"",IF(AND($J122&lt;&gt;"",$K122&lt;&gt;"",$J122=$K122,$J122&gt;=AH$3,$J122&lt;=IF(param_mode_affichage="mois",EOMONTH(AH$3,0),AH$3+6)),"◆",""))</f>
      </c>
      <c r="AI122" s="26">
        <f>IF(OR($A122="",AI$3=""),"",IF(AND($J122&lt;&gt;"",$K122&lt;&gt;"",$J122=$K122,$J122&gt;=AI$3,$J122&lt;=IF(param_mode_affichage="mois",EOMONTH(AI$3,0),AI$3+6)),"◆",""))</f>
      </c>
      <c r="AJ122" s="26">
        <f>IF(OR($A122="",AJ$3=""),"",IF(AND($J122&lt;&gt;"",$K122&lt;&gt;"",$J122=$K122,$J122&gt;=AJ$3,$J122&lt;=IF(param_mode_affichage="mois",EOMONTH(AJ$3,0),AJ$3+6)),"◆",""))</f>
      </c>
      <c r="AK122" s="26">
        <f>IF(OR($A122="",AK$3=""),"",IF(AND($J122&lt;&gt;"",$K122&lt;&gt;"",$J122=$K122,$J122&gt;=AK$3,$J122&lt;=IF(param_mode_affichage="mois",EOMONTH(AK$3,0),AK$3+6)),"◆",""))</f>
      </c>
      <c r="AL122" s="26">
        <f>IF(OR($A122="",AL$3=""),"",IF(AND($J122&lt;&gt;"",$K122&lt;&gt;"",$J122=$K122,$J122&gt;=AL$3,$J122&lt;=IF(param_mode_affichage="mois",EOMONTH(AL$3,0),AL$3+6)),"◆",""))</f>
      </c>
      <c r="AM122" s="26">
        <f>IF(OR($A122="",AM$3=""),"",IF(AND($J122&lt;&gt;"",$K122&lt;&gt;"",$J122=$K122,$J122&gt;=AM$3,$J122&lt;=IF(param_mode_affichage="mois",EOMONTH(AM$3,0),AM$3+6)),"◆",""))</f>
      </c>
      <c r="AN122" s="26">
        <f>IF(OR($A122="",AN$3=""),"",IF(AND($J122&lt;&gt;"",$K122&lt;&gt;"",$J122=$K122,$J122&gt;=AN$3,$J122&lt;=IF(param_mode_affichage="mois",EOMONTH(AN$3,0),AN$3+6)),"◆",""))</f>
      </c>
      <c r="AO122" s="26">
        <f>IF(OR($A122="",AO$3=""),"",IF(AND($J122&lt;&gt;"",$K122&lt;&gt;"",$J122=$K122,$J122&gt;=AO$3,$J122&lt;=IF(param_mode_affichage="mois",EOMONTH(AO$3,0),AO$3+6)),"◆",""))</f>
      </c>
      <c r="AP122" s="26">
        <f>IF(OR($A122="",AP$3=""),"",IF(AND($J122&lt;&gt;"",$K122&lt;&gt;"",$J122=$K122,$J122&gt;=AP$3,$J122&lt;=IF(param_mode_affichage="mois",EOMONTH(AP$3,0),AP$3+6)),"◆",""))</f>
      </c>
      <c r="AQ122" s="26">
        <f>IF(OR($A122="",AQ$3=""),"",IF(AND($J122&lt;&gt;"",$K122&lt;&gt;"",$J122=$K122,$J122&gt;=AQ$3,$J122&lt;=IF(param_mode_affichage="mois",EOMONTH(AQ$3,0),AQ$3+6)),"◆",""))</f>
      </c>
      <c r="AR122" s="26">
        <f>IF(OR($A122="",AR$3=""),"",IF(AND($J122&lt;&gt;"",$K122&lt;&gt;"",$J122=$K122,$J122&gt;=AR$3,$J122&lt;=IF(param_mode_affichage="mois",EOMONTH(AR$3,0),AR$3+6)),"◆",""))</f>
      </c>
      <c r="AS122" s="26">
        <f>IF(OR($A122="",AS$3=""),"",IF(AND($J122&lt;&gt;"",$K122&lt;&gt;"",$J122=$K122,$J122&gt;=AS$3,$J122&lt;=IF(param_mode_affichage="mois",EOMONTH(AS$3,0),AS$3+6)),"◆",""))</f>
      </c>
      <c r="AT122" s="26">
        <f>IF(OR($A122="",AT$3=""),"",IF(AND($J122&lt;&gt;"",$K122&lt;&gt;"",$J122=$K122,$J122&gt;=AT$3,$J122&lt;=IF(param_mode_affichage="mois",EOMONTH(AT$3,0),AT$3+6)),"◆",""))</f>
      </c>
      <c r="AU122" s="26">
        <f>IF(OR($A122="",AU$3=""),"",IF(AND($J122&lt;&gt;"",$K122&lt;&gt;"",$J122=$K122,$J122&gt;=AU$3,$J122&lt;=IF(param_mode_affichage="mois",EOMONTH(AU$3,0),AU$3+6)),"◆",""))</f>
      </c>
      <c r="AV122" s="26">
        <f>IF(OR($A122="",AV$3=""),"",IF(AND($J122&lt;&gt;"",$K122&lt;&gt;"",$J122=$K122,$J122&gt;=AV$3,$J122&lt;=IF(param_mode_affichage="mois",EOMONTH(AV$3,0),AV$3+6)),"◆",""))</f>
      </c>
      <c r="AW122" s="26">
        <f>IF(OR($A122="",AW$3=""),"",IF(AND($J122&lt;&gt;"",$K122&lt;&gt;"",$J122=$K122,$J122&gt;=AW$3,$J122&lt;=IF(param_mode_affichage="mois",EOMONTH(AW$3,0),AW$3+6)),"◆",""))</f>
      </c>
      <c r="AX122" s="26">
        <f>IF(OR($A122="",AX$3=""),"",IF(AND($J122&lt;&gt;"",$K122&lt;&gt;"",$J122=$K122,$J122&gt;=AX$3,$J122&lt;=IF(param_mode_affichage="mois",EOMONTH(AX$3,0),AX$3+6)),"◆",""))</f>
      </c>
      <c r="AY122" s="26">
        <f>IF(OR($A122="",AY$3=""),"",IF(AND($J122&lt;&gt;"",$K122&lt;&gt;"",$J122=$K122,$J122&gt;=AY$3,$J122&lt;=IF(param_mode_affichage="mois",EOMONTH(AY$3,0),AY$3+6)),"◆",""))</f>
      </c>
      <c r="AZ122" s="26">
        <f>IF(OR($A122="",AZ$3=""),"",IF(AND($J122&lt;&gt;"",$K122&lt;&gt;"",$J122=$K122,$J122&gt;=AZ$3,$J122&lt;=IF(param_mode_affichage="mois",EOMONTH(AZ$3,0),AZ$3+6)),"◆",""))</f>
      </c>
      <c r="BA122" s="26">
        <f>IF(OR($A122="",BA$3=""),"",IF(AND($J122&lt;&gt;"",$K122&lt;&gt;"",$J122=$K122,$J122&gt;=BA$3,$J122&lt;=IF(param_mode_affichage="mois",EOMONTH(BA$3,0),BA$3+6)),"◆",""))</f>
      </c>
      <c r="BB122" s="26">
        <f>IF(OR($A122="",BB$3=""),"",IF(AND($J122&lt;&gt;"",$K122&lt;&gt;"",$J122=$K122,$J122&gt;=BB$3,$J122&lt;=IF(param_mode_affichage="mois",EOMONTH(BB$3,0),BB$3+6)),"◆",""))</f>
      </c>
      <c r="BC122" s="26">
        <f>IF(OR($A122="",BC$3=""),"",IF(AND($J122&lt;&gt;"",$K122&lt;&gt;"",$J122=$K122,$J122&gt;=BC$3,$J122&lt;=IF(param_mode_affichage="mois",EOMONTH(BC$3,0),BC$3+6)),"◆",""))</f>
      </c>
      <c r="BD122" s="26">
        <f>IF(OR($A122="",BD$3=""),"",IF(AND($J122&lt;&gt;"",$K122&lt;&gt;"",$J122=$K122,$J122&gt;=BD$3,$J122&lt;=IF(param_mode_affichage="mois",EOMONTH(BD$3,0),BD$3+6)),"◆",""))</f>
      </c>
      <c r="BE122" s="26">
        <f>IF(OR($A122="",BE$3=""),"",IF(AND($J122&lt;&gt;"",$K122&lt;&gt;"",$J122=$K122,$J122&gt;=BE$3,$J122&lt;=IF(param_mode_affichage="mois",EOMONTH(BE$3,0),BE$3+6)),"◆",""))</f>
      </c>
      <c r="BF122" s="26">
        <f>IF(OR($A122="",BF$3=""),"",IF(AND($J122&lt;&gt;"",$K122&lt;&gt;"",$J122=$K122,$J122&gt;=BF$3,$J122&lt;=IF(param_mode_affichage="mois",EOMONTH(BF$3,0),BF$3+6)),"◆",""))</f>
      </c>
      <c r="BG122" s="26">
        <f>IF(OR($A122="",BG$3=""),"",IF(AND($J122&lt;&gt;"",$K122&lt;&gt;"",$J122=$K122,$J122&gt;=BG$3,$J122&lt;=IF(param_mode_affichage="mois",EOMONTH(BG$3,0),BG$3+6)),"◆",""))</f>
      </c>
      <c r="BH122" s="26">
        <f>IF(OR($A122="",BH$3=""),"",IF(AND($J122&lt;&gt;"",$K122&lt;&gt;"",$J122=$K122,$J122&gt;=BH$3,$J122&lt;=IF(param_mode_affichage="mois",EOMONTH(BH$3,0),BH$3+6)),"◆",""))</f>
      </c>
      <c r="BI122" s="26">
        <f>IF(OR($A122="",BI$3=""),"",IF(AND($J122&lt;&gt;"",$K122&lt;&gt;"",$J122=$K122,$J122&gt;=BI$3,$J122&lt;=IF(param_mode_affichage="mois",EOMONTH(BI$3,0),BI$3+6)),"◆",""))</f>
      </c>
      <c r="BJ122" s="26">
        <f>IF(OR($A122="",BJ$3=""),"",IF(AND($J122&lt;&gt;"",$K122&lt;&gt;"",$J122=$K122,$J122&gt;=BJ$3,$J122&lt;=IF(param_mode_affichage="mois",EOMONTH(BJ$3,0),BJ$3+6)),"◆",""))</f>
      </c>
      <c r="BK122" s="26">
        <f>IF(OR($A122="",BK$3=""),"",IF(AND($J122&lt;&gt;"",$K122&lt;&gt;"",$J122=$K122,$J122&gt;=BK$3,$J122&lt;=IF(param_mode_affichage="mois",EOMONTH(BK$3,0),BK$3+6)),"◆",""))</f>
      </c>
      <c r="BL122" s="26">
        <f>IF(OR($A122="",BL$3=""),"",IF(AND($J122&lt;&gt;"",$K122&lt;&gt;"",$J122=$K122,$J122&gt;=BL$3,$J122&lt;=IF(param_mode_affichage="mois",EOMONTH(BL$3,0),BL$3+6)),"◆",""))</f>
      </c>
    </row>
    <row r="123" spans="1:64" x14ac:dyDescent="0.25">
      <c r="A123" s="23">
        <f>IFERROR(INDEX(tblTasks[ID],ROW()-4),"")</f>
      </c>
      <c r="B123" s="24">
        <f>IF($A123="","",INDEX(tblTasks[Sujet],ROW()-4))</f>
      </c>
      <c r="C123" s="23">
        <f>IF($A123="","",INDEX(tblTasks[Responsable],ROW()-4))</f>
      </c>
      <c r="D123" s="23">
        <f>IF($A123="","",INDEX(tblTasks[Statut],ROW()-4))</f>
      </c>
      <c r="E123" s="23">
        <f>IF($A123="","",INDEX(tblTasks[Depend_de],ROW()-4))</f>
      </c>
      <c r="F123" s="23">
        <f>IF($A123="","",INDEX(tblTasks[Blocage],ROW()-4))</f>
      </c>
      <c r="G123" s="23">
        <f>IF($A123="","",INDEX(tblTasks[Niveau_criticite],ROW()-4))</f>
      </c>
      <c r="H123" s="23">
        <f>IF($A123="","",INDEX(tblTasks[Goulot],ROW()-4))</f>
      </c>
      <c r="I123" s="23">
        <f>IF($A123="","",IF(LOWER($F123)="oui","non",IF($E123="","oui",IFERROR(IF(LOWER(INDEX(tblTasks[Statut],MATCH($E123,tblTasks[ID],0)))="clos","oui","non"),"non"))))</f>
      </c>
      <c r="J123" s="25">
        <f>IF($A123="","",INDEX(tblTasks[Date_debut_prevue],ROW()-4))</f>
      </c>
      <c r="K123" s="25">
        <f>IF($A123="","",INDEX(tblTasks[Date_fin_prevue],ROW()-4))</f>
      </c>
      <c r="L123" s="23">
        <f>IF($A123="","",INDEX(tblTasks[Irreversibilite],ROW()-4))</f>
      </c>
      <c r="M123" s="26">
        <f>IF(OR($A123="",M$3=""),"",IF(AND($J123&lt;&gt;"",$K123&lt;&gt;"",$J123=$K123,$J123&gt;=M$3,$J123&lt;=IF(param_mode_affichage="mois",EOMONTH(M$3,0),M$3+6)),"◆",""))</f>
      </c>
      <c r="N123" s="26">
        <f>IF(OR($A123="",N$3=""),"",IF(AND($J123&lt;&gt;"",$K123&lt;&gt;"",$J123=$K123,$J123&gt;=N$3,$J123&lt;=IF(param_mode_affichage="mois",EOMONTH(N$3,0),N$3+6)),"◆",""))</f>
      </c>
      <c r="O123" s="26">
        <f>IF(OR($A123="",O$3=""),"",IF(AND($J123&lt;&gt;"",$K123&lt;&gt;"",$J123=$K123,$J123&gt;=O$3,$J123&lt;=IF(param_mode_affichage="mois",EOMONTH(O$3,0),O$3+6)),"◆",""))</f>
      </c>
      <c r="P123" s="26">
        <f>IF(OR($A123="",P$3=""),"",IF(AND($J123&lt;&gt;"",$K123&lt;&gt;"",$J123=$K123,$J123&gt;=P$3,$J123&lt;=IF(param_mode_affichage="mois",EOMONTH(P$3,0),P$3+6)),"◆",""))</f>
      </c>
      <c r="Q123" s="26">
        <f>IF(OR($A123="",Q$3=""),"",IF(AND($J123&lt;&gt;"",$K123&lt;&gt;"",$J123=$K123,$J123&gt;=Q$3,$J123&lt;=IF(param_mode_affichage="mois",EOMONTH(Q$3,0),Q$3+6)),"◆",""))</f>
      </c>
      <c r="R123" s="26">
        <f>IF(OR($A123="",R$3=""),"",IF(AND($J123&lt;&gt;"",$K123&lt;&gt;"",$J123=$K123,$J123&gt;=R$3,$J123&lt;=IF(param_mode_affichage="mois",EOMONTH(R$3,0),R$3+6)),"◆",""))</f>
      </c>
      <c r="S123" s="26">
        <f>IF(OR($A123="",S$3=""),"",IF(AND($J123&lt;&gt;"",$K123&lt;&gt;"",$J123=$K123,$J123&gt;=S$3,$J123&lt;=IF(param_mode_affichage="mois",EOMONTH(S$3,0),S$3+6)),"◆",""))</f>
      </c>
      <c r="T123" s="26">
        <f>IF(OR($A123="",T$3=""),"",IF(AND($J123&lt;&gt;"",$K123&lt;&gt;"",$J123=$K123,$J123&gt;=T$3,$J123&lt;=IF(param_mode_affichage="mois",EOMONTH(T$3,0),T$3+6)),"◆",""))</f>
      </c>
      <c r="U123" s="26">
        <f>IF(OR($A123="",U$3=""),"",IF(AND($J123&lt;&gt;"",$K123&lt;&gt;"",$J123=$K123,$J123&gt;=U$3,$J123&lt;=IF(param_mode_affichage="mois",EOMONTH(U$3,0),U$3+6)),"◆",""))</f>
      </c>
      <c r="V123" s="26">
        <f>IF(OR($A123="",V$3=""),"",IF(AND($J123&lt;&gt;"",$K123&lt;&gt;"",$J123=$K123,$J123&gt;=V$3,$J123&lt;=IF(param_mode_affichage="mois",EOMONTH(V$3,0),V$3+6)),"◆",""))</f>
      </c>
      <c r="W123" s="26">
        <f>IF(OR($A123="",W$3=""),"",IF(AND($J123&lt;&gt;"",$K123&lt;&gt;"",$J123=$K123,$J123&gt;=W$3,$J123&lt;=IF(param_mode_affichage="mois",EOMONTH(W$3,0),W$3+6)),"◆",""))</f>
      </c>
      <c r="X123" s="26">
        <f>IF(OR($A123="",X$3=""),"",IF(AND($J123&lt;&gt;"",$K123&lt;&gt;"",$J123=$K123,$J123&gt;=X$3,$J123&lt;=IF(param_mode_affichage="mois",EOMONTH(X$3,0),X$3+6)),"◆",""))</f>
      </c>
      <c r="Y123" s="26">
        <f>IF(OR($A123="",Y$3=""),"",IF(AND($J123&lt;&gt;"",$K123&lt;&gt;"",$J123=$K123,$J123&gt;=Y$3,$J123&lt;=IF(param_mode_affichage="mois",EOMONTH(Y$3,0),Y$3+6)),"◆",""))</f>
      </c>
      <c r="Z123" s="26">
        <f>IF(OR($A123="",Z$3=""),"",IF(AND($J123&lt;&gt;"",$K123&lt;&gt;"",$J123=$K123,$J123&gt;=Z$3,$J123&lt;=IF(param_mode_affichage="mois",EOMONTH(Z$3,0),Z$3+6)),"◆",""))</f>
      </c>
      <c r="AA123" s="26">
        <f>IF(OR($A123="",AA$3=""),"",IF(AND($J123&lt;&gt;"",$K123&lt;&gt;"",$J123=$K123,$J123&gt;=AA$3,$J123&lt;=IF(param_mode_affichage="mois",EOMONTH(AA$3,0),AA$3+6)),"◆",""))</f>
      </c>
      <c r="AB123" s="26">
        <f>IF(OR($A123="",AB$3=""),"",IF(AND($J123&lt;&gt;"",$K123&lt;&gt;"",$J123=$K123,$J123&gt;=AB$3,$J123&lt;=IF(param_mode_affichage="mois",EOMONTH(AB$3,0),AB$3+6)),"◆",""))</f>
      </c>
      <c r="AC123" s="26">
        <f>IF(OR($A123="",AC$3=""),"",IF(AND($J123&lt;&gt;"",$K123&lt;&gt;"",$J123=$K123,$J123&gt;=AC$3,$J123&lt;=IF(param_mode_affichage="mois",EOMONTH(AC$3,0),AC$3+6)),"◆",""))</f>
      </c>
      <c r="AD123" s="26">
        <f>IF(OR($A123="",AD$3=""),"",IF(AND($J123&lt;&gt;"",$K123&lt;&gt;"",$J123=$K123,$J123&gt;=AD$3,$J123&lt;=IF(param_mode_affichage="mois",EOMONTH(AD$3,0),AD$3+6)),"◆",""))</f>
      </c>
      <c r="AE123" s="26">
        <f>IF(OR($A123="",AE$3=""),"",IF(AND($J123&lt;&gt;"",$K123&lt;&gt;"",$J123=$K123,$J123&gt;=AE$3,$J123&lt;=IF(param_mode_affichage="mois",EOMONTH(AE$3,0),AE$3+6)),"◆",""))</f>
      </c>
      <c r="AF123" s="26">
        <f>IF(OR($A123="",AF$3=""),"",IF(AND($J123&lt;&gt;"",$K123&lt;&gt;"",$J123=$K123,$J123&gt;=AF$3,$J123&lt;=IF(param_mode_affichage="mois",EOMONTH(AF$3,0),AF$3+6)),"◆",""))</f>
      </c>
      <c r="AG123" s="26">
        <f>IF(OR($A123="",AG$3=""),"",IF(AND($J123&lt;&gt;"",$K123&lt;&gt;"",$J123=$K123,$J123&gt;=AG$3,$J123&lt;=IF(param_mode_affichage="mois",EOMONTH(AG$3,0),AG$3+6)),"◆",""))</f>
      </c>
      <c r="AH123" s="26">
        <f>IF(OR($A123="",AH$3=""),"",IF(AND($J123&lt;&gt;"",$K123&lt;&gt;"",$J123=$K123,$J123&gt;=AH$3,$J123&lt;=IF(param_mode_affichage="mois",EOMONTH(AH$3,0),AH$3+6)),"◆",""))</f>
      </c>
      <c r="AI123" s="26">
        <f>IF(OR($A123="",AI$3=""),"",IF(AND($J123&lt;&gt;"",$K123&lt;&gt;"",$J123=$K123,$J123&gt;=AI$3,$J123&lt;=IF(param_mode_affichage="mois",EOMONTH(AI$3,0),AI$3+6)),"◆",""))</f>
      </c>
      <c r="AJ123" s="26">
        <f>IF(OR($A123="",AJ$3=""),"",IF(AND($J123&lt;&gt;"",$K123&lt;&gt;"",$J123=$K123,$J123&gt;=AJ$3,$J123&lt;=IF(param_mode_affichage="mois",EOMONTH(AJ$3,0),AJ$3+6)),"◆",""))</f>
      </c>
      <c r="AK123" s="26">
        <f>IF(OR($A123="",AK$3=""),"",IF(AND($J123&lt;&gt;"",$K123&lt;&gt;"",$J123=$K123,$J123&gt;=AK$3,$J123&lt;=IF(param_mode_affichage="mois",EOMONTH(AK$3,0),AK$3+6)),"◆",""))</f>
      </c>
      <c r="AL123" s="26">
        <f>IF(OR($A123="",AL$3=""),"",IF(AND($J123&lt;&gt;"",$K123&lt;&gt;"",$J123=$K123,$J123&gt;=AL$3,$J123&lt;=IF(param_mode_affichage="mois",EOMONTH(AL$3,0),AL$3+6)),"◆",""))</f>
      </c>
      <c r="AM123" s="26">
        <f>IF(OR($A123="",AM$3=""),"",IF(AND($J123&lt;&gt;"",$K123&lt;&gt;"",$J123=$K123,$J123&gt;=AM$3,$J123&lt;=IF(param_mode_affichage="mois",EOMONTH(AM$3,0),AM$3+6)),"◆",""))</f>
      </c>
      <c r="AN123" s="26">
        <f>IF(OR($A123="",AN$3=""),"",IF(AND($J123&lt;&gt;"",$K123&lt;&gt;"",$J123=$K123,$J123&gt;=AN$3,$J123&lt;=IF(param_mode_affichage="mois",EOMONTH(AN$3,0),AN$3+6)),"◆",""))</f>
      </c>
      <c r="AO123" s="26">
        <f>IF(OR($A123="",AO$3=""),"",IF(AND($J123&lt;&gt;"",$K123&lt;&gt;"",$J123=$K123,$J123&gt;=AO$3,$J123&lt;=IF(param_mode_affichage="mois",EOMONTH(AO$3,0),AO$3+6)),"◆",""))</f>
      </c>
      <c r="AP123" s="26">
        <f>IF(OR($A123="",AP$3=""),"",IF(AND($J123&lt;&gt;"",$K123&lt;&gt;"",$J123=$K123,$J123&gt;=AP$3,$J123&lt;=IF(param_mode_affichage="mois",EOMONTH(AP$3,0),AP$3+6)),"◆",""))</f>
      </c>
      <c r="AQ123" s="26">
        <f>IF(OR($A123="",AQ$3=""),"",IF(AND($J123&lt;&gt;"",$K123&lt;&gt;"",$J123=$K123,$J123&gt;=AQ$3,$J123&lt;=IF(param_mode_affichage="mois",EOMONTH(AQ$3,0),AQ$3+6)),"◆",""))</f>
      </c>
      <c r="AR123" s="26">
        <f>IF(OR($A123="",AR$3=""),"",IF(AND($J123&lt;&gt;"",$K123&lt;&gt;"",$J123=$K123,$J123&gt;=AR$3,$J123&lt;=IF(param_mode_affichage="mois",EOMONTH(AR$3,0),AR$3+6)),"◆",""))</f>
      </c>
      <c r="AS123" s="26">
        <f>IF(OR($A123="",AS$3=""),"",IF(AND($J123&lt;&gt;"",$K123&lt;&gt;"",$J123=$K123,$J123&gt;=AS$3,$J123&lt;=IF(param_mode_affichage="mois",EOMONTH(AS$3,0),AS$3+6)),"◆",""))</f>
      </c>
      <c r="AT123" s="26">
        <f>IF(OR($A123="",AT$3=""),"",IF(AND($J123&lt;&gt;"",$K123&lt;&gt;"",$J123=$K123,$J123&gt;=AT$3,$J123&lt;=IF(param_mode_affichage="mois",EOMONTH(AT$3,0),AT$3+6)),"◆",""))</f>
      </c>
      <c r="AU123" s="26">
        <f>IF(OR($A123="",AU$3=""),"",IF(AND($J123&lt;&gt;"",$K123&lt;&gt;"",$J123=$K123,$J123&gt;=AU$3,$J123&lt;=IF(param_mode_affichage="mois",EOMONTH(AU$3,0),AU$3+6)),"◆",""))</f>
      </c>
      <c r="AV123" s="26">
        <f>IF(OR($A123="",AV$3=""),"",IF(AND($J123&lt;&gt;"",$K123&lt;&gt;"",$J123=$K123,$J123&gt;=AV$3,$J123&lt;=IF(param_mode_affichage="mois",EOMONTH(AV$3,0),AV$3+6)),"◆",""))</f>
      </c>
      <c r="AW123" s="26">
        <f>IF(OR($A123="",AW$3=""),"",IF(AND($J123&lt;&gt;"",$K123&lt;&gt;"",$J123=$K123,$J123&gt;=AW$3,$J123&lt;=IF(param_mode_affichage="mois",EOMONTH(AW$3,0),AW$3+6)),"◆",""))</f>
      </c>
      <c r="AX123" s="26">
        <f>IF(OR($A123="",AX$3=""),"",IF(AND($J123&lt;&gt;"",$K123&lt;&gt;"",$J123=$K123,$J123&gt;=AX$3,$J123&lt;=IF(param_mode_affichage="mois",EOMONTH(AX$3,0),AX$3+6)),"◆",""))</f>
      </c>
      <c r="AY123" s="26">
        <f>IF(OR($A123="",AY$3=""),"",IF(AND($J123&lt;&gt;"",$K123&lt;&gt;"",$J123=$K123,$J123&gt;=AY$3,$J123&lt;=IF(param_mode_affichage="mois",EOMONTH(AY$3,0),AY$3+6)),"◆",""))</f>
      </c>
      <c r="AZ123" s="26">
        <f>IF(OR($A123="",AZ$3=""),"",IF(AND($J123&lt;&gt;"",$K123&lt;&gt;"",$J123=$K123,$J123&gt;=AZ$3,$J123&lt;=IF(param_mode_affichage="mois",EOMONTH(AZ$3,0),AZ$3+6)),"◆",""))</f>
      </c>
      <c r="BA123" s="26">
        <f>IF(OR($A123="",BA$3=""),"",IF(AND($J123&lt;&gt;"",$K123&lt;&gt;"",$J123=$K123,$J123&gt;=BA$3,$J123&lt;=IF(param_mode_affichage="mois",EOMONTH(BA$3,0),BA$3+6)),"◆",""))</f>
      </c>
      <c r="BB123" s="26">
        <f>IF(OR($A123="",BB$3=""),"",IF(AND($J123&lt;&gt;"",$K123&lt;&gt;"",$J123=$K123,$J123&gt;=BB$3,$J123&lt;=IF(param_mode_affichage="mois",EOMONTH(BB$3,0),BB$3+6)),"◆",""))</f>
      </c>
      <c r="BC123" s="26">
        <f>IF(OR($A123="",BC$3=""),"",IF(AND($J123&lt;&gt;"",$K123&lt;&gt;"",$J123=$K123,$J123&gt;=BC$3,$J123&lt;=IF(param_mode_affichage="mois",EOMONTH(BC$3,0),BC$3+6)),"◆",""))</f>
      </c>
      <c r="BD123" s="26">
        <f>IF(OR($A123="",BD$3=""),"",IF(AND($J123&lt;&gt;"",$K123&lt;&gt;"",$J123=$K123,$J123&gt;=BD$3,$J123&lt;=IF(param_mode_affichage="mois",EOMONTH(BD$3,0),BD$3+6)),"◆",""))</f>
      </c>
      <c r="BE123" s="26">
        <f>IF(OR($A123="",BE$3=""),"",IF(AND($J123&lt;&gt;"",$K123&lt;&gt;"",$J123=$K123,$J123&gt;=BE$3,$J123&lt;=IF(param_mode_affichage="mois",EOMONTH(BE$3,0),BE$3+6)),"◆",""))</f>
      </c>
      <c r="BF123" s="26">
        <f>IF(OR($A123="",BF$3=""),"",IF(AND($J123&lt;&gt;"",$K123&lt;&gt;"",$J123=$K123,$J123&gt;=BF$3,$J123&lt;=IF(param_mode_affichage="mois",EOMONTH(BF$3,0),BF$3+6)),"◆",""))</f>
      </c>
      <c r="BG123" s="26">
        <f>IF(OR($A123="",BG$3=""),"",IF(AND($J123&lt;&gt;"",$K123&lt;&gt;"",$J123=$K123,$J123&gt;=BG$3,$J123&lt;=IF(param_mode_affichage="mois",EOMONTH(BG$3,0),BG$3+6)),"◆",""))</f>
      </c>
      <c r="BH123" s="26">
        <f>IF(OR($A123="",BH$3=""),"",IF(AND($J123&lt;&gt;"",$K123&lt;&gt;"",$J123=$K123,$J123&gt;=BH$3,$J123&lt;=IF(param_mode_affichage="mois",EOMONTH(BH$3,0),BH$3+6)),"◆",""))</f>
      </c>
      <c r="BI123" s="26">
        <f>IF(OR($A123="",BI$3=""),"",IF(AND($J123&lt;&gt;"",$K123&lt;&gt;"",$J123=$K123,$J123&gt;=BI$3,$J123&lt;=IF(param_mode_affichage="mois",EOMONTH(BI$3,0),BI$3+6)),"◆",""))</f>
      </c>
      <c r="BJ123" s="26">
        <f>IF(OR($A123="",BJ$3=""),"",IF(AND($J123&lt;&gt;"",$K123&lt;&gt;"",$J123=$K123,$J123&gt;=BJ$3,$J123&lt;=IF(param_mode_affichage="mois",EOMONTH(BJ$3,0),BJ$3+6)),"◆",""))</f>
      </c>
      <c r="BK123" s="26">
        <f>IF(OR($A123="",BK$3=""),"",IF(AND($J123&lt;&gt;"",$K123&lt;&gt;"",$J123=$K123,$J123&gt;=BK$3,$J123&lt;=IF(param_mode_affichage="mois",EOMONTH(BK$3,0),BK$3+6)),"◆",""))</f>
      </c>
      <c r="BL123" s="26">
        <f>IF(OR($A123="",BL$3=""),"",IF(AND($J123&lt;&gt;"",$K123&lt;&gt;"",$J123=$K123,$J123&gt;=BL$3,$J123&lt;=IF(param_mode_affichage="mois",EOMONTH(BL$3,0),BL$3+6)),"◆",""))</f>
      </c>
    </row>
    <row r="124" spans="1:64" x14ac:dyDescent="0.25">
      <c r="A124" s="23">
        <f>IFERROR(INDEX(tblTasks[ID],ROW()-4),"")</f>
      </c>
      <c r="B124" s="24">
        <f>IF($A124="","",INDEX(tblTasks[Sujet],ROW()-4))</f>
      </c>
      <c r="C124" s="23">
        <f>IF($A124="","",INDEX(tblTasks[Responsable],ROW()-4))</f>
      </c>
      <c r="D124" s="23">
        <f>IF($A124="","",INDEX(tblTasks[Statut],ROW()-4))</f>
      </c>
      <c r="E124" s="23">
        <f>IF($A124="","",INDEX(tblTasks[Depend_de],ROW()-4))</f>
      </c>
      <c r="F124" s="23">
        <f>IF($A124="","",INDEX(tblTasks[Blocage],ROW()-4))</f>
      </c>
      <c r="G124" s="23">
        <f>IF($A124="","",INDEX(tblTasks[Niveau_criticite],ROW()-4))</f>
      </c>
      <c r="H124" s="23">
        <f>IF($A124="","",INDEX(tblTasks[Goulot],ROW()-4))</f>
      </c>
      <c r="I124" s="23">
        <f>IF($A124="","",IF(LOWER($F124)="oui","non",IF($E124="","oui",IFERROR(IF(LOWER(INDEX(tblTasks[Statut],MATCH($E124,tblTasks[ID],0)))="clos","oui","non"),"non"))))</f>
      </c>
      <c r="J124" s="25">
        <f>IF($A124="","",INDEX(tblTasks[Date_debut_prevue],ROW()-4))</f>
      </c>
      <c r="K124" s="25">
        <f>IF($A124="","",INDEX(tblTasks[Date_fin_prevue],ROW()-4))</f>
      </c>
      <c r="L124" s="23">
        <f>IF($A124="","",INDEX(tblTasks[Irreversibilite],ROW()-4))</f>
      </c>
      <c r="M124" s="26">
        <f>IF(OR($A124="",M$3=""),"",IF(AND($J124&lt;&gt;"",$K124&lt;&gt;"",$J124=$K124,$J124&gt;=M$3,$J124&lt;=IF(param_mode_affichage="mois",EOMONTH(M$3,0),M$3+6)),"◆",""))</f>
      </c>
      <c r="N124" s="26">
        <f>IF(OR($A124="",N$3=""),"",IF(AND($J124&lt;&gt;"",$K124&lt;&gt;"",$J124=$K124,$J124&gt;=N$3,$J124&lt;=IF(param_mode_affichage="mois",EOMONTH(N$3,0),N$3+6)),"◆",""))</f>
      </c>
      <c r="O124" s="26">
        <f>IF(OR($A124="",O$3=""),"",IF(AND($J124&lt;&gt;"",$K124&lt;&gt;"",$J124=$K124,$J124&gt;=O$3,$J124&lt;=IF(param_mode_affichage="mois",EOMONTH(O$3,0),O$3+6)),"◆",""))</f>
      </c>
      <c r="P124" s="26">
        <f>IF(OR($A124="",P$3=""),"",IF(AND($J124&lt;&gt;"",$K124&lt;&gt;"",$J124=$K124,$J124&gt;=P$3,$J124&lt;=IF(param_mode_affichage="mois",EOMONTH(P$3,0),P$3+6)),"◆",""))</f>
      </c>
      <c r="Q124" s="26">
        <f>IF(OR($A124="",Q$3=""),"",IF(AND($J124&lt;&gt;"",$K124&lt;&gt;"",$J124=$K124,$J124&gt;=Q$3,$J124&lt;=IF(param_mode_affichage="mois",EOMONTH(Q$3,0),Q$3+6)),"◆",""))</f>
      </c>
      <c r="R124" s="26">
        <f>IF(OR($A124="",R$3=""),"",IF(AND($J124&lt;&gt;"",$K124&lt;&gt;"",$J124=$K124,$J124&gt;=R$3,$J124&lt;=IF(param_mode_affichage="mois",EOMONTH(R$3,0),R$3+6)),"◆",""))</f>
      </c>
      <c r="S124" s="26">
        <f>IF(OR($A124="",S$3=""),"",IF(AND($J124&lt;&gt;"",$K124&lt;&gt;"",$J124=$K124,$J124&gt;=S$3,$J124&lt;=IF(param_mode_affichage="mois",EOMONTH(S$3,0),S$3+6)),"◆",""))</f>
      </c>
      <c r="T124" s="26">
        <f>IF(OR($A124="",T$3=""),"",IF(AND($J124&lt;&gt;"",$K124&lt;&gt;"",$J124=$K124,$J124&gt;=T$3,$J124&lt;=IF(param_mode_affichage="mois",EOMONTH(T$3,0),T$3+6)),"◆",""))</f>
      </c>
      <c r="U124" s="26">
        <f>IF(OR($A124="",U$3=""),"",IF(AND($J124&lt;&gt;"",$K124&lt;&gt;"",$J124=$K124,$J124&gt;=U$3,$J124&lt;=IF(param_mode_affichage="mois",EOMONTH(U$3,0),U$3+6)),"◆",""))</f>
      </c>
      <c r="V124" s="26">
        <f>IF(OR($A124="",V$3=""),"",IF(AND($J124&lt;&gt;"",$K124&lt;&gt;"",$J124=$K124,$J124&gt;=V$3,$J124&lt;=IF(param_mode_affichage="mois",EOMONTH(V$3,0),V$3+6)),"◆",""))</f>
      </c>
      <c r="W124" s="26">
        <f>IF(OR($A124="",W$3=""),"",IF(AND($J124&lt;&gt;"",$K124&lt;&gt;"",$J124=$K124,$J124&gt;=W$3,$J124&lt;=IF(param_mode_affichage="mois",EOMONTH(W$3,0),W$3+6)),"◆",""))</f>
      </c>
      <c r="X124" s="26">
        <f>IF(OR($A124="",X$3=""),"",IF(AND($J124&lt;&gt;"",$K124&lt;&gt;"",$J124=$K124,$J124&gt;=X$3,$J124&lt;=IF(param_mode_affichage="mois",EOMONTH(X$3,0),X$3+6)),"◆",""))</f>
      </c>
      <c r="Y124" s="26">
        <f>IF(OR($A124="",Y$3=""),"",IF(AND($J124&lt;&gt;"",$K124&lt;&gt;"",$J124=$K124,$J124&gt;=Y$3,$J124&lt;=IF(param_mode_affichage="mois",EOMONTH(Y$3,0),Y$3+6)),"◆",""))</f>
      </c>
      <c r="Z124" s="26">
        <f>IF(OR($A124="",Z$3=""),"",IF(AND($J124&lt;&gt;"",$K124&lt;&gt;"",$J124=$K124,$J124&gt;=Z$3,$J124&lt;=IF(param_mode_affichage="mois",EOMONTH(Z$3,0),Z$3+6)),"◆",""))</f>
      </c>
      <c r="AA124" s="26">
        <f>IF(OR($A124="",AA$3=""),"",IF(AND($J124&lt;&gt;"",$K124&lt;&gt;"",$J124=$K124,$J124&gt;=AA$3,$J124&lt;=IF(param_mode_affichage="mois",EOMONTH(AA$3,0),AA$3+6)),"◆",""))</f>
      </c>
      <c r="AB124" s="26">
        <f>IF(OR($A124="",AB$3=""),"",IF(AND($J124&lt;&gt;"",$K124&lt;&gt;"",$J124=$K124,$J124&gt;=AB$3,$J124&lt;=IF(param_mode_affichage="mois",EOMONTH(AB$3,0),AB$3+6)),"◆",""))</f>
      </c>
      <c r="AC124" s="26">
        <f>IF(OR($A124="",AC$3=""),"",IF(AND($J124&lt;&gt;"",$K124&lt;&gt;"",$J124=$K124,$J124&gt;=AC$3,$J124&lt;=IF(param_mode_affichage="mois",EOMONTH(AC$3,0),AC$3+6)),"◆",""))</f>
      </c>
      <c r="AD124" s="26">
        <f>IF(OR($A124="",AD$3=""),"",IF(AND($J124&lt;&gt;"",$K124&lt;&gt;"",$J124=$K124,$J124&gt;=AD$3,$J124&lt;=IF(param_mode_affichage="mois",EOMONTH(AD$3,0),AD$3+6)),"◆",""))</f>
      </c>
      <c r="AE124" s="26">
        <f>IF(OR($A124="",AE$3=""),"",IF(AND($J124&lt;&gt;"",$K124&lt;&gt;"",$J124=$K124,$J124&gt;=AE$3,$J124&lt;=IF(param_mode_affichage="mois",EOMONTH(AE$3,0),AE$3+6)),"◆",""))</f>
      </c>
      <c r="AF124" s="26">
        <f>IF(OR($A124="",AF$3=""),"",IF(AND($J124&lt;&gt;"",$K124&lt;&gt;"",$J124=$K124,$J124&gt;=AF$3,$J124&lt;=IF(param_mode_affichage="mois",EOMONTH(AF$3,0),AF$3+6)),"◆",""))</f>
      </c>
      <c r="AG124" s="26">
        <f>IF(OR($A124="",AG$3=""),"",IF(AND($J124&lt;&gt;"",$K124&lt;&gt;"",$J124=$K124,$J124&gt;=AG$3,$J124&lt;=IF(param_mode_affichage="mois",EOMONTH(AG$3,0),AG$3+6)),"◆",""))</f>
      </c>
      <c r="AH124" s="26">
        <f>IF(OR($A124="",AH$3=""),"",IF(AND($J124&lt;&gt;"",$K124&lt;&gt;"",$J124=$K124,$J124&gt;=AH$3,$J124&lt;=IF(param_mode_affichage="mois",EOMONTH(AH$3,0),AH$3+6)),"◆",""))</f>
      </c>
      <c r="AI124" s="26">
        <f>IF(OR($A124="",AI$3=""),"",IF(AND($J124&lt;&gt;"",$K124&lt;&gt;"",$J124=$K124,$J124&gt;=AI$3,$J124&lt;=IF(param_mode_affichage="mois",EOMONTH(AI$3,0),AI$3+6)),"◆",""))</f>
      </c>
      <c r="AJ124" s="26">
        <f>IF(OR($A124="",AJ$3=""),"",IF(AND($J124&lt;&gt;"",$K124&lt;&gt;"",$J124=$K124,$J124&gt;=AJ$3,$J124&lt;=IF(param_mode_affichage="mois",EOMONTH(AJ$3,0),AJ$3+6)),"◆",""))</f>
      </c>
      <c r="AK124" s="26">
        <f>IF(OR($A124="",AK$3=""),"",IF(AND($J124&lt;&gt;"",$K124&lt;&gt;"",$J124=$K124,$J124&gt;=AK$3,$J124&lt;=IF(param_mode_affichage="mois",EOMONTH(AK$3,0),AK$3+6)),"◆",""))</f>
      </c>
      <c r="AL124" s="26">
        <f>IF(OR($A124="",AL$3=""),"",IF(AND($J124&lt;&gt;"",$K124&lt;&gt;"",$J124=$K124,$J124&gt;=AL$3,$J124&lt;=IF(param_mode_affichage="mois",EOMONTH(AL$3,0),AL$3+6)),"◆",""))</f>
      </c>
      <c r="AM124" s="26">
        <f>IF(OR($A124="",AM$3=""),"",IF(AND($J124&lt;&gt;"",$K124&lt;&gt;"",$J124=$K124,$J124&gt;=AM$3,$J124&lt;=IF(param_mode_affichage="mois",EOMONTH(AM$3,0),AM$3+6)),"◆",""))</f>
      </c>
      <c r="AN124" s="26">
        <f>IF(OR($A124="",AN$3=""),"",IF(AND($J124&lt;&gt;"",$K124&lt;&gt;"",$J124=$K124,$J124&gt;=AN$3,$J124&lt;=IF(param_mode_affichage="mois",EOMONTH(AN$3,0),AN$3+6)),"◆",""))</f>
      </c>
      <c r="AO124" s="26">
        <f>IF(OR($A124="",AO$3=""),"",IF(AND($J124&lt;&gt;"",$K124&lt;&gt;"",$J124=$K124,$J124&gt;=AO$3,$J124&lt;=IF(param_mode_affichage="mois",EOMONTH(AO$3,0),AO$3+6)),"◆",""))</f>
      </c>
      <c r="AP124" s="26">
        <f>IF(OR($A124="",AP$3=""),"",IF(AND($J124&lt;&gt;"",$K124&lt;&gt;"",$J124=$K124,$J124&gt;=AP$3,$J124&lt;=IF(param_mode_affichage="mois",EOMONTH(AP$3,0),AP$3+6)),"◆",""))</f>
      </c>
      <c r="AQ124" s="26">
        <f>IF(OR($A124="",AQ$3=""),"",IF(AND($J124&lt;&gt;"",$K124&lt;&gt;"",$J124=$K124,$J124&gt;=AQ$3,$J124&lt;=IF(param_mode_affichage="mois",EOMONTH(AQ$3,0),AQ$3+6)),"◆",""))</f>
      </c>
      <c r="AR124" s="26">
        <f>IF(OR($A124="",AR$3=""),"",IF(AND($J124&lt;&gt;"",$K124&lt;&gt;"",$J124=$K124,$J124&gt;=AR$3,$J124&lt;=IF(param_mode_affichage="mois",EOMONTH(AR$3,0),AR$3+6)),"◆",""))</f>
      </c>
      <c r="AS124" s="26">
        <f>IF(OR($A124="",AS$3=""),"",IF(AND($J124&lt;&gt;"",$K124&lt;&gt;"",$J124=$K124,$J124&gt;=AS$3,$J124&lt;=IF(param_mode_affichage="mois",EOMONTH(AS$3,0),AS$3+6)),"◆",""))</f>
      </c>
      <c r="AT124" s="26">
        <f>IF(OR($A124="",AT$3=""),"",IF(AND($J124&lt;&gt;"",$K124&lt;&gt;"",$J124=$K124,$J124&gt;=AT$3,$J124&lt;=IF(param_mode_affichage="mois",EOMONTH(AT$3,0),AT$3+6)),"◆",""))</f>
      </c>
      <c r="AU124" s="26">
        <f>IF(OR($A124="",AU$3=""),"",IF(AND($J124&lt;&gt;"",$K124&lt;&gt;"",$J124=$K124,$J124&gt;=AU$3,$J124&lt;=IF(param_mode_affichage="mois",EOMONTH(AU$3,0),AU$3+6)),"◆",""))</f>
      </c>
      <c r="AV124" s="26">
        <f>IF(OR($A124="",AV$3=""),"",IF(AND($J124&lt;&gt;"",$K124&lt;&gt;"",$J124=$K124,$J124&gt;=AV$3,$J124&lt;=IF(param_mode_affichage="mois",EOMONTH(AV$3,0),AV$3+6)),"◆",""))</f>
      </c>
      <c r="AW124" s="26">
        <f>IF(OR($A124="",AW$3=""),"",IF(AND($J124&lt;&gt;"",$K124&lt;&gt;"",$J124=$K124,$J124&gt;=AW$3,$J124&lt;=IF(param_mode_affichage="mois",EOMONTH(AW$3,0),AW$3+6)),"◆",""))</f>
      </c>
      <c r="AX124" s="26">
        <f>IF(OR($A124="",AX$3=""),"",IF(AND($J124&lt;&gt;"",$K124&lt;&gt;"",$J124=$K124,$J124&gt;=AX$3,$J124&lt;=IF(param_mode_affichage="mois",EOMONTH(AX$3,0),AX$3+6)),"◆",""))</f>
      </c>
      <c r="AY124" s="26">
        <f>IF(OR($A124="",AY$3=""),"",IF(AND($J124&lt;&gt;"",$K124&lt;&gt;"",$J124=$K124,$J124&gt;=AY$3,$J124&lt;=IF(param_mode_affichage="mois",EOMONTH(AY$3,0),AY$3+6)),"◆",""))</f>
      </c>
      <c r="AZ124" s="26">
        <f>IF(OR($A124="",AZ$3=""),"",IF(AND($J124&lt;&gt;"",$K124&lt;&gt;"",$J124=$K124,$J124&gt;=AZ$3,$J124&lt;=IF(param_mode_affichage="mois",EOMONTH(AZ$3,0),AZ$3+6)),"◆",""))</f>
      </c>
      <c r="BA124" s="26">
        <f>IF(OR($A124="",BA$3=""),"",IF(AND($J124&lt;&gt;"",$K124&lt;&gt;"",$J124=$K124,$J124&gt;=BA$3,$J124&lt;=IF(param_mode_affichage="mois",EOMONTH(BA$3,0),BA$3+6)),"◆",""))</f>
      </c>
      <c r="BB124" s="26">
        <f>IF(OR($A124="",BB$3=""),"",IF(AND($J124&lt;&gt;"",$K124&lt;&gt;"",$J124=$K124,$J124&gt;=BB$3,$J124&lt;=IF(param_mode_affichage="mois",EOMONTH(BB$3,0),BB$3+6)),"◆",""))</f>
      </c>
      <c r="BC124" s="26">
        <f>IF(OR($A124="",BC$3=""),"",IF(AND($J124&lt;&gt;"",$K124&lt;&gt;"",$J124=$K124,$J124&gt;=BC$3,$J124&lt;=IF(param_mode_affichage="mois",EOMONTH(BC$3,0),BC$3+6)),"◆",""))</f>
      </c>
      <c r="BD124" s="26">
        <f>IF(OR($A124="",BD$3=""),"",IF(AND($J124&lt;&gt;"",$K124&lt;&gt;"",$J124=$K124,$J124&gt;=BD$3,$J124&lt;=IF(param_mode_affichage="mois",EOMONTH(BD$3,0),BD$3+6)),"◆",""))</f>
      </c>
      <c r="BE124" s="26">
        <f>IF(OR($A124="",BE$3=""),"",IF(AND($J124&lt;&gt;"",$K124&lt;&gt;"",$J124=$K124,$J124&gt;=BE$3,$J124&lt;=IF(param_mode_affichage="mois",EOMONTH(BE$3,0),BE$3+6)),"◆",""))</f>
      </c>
      <c r="BF124" s="26">
        <f>IF(OR($A124="",BF$3=""),"",IF(AND($J124&lt;&gt;"",$K124&lt;&gt;"",$J124=$K124,$J124&gt;=BF$3,$J124&lt;=IF(param_mode_affichage="mois",EOMONTH(BF$3,0),BF$3+6)),"◆",""))</f>
      </c>
      <c r="BG124" s="26">
        <f>IF(OR($A124="",BG$3=""),"",IF(AND($J124&lt;&gt;"",$K124&lt;&gt;"",$J124=$K124,$J124&gt;=BG$3,$J124&lt;=IF(param_mode_affichage="mois",EOMONTH(BG$3,0),BG$3+6)),"◆",""))</f>
      </c>
      <c r="BH124" s="26">
        <f>IF(OR($A124="",BH$3=""),"",IF(AND($J124&lt;&gt;"",$K124&lt;&gt;"",$J124=$K124,$J124&gt;=BH$3,$J124&lt;=IF(param_mode_affichage="mois",EOMONTH(BH$3,0),BH$3+6)),"◆",""))</f>
      </c>
      <c r="BI124" s="26">
        <f>IF(OR($A124="",BI$3=""),"",IF(AND($J124&lt;&gt;"",$K124&lt;&gt;"",$J124=$K124,$J124&gt;=BI$3,$J124&lt;=IF(param_mode_affichage="mois",EOMONTH(BI$3,0),BI$3+6)),"◆",""))</f>
      </c>
      <c r="BJ124" s="26">
        <f>IF(OR($A124="",BJ$3=""),"",IF(AND($J124&lt;&gt;"",$K124&lt;&gt;"",$J124=$K124,$J124&gt;=BJ$3,$J124&lt;=IF(param_mode_affichage="mois",EOMONTH(BJ$3,0),BJ$3+6)),"◆",""))</f>
      </c>
      <c r="BK124" s="26">
        <f>IF(OR($A124="",BK$3=""),"",IF(AND($J124&lt;&gt;"",$K124&lt;&gt;"",$J124=$K124,$J124&gt;=BK$3,$J124&lt;=IF(param_mode_affichage="mois",EOMONTH(BK$3,0),BK$3+6)),"◆",""))</f>
      </c>
      <c r="BL124" s="26">
        <f>IF(OR($A124="",BL$3=""),"",IF(AND($J124&lt;&gt;"",$K124&lt;&gt;"",$J124=$K124,$J124&gt;=BL$3,$J124&lt;=IF(param_mode_affichage="mois",EOMONTH(BL$3,0),BL$3+6)),"◆",""))</f>
      </c>
    </row>
    <row r="125" spans="1:64" x14ac:dyDescent="0.25">
      <c r="A125" s="23">
        <f>IFERROR(INDEX(tblTasks[ID],ROW()-4),"")</f>
      </c>
      <c r="B125" s="24">
        <f>IF($A125="","",INDEX(tblTasks[Sujet],ROW()-4))</f>
      </c>
      <c r="C125" s="23">
        <f>IF($A125="","",INDEX(tblTasks[Responsable],ROW()-4))</f>
      </c>
      <c r="D125" s="23">
        <f>IF($A125="","",INDEX(tblTasks[Statut],ROW()-4))</f>
      </c>
      <c r="E125" s="23">
        <f>IF($A125="","",INDEX(tblTasks[Depend_de],ROW()-4))</f>
      </c>
      <c r="F125" s="23">
        <f>IF($A125="","",INDEX(tblTasks[Blocage],ROW()-4))</f>
      </c>
      <c r="G125" s="23">
        <f>IF($A125="","",INDEX(tblTasks[Niveau_criticite],ROW()-4))</f>
      </c>
      <c r="H125" s="23">
        <f>IF($A125="","",INDEX(tblTasks[Goulot],ROW()-4))</f>
      </c>
      <c r="I125" s="23">
        <f>IF($A125="","",IF(LOWER($F125)="oui","non",IF($E125="","oui",IFERROR(IF(LOWER(INDEX(tblTasks[Statut],MATCH($E125,tblTasks[ID],0)))="clos","oui","non"),"non"))))</f>
      </c>
      <c r="J125" s="25">
        <f>IF($A125="","",INDEX(tblTasks[Date_debut_prevue],ROW()-4))</f>
      </c>
      <c r="K125" s="25">
        <f>IF($A125="","",INDEX(tblTasks[Date_fin_prevue],ROW()-4))</f>
      </c>
      <c r="L125" s="23">
        <f>IF($A125="","",INDEX(tblTasks[Irreversibilite],ROW()-4))</f>
      </c>
      <c r="M125" s="26">
        <f>IF(OR($A125="",M$3=""),"",IF(AND($J125&lt;&gt;"",$K125&lt;&gt;"",$J125=$K125,$J125&gt;=M$3,$J125&lt;=IF(param_mode_affichage="mois",EOMONTH(M$3,0),M$3+6)),"◆",""))</f>
      </c>
      <c r="N125" s="26">
        <f>IF(OR($A125="",N$3=""),"",IF(AND($J125&lt;&gt;"",$K125&lt;&gt;"",$J125=$K125,$J125&gt;=N$3,$J125&lt;=IF(param_mode_affichage="mois",EOMONTH(N$3,0),N$3+6)),"◆",""))</f>
      </c>
      <c r="O125" s="26">
        <f>IF(OR($A125="",O$3=""),"",IF(AND($J125&lt;&gt;"",$K125&lt;&gt;"",$J125=$K125,$J125&gt;=O$3,$J125&lt;=IF(param_mode_affichage="mois",EOMONTH(O$3,0),O$3+6)),"◆",""))</f>
      </c>
      <c r="P125" s="26">
        <f>IF(OR($A125="",P$3=""),"",IF(AND($J125&lt;&gt;"",$K125&lt;&gt;"",$J125=$K125,$J125&gt;=P$3,$J125&lt;=IF(param_mode_affichage="mois",EOMONTH(P$3,0),P$3+6)),"◆",""))</f>
      </c>
      <c r="Q125" s="26">
        <f>IF(OR($A125="",Q$3=""),"",IF(AND($J125&lt;&gt;"",$K125&lt;&gt;"",$J125=$K125,$J125&gt;=Q$3,$J125&lt;=IF(param_mode_affichage="mois",EOMONTH(Q$3,0),Q$3+6)),"◆",""))</f>
      </c>
      <c r="R125" s="26">
        <f>IF(OR($A125="",R$3=""),"",IF(AND($J125&lt;&gt;"",$K125&lt;&gt;"",$J125=$K125,$J125&gt;=R$3,$J125&lt;=IF(param_mode_affichage="mois",EOMONTH(R$3,0),R$3+6)),"◆",""))</f>
      </c>
      <c r="S125" s="26">
        <f>IF(OR($A125="",S$3=""),"",IF(AND($J125&lt;&gt;"",$K125&lt;&gt;"",$J125=$K125,$J125&gt;=S$3,$J125&lt;=IF(param_mode_affichage="mois",EOMONTH(S$3,0),S$3+6)),"◆",""))</f>
      </c>
      <c r="T125" s="26">
        <f>IF(OR($A125="",T$3=""),"",IF(AND($J125&lt;&gt;"",$K125&lt;&gt;"",$J125=$K125,$J125&gt;=T$3,$J125&lt;=IF(param_mode_affichage="mois",EOMONTH(T$3,0),T$3+6)),"◆",""))</f>
      </c>
      <c r="U125" s="26">
        <f>IF(OR($A125="",U$3=""),"",IF(AND($J125&lt;&gt;"",$K125&lt;&gt;"",$J125=$K125,$J125&gt;=U$3,$J125&lt;=IF(param_mode_affichage="mois",EOMONTH(U$3,0),U$3+6)),"◆",""))</f>
      </c>
      <c r="V125" s="26">
        <f>IF(OR($A125="",V$3=""),"",IF(AND($J125&lt;&gt;"",$K125&lt;&gt;"",$J125=$K125,$J125&gt;=V$3,$J125&lt;=IF(param_mode_affichage="mois",EOMONTH(V$3,0),V$3+6)),"◆",""))</f>
      </c>
      <c r="W125" s="26">
        <f>IF(OR($A125="",W$3=""),"",IF(AND($J125&lt;&gt;"",$K125&lt;&gt;"",$J125=$K125,$J125&gt;=W$3,$J125&lt;=IF(param_mode_affichage="mois",EOMONTH(W$3,0),W$3+6)),"◆",""))</f>
      </c>
      <c r="X125" s="26">
        <f>IF(OR($A125="",X$3=""),"",IF(AND($J125&lt;&gt;"",$K125&lt;&gt;"",$J125=$K125,$J125&gt;=X$3,$J125&lt;=IF(param_mode_affichage="mois",EOMONTH(X$3,0),X$3+6)),"◆",""))</f>
      </c>
      <c r="Y125" s="26">
        <f>IF(OR($A125="",Y$3=""),"",IF(AND($J125&lt;&gt;"",$K125&lt;&gt;"",$J125=$K125,$J125&gt;=Y$3,$J125&lt;=IF(param_mode_affichage="mois",EOMONTH(Y$3,0),Y$3+6)),"◆",""))</f>
      </c>
      <c r="Z125" s="26">
        <f>IF(OR($A125="",Z$3=""),"",IF(AND($J125&lt;&gt;"",$K125&lt;&gt;"",$J125=$K125,$J125&gt;=Z$3,$J125&lt;=IF(param_mode_affichage="mois",EOMONTH(Z$3,0),Z$3+6)),"◆",""))</f>
      </c>
      <c r="AA125" s="26">
        <f>IF(OR($A125="",AA$3=""),"",IF(AND($J125&lt;&gt;"",$K125&lt;&gt;"",$J125=$K125,$J125&gt;=AA$3,$J125&lt;=IF(param_mode_affichage="mois",EOMONTH(AA$3,0),AA$3+6)),"◆",""))</f>
      </c>
      <c r="AB125" s="26">
        <f>IF(OR($A125="",AB$3=""),"",IF(AND($J125&lt;&gt;"",$K125&lt;&gt;"",$J125=$K125,$J125&gt;=AB$3,$J125&lt;=IF(param_mode_affichage="mois",EOMONTH(AB$3,0),AB$3+6)),"◆",""))</f>
      </c>
      <c r="AC125" s="26">
        <f>IF(OR($A125="",AC$3=""),"",IF(AND($J125&lt;&gt;"",$K125&lt;&gt;"",$J125=$K125,$J125&gt;=AC$3,$J125&lt;=IF(param_mode_affichage="mois",EOMONTH(AC$3,0),AC$3+6)),"◆",""))</f>
      </c>
      <c r="AD125" s="26">
        <f>IF(OR($A125="",AD$3=""),"",IF(AND($J125&lt;&gt;"",$K125&lt;&gt;"",$J125=$K125,$J125&gt;=AD$3,$J125&lt;=IF(param_mode_affichage="mois",EOMONTH(AD$3,0),AD$3+6)),"◆",""))</f>
      </c>
      <c r="AE125" s="26">
        <f>IF(OR($A125="",AE$3=""),"",IF(AND($J125&lt;&gt;"",$K125&lt;&gt;"",$J125=$K125,$J125&gt;=AE$3,$J125&lt;=IF(param_mode_affichage="mois",EOMONTH(AE$3,0),AE$3+6)),"◆",""))</f>
      </c>
      <c r="AF125" s="26">
        <f>IF(OR($A125="",AF$3=""),"",IF(AND($J125&lt;&gt;"",$K125&lt;&gt;"",$J125=$K125,$J125&gt;=AF$3,$J125&lt;=IF(param_mode_affichage="mois",EOMONTH(AF$3,0),AF$3+6)),"◆",""))</f>
      </c>
      <c r="AG125" s="26">
        <f>IF(OR($A125="",AG$3=""),"",IF(AND($J125&lt;&gt;"",$K125&lt;&gt;"",$J125=$K125,$J125&gt;=AG$3,$J125&lt;=IF(param_mode_affichage="mois",EOMONTH(AG$3,0),AG$3+6)),"◆",""))</f>
      </c>
      <c r="AH125" s="26">
        <f>IF(OR($A125="",AH$3=""),"",IF(AND($J125&lt;&gt;"",$K125&lt;&gt;"",$J125=$K125,$J125&gt;=AH$3,$J125&lt;=IF(param_mode_affichage="mois",EOMONTH(AH$3,0),AH$3+6)),"◆",""))</f>
      </c>
      <c r="AI125" s="26">
        <f>IF(OR($A125="",AI$3=""),"",IF(AND($J125&lt;&gt;"",$K125&lt;&gt;"",$J125=$K125,$J125&gt;=AI$3,$J125&lt;=IF(param_mode_affichage="mois",EOMONTH(AI$3,0),AI$3+6)),"◆",""))</f>
      </c>
      <c r="AJ125" s="26">
        <f>IF(OR($A125="",AJ$3=""),"",IF(AND($J125&lt;&gt;"",$K125&lt;&gt;"",$J125=$K125,$J125&gt;=AJ$3,$J125&lt;=IF(param_mode_affichage="mois",EOMONTH(AJ$3,0),AJ$3+6)),"◆",""))</f>
      </c>
      <c r="AK125" s="26">
        <f>IF(OR($A125="",AK$3=""),"",IF(AND($J125&lt;&gt;"",$K125&lt;&gt;"",$J125=$K125,$J125&gt;=AK$3,$J125&lt;=IF(param_mode_affichage="mois",EOMONTH(AK$3,0),AK$3+6)),"◆",""))</f>
      </c>
      <c r="AL125" s="26">
        <f>IF(OR($A125="",AL$3=""),"",IF(AND($J125&lt;&gt;"",$K125&lt;&gt;"",$J125=$K125,$J125&gt;=AL$3,$J125&lt;=IF(param_mode_affichage="mois",EOMONTH(AL$3,0),AL$3+6)),"◆",""))</f>
      </c>
      <c r="AM125" s="26">
        <f>IF(OR($A125="",AM$3=""),"",IF(AND($J125&lt;&gt;"",$K125&lt;&gt;"",$J125=$K125,$J125&gt;=AM$3,$J125&lt;=IF(param_mode_affichage="mois",EOMONTH(AM$3,0),AM$3+6)),"◆",""))</f>
      </c>
      <c r="AN125" s="26">
        <f>IF(OR($A125="",AN$3=""),"",IF(AND($J125&lt;&gt;"",$K125&lt;&gt;"",$J125=$K125,$J125&gt;=AN$3,$J125&lt;=IF(param_mode_affichage="mois",EOMONTH(AN$3,0),AN$3+6)),"◆",""))</f>
      </c>
      <c r="AO125" s="26">
        <f>IF(OR($A125="",AO$3=""),"",IF(AND($J125&lt;&gt;"",$K125&lt;&gt;"",$J125=$K125,$J125&gt;=AO$3,$J125&lt;=IF(param_mode_affichage="mois",EOMONTH(AO$3,0),AO$3+6)),"◆",""))</f>
      </c>
      <c r="AP125" s="26">
        <f>IF(OR($A125="",AP$3=""),"",IF(AND($J125&lt;&gt;"",$K125&lt;&gt;"",$J125=$K125,$J125&gt;=AP$3,$J125&lt;=IF(param_mode_affichage="mois",EOMONTH(AP$3,0),AP$3+6)),"◆",""))</f>
      </c>
      <c r="AQ125" s="26">
        <f>IF(OR($A125="",AQ$3=""),"",IF(AND($J125&lt;&gt;"",$K125&lt;&gt;"",$J125=$K125,$J125&gt;=AQ$3,$J125&lt;=IF(param_mode_affichage="mois",EOMONTH(AQ$3,0),AQ$3+6)),"◆",""))</f>
      </c>
      <c r="AR125" s="26">
        <f>IF(OR($A125="",AR$3=""),"",IF(AND($J125&lt;&gt;"",$K125&lt;&gt;"",$J125=$K125,$J125&gt;=AR$3,$J125&lt;=IF(param_mode_affichage="mois",EOMONTH(AR$3,0),AR$3+6)),"◆",""))</f>
      </c>
      <c r="AS125" s="26">
        <f>IF(OR($A125="",AS$3=""),"",IF(AND($J125&lt;&gt;"",$K125&lt;&gt;"",$J125=$K125,$J125&gt;=AS$3,$J125&lt;=IF(param_mode_affichage="mois",EOMONTH(AS$3,0),AS$3+6)),"◆",""))</f>
      </c>
      <c r="AT125" s="26">
        <f>IF(OR($A125="",AT$3=""),"",IF(AND($J125&lt;&gt;"",$K125&lt;&gt;"",$J125=$K125,$J125&gt;=AT$3,$J125&lt;=IF(param_mode_affichage="mois",EOMONTH(AT$3,0),AT$3+6)),"◆",""))</f>
      </c>
      <c r="AU125" s="26">
        <f>IF(OR($A125="",AU$3=""),"",IF(AND($J125&lt;&gt;"",$K125&lt;&gt;"",$J125=$K125,$J125&gt;=AU$3,$J125&lt;=IF(param_mode_affichage="mois",EOMONTH(AU$3,0),AU$3+6)),"◆",""))</f>
      </c>
      <c r="AV125" s="26">
        <f>IF(OR($A125="",AV$3=""),"",IF(AND($J125&lt;&gt;"",$K125&lt;&gt;"",$J125=$K125,$J125&gt;=AV$3,$J125&lt;=IF(param_mode_affichage="mois",EOMONTH(AV$3,0),AV$3+6)),"◆",""))</f>
      </c>
      <c r="AW125" s="26">
        <f>IF(OR($A125="",AW$3=""),"",IF(AND($J125&lt;&gt;"",$K125&lt;&gt;"",$J125=$K125,$J125&gt;=AW$3,$J125&lt;=IF(param_mode_affichage="mois",EOMONTH(AW$3,0),AW$3+6)),"◆",""))</f>
      </c>
      <c r="AX125" s="26">
        <f>IF(OR($A125="",AX$3=""),"",IF(AND($J125&lt;&gt;"",$K125&lt;&gt;"",$J125=$K125,$J125&gt;=AX$3,$J125&lt;=IF(param_mode_affichage="mois",EOMONTH(AX$3,0),AX$3+6)),"◆",""))</f>
      </c>
      <c r="AY125" s="26">
        <f>IF(OR($A125="",AY$3=""),"",IF(AND($J125&lt;&gt;"",$K125&lt;&gt;"",$J125=$K125,$J125&gt;=AY$3,$J125&lt;=IF(param_mode_affichage="mois",EOMONTH(AY$3,0),AY$3+6)),"◆",""))</f>
      </c>
      <c r="AZ125" s="26">
        <f>IF(OR($A125="",AZ$3=""),"",IF(AND($J125&lt;&gt;"",$K125&lt;&gt;"",$J125=$K125,$J125&gt;=AZ$3,$J125&lt;=IF(param_mode_affichage="mois",EOMONTH(AZ$3,0),AZ$3+6)),"◆",""))</f>
      </c>
      <c r="BA125" s="26">
        <f>IF(OR($A125="",BA$3=""),"",IF(AND($J125&lt;&gt;"",$K125&lt;&gt;"",$J125=$K125,$J125&gt;=BA$3,$J125&lt;=IF(param_mode_affichage="mois",EOMONTH(BA$3,0),BA$3+6)),"◆",""))</f>
      </c>
      <c r="BB125" s="26">
        <f>IF(OR($A125="",BB$3=""),"",IF(AND($J125&lt;&gt;"",$K125&lt;&gt;"",$J125=$K125,$J125&gt;=BB$3,$J125&lt;=IF(param_mode_affichage="mois",EOMONTH(BB$3,0),BB$3+6)),"◆",""))</f>
      </c>
      <c r="BC125" s="26">
        <f>IF(OR($A125="",BC$3=""),"",IF(AND($J125&lt;&gt;"",$K125&lt;&gt;"",$J125=$K125,$J125&gt;=BC$3,$J125&lt;=IF(param_mode_affichage="mois",EOMONTH(BC$3,0),BC$3+6)),"◆",""))</f>
      </c>
      <c r="BD125" s="26">
        <f>IF(OR($A125="",BD$3=""),"",IF(AND($J125&lt;&gt;"",$K125&lt;&gt;"",$J125=$K125,$J125&gt;=BD$3,$J125&lt;=IF(param_mode_affichage="mois",EOMONTH(BD$3,0),BD$3+6)),"◆",""))</f>
      </c>
      <c r="BE125" s="26">
        <f>IF(OR($A125="",BE$3=""),"",IF(AND($J125&lt;&gt;"",$K125&lt;&gt;"",$J125=$K125,$J125&gt;=BE$3,$J125&lt;=IF(param_mode_affichage="mois",EOMONTH(BE$3,0),BE$3+6)),"◆",""))</f>
      </c>
      <c r="BF125" s="26">
        <f>IF(OR($A125="",BF$3=""),"",IF(AND($J125&lt;&gt;"",$K125&lt;&gt;"",$J125=$K125,$J125&gt;=BF$3,$J125&lt;=IF(param_mode_affichage="mois",EOMONTH(BF$3,0),BF$3+6)),"◆",""))</f>
      </c>
      <c r="BG125" s="26">
        <f>IF(OR($A125="",BG$3=""),"",IF(AND($J125&lt;&gt;"",$K125&lt;&gt;"",$J125=$K125,$J125&gt;=BG$3,$J125&lt;=IF(param_mode_affichage="mois",EOMONTH(BG$3,0),BG$3+6)),"◆",""))</f>
      </c>
      <c r="BH125" s="26">
        <f>IF(OR($A125="",BH$3=""),"",IF(AND($J125&lt;&gt;"",$K125&lt;&gt;"",$J125=$K125,$J125&gt;=BH$3,$J125&lt;=IF(param_mode_affichage="mois",EOMONTH(BH$3,0),BH$3+6)),"◆",""))</f>
      </c>
      <c r="BI125" s="26">
        <f>IF(OR($A125="",BI$3=""),"",IF(AND($J125&lt;&gt;"",$K125&lt;&gt;"",$J125=$K125,$J125&gt;=BI$3,$J125&lt;=IF(param_mode_affichage="mois",EOMONTH(BI$3,0),BI$3+6)),"◆",""))</f>
      </c>
      <c r="BJ125" s="26">
        <f>IF(OR($A125="",BJ$3=""),"",IF(AND($J125&lt;&gt;"",$K125&lt;&gt;"",$J125=$K125,$J125&gt;=BJ$3,$J125&lt;=IF(param_mode_affichage="mois",EOMONTH(BJ$3,0),BJ$3+6)),"◆",""))</f>
      </c>
      <c r="BK125" s="26">
        <f>IF(OR($A125="",BK$3=""),"",IF(AND($J125&lt;&gt;"",$K125&lt;&gt;"",$J125=$K125,$J125&gt;=BK$3,$J125&lt;=IF(param_mode_affichage="mois",EOMONTH(BK$3,0),BK$3+6)),"◆",""))</f>
      </c>
      <c r="BL125" s="26">
        <f>IF(OR($A125="",BL$3=""),"",IF(AND($J125&lt;&gt;"",$K125&lt;&gt;"",$J125=$K125,$J125&gt;=BL$3,$J125&lt;=IF(param_mode_affichage="mois",EOMONTH(BL$3,0),BL$3+6)),"◆",""))</f>
      </c>
    </row>
    <row r="126" spans="1:64" x14ac:dyDescent="0.25">
      <c r="A126" s="23">
        <f>IFERROR(INDEX(tblTasks[ID],ROW()-4),"")</f>
      </c>
      <c r="B126" s="24">
        <f>IF($A126="","",INDEX(tblTasks[Sujet],ROW()-4))</f>
      </c>
      <c r="C126" s="23">
        <f>IF($A126="","",INDEX(tblTasks[Responsable],ROW()-4))</f>
      </c>
      <c r="D126" s="23">
        <f>IF($A126="","",INDEX(tblTasks[Statut],ROW()-4))</f>
      </c>
      <c r="E126" s="23">
        <f>IF($A126="","",INDEX(tblTasks[Depend_de],ROW()-4))</f>
      </c>
      <c r="F126" s="23">
        <f>IF($A126="","",INDEX(tblTasks[Blocage],ROW()-4))</f>
      </c>
      <c r="G126" s="23">
        <f>IF($A126="","",INDEX(tblTasks[Niveau_criticite],ROW()-4))</f>
      </c>
      <c r="H126" s="23">
        <f>IF($A126="","",INDEX(tblTasks[Goulot],ROW()-4))</f>
      </c>
      <c r="I126" s="23">
        <f>IF($A126="","",IF(LOWER($F126)="oui","non",IF($E126="","oui",IFERROR(IF(LOWER(INDEX(tblTasks[Statut],MATCH($E126,tblTasks[ID],0)))="clos","oui","non"),"non"))))</f>
      </c>
      <c r="J126" s="25">
        <f>IF($A126="","",INDEX(tblTasks[Date_debut_prevue],ROW()-4))</f>
      </c>
      <c r="K126" s="25">
        <f>IF($A126="","",INDEX(tblTasks[Date_fin_prevue],ROW()-4))</f>
      </c>
      <c r="L126" s="23">
        <f>IF($A126="","",INDEX(tblTasks[Irreversibilite],ROW()-4))</f>
      </c>
      <c r="M126" s="26">
        <f>IF(OR($A126="",M$3=""),"",IF(AND($J126&lt;&gt;"",$K126&lt;&gt;"",$J126=$K126,$J126&gt;=M$3,$J126&lt;=IF(param_mode_affichage="mois",EOMONTH(M$3,0),M$3+6)),"◆",""))</f>
      </c>
      <c r="N126" s="26">
        <f>IF(OR($A126="",N$3=""),"",IF(AND($J126&lt;&gt;"",$K126&lt;&gt;"",$J126=$K126,$J126&gt;=N$3,$J126&lt;=IF(param_mode_affichage="mois",EOMONTH(N$3,0),N$3+6)),"◆",""))</f>
      </c>
      <c r="O126" s="26">
        <f>IF(OR($A126="",O$3=""),"",IF(AND($J126&lt;&gt;"",$K126&lt;&gt;"",$J126=$K126,$J126&gt;=O$3,$J126&lt;=IF(param_mode_affichage="mois",EOMONTH(O$3,0),O$3+6)),"◆",""))</f>
      </c>
      <c r="P126" s="26">
        <f>IF(OR($A126="",P$3=""),"",IF(AND($J126&lt;&gt;"",$K126&lt;&gt;"",$J126=$K126,$J126&gt;=P$3,$J126&lt;=IF(param_mode_affichage="mois",EOMONTH(P$3,0),P$3+6)),"◆",""))</f>
      </c>
      <c r="Q126" s="26">
        <f>IF(OR($A126="",Q$3=""),"",IF(AND($J126&lt;&gt;"",$K126&lt;&gt;"",$J126=$K126,$J126&gt;=Q$3,$J126&lt;=IF(param_mode_affichage="mois",EOMONTH(Q$3,0),Q$3+6)),"◆",""))</f>
      </c>
      <c r="R126" s="26">
        <f>IF(OR($A126="",R$3=""),"",IF(AND($J126&lt;&gt;"",$K126&lt;&gt;"",$J126=$K126,$J126&gt;=R$3,$J126&lt;=IF(param_mode_affichage="mois",EOMONTH(R$3,0),R$3+6)),"◆",""))</f>
      </c>
      <c r="S126" s="26">
        <f>IF(OR($A126="",S$3=""),"",IF(AND($J126&lt;&gt;"",$K126&lt;&gt;"",$J126=$K126,$J126&gt;=S$3,$J126&lt;=IF(param_mode_affichage="mois",EOMONTH(S$3,0),S$3+6)),"◆",""))</f>
      </c>
      <c r="T126" s="26">
        <f>IF(OR($A126="",T$3=""),"",IF(AND($J126&lt;&gt;"",$K126&lt;&gt;"",$J126=$K126,$J126&gt;=T$3,$J126&lt;=IF(param_mode_affichage="mois",EOMONTH(T$3,0),T$3+6)),"◆",""))</f>
      </c>
      <c r="U126" s="26">
        <f>IF(OR($A126="",U$3=""),"",IF(AND($J126&lt;&gt;"",$K126&lt;&gt;"",$J126=$K126,$J126&gt;=U$3,$J126&lt;=IF(param_mode_affichage="mois",EOMONTH(U$3,0),U$3+6)),"◆",""))</f>
      </c>
      <c r="V126" s="26">
        <f>IF(OR($A126="",V$3=""),"",IF(AND($J126&lt;&gt;"",$K126&lt;&gt;"",$J126=$K126,$J126&gt;=V$3,$J126&lt;=IF(param_mode_affichage="mois",EOMONTH(V$3,0),V$3+6)),"◆",""))</f>
      </c>
      <c r="W126" s="26">
        <f>IF(OR($A126="",W$3=""),"",IF(AND($J126&lt;&gt;"",$K126&lt;&gt;"",$J126=$K126,$J126&gt;=W$3,$J126&lt;=IF(param_mode_affichage="mois",EOMONTH(W$3,0),W$3+6)),"◆",""))</f>
      </c>
      <c r="X126" s="26">
        <f>IF(OR($A126="",X$3=""),"",IF(AND($J126&lt;&gt;"",$K126&lt;&gt;"",$J126=$K126,$J126&gt;=X$3,$J126&lt;=IF(param_mode_affichage="mois",EOMONTH(X$3,0),X$3+6)),"◆",""))</f>
      </c>
      <c r="Y126" s="26">
        <f>IF(OR($A126="",Y$3=""),"",IF(AND($J126&lt;&gt;"",$K126&lt;&gt;"",$J126=$K126,$J126&gt;=Y$3,$J126&lt;=IF(param_mode_affichage="mois",EOMONTH(Y$3,0),Y$3+6)),"◆",""))</f>
      </c>
      <c r="Z126" s="26">
        <f>IF(OR($A126="",Z$3=""),"",IF(AND($J126&lt;&gt;"",$K126&lt;&gt;"",$J126=$K126,$J126&gt;=Z$3,$J126&lt;=IF(param_mode_affichage="mois",EOMONTH(Z$3,0),Z$3+6)),"◆",""))</f>
      </c>
      <c r="AA126" s="26">
        <f>IF(OR($A126="",AA$3=""),"",IF(AND($J126&lt;&gt;"",$K126&lt;&gt;"",$J126=$K126,$J126&gt;=AA$3,$J126&lt;=IF(param_mode_affichage="mois",EOMONTH(AA$3,0),AA$3+6)),"◆",""))</f>
      </c>
      <c r="AB126" s="26">
        <f>IF(OR($A126="",AB$3=""),"",IF(AND($J126&lt;&gt;"",$K126&lt;&gt;"",$J126=$K126,$J126&gt;=AB$3,$J126&lt;=IF(param_mode_affichage="mois",EOMONTH(AB$3,0),AB$3+6)),"◆",""))</f>
      </c>
      <c r="AC126" s="26">
        <f>IF(OR($A126="",AC$3=""),"",IF(AND($J126&lt;&gt;"",$K126&lt;&gt;"",$J126=$K126,$J126&gt;=AC$3,$J126&lt;=IF(param_mode_affichage="mois",EOMONTH(AC$3,0),AC$3+6)),"◆",""))</f>
      </c>
      <c r="AD126" s="26">
        <f>IF(OR($A126="",AD$3=""),"",IF(AND($J126&lt;&gt;"",$K126&lt;&gt;"",$J126=$K126,$J126&gt;=AD$3,$J126&lt;=IF(param_mode_affichage="mois",EOMONTH(AD$3,0),AD$3+6)),"◆",""))</f>
      </c>
      <c r="AE126" s="26">
        <f>IF(OR($A126="",AE$3=""),"",IF(AND($J126&lt;&gt;"",$K126&lt;&gt;"",$J126=$K126,$J126&gt;=AE$3,$J126&lt;=IF(param_mode_affichage="mois",EOMONTH(AE$3,0),AE$3+6)),"◆",""))</f>
      </c>
      <c r="AF126" s="26">
        <f>IF(OR($A126="",AF$3=""),"",IF(AND($J126&lt;&gt;"",$K126&lt;&gt;"",$J126=$K126,$J126&gt;=AF$3,$J126&lt;=IF(param_mode_affichage="mois",EOMONTH(AF$3,0),AF$3+6)),"◆",""))</f>
      </c>
      <c r="AG126" s="26">
        <f>IF(OR($A126="",AG$3=""),"",IF(AND($J126&lt;&gt;"",$K126&lt;&gt;"",$J126=$K126,$J126&gt;=AG$3,$J126&lt;=IF(param_mode_affichage="mois",EOMONTH(AG$3,0),AG$3+6)),"◆",""))</f>
      </c>
      <c r="AH126" s="26">
        <f>IF(OR($A126="",AH$3=""),"",IF(AND($J126&lt;&gt;"",$K126&lt;&gt;"",$J126=$K126,$J126&gt;=AH$3,$J126&lt;=IF(param_mode_affichage="mois",EOMONTH(AH$3,0),AH$3+6)),"◆",""))</f>
      </c>
      <c r="AI126" s="26">
        <f>IF(OR($A126="",AI$3=""),"",IF(AND($J126&lt;&gt;"",$K126&lt;&gt;"",$J126=$K126,$J126&gt;=AI$3,$J126&lt;=IF(param_mode_affichage="mois",EOMONTH(AI$3,0),AI$3+6)),"◆",""))</f>
      </c>
      <c r="AJ126" s="26">
        <f>IF(OR($A126="",AJ$3=""),"",IF(AND($J126&lt;&gt;"",$K126&lt;&gt;"",$J126=$K126,$J126&gt;=AJ$3,$J126&lt;=IF(param_mode_affichage="mois",EOMONTH(AJ$3,0),AJ$3+6)),"◆",""))</f>
      </c>
      <c r="AK126" s="26">
        <f>IF(OR($A126="",AK$3=""),"",IF(AND($J126&lt;&gt;"",$K126&lt;&gt;"",$J126=$K126,$J126&gt;=AK$3,$J126&lt;=IF(param_mode_affichage="mois",EOMONTH(AK$3,0),AK$3+6)),"◆",""))</f>
      </c>
      <c r="AL126" s="26">
        <f>IF(OR($A126="",AL$3=""),"",IF(AND($J126&lt;&gt;"",$K126&lt;&gt;"",$J126=$K126,$J126&gt;=AL$3,$J126&lt;=IF(param_mode_affichage="mois",EOMONTH(AL$3,0),AL$3+6)),"◆",""))</f>
      </c>
      <c r="AM126" s="26">
        <f>IF(OR($A126="",AM$3=""),"",IF(AND($J126&lt;&gt;"",$K126&lt;&gt;"",$J126=$K126,$J126&gt;=AM$3,$J126&lt;=IF(param_mode_affichage="mois",EOMONTH(AM$3,0),AM$3+6)),"◆",""))</f>
      </c>
      <c r="AN126" s="26">
        <f>IF(OR($A126="",AN$3=""),"",IF(AND($J126&lt;&gt;"",$K126&lt;&gt;"",$J126=$K126,$J126&gt;=AN$3,$J126&lt;=IF(param_mode_affichage="mois",EOMONTH(AN$3,0),AN$3+6)),"◆",""))</f>
      </c>
      <c r="AO126" s="26">
        <f>IF(OR($A126="",AO$3=""),"",IF(AND($J126&lt;&gt;"",$K126&lt;&gt;"",$J126=$K126,$J126&gt;=AO$3,$J126&lt;=IF(param_mode_affichage="mois",EOMONTH(AO$3,0),AO$3+6)),"◆",""))</f>
      </c>
      <c r="AP126" s="26">
        <f>IF(OR($A126="",AP$3=""),"",IF(AND($J126&lt;&gt;"",$K126&lt;&gt;"",$J126=$K126,$J126&gt;=AP$3,$J126&lt;=IF(param_mode_affichage="mois",EOMONTH(AP$3,0),AP$3+6)),"◆",""))</f>
      </c>
      <c r="AQ126" s="26">
        <f>IF(OR($A126="",AQ$3=""),"",IF(AND($J126&lt;&gt;"",$K126&lt;&gt;"",$J126=$K126,$J126&gt;=AQ$3,$J126&lt;=IF(param_mode_affichage="mois",EOMONTH(AQ$3,0),AQ$3+6)),"◆",""))</f>
      </c>
      <c r="AR126" s="26">
        <f>IF(OR($A126="",AR$3=""),"",IF(AND($J126&lt;&gt;"",$K126&lt;&gt;"",$J126=$K126,$J126&gt;=AR$3,$J126&lt;=IF(param_mode_affichage="mois",EOMONTH(AR$3,0),AR$3+6)),"◆",""))</f>
      </c>
      <c r="AS126" s="26">
        <f>IF(OR($A126="",AS$3=""),"",IF(AND($J126&lt;&gt;"",$K126&lt;&gt;"",$J126=$K126,$J126&gt;=AS$3,$J126&lt;=IF(param_mode_affichage="mois",EOMONTH(AS$3,0),AS$3+6)),"◆",""))</f>
      </c>
      <c r="AT126" s="26">
        <f>IF(OR($A126="",AT$3=""),"",IF(AND($J126&lt;&gt;"",$K126&lt;&gt;"",$J126=$K126,$J126&gt;=AT$3,$J126&lt;=IF(param_mode_affichage="mois",EOMONTH(AT$3,0),AT$3+6)),"◆",""))</f>
      </c>
      <c r="AU126" s="26">
        <f>IF(OR($A126="",AU$3=""),"",IF(AND($J126&lt;&gt;"",$K126&lt;&gt;"",$J126=$K126,$J126&gt;=AU$3,$J126&lt;=IF(param_mode_affichage="mois",EOMONTH(AU$3,0),AU$3+6)),"◆",""))</f>
      </c>
      <c r="AV126" s="26">
        <f>IF(OR($A126="",AV$3=""),"",IF(AND($J126&lt;&gt;"",$K126&lt;&gt;"",$J126=$K126,$J126&gt;=AV$3,$J126&lt;=IF(param_mode_affichage="mois",EOMONTH(AV$3,0),AV$3+6)),"◆",""))</f>
      </c>
      <c r="AW126" s="26">
        <f>IF(OR($A126="",AW$3=""),"",IF(AND($J126&lt;&gt;"",$K126&lt;&gt;"",$J126=$K126,$J126&gt;=AW$3,$J126&lt;=IF(param_mode_affichage="mois",EOMONTH(AW$3,0),AW$3+6)),"◆",""))</f>
      </c>
      <c r="AX126" s="26">
        <f>IF(OR($A126="",AX$3=""),"",IF(AND($J126&lt;&gt;"",$K126&lt;&gt;"",$J126=$K126,$J126&gt;=AX$3,$J126&lt;=IF(param_mode_affichage="mois",EOMONTH(AX$3,0),AX$3+6)),"◆",""))</f>
      </c>
      <c r="AY126" s="26">
        <f>IF(OR($A126="",AY$3=""),"",IF(AND($J126&lt;&gt;"",$K126&lt;&gt;"",$J126=$K126,$J126&gt;=AY$3,$J126&lt;=IF(param_mode_affichage="mois",EOMONTH(AY$3,0),AY$3+6)),"◆",""))</f>
      </c>
      <c r="AZ126" s="26">
        <f>IF(OR($A126="",AZ$3=""),"",IF(AND($J126&lt;&gt;"",$K126&lt;&gt;"",$J126=$K126,$J126&gt;=AZ$3,$J126&lt;=IF(param_mode_affichage="mois",EOMONTH(AZ$3,0),AZ$3+6)),"◆",""))</f>
      </c>
      <c r="BA126" s="26">
        <f>IF(OR($A126="",BA$3=""),"",IF(AND($J126&lt;&gt;"",$K126&lt;&gt;"",$J126=$K126,$J126&gt;=BA$3,$J126&lt;=IF(param_mode_affichage="mois",EOMONTH(BA$3,0),BA$3+6)),"◆",""))</f>
      </c>
      <c r="BB126" s="26">
        <f>IF(OR($A126="",BB$3=""),"",IF(AND($J126&lt;&gt;"",$K126&lt;&gt;"",$J126=$K126,$J126&gt;=BB$3,$J126&lt;=IF(param_mode_affichage="mois",EOMONTH(BB$3,0),BB$3+6)),"◆",""))</f>
      </c>
      <c r="BC126" s="26">
        <f>IF(OR($A126="",BC$3=""),"",IF(AND($J126&lt;&gt;"",$K126&lt;&gt;"",$J126=$K126,$J126&gt;=BC$3,$J126&lt;=IF(param_mode_affichage="mois",EOMONTH(BC$3,0),BC$3+6)),"◆",""))</f>
      </c>
      <c r="BD126" s="26">
        <f>IF(OR($A126="",BD$3=""),"",IF(AND($J126&lt;&gt;"",$K126&lt;&gt;"",$J126=$K126,$J126&gt;=BD$3,$J126&lt;=IF(param_mode_affichage="mois",EOMONTH(BD$3,0),BD$3+6)),"◆",""))</f>
      </c>
      <c r="BE126" s="26">
        <f>IF(OR($A126="",BE$3=""),"",IF(AND($J126&lt;&gt;"",$K126&lt;&gt;"",$J126=$K126,$J126&gt;=BE$3,$J126&lt;=IF(param_mode_affichage="mois",EOMONTH(BE$3,0),BE$3+6)),"◆",""))</f>
      </c>
      <c r="BF126" s="26">
        <f>IF(OR($A126="",BF$3=""),"",IF(AND($J126&lt;&gt;"",$K126&lt;&gt;"",$J126=$K126,$J126&gt;=BF$3,$J126&lt;=IF(param_mode_affichage="mois",EOMONTH(BF$3,0),BF$3+6)),"◆",""))</f>
      </c>
      <c r="BG126" s="26">
        <f>IF(OR($A126="",BG$3=""),"",IF(AND($J126&lt;&gt;"",$K126&lt;&gt;"",$J126=$K126,$J126&gt;=BG$3,$J126&lt;=IF(param_mode_affichage="mois",EOMONTH(BG$3,0),BG$3+6)),"◆",""))</f>
      </c>
      <c r="BH126" s="26">
        <f>IF(OR($A126="",BH$3=""),"",IF(AND($J126&lt;&gt;"",$K126&lt;&gt;"",$J126=$K126,$J126&gt;=BH$3,$J126&lt;=IF(param_mode_affichage="mois",EOMONTH(BH$3,0),BH$3+6)),"◆",""))</f>
      </c>
      <c r="BI126" s="26">
        <f>IF(OR($A126="",BI$3=""),"",IF(AND($J126&lt;&gt;"",$K126&lt;&gt;"",$J126=$K126,$J126&gt;=BI$3,$J126&lt;=IF(param_mode_affichage="mois",EOMONTH(BI$3,0),BI$3+6)),"◆",""))</f>
      </c>
      <c r="BJ126" s="26">
        <f>IF(OR($A126="",BJ$3=""),"",IF(AND($J126&lt;&gt;"",$K126&lt;&gt;"",$J126=$K126,$J126&gt;=BJ$3,$J126&lt;=IF(param_mode_affichage="mois",EOMONTH(BJ$3,0),BJ$3+6)),"◆",""))</f>
      </c>
      <c r="BK126" s="26">
        <f>IF(OR($A126="",BK$3=""),"",IF(AND($J126&lt;&gt;"",$K126&lt;&gt;"",$J126=$K126,$J126&gt;=BK$3,$J126&lt;=IF(param_mode_affichage="mois",EOMONTH(BK$3,0),BK$3+6)),"◆",""))</f>
      </c>
      <c r="BL126" s="26">
        <f>IF(OR($A126="",BL$3=""),"",IF(AND($J126&lt;&gt;"",$K126&lt;&gt;"",$J126=$K126,$J126&gt;=BL$3,$J126&lt;=IF(param_mode_affichage="mois",EOMONTH(BL$3,0),BL$3+6)),"◆",""))</f>
      </c>
    </row>
    <row r="127" spans="1:64" x14ac:dyDescent="0.25">
      <c r="A127" s="23">
        <f>IFERROR(INDEX(tblTasks[ID],ROW()-4),"")</f>
      </c>
      <c r="B127" s="24">
        <f>IF($A127="","",INDEX(tblTasks[Sujet],ROW()-4))</f>
      </c>
      <c r="C127" s="23">
        <f>IF($A127="","",INDEX(tblTasks[Responsable],ROW()-4))</f>
      </c>
      <c r="D127" s="23">
        <f>IF($A127="","",INDEX(tblTasks[Statut],ROW()-4))</f>
      </c>
      <c r="E127" s="23">
        <f>IF($A127="","",INDEX(tblTasks[Depend_de],ROW()-4))</f>
      </c>
      <c r="F127" s="23">
        <f>IF($A127="","",INDEX(tblTasks[Blocage],ROW()-4))</f>
      </c>
      <c r="G127" s="23">
        <f>IF($A127="","",INDEX(tblTasks[Niveau_criticite],ROW()-4))</f>
      </c>
      <c r="H127" s="23">
        <f>IF($A127="","",INDEX(tblTasks[Goulot],ROW()-4))</f>
      </c>
      <c r="I127" s="23">
        <f>IF($A127="","",IF(LOWER($F127)="oui","non",IF($E127="","oui",IFERROR(IF(LOWER(INDEX(tblTasks[Statut],MATCH($E127,tblTasks[ID],0)))="clos","oui","non"),"non"))))</f>
      </c>
      <c r="J127" s="25">
        <f>IF($A127="","",INDEX(tblTasks[Date_debut_prevue],ROW()-4))</f>
      </c>
      <c r="K127" s="25">
        <f>IF($A127="","",INDEX(tblTasks[Date_fin_prevue],ROW()-4))</f>
      </c>
      <c r="L127" s="23">
        <f>IF($A127="","",INDEX(tblTasks[Irreversibilite],ROW()-4))</f>
      </c>
      <c r="M127" s="26">
        <f>IF(OR($A127="",M$3=""),"",IF(AND($J127&lt;&gt;"",$K127&lt;&gt;"",$J127=$K127,$J127&gt;=M$3,$J127&lt;=IF(param_mode_affichage="mois",EOMONTH(M$3,0),M$3+6)),"◆",""))</f>
      </c>
      <c r="N127" s="26">
        <f>IF(OR($A127="",N$3=""),"",IF(AND($J127&lt;&gt;"",$K127&lt;&gt;"",$J127=$K127,$J127&gt;=N$3,$J127&lt;=IF(param_mode_affichage="mois",EOMONTH(N$3,0),N$3+6)),"◆",""))</f>
      </c>
      <c r="O127" s="26">
        <f>IF(OR($A127="",O$3=""),"",IF(AND($J127&lt;&gt;"",$K127&lt;&gt;"",$J127=$K127,$J127&gt;=O$3,$J127&lt;=IF(param_mode_affichage="mois",EOMONTH(O$3,0),O$3+6)),"◆",""))</f>
      </c>
      <c r="P127" s="26">
        <f>IF(OR($A127="",P$3=""),"",IF(AND($J127&lt;&gt;"",$K127&lt;&gt;"",$J127=$K127,$J127&gt;=P$3,$J127&lt;=IF(param_mode_affichage="mois",EOMONTH(P$3,0),P$3+6)),"◆",""))</f>
      </c>
      <c r="Q127" s="26">
        <f>IF(OR($A127="",Q$3=""),"",IF(AND($J127&lt;&gt;"",$K127&lt;&gt;"",$J127=$K127,$J127&gt;=Q$3,$J127&lt;=IF(param_mode_affichage="mois",EOMONTH(Q$3,0),Q$3+6)),"◆",""))</f>
      </c>
      <c r="R127" s="26">
        <f>IF(OR($A127="",R$3=""),"",IF(AND($J127&lt;&gt;"",$K127&lt;&gt;"",$J127=$K127,$J127&gt;=R$3,$J127&lt;=IF(param_mode_affichage="mois",EOMONTH(R$3,0),R$3+6)),"◆",""))</f>
      </c>
      <c r="S127" s="26">
        <f>IF(OR($A127="",S$3=""),"",IF(AND($J127&lt;&gt;"",$K127&lt;&gt;"",$J127=$K127,$J127&gt;=S$3,$J127&lt;=IF(param_mode_affichage="mois",EOMONTH(S$3,0),S$3+6)),"◆",""))</f>
      </c>
      <c r="T127" s="26">
        <f>IF(OR($A127="",T$3=""),"",IF(AND($J127&lt;&gt;"",$K127&lt;&gt;"",$J127=$K127,$J127&gt;=T$3,$J127&lt;=IF(param_mode_affichage="mois",EOMONTH(T$3,0),T$3+6)),"◆",""))</f>
      </c>
      <c r="U127" s="26">
        <f>IF(OR($A127="",U$3=""),"",IF(AND($J127&lt;&gt;"",$K127&lt;&gt;"",$J127=$K127,$J127&gt;=U$3,$J127&lt;=IF(param_mode_affichage="mois",EOMONTH(U$3,0),U$3+6)),"◆",""))</f>
      </c>
      <c r="V127" s="26">
        <f>IF(OR($A127="",V$3=""),"",IF(AND($J127&lt;&gt;"",$K127&lt;&gt;"",$J127=$K127,$J127&gt;=V$3,$J127&lt;=IF(param_mode_affichage="mois",EOMONTH(V$3,0),V$3+6)),"◆",""))</f>
      </c>
      <c r="W127" s="26">
        <f>IF(OR($A127="",W$3=""),"",IF(AND($J127&lt;&gt;"",$K127&lt;&gt;"",$J127=$K127,$J127&gt;=W$3,$J127&lt;=IF(param_mode_affichage="mois",EOMONTH(W$3,0),W$3+6)),"◆",""))</f>
      </c>
      <c r="X127" s="26">
        <f>IF(OR($A127="",X$3=""),"",IF(AND($J127&lt;&gt;"",$K127&lt;&gt;"",$J127=$K127,$J127&gt;=X$3,$J127&lt;=IF(param_mode_affichage="mois",EOMONTH(X$3,0),X$3+6)),"◆",""))</f>
      </c>
      <c r="Y127" s="26">
        <f>IF(OR($A127="",Y$3=""),"",IF(AND($J127&lt;&gt;"",$K127&lt;&gt;"",$J127=$K127,$J127&gt;=Y$3,$J127&lt;=IF(param_mode_affichage="mois",EOMONTH(Y$3,0),Y$3+6)),"◆",""))</f>
      </c>
      <c r="Z127" s="26">
        <f>IF(OR($A127="",Z$3=""),"",IF(AND($J127&lt;&gt;"",$K127&lt;&gt;"",$J127=$K127,$J127&gt;=Z$3,$J127&lt;=IF(param_mode_affichage="mois",EOMONTH(Z$3,0),Z$3+6)),"◆",""))</f>
      </c>
      <c r="AA127" s="26">
        <f>IF(OR($A127="",AA$3=""),"",IF(AND($J127&lt;&gt;"",$K127&lt;&gt;"",$J127=$K127,$J127&gt;=AA$3,$J127&lt;=IF(param_mode_affichage="mois",EOMONTH(AA$3,0),AA$3+6)),"◆",""))</f>
      </c>
      <c r="AB127" s="26">
        <f>IF(OR($A127="",AB$3=""),"",IF(AND($J127&lt;&gt;"",$K127&lt;&gt;"",$J127=$K127,$J127&gt;=AB$3,$J127&lt;=IF(param_mode_affichage="mois",EOMONTH(AB$3,0),AB$3+6)),"◆",""))</f>
      </c>
      <c r="AC127" s="26">
        <f>IF(OR($A127="",AC$3=""),"",IF(AND($J127&lt;&gt;"",$K127&lt;&gt;"",$J127=$K127,$J127&gt;=AC$3,$J127&lt;=IF(param_mode_affichage="mois",EOMONTH(AC$3,0),AC$3+6)),"◆",""))</f>
      </c>
      <c r="AD127" s="26">
        <f>IF(OR($A127="",AD$3=""),"",IF(AND($J127&lt;&gt;"",$K127&lt;&gt;"",$J127=$K127,$J127&gt;=AD$3,$J127&lt;=IF(param_mode_affichage="mois",EOMONTH(AD$3,0),AD$3+6)),"◆",""))</f>
      </c>
      <c r="AE127" s="26">
        <f>IF(OR($A127="",AE$3=""),"",IF(AND($J127&lt;&gt;"",$K127&lt;&gt;"",$J127=$K127,$J127&gt;=AE$3,$J127&lt;=IF(param_mode_affichage="mois",EOMONTH(AE$3,0),AE$3+6)),"◆",""))</f>
      </c>
      <c r="AF127" s="26">
        <f>IF(OR($A127="",AF$3=""),"",IF(AND($J127&lt;&gt;"",$K127&lt;&gt;"",$J127=$K127,$J127&gt;=AF$3,$J127&lt;=IF(param_mode_affichage="mois",EOMONTH(AF$3,0),AF$3+6)),"◆",""))</f>
      </c>
      <c r="AG127" s="26">
        <f>IF(OR($A127="",AG$3=""),"",IF(AND($J127&lt;&gt;"",$K127&lt;&gt;"",$J127=$K127,$J127&gt;=AG$3,$J127&lt;=IF(param_mode_affichage="mois",EOMONTH(AG$3,0),AG$3+6)),"◆",""))</f>
      </c>
      <c r="AH127" s="26">
        <f>IF(OR($A127="",AH$3=""),"",IF(AND($J127&lt;&gt;"",$K127&lt;&gt;"",$J127=$K127,$J127&gt;=AH$3,$J127&lt;=IF(param_mode_affichage="mois",EOMONTH(AH$3,0),AH$3+6)),"◆",""))</f>
      </c>
      <c r="AI127" s="26">
        <f>IF(OR($A127="",AI$3=""),"",IF(AND($J127&lt;&gt;"",$K127&lt;&gt;"",$J127=$K127,$J127&gt;=AI$3,$J127&lt;=IF(param_mode_affichage="mois",EOMONTH(AI$3,0),AI$3+6)),"◆",""))</f>
      </c>
      <c r="AJ127" s="26">
        <f>IF(OR($A127="",AJ$3=""),"",IF(AND($J127&lt;&gt;"",$K127&lt;&gt;"",$J127=$K127,$J127&gt;=AJ$3,$J127&lt;=IF(param_mode_affichage="mois",EOMONTH(AJ$3,0),AJ$3+6)),"◆",""))</f>
      </c>
      <c r="AK127" s="26">
        <f>IF(OR($A127="",AK$3=""),"",IF(AND($J127&lt;&gt;"",$K127&lt;&gt;"",$J127=$K127,$J127&gt;=AK$3,$J127&lt;=IF(param_mode_affichage="mois",EOMONTH(AK$3,0),AK$3+6)),"◆",""))</f>
      </c>
      <c r="AL127" s="26">
        <f>IF(OR($A127="",AL$3=""),"",IF(AND($J127&lt;&gt;"",$K127&lt;&gt;"",$J127=$K127,$J127&gt;=AL$3,$J127&lt;=IF(param_mode_affichage="mois",EOMONTH(AL$3,0),AL$3+6)),"◆",""))</f>
      </c>
      <c r="AM127" s="26">
        <f>IF(OR($A127="",AM$3=""),"",IF(AND($J127&lt;&gt;"",$K127&lt;&gt;"",$J127=$K127,$J127&gt;=AM$3,$J127&lt;=IF(param_mode_affichage="mois",EOMONTH(AM$3,0),AM$3+6)),"◆",""))</f>
      </c>
      <c r="AN127" s="26">
        <f>IF(OR($A127="",AN$3=""),"",IF(AND($J127&lt;&gt;"",$K127&lt;&gt;"",$J127=$K127,$J127&gt;=AN$3,$J127&lt;=IF(param_mode_affichage="mois",EOMONTH(AN$3,0),AN$3+6)),"◆",""))</f>
      </c>
      <c r="AO127" s="26">
        <f>IF(OR($A127="",AO$3=""),"",IF(AND($J127&lt;&gt;"",$K127&lt;&gt;"",$J127=$K127,$J127&gt;=AO$3,$J127&lt;=IF(param_mode_affichage="mois",EOMONTH(AO$3,0),AO$3+6)),"◆",""))</f>
      </c>
      <c r="AP127" s="26">
        <f>IF(OR($A127="",AP$3=""),"",IF(AND($J127&lt;&gt;"",$K127&lt;&gt;"",$J127=$K127,$J127&gt;=AP$3,$J127&lt;=IF(param_mode_affichage="mois",EOMONTH(AP$3,0),AP$3+6)),"◆",""))</f>
      </c>
      <c r="AQ127" s="26">
        <f>IF(OR($A127="",AQ$3=""),"",IF(AND($J127&lt;&gt;"",$K127&lt;&gt;"",$J127=$K127,$J127&gt;=AQ$3,$J127&lt;=IF(param_mode_affichage="mois",EOMONTH(AQ$3,0),AQ$3+6)),"◆",""))</f>
      </c>
      <c r="AR127" s="26">
        <f>IF(OR($A127="",AR$3=""),"",IF(AND($J127&lt;&gt;"",$K127&lt;&gt;"",$J127=$K127,$J127&gt;=AR$3,$J127&lt;=IF(param_mode_affichage="mois",EOMONTH(AR$3,0),AR$3+6)),"◆",""))</f>
      </c>
      <c r="AS127" s="26">
        <f>IF(OR($A127="",AS$3=""),"",IF(AND($J127&lt;&gt;"",$K127&lt;&gt;"",$J127=$K127,$J127&gt;=AS$3,$J127&lt;=IF(param_mode_affichage="mois",EOMONTH(AS$3,0),AS$3+6)),"◆",""))</f>
      </c>
      <c r="AT127" s="26">
        <f>IF(OR($A127="",AT$3=""),"",IF(AND($J127&lt;&gt;"",$K127&lt;&gt;"",$J127=$K127,$J127&gt;=AT$3,$J127&lt;=IF(param_mode_affichage="mois",EOMONTH(AT$3,0),AT$3+6)),"◆",""))</f>
      </c>
      <c r="AU127" s="26">
        <f>IF(OR($A127="",AU$3=""),"",IF(AND($J127&lt;&gt;"",$K127&lt;&gt;"",$J127=$K127,$J127&gt;=AU$3,$J127&lt;=IF(param_mode_affichage="mois",EOMONTH(AU$3,0),AU$3+6)),"◆",""))</f>
      </c>
      <c r="AV127" s="26">
        <f>IF(OR($A127="",AV$3=""),"",IF(AND($J127&lt;&gt;"",$K127&lt;&gt;"",$J127=$K127,$J127&gt;=AV$3,$J127&lt;=IF(param_mode_affichage="mois",EOMONTH(AV$3,0),AV$3+6)),"◆",""))</f>
      </c>
      <c r="AW127" s="26">
        <f>IF(OR($A127="",AW$3=""),"",IF(AND($J127&lt;&gt;"",$K127&lt;&gt;"",$J127=$K127,$J127&gt;=AW$3,$J127&lt;=IF(param_mode_affichage="mois",EOMONTH(AW$3,0),AW$3+6)),"◆",""))</f>
      </c>
      <c r="AX127" s="26">
        <f>IF(OR($A127="",AX$3=""),"",IF(AND($J127&lt;&gt;"",$K127&lt;&gt;"",$J127=$K127,$J127&gt;=AX$3,$J127&lt;=IF(param_mode_affichage="mois",EOMONTH(AX$3,0),AX$3+6)),"◆",""))</f>
      </c>
      <c r="AY127" s="26">
        <f>IF(OR($A127="",AY$3=""),"",IF(AND($J127&lt;&gt;"",$K127&lt;&gt;"",$J127=$K127,$J127&gt;=AY$3,$J127&lt;=IF(param_mode_affichage="mois",EOMONTH(AY$3,0),AY$3+6)),"◆",""))</f>
      </c>
      <c r="AZ127" s="26">
        <f>IF(OR($A127="",AZ$3=""),"",IF(AND($J127&lt;&gt;"",$K127&lt;&gt;"",$J127=$K127,$J127&gt;=AZ$3,$J127&lt;=IF(param_mode_affichage="mois",EOMONTH(AZ$3,0),AZ$3+6)),"◆",""))</f>
      </c>
      <c r="BA127" s="26">
        <f>IF(OR($A127="",BA$3=""),"",IF(AND($J127&lt;&gt;"",$K127&lt;&gt;"",$J127=$K127,$J127&gt;=BA$3,$J127&lt;=IF(param_mode_affichage="mois",EOMONTH(BA$3,0),BA$3+6)),"◆",""))</f>
      </c>
      <c r="BB127" s="26">
        <f>IF(OR($A127="",BB$3=""),"",IF(AND($J127&lt;&gt;"",$K127&lt;&gt;"",$J127=$K127,$J127&gt;=BB$3,$J127&lt;=IF(param_mode_affichage="mois",EOMONTH(BB$3,0),BB$3+6)),"◆",""))</f>
      </c>
      <c r="BC127" s="26">
        <f>IF(OR($A127="",BC$3=""),"",IF(AND($J127&lt;&gt;"",$K127&lt;&gt;"",$J127=$K127,$J127&gt;=BC$3,$J127&lt;=IF(param_mode_affichage="mois",EOMONTH(BC$3,0),BC$3+6)),"◆",""))</f>
      </c>
      <c r="BD127" s="26">
        <f>IF(OR($A127="",BD$3=""),"",IF(AND($J127&lt;&gt;"",$K127&lt;&gt;"",$J127=$K127,$J127&gt;=BD$3,$J127&lt;=IF(param_mode_affichage="mois",EOMONTH(BD$3,0),BD$3+6)),"◆",""))</f>
      </c>
      <c r="BE127" s="26">
        <f>IF(OR($A127="",BE$3=""),"",IF(AND($J127&lt;&gt;"",$K127&lt;&gt;"",$J127=$K127,$J127&gt;=BE$3,$J127&lt;=IF(param_mode_affichage="mois",EOMONTH(BE$3,0),BE$3+6)),"◆",""))</f>
      </c>
      <c r="BF127" s="26">
        <f>IF(OR($A127="",BF$3=""),"",IF(AND($J127&lt;&gt;"",$K127&lt;&gt;"",$J127=$K127,$J127&gt;=BF$3,$J127&lt;=IF(param_mode_affichage="mois",EOMONTH(BF$3,0),BF$3+6)),"◆",""))</f>
      </c>
      <c r="BG127" s="26">
        <f>IF(OR($A127="",BG$3=""),"",IF(AND($J127&lt;&gt;"",$K127&lt;&gt;"",$J127=$K127,$J127&gt;=BG$3,$J127&lt;=IF(param_mode_affichage="mois",EOMONTH(BG$3,0),BG$3+6)),"◆",""))</f>
      </c>
      <c r="BH127" s="26">
        <f>IF(OR($A127="",BH$3=""),"",IF(AND($J127&lt;&gt;"",$K127&lt;&gt;"",$J127=$K127,$J127&gt;=BH$3,$J127&lt;=IF(param_mode_affichage="mois",EOMONTH(BH$3,0),BH$3+6)),"◆",""))</f>
      </c>
      <c r="BI127" s="26">
        <f>IF(OR($A127="",BI$3=""),"",IF(AND($J127&lt;&gt;"",$K127&lt;&gt;"",$J127=$K127,$J127&gt;=BI$3,$J127&lt;=IF(param_mode_affichage="mois",EOMONTH(BI$3,0),BI$3+6)),"◆",""))</f>
      </c>
      <c r="BJ127" s="26">
        <f>IF(OR($A127="",BJ$3=""),"",IF(AND($J127&lt;&gt;"",$K127&lt;&gt;"",$J127=$K127,$J127&gt;=BJ$3,$J127&lt;=IF(param_mode_affichage="mois",EOMONTH(BJ$3,0),BJ$3+6)),"◆",""))</f>
      </c>
      <c r="BK127" s="26">
        <f>IF(OR($A127="",BK$3=""),"",IF(AND($J127&lt;&gt;"",$K127&lt;&gt;"",$J127=$K127,$J127&gt;=BK$3,$J127&lt;=IF(param_mode_affichage="mois",EOMONTH(BK$3,0),BK$3+6)),"◆",""))</f>
      </c>
      <c r="BL127" s="26">
        <f>IF(OR($A127="",BL$3=""),"",IF(AND($J127&lt;&gt;"",$K127&lt;&gt;"",$J127=$K127,$J127&gt;=BL$3,$J127&lt;=IF(param_mode_affichage="mois",EOMONTH(BL$3,0),BL$3+6)),"◆",""))</f>
      </c>
    </row>
    <row r="128" spans="1:64" x14ac:dyDescent="0.25">
      <c r="A128" s="23">
        <f>IFERROR(INDEX(tblTasks[ID],ROW()-4),"")</f>
      </c>
      <c r="B128" s="24">
        <f>IF($A128="","",INDEX(tblTasks[Sujet],ROW()-4))</f>
      </c>
      <c r="C128" s="23">
        <f>IF($A128="","",INDEX(tblTasks[Responsable],ROW()-4))</f>
      </c>
      <c r="D128" s="23">
        <f>IF($A128="","",INDEX(tblTasks[Statut],ROW()-4))</f>
      </c>
      <c r="E128" s="23">
        <f>IF($A128="","",INDEX(tblTasks[Depend_de],ROW()-4))</f>
      </c>
      <c r="F128" s="23">
        <f>IF($A128="","",INDEX(tblTasks[Blocage],ROW()-4))</f>
      </c>
      <c r="G128" s="23">
        <f>IF($A128="","",INDEX(tblTasks[Niveau_criticite],ROW()-4))</f>
      </c>
      <c r="H128" s="23">
        <f>IF($A128="","",INDEX(tblTasks[Goulot],ROW()-4))</f>
      </c>
      <c r="I128" s="23">
        <f>IF($A128="","",IF(LOWER($F128)="oui","non",IF($E128="","oui",IFERROR(IF(LOWER(INDEX(tblTasks[Statut],MATCH($E128,tblTasks[ID],0)))="clos","oui","non"),"non"))))</f>
      </c>
      <c r="J128" s="25">
        <f>IF($A128="","",INDEX(tblTasks[Date_debut_prevue],ROW()-4))</f>
      </c>
      <c r="K128" s="25">
        <f>IF($A128="","",INDEX(tblTasks[Date_fin_prevue],ROW()-4))</f>
      </c>
      <c r="L128" s="23">
        <f>IF($A128="","",INDEX(tblTasks[Irreversibilite],ROW()-4))</f>
      </c>
      <c r="M128" s="26">
        <f>IF(OR($A128="",M$3=""),"",IF(AND($J128&lt;&gt;"",$K128&lt;&gt;"",$J128=$K128,$J128&gt;=M$3,$J128&lt;=IF(param_mode_affichage="mois",EOMONTH(M$3,0),M$3+6)),"◆",""))</f>
      </c>
      <c r="N128" s="26">
        <f>IF(OR($A128="",N$3=""),"",IF(AND($J128&lt;&gt;"",$K128&lt;&gt;"",$J128=$K128,$J128&gt;=N$3,$J128&lt;=IF(param_mode_affichage="mois",EOMONTH(N$3,0),N$3+6)),"◆",""))</f>
      </c>
      <c r="O128" s="26">
        <f>IF(OR($A128="",O$3=""),"",IF(AND($J128&lt;&gt;"",$K128&lt;&gt;"",$J128=$K128,$J128&gt;=O$3,$J128&lt;=IF(param_mode_affichage="mois",EOMONTH(O$3,0),O$3+6)),"◆",""))</f>
      </c>
      <c r="P128" s="26">
        <f>IF(OR($A128="",P$3=""),"",IF(AND($J128&lt;&gt;"",$K128&lt;&gt;"",$J128=$K128,$J128&gt;=P$3,$J128&lt;=IF(param_mode_affichage="mois",EOMONTH(P$3,0),P$3+6)),"◆",""))</f>
      </c>
      <c r="Q128" s="26">
        <f>IF(OR($A128="",Q$3=""),"",IF(AND($J128&lt;&gt;"",$K128&lt;&gt;"",$J128=$K128,$J128&gt;=Q$3,$J128&lt;=IF(param_mode_affichage="mois",EOMONTH(Q$3,0),Q$3+6)),"◆",""))</f>
      </c>
      <c r="R128" s="26">
        <f>IF(OR($A128="",R$3=""),"",IF(AND($J128&lt;&gt;"",$K128&lt;&gt;"",$J128=$K128,$J128&gt;=R$3,$J128&lt;=IF(param_mode_affichage="mois",EOMONTH(R$3,0),R$3+6)),"◆",""))</f>
      </c>
      <c r="S128" s="26">
        <f>IF(OR($A128="",S$3=""),"",IF(AND($J128&lt;&gt;"",$K128&lt;&gt;"",$J128=$K128,$J128&gt;=S$3,$J128&lt;=IF(param_mode_affichage="mois",EOMONTH(S$3,0),S$3+6)),"◆",""))</f>
      </c>
      <c r="T128" s="26">
        <f>IF(OR($A128="",T$3=""),"",IF(AND($J128&lt;&gt;"",$K128&lt;&gt;"",$J128=$K128,$J128&gt;=T$3,$J128&lt;=IF(param_mode_affichage="mois",EOMONTH(T$3,0),T$3+6)),"◆",""))</f>
      </c>
      <c r="U128" s="26">
        <f>IF(OR($A128="",U$3=""),"",IF(AND($J128&lt;&gt;"",$K128&lt;&gt;"",$J128=$K128,$J128&gt;=U$3,$J128&lt;=IF(param_mode_affichage="mois",EOMONTH(U$3,0),U$3+6)),"◆",""))</f>
      </c>
      <c r="V128" s="26">
        <f>IF(OR($A128="",V$3=""),"",IF(AND($J128&lt;&gt;"",$K128&lt;&gt;"",$J128=$K128,$J128&gt;=V$3,$J128&lt;=IF(param_mode_affichage="mois",EOMONTH(V$3,0),V$3+6)),"◆",""))</f>
      </c>
      <c r="W128" s="26">
        <f>IF(OR($A128="",W$3=""),"",IF(AND($J128&lt;&gt;"",$K128&lt;&gt;"",$J128=$K128,$J128&gt;=W$3,$J128&lt;=IF(param_mode_affichage="mois",EOMONTH(W$3,0),W$3+6)),"◆",""))</f>
      </c>
      <c r="X128" s="26">
        <f>IF(OR($A128="",X$3=""),"",IF(AND($J128&lt;&gt;"",$K128&lt;&gt;"",$J128=$K128,$J128&gt;=X$3,$J128&lt;=IF(param_mode_affichage="mois",EOMONTH(X$3,0),X$3+6)),"◆",""))</f>
      </c>
      <c r="Y128" s="26">
        <f>IF(OR($A128="",Y$3=""),"",IF(AND($J128&lt;&gt;"",$K128&lt;&gt;"",$J128=$K128,$J128&gt;=Y$3,$J128&lt;=IF(param_mode_affichage="mois",EOMONTH(Y$3,0),Y$3+6)),"◆",""))</f>
      </c>
      <c r="Z128" s="26">
        <f>IF(OR($A128="",Z$3=""),"",IF(AND($J128&lt;&gt;"",$K128&lt;&gt;"",$J128=$K128,$J128&gt;=Z$3,$J128&lt;=IF(param_mode_affichage="mois",EOMONTH(Z$3,0),Z$3+6)),"◆",""))</f>
      </c>
      <c r="AA128" s="26">
        <f>IF(OR($A128="",AA$3=""),"",IF(AND($J128&lt;&gt;"",$K128&lt;&gt;"",$J128=$K128,$J128&gt;=AA$3,$J128&lt;=IF(param_mode_affichage="mois",EOMONTH(AA$3,0),AA$3+6)),"◆",""))</f>
      </c>
      <c r="AB128" s="26">
        <f>IF(OR($A128="",AB$3=""),"",IF(AND($J128&lt;&gt;"",$K128&lt;&gt;"",$J128=$K128,$J128&gt;=AB$3,$J128&lt;=IF(param_mode_affichage="mois",EOMONTH(AB$3,0),AB$3+6)),"◆",""))</f>
      </c>
      <c r="AC128" s="26">
        <f>IF(OR($A128="",AC$3=""),"",IF(AND($J128&lt;&gt;"",$K128&lt;&gt;"",$J128=$K128,$J128&gt;=AC$3,$J128&lt;=IF(param_mode_affichage="mois",EOMONTH(AC$3,0),AC$3+6)),"◆",""))</f>
      </c>
      <c r="AD128" s="26">
        <f>IF(OR($A128="",AD$3=""),"",IF(AND($J128&lt;&gt;"",$K128&lt;&gt;"",$J128=$K128,$J128&gt;=AD$3,$J128&lt;=IF(param_mode_affichage="mois",EOMONTH(AD$3,0),AD$3+6)),"◆",""))</f>
      </c>
      <c r="AE128" s="26">
        <f>IF(OR($A128="",AE$3=""),"",IF(AND($J128&lt;&gt;"",$K128&lt;&gt;"",$J128=$K128,$J128&gt;=AE$3,$J128&lt;=IF(param_mode_affichage="mois",EOMONTH(AE$3,0),AE$3+6)),"◆",""))</f>
      </c>
      <c r="AF128" s="26">
        <f>IF(OR($A128="",AF$3=""),"",IF(AND($J128&lt;&gt;"",$K128&lt;&gt;"",$J128=$K128,$J128&gt;=AF$3,$J128&lt;=IF(param_mode_affichage="mois",EOMONTH(AF$3,0),AF$3+6)),"◆",""))</f>
      </c>
      <c r="AG128" s="26">
        <f>IF(OR($A128="",AG$3=""),"",IF(AND($J128&lt;&gt;"",$K128&lt;&gt;"",$J128=$K128,$J128&gt;=AG$3,$J128&lt;=IF(param_mode_affichage="mois",EOMONTH(AG$3,0),AG$3+6)),"◆",""))</f>
      </c>
      <c r="AH128" s="26">
        <f>IF(OR($A128="",AH$3=""),"",IF(AND($J128&lt;&gt;"",$K128&lt;&gt;"",$J128=$K128,$J128&gt;=AH$3,$J128&lt;=IF(param_mode_affichage="mois",EOMONTH(AH$3,0),AH$3+6)),"◆",""))</f>
      </c>
      <c r="AI128" s="26">
        <f>IF(OR($A128="",AI$3=""),"",IF(AND($J128&lt;&gt;"",$K128&lt;&gt;"",$J128=$K128,$J128&gt;=AI$3,$J128&lt;=IF(param_mode_affichage="mois",EOMONTH(AI$3,0),AI$3+6)),"◆",""))</f>
      </c>
      <c r="AJ128" s="26">
        <f>IF(OR($A128="",AJ$3=""),"",IF(AND($J128&lt;&gt;"",$K128&lt;&gt;"",$J128=$K128,$J128&gt;=AJ$3,$J128&lt;=IF(param_mode_affichage="mois",EOMONTH(AJ$3,0),AJ$3+6)),"◆",""))</f>
      </c>
      <c r="AK128" s="26">
        <f>IF(OR($A128="",AK$3=""),"",IF(AND($J128&lt;&gt;"",$K128&lt;&gt;"",$J128=$K128,$J128&gt;=AK$3,$J128&lt;=IF(param_mode_affichage="mois",EOMONTH(AK$3,0),AK$3+6)),"◆",""))</f>
      </c>
      <c r="AL128" s="26">
        <f>IF(OR($A128="",AL$3=""),"",IF(AND($J128&lt;&gt;"",$K128&lt;&gt;"",$J128=$K128,$J128&gt;=AL$3,$J128&lt;=IF(param_mode_affichage="mois",EOMONTH(AL$3,0),AL$3+6)),"◆",""))</f>
      </c>
      <c r="AM128" s="26">
        <f>IF(OR($A128="",AM$3=""),"",IF(AND($J128&lt;&gt;"",$K128&lt;&gt;"",$J128=$K128,$J128&gt;=AM$3,$J128&lt;=IF(param_mode_affichage="mois",EOMONTH(AM$3,0),AM$3+6)),"◆",""))</f>
      </c>
      <c r="AN128" s="26">
        <f>IF(OR($A128="",AN$3=""),"",IF(AND($J128&lt;&gt;"",$K128&lt;&gt;"",$J128=$K128,$J128&gt;=AN$3,$J128&lt;=IF(param_mode_affichage="mois",EOMONTH(AN$3,0),AN$3+6)),"◆",""))</f>
      </c>
      <c r="AO128" s="26">
        <f>IF(OR($A128="",AO$3=""),"",IF(AND($J128&lt;&gt;"",$K128&lt;&gt;"",$J128=$K128,$J128&gt;=AO$3,$J128&lt;=IF(param_mode_affichage="mois",EOMONTH(AO$3,0),AO$3+6)),"◆",""))</f>
      </c>
      <c r="AP128" s="26">
        <f>IF(OR($A128="",AP$3=""),"",IF(AND($J128&lt;&gt;"",$K128&lt;&gt;"",$J128=$K128,$J128&gt;=AP$3,$J128&lt;=IF(param_mode_affichage="mois",EOMONTH(AP$3,0),AP$3+6)),"◆",""))</f>
      </c>
      <c r="AQ128" s="26">
        <f>IF(OR($A128="",AQ$3=""),"",IF(AND($J128&lt;&gt;"",$K128&lt;&gt;"",$J128=$K128,$J128&gt;=AQ$3,$J128&lt;=IF(param_mode_affichage="mois",EOMONTH(AQ$3,0),AQ$3+6)),"◆",""))</f>
      </c>
      <c r="AR128" s="26">
        <f>IF(OR($A128="",AR$3=""),"",IF(AND($J128&lt;&gt;"",$K128&lt;&gt;"",$J128=$K128,$J128&gt;=AR$3,$J128&lt;=IF(param_mode_affichage="mois",EOMONTH(AR$3,0),AR$3+6)),"◆",""))</f>
      </c>
      <c r="AS128" s="26">
        <f>IF(OR($A128="",AS$3=""),"",IF(AND($J128&lt;&gt;"",$K128&lt;&gt;"",$J128=$K128,$J128&gt;=AS$3,$J128&lt;=IF(param_mode_affichage="mois",EOMONTH(AS$3,0),AS$3+6)),"◆",""))</f>
      </c>
      <c r="AT128" s="26">
        <f>IF(OR($A128="",AT$3=""),"",IF(AND($J128&lt;&gt;"",$K128&lt;&gt;"",$J128=$K128,$J128&gt;=AT$3,$J128&lt;=IF(param_mode_affichage="mois",EOMONTH(AT$3,0),AT$3+6)),"◆",""))</f>
      </c>
      <c r="AU128" s="26">
        <f>IF(OR($A128="",AU$3=""),"",IF(AND($J128&lt;&gt;"",$K128&lt;&gt;"",$J128=$K128,$J128&gt;=AU$3,$J128&lt;=IF(param_mode_affichage="mois",EOMONTH(AU$3,0),AU$3+6)),"◆",""))</f>
      </c>
      <c r="AV128" s="26">
        <f>IF(OR($A128="",AV$3=""),"",IF(AND($J128&lt;&gt;"",$K128&lt;&gt;"",$J128=$K128,$J128&gt;=AV$3,$J128&lt;=IF(param_mode_affichage="mois",EOMONTH(AV$3,0),AV$3+6)),"◆",""))</f>
      </c>
      <c r="AW128" s="26">
        <f>IF(OR($A128="",AW$3=""),"",IF(AND($J128&lt;&gt;"",$K128&lt;&gt;"",$J128=$K128,$J128&gt;=AW$3,$J128&lt;=IF(param_mode_affichage="mois",EOMONTH(AW$3,0),AW$3+6)),"◆",""))</f>
      </c>
      <c r="AX128" s="26">
        <f>IF(OR($A128="",AX$3=""),"",IF(AND($J128&lt;&gt;"",$K128&lt;&gt;"",$J128=$K128,$J128&gt;=AX$3,$J128&lt;=IF(param_mode_affichage="mois",EOMONTH(AX$3,0),AX$3+6)),"◆",""))</f>
      </c>
      <c r="AY128" s="26">
        <f>IF(OR($A128="",AY$3=""),"",IF(AND($J128&lt;&gt;"",$K128&lt;&gt;"",$J128=$K128,$J128&gt;=AY$3,$J128&lt;=IF(param_mode_affichage="mois",EOMONTH(AY$3,0),AY$3+6)),"◆",""))</f>
      </c>
      <c r="AZ128" s="26">
        <f>IF(OR($A128="",AZ$3=""),"",IF(AND($J128&lt;&gt;"",$K128&lt;&gt;"",$J128=$K128,$J128&gt;=AZ$3,$J128&lt;=IF(param_mode_affichage="mois",EOMONTH(AZ$3,0),AZ$3+6)),"◆",""))</f>
      </c>
      <c r="BA128" s="26">
        <f>IF(OR($A128="",BA$3=""),"",IF(AND($J128&lt;&gt;"",$K128&lt;&gt;"",$J128=$K128,$J128&gt;=BA$3,$J128&lt;=IF(param_mode_affichage="mois",EOMONTH(BA$3,0),BA$3+6)),"◆",""))</f>
      </c>
      <c r="BB128" s="26">
        <f>IF(OR($A128="",BB$3=""),"",IF(AND($J128&lt;&gt;"",$K128&lt;&gt;"",$J128=$K128,$J128&gt;=BB$3,$J128&lt;=IF(param_mode_affichage="mois",EOMONTH(BB$3,0),BB$3+6)),"◆",""))</f>
      </c>
      <c r="BC128" s="26">
        <f>IF(OR($A128="",BC$3=""),"",IF(AND($J128&lt;&gt;"",$K128&lt;&gt;"",$J128=$K128,$J128&gt;=BC$3,$J128&lt;=IF(param_mode_affichage="mois",EOMONTH(BC$3,0),BC$3+6)),"◆",""))</f>
      </c>
      <c r="BD128" s="26">
        <f>IF(OR($A128="",BD$3=""),"",IF(AND($J128&lt;&gt;"",$K128&lt;&gt;"",$J128=$K128,$J128&gt;=BD$3,$J128&lt;=IF(param_mode_affichage="mois",EOMONTH(BD$3,0),BD$3+6)),"◆",""))</f>
      </c>
      <c r="BE128" s="26">
        <f>IF(OR($A128="",BE$3=""),"",IF(AND($J128&lt;&gt;"",$K128&lt;&gt;"",$J128=$K128,$J128&gt;=BE$3,$J128&lt;=IF(param_mode_affichage="mois",EOMONTH(BE$3,0),BE$3+6)),"◆",""))</f>
      </c>
      <c r="BF128" s="26">
        <f>IF(OR($A128="",BF$3=""),"",IF(AND($J128&lt;&gt;"",$K128&lt;&gt;"",$J128=$K128,$J128&gt;=BF$3,$J128&lt;=IF(param_mode_affichage="mois",EOMONTH(BF$3,0),BF$3+6)),"◆",""))</f>
      </c>
      <c r="BG128" s="26">
        <f>IF(OR($A128="",BG$3=""),"",IF(AND($J128&lt;&gt;"",$K128&lt;&gt;"",$J128=$K128,$J128&gt;=BG$3,$J128&lt;=IF(param_mode_affichage="mois",EOMONTH(BG$3,0),BG$3+6)),"◆",""))</f>
      </c>
      <c r="BH128" s="26">
        <f>IF(OR($A128="",BH$3=""),"",IF(AND($J128&lt;&gt;"",$K128&lt;&gt;"",$J128=$K128,$J128&gt;=BH$3,$J128&lt;=IF(param_mode_affichage="mois",EOMONTH(BH$3,0),BH$3+6)),"◆",""))</f>
      </c>
      <c r="BI128" s="26">
        <f>IF(OR($A128="",BI$3=""),"",IF(AND($J128&lt;&gt;"",$K128&lt;&gt;"",$J128=$K128,$J128&gt;=BI$3,$J128&lt;=IF(param_mode_affichage="mois",EOMONTH(BI$3,0),BI$3+6)),"◆",""))</f>
      </c>
      <c r="BJ128" s="26">
        <f>IF(OR($A128="",BJ$3=""),"",IF(AND($J128&lt;&gt;"",$K128&lt;&gt;"",$J128=$K128,$J128&gt;=BJ$3,$J128&lt;=IF(param_mode_affichage="mois",EOMONTH(BJ$3,0),BJ$3+6)),"◆",""))</f>
      </c>
      <c r="BK128" s="26">
        <f>IF(OR($A128="",BK$3=""),"",IF(AND($J128&lt;&gt;"",$K128&lt;&gt;"",$J128=$K128,$J128&gt;=BK$3,$J128&lt;=IF(param_mode_affichage="mois",EOMONTH(BK$3,0),BK$3+6)),"◆",""))</f>
      </c>
      <c r="BL128" s="26">
        <f>IF(OR($A128="",BL$3=""),"",IF(AND($J128&lt;&gt;"",$K128&lt;&gt;"",$J128=$K128,$J128&gt;=BL$3,$J128&lt;=IF(param_mode_affichage="mois",EOMONTH(BL$3,0),BL$3+6)),"◆",""))</f>
      </c>
    </row>
    <row r="129" spans="1:64" x14ac:dyDescent="0.25">
      <c r="A129" s="23">
        <f>IFERROR(INDEX(tblTasks[ID],ROW()-4),"")</f>
      </c>
      <c r="B129" s="24">
        <f>IF($A129="","",INDEX(tblTasks[Sujet],ROW()-4))</f>
      </c>
      <c r="C129" s="23">
        <f>IF($A129="","",INDEX(tblTasks[Responsable],ROW()-4))</f>
      </c>
      <c r="D129" s="23">
        <f>IF($A129="","",INDEX(tblTasks[Statut],ROW()-4))</f>
      </c>
      <c r="E129" s="23">
        <f>IF($A129="","",INDEX(tblTasks[Depend_de],ROW()-4))</f>
      </c>
      <c r="F129" s="23">
        <f>IF($A129="","",INDEX(tblTasks[Blocage],ROW()-4))</f>
      </c>
      <c r="G129" s="23">
        <f>IF($A129="","",INDEX(tblTasks[Niveau_criticite],ROW()-4))</f>
      </c>
      <c r="H129" s="23">
        <f>IF($A129="","",INDEX(tblTasks[Goulot],ROW()-4))</f>
      </c>
      <c r="I129" s="23">
        <f>IF($A129="","",IF(LOWER($F129)="oui","non",IF($E129="","oui",IFERROR(IF(LOWER(INDEX(tblTasks[Statut],MATCH($E129,tblTasks[ID],0)))="clos","oui","non"),"non"))))</f>
      </c>
      <c r="J129" s="25">
        <f>IF($A129="","",INDEX(tblTasks[Date_debut_prevue],ROW()-4))</f>
      </c>
      <c r="K129" s="25">
        <f>IF($A129="","",INDEX(tblTasks[Date_fin_prevue],ROW()-4))</f>
      </c>
      <c r="L129" s="23">
        <f>IF($A129="","",INDEX(tblTasks[Irreversibilite],ROW()-4))</f>
      </c>
      <c r="M129" s="26">
        <f>IF(OR($A129="",M$3=""),"",IF(AND($J129&lt;&gt;"",$K129&lt;&gt;"",$J129=$K129,$J129&gt;=M$3,$J129&lt;=IF(param_mode_affichage="mois",EOMONTH(M$3,0),M$3+6)),"◆",""))</f>
      </c>
      <c r="N129" s="26">
        <f>IF(OR($A129="",N$3=""),"",IF(AND($J129&lt;&gt;"",$K129&lt;&gt;"",$J129=$K129,$J129&gt;=N$3,$J129&lt;=IF(param_mode_affichage="mois",EOMONTH(N$3,0),N$3+6)),"◆",""))</f>
      </c>
      <c r="O129" s="26">
        <f>IF(OR($A129="",O$3=""),"",IF(AND($J129&lt;&gt;"",$K129&lt;&gt;"",$J129=$K129,$J129&gt;=O$3,$J129&lt;=IF(param_mode_affichage="mois",EOMONTH(O$3,0),O$3+6)),"◆",""))</f>
      </c>
      <c r="P129" s="26">
        <f>IF(OR($A129="",P$3=""),"",IF(AND($J129&lt;&gt;"",$K129&lt;&gt;"",$J129=$K129,$J129&gt;=P$3,$J129&lt;=IF(param_mode_affichage="mois",EOMONTH(P$3,0),P$3+6)),"◆",""))</f>
      </c>
      <c r="Q129" s="26">
        <f>IF(OR($A129="",Q$3=""),"",IF(AND($J129&lt;&gt;"",$K129&lt;&gt;"",$J129=$K129,$J129&gt;=Q$3,$J129&lt;=IF(param_mode_affichage="mois",EOMONTH(Q$3,0),Q$3+6)),"◆",""))</f>
      </c>
      <c r="R129" s="26">
        <f>IF(OR($A129="",R$3=""),"",IF(AND($J129&lt;&gt;"",$K129&lt;&gt;"",$J129=$K129,$J129&gt;=R$3,$J129&lt;=IF(param_mode_affichage="mois",EOMONTH(R$3,0),R$3+6)),"◆",""))</f>
      </c>
      <c r="S129" s="26">
        <f>IF(OR($A129="",S$3=""),"",IF(AND($J129&lt;&gt;"",$K129&lt;&gt;"",$J129=$K129,$J129&gt;=S$3,$J129&lt;=IF(param_mode_affichage="mois",EOMONTH(S$3,0),S$3+6)),"◆",""))</f>
      </c>
      <c r="T129" s="26">
        <f>IF(OR($A129="",T$3=""),"",IF(AND($J129&lt;&gt;"",$K129&lt;&gt;"",$J129=$K129,$J129&gt;=T$3,$J129&lt;=IF(param_mode_affichage="mois",EOMONTH(T$3,0),T$3+6)),"◆",""))</f>
      </c>
      <c r="U129" s="26">
        <f>IF(OR($A129="",U$3=""),"",IF(AND($J129&lt;&gt;"",$K129&lt;&gt;"",$J129=$K129,$J129&gt;=U$3,$J129&lt;=IF(param_mode_affichage="mois",EOMONTH(U$3,0),U$3+6)),"◆",""))</f>
      </c>
      <c r="V129" s="26">
        <f>IF(OR($A129="",V$3=""),"",IF(AND($J129&lt;&gt;"",$K129&lt;&gt;"",$J129=$K129,$J129&gt;=V$3,$J129&lt;=IF(param_mode_affichage="mois",EOMONTH(V$3,0),V$3+6)),"◆",""))</f>
      </c>
      <c r="W129" s="26">
        <f>IF(OR($A129="",W$3=""),"",IF(AND($J129&lt;&gt;"",$K129&lt;&gt;"",$J129=$K129,$J129&gt;=W$3,$J129&lt;=IF(param_mode_affichage="mois",EOMONTH(W$3,0),W$3+6)),"◆",""))</f>
      </c>
      <c r="X129" s="26">
        <f>IF(OR($A129="",X$3=""),"",IF(AND($J129&lt;&gt;"",$K129&lt;&gt;"",$J129=$K129,$J129&gt;=X$3,$J129&lt;=IF(param_mode_affichage="mois",EOMONTH(X$3,0),X$3+6)),"◆",""))</f>
      </c>
      <c r="Y129" s="26">
        <f>IF(OR($A129="",Y$3=""),"",IF(AND($J129&lt;&gt;"",$K129&lt;&gt;"",$J129=$K129,$J129&gt;=Y$3,$J129&lt;=IF(param_mode_affichage="mois",EOMONTH(Y$3,0),Y$3+6)),"◆",""))</f>
      </c>
      <c r="Z129" s="26">
        <f>IF(OR($A129="",Z$3=""),"",IF(AND($J129&lt;&gt;"",$K129&lt;&gt;"",$J129=$K129,$J129&gt;=Z$3,$J129&lt;=IF(param_mode_affichage="mois",EOMONTH(Z$3,0),Z$3+6)),"◆",""))</f>
      </c>
      <c r="AA129" s="26">
        <f>IF(OR($A129="",AA$3=""),"",IF(AND($J129&lt;&gt;"",$K129&lt;&gt;"",$J129=$K129,$J129&gt;=AA$3,$J129&lt;=IF(param_mode_affichage="mois",EOMONTH(AA$3,0),AA$3+6)),"◆",""))</f>
      </c>
      <c r="AB129" s="26">
        <f>IF(OR($A129="",AB$3=""),"",IF(AND($J129&lt;&gt;"",$K129&lt;&gt;"",$J129=$K129,$J129&gt;=AB$3,$J129&lt;=IF(param_mode_affichage="mois",EOMONTH(AB$3,0),AB$3+6)),"◆",""))</f>
      </c>
      <c r="AC129" s="26">
        <f>IF(OR($A129="",AC$3=""),"",IF(AND($J129&lt;&gt;"",$K129&lt;&gt;"",$J129=$K129,$J129&gt;=AC$3,$J129&lt;=IF(param_mode_affichage="mois",EOMONTH(AC$3,0),AC$3+6)),"◆",""))</f>
      </c>
      <c r="AD129" s="26">
        <f>IF(OR($A129="",AD$3=""),"",IF(AND($J129&lt;&gt;"",$K129&lt;&gt;"",$J129=$K129,$J129&gt;=AD$3,$J129&lt;=IF(param_mode_affichage="mois",EOMONTH(AD$3,0),AD$3+6)),"◆",""))</f>
      </c>
      <c r="AE129" s="26">
        <f>IF(OR($A129="",AE$3=""),"",IF(AND($J129&lt;&gt;"",$K129&lt;&gt;"",$J129=$K129,$J129&gt;=AE$3,$J129&lt;=IF(param_mode_affichage="mois",EOMONTH(AE$3,0),AE$3+6)),"◆",""))</f>
      </c>
      <c r="AF129" s="26">
        <f>IF(OR($A129="",AF$3=""),"",IF(AND($J129&lt;&gt;"",$K129&lt;&gt;"",$J129=$K129,$J129&gt;=AF$3,$J129&lt;=IF(param_mode_affichage="mois",EOMONTH(AF$3,0),AF$3+6)),"◆",""))</f>
      </c>
      <c r="AG129" s="26">
        <f>IF(OR($A129="",AG$3=""),"",IF(AND($J129&lt;&gt;"",$K129&lt;&gt;"",$J129=$K129,$J129&gt;=AG$3,$J129&lt;=IF(param_mode_affichage="mois",EOMONTH(AG$3,0),AG$3+6)),"◆",""))</f>
      </c>
      <c r="AH129" s="26">
        <f>IF(OR($A129="",AH$3=""),"",IF(AND($J129&lt;&gt;"",$K129&lt;&gt;"",$J129=$K129,$J129&gt;=AH$3,$J129&lt;=IF(param_mode_affichage="mois",EOMONTH(AH$3,0),AH$3+6)),"◆",""))</f>
      </c>
      <c r="AI129" s="26">
        <f>IF(OR($A129="",AI$3=""),"",IF(AND($J129&lt;&gt;"",$K129&lt;&gt;"",$J129=$K129,$J129&gt;=AI$3,$J129&lt;=IF(param_mode_affichage="mois",EOMONTH(AI$3,0),AI$3+6)),"◆",""))</f>
      </c>
      <c r="AJ129" s="26">
        <f>IF(OR($A129="",AJ$3=""),"",IF(AND($J129&lt;&gt;"",$K129&lt;&gt;"",$J129=$K129,$J129&gt;=AJ$3,$J129&lt;=IF(param_mode_affichage="mois",EOMONTH(AJ$3,0),AJ$3+6)),"◆",""))</f>
      </c>
      <c r="AK129" s="26">
        <f>IF(OR($A129="",AK$3=""),"",IF(AND($J129&lt;&gt;"",$K129&lt;&gt;"",$J129=$K129,$J129&gt;=AK$3,$J129&lt;=IF(param_mode_affichage="mois",EOMONTH(AK$3,0),AK$3+6)),"◆",""))</f>
      </c>
      <c r="AL129" s="26">
        <f>IF(OR($A129="",AL$3=""),"",IF(AND($J129&lt;&gt;"",$K129&lt;&gt;"",$J129=$K129,$J129&gt;=AL$3,$J129&lt;=IF(param_mode_affichage="mois",EOMONTH(AL$3,0),AL$3+6)),"◆",""))</f>
      </c>
      <c r="AM129" s="26">
        <f>IF(OR($A129="",AM$3=""),"",IF(AND($J129&lt;&gt;"",$K129&lt;&gt;"",$J129=$K129,$J129&gt;=AM$3,$J129&lt;=IF(param_mode_affichage="mois",EOMONTH(AM$3,0),AM$3+6)),"◆",""))</f>
      </c>
      <c r="AN129" s="26">
        <f>IF(OR($A129="",AN$3=""),"",IF(AND($J129&lt;&gt;"",$K129&lt;&gt;"",$J129=$K129,$J129&gt;=AN$3,$J129&lt;=IF(param_mode_affichage="mois",EOMONTH(AN$3,0),AN$3+6)),"◆",""))</f>
      </c>
      <c r="AO129" s="26">
        <f>IF(OR($A129="",AO$3=""),"",IF(AND($J129&lt;&gt;"",$K129&lt;&gt;"",$J129=$K129,$J129&gt;=AO$3,$J129&lt;=IF(param_mode_affichage="mois",EOMONTH(AO$3,0),AO$3+6)),"◆",""))</f>
      </c>
      <c r="AP129" s="26">
        <f>IF(OR($A129="",AP$3=""),"",IF(AND($J129&lt;&gt;"",$K129&lt;&gt;"",$J129=$K129,$J129&gt;=AP$3,$J129&lt;=IF(param_mode_affichage="mois",EOMONTH(AP$3,0),AP$3+6)),"◆",""))</f>
      </c>
      <c r="AQ129" s="26">
        <f>IF(OR($A129="",AQ$3=""),"",IF(AND($J129&lt;&gt;"",$K129&lt;&gt;"",$J129=$K129,$J129&gt;=AQ$3,$J129&lt;=IF(param_mode_affichage="mois",EOMONTH(AQ$3,0),AQ$3+6)),"◆",""))</f>
      </c>
      <c r="AR129" s="26">
        <f>IF(OR($A129="",AR$3=""),"",IF(AND($J129&lt;&gt;"",$K129&lt;&gt;"",$J129=$K129,$J129&gt;=AR$3,$J129&lt;=IF(param_mode_affichage="mois",EOMONTH(AR$3,0),AR$3+6)),"◆",""))</f>
      </c>
      <c r="AS129" s="26">
        <f>IF(OR($A129="",AS$3=""),"",IF(AND($J129&lt;&gt;"",$K129&lt;&gt;"",$J129=$K129,$J129&gt;=AS$3,$J129&lt;=IF(param_mode_affichage="mois",EOMONTH(AS$3,0),AS$3+6)),"◆",""))</f>
      </c>
      <c r="AT129" s="26">
        <f>IF(OR($A129="",AT$3=""),"",IF(AND($J129&lt;&gt;"",$K129&lt;&gt;"",$J129=$K129,$J129&gt;=AT$3,$J129&lt;=IF(param_mode_affichage="mois",EOMONTH(AT$3,0),AT$3+6)),"◆",""))</f>
      </c>
      <c r="AU129" s="26">
        <f>IF(OR($A129="",AU$3=""),"",IF(AND($J129&lt;&gt;"",$K129&lt;&gt;"",$J129=$K129,$J129&gt;=AU$3,$J129&lt;=IF(param_mode_affichage="mois",EOMONTH(AU$3,0),AU$3+6)),"◆",""))</f>
      </c>
      <c r="AV129" s="26">
        <f>IF(OR($A129="",AV$3=""),"",IF(AND($J129&lt;&gt;"",$K129&lt;&gt;"",$J129=$K129,$J129&gt;=AV$3,$J129&lt;=IF(param_mode_affichage="mois",EOMONTH(AV$3,0),AV$3+6)),"◆",""))</f>
      </c>
      <c r="AW129" s="26">
        <f>IF(OR($A129="",AW$3=""),"",IF(AND($J129&lt;&gt;"",$K129&lt;&gt;"",$J129=$K129,$J129&gt;=AW$3,$J129&lt;=IF(param_mode_affichage="mois",EOMONTH(AW$3,0),AW$3+6)),"◆",""))</f>
      </c>
      <c r="AX129" s="26">
        <f>IF(OR($A129="",AX$3=""),"",IF(AND($J129&lt;&gt;"",$K129&lt;&gt;"",$J129=$K129,$J129&gt;=AX$3,$J129&lt;=IF(param_mode_affichage="mois",EOMONTH(AX$3,0),AX$3+6)),"◆",""))</f>
      </c>
      <c r="AY129" s="26">
        <f>IF(OR($A129="",AY$3=""),"",IF(AND($J129&lt;&gt;"",$K129&lt;&gt;"",$J129=$K129,$J129&gt;=AY$3,$J129&lt;=IF(param_mode_affichage="mois",EOMONTH(AY$3,0),AY$3+6)),"◆",""))</f>
      </c>
      <c r="AZ129" s="26">
        <f>IF(OR($A129="",AZ$3=""),"",IF(AND($J129&lt;&gt;"",$K129&lt;&gt;"",$J129=$K129,$J129&gt;=AZ$3,$J129&lt;=IF(param_mode_affichage="mois",EOMONTH(AZ$3,0),AZ$3+6)),"◆",""))</f>
      </c>
      <c r="BA129" s="26">
        <f>IF(OR($A129="",BA$3=""),"",IF(AND($J129&lt;&gt;"",$K129&lt;&gt;"",$J129=$K129,$J129&gt;=BA$3,$J129&lt;=IF(param_mode_affichage="mois",EOMONTH(BA$3,0),BA$3+6)),"◆",""))</f>
      </c>
      <c r="BB129" s="26">
        <f>IF(OR($A129="",BB$3=""),"",IF(AND($J129&lt;&gt;"",$K129&lt;&gt;"",$J129=$K129,$J129&gt;=BB$3,$J129&lt;=IF(param_mode_affichage="mois",EOMONTH(BB$3,0),BB$3+6)),"◆",""))</f>
      </c>
      <c r="BC129" s="26">
        <f>IF(OR($A129="",BC$3=""),"",IF(AND($J129&lt;&gt;"",$K129&lt;&gt;"",$J129=$K129,$J129&gt;=BC$3,$J129&lt;=IF(param_mode_affichage="mois",EOMONTH(BC$3,0),BC$3+6)),"◆",""))</f>
      </c>
      <c r="BD129" s="26">
        <f>IF(OR($A129="",BD$3=""),"",IF(AND($J129&lt;&gt;"",$K129&lt;&gt;"",$J129=$K129,$J129&gt;=BD$3,$J129&lt;=IF(param_mode_affichage="mois",EOMONTH(BD$3,0),BD$3+6)),"◆",""))</f>
      </c>
      <c r="BE129" s="26">
        <f>IF(OR($A129="",BE$3=""),"",IF(AND($J129&lt;&gt;"",$K129&lt;&gt;"",$J129=$K129,$J129&gt;=BE$3,$J129&lt;=IF(param_mode_affichage="mois",EOMONTH(BE$3,0),BE$3+6)),"◆",""))</f>
      </c>
      <c r="BF129" s="26">
        <f>IF(OR($A129="",BF$3=""),"",IF(AND($J129&lt;&gt;"",$K129&lt;&gt;"",$J129=$K129,$J129&gt;=BF$3,$J129&lt;=IF(param_mode_affichage="mois",EOMONTH(BF$3,0),BF$3+6)),"◆",""))</f>
      </c>
      <c r="BG129" s="26">
        <f>IF(OR($A129="",BG$3=""),"",IF(AND($J129&lt;&gt;"",$K129&lt;&gt;"",$J129=$K129,$J129&gt;=BG$3,$J129&lt;=IF(param_mode_affichage="mois",EOMONTH(BG$3,0),BG$3+6)),"◆",""))</f>
      </c>
      <c r="BH129" s="26">
        <f>IF(OR($A129="",BH$3=""),"",IF(AND($J129&lt;&gt;"",$K129&lt;&gt;"",$J129=$K129,$J129&gt;=BH$3,$J129&lt;=IF(param_mode_affichage="mois",EOMONTH(BH$3,0),BH$3+6)),"◆",""))</f>
      </c>
      <c r="BI129" s="26">
        <f>IF(OR($A129="",BI$3=""),"",IF(AND($J129&lt;&gt;"",$K129&lt;&gt;"",$J129=$K129,$J129&gt;=BI$3,$J129&lt;=IF(param_mode_affichage="mois",EOMONTH(BI$3,0),BI$3+6)),"◆",""))</f>
      </c>
      <c r="BJ129" s="26">
        <f>IF(OR($A129="",BJ$3=""),"",IF(AND($J129&lt;&gt;"",$K129&lt;&gt;"",$J129=$K129,$J129&gt;=BJ$3,$J129&lt;=IF(param_mode_affichage="mois",EOMONTH(BJ$3,0),BJ$3+6)),"◆",""))</f>
      </c>
      <c r="BK129" s="26">
        <f>IF(OR($A129="",BK$3=""),"",IF(AND($J129&lt;&gt;"",$K129&lt;&gt;"",$J129=$K129,$J129&gt;=BK$3,$J129&lt;=IF(param_mode_affichage="mois",EOMONTH(BK$3,0),BK$3+6)),"◆",""))</f>
      </c>
      <c r="BL129" s="26">
        <f>IF(OR($A129="",BL$3=""),"",IF(AND($J129&lt;&gt;"",$K129&lt;&gt;"",$J129=$K129,$J129&gt;=BL$3,$J129&lt;=IF(param_mode_affichage="mois",EOMONTH(BL$3,0),BL$3+6)),"◆",""))</f>
      </c>
    </row>
    <row r="130" spans="1:64" x14ac:dyDescent="0.25">
      <c r="A130" s="23">
        <f>IFERROR(INDEX(tblTasks[ID],ROW()-4),"")</f>
      </c>
      <c r="B130" s="24">
        <f>IF($A130="","",INDEX(tblTasks[Sujet],ROW()-4))</f>
      </c>
      <c r="C130" s="23">
        <f>IF($A130="","",INDEX(tblTasks[Responsable],ROW()-4))</f>
      </c>
      <c r="D130" s="23">
        <f>IF($A130="","",INDEX(tblTasks[Statut],ROW()-4))</f>
      </c>
      <c r="E130" s="23">
        <f>IF($A130="","",INDEX(tblTasks[Depend_de],ROW()-4))</f>
      </c>
      <c r="F130" s="23">
        <f>IF($A130="","",INDEX(tblTasks[Blocage],ROW()-4))</f>
      </c>
      <c r="G130" s="23">
        <f>IF($A130="","",INDEX(tblTasks[Niveau_criticite],ROW()-4))</f>
      </c>
      <c r="H130" s="23">
        <f>IF($A130="","",INDEX(tblTasks[Goulot],ROW()-4))</f>
      </c>
      <c r="I130" s="23">
        <f>IF($A130="","",IF(LOWER($F130)="oui","non",IF($E130="","oui",IFERROR(IF(LOWER(INDEX(tblTasks[Statut],MATCH($E130,tblTasks[ID],0)))="clos","oui","non"),"non"))))</f>
      </c>
      <c r="J130" s="25">
        <f>IF($A130="","",INDEX(tblTasks[Date_debut_prevue],ROW()-4))</f>
      </c>
      <c r="K130" s="25">
        <f>IF($A130="","",INDEX(tblTasks[Date_fin_prevue],ROW()-4))</f>
      </c>
      <c r="L130" s="23">
        <f>IF($A130="","",INDEX(tblTasks[Irreversibilite],ROW()-4))</f>
      </c>
      <c r="M130" s="26">
        <f>IF(OR($A130="",M$3=""),"",IF(AND($J130&lt;&gt;"",$K130&lt;&gt;"",$J130=$K130,$J130&gt;=M$3,$J130&lt;=IF(param_mode_affichage="mois",EOMONTH(M$3,0),M$3+6)),"◆",""))</f>
      </c>
      <c r="N130" s="26">
        <f>IF(OR($A130="",N$3=""),"",IF(AND($J130&lt;&gt;"",$K130&lt;&gt;"",$J130=$K130,$J130&gt;=N$3,$J130&lt;=IF(param_mode_affichage="mois",EOMONTH(N$3,0),N$3+6)),"◆",""))</f>
      </c>
      <c r="O130" s="26">
        <f>IF(OR($A130="",O$3=""),"",IF(AND($J130&lt;&gt;"",$K130&lt;&gt;"",$J130=$K130,$J130&gt;=O$3,$J130&lt;=IF(param_mode_affichage="mois",EOMONTH(O$3,0),O$3+6)),"◆",""))</f>
      </c>
      <c r="P130" s="26">
        <f>IF(OR($A130="",P$3=""),"",IF(AND($J130&lt;&gt;"",$K130&lt;&gt;"",$J130=$K130,$J130&gt;=P$3,$J130&lt;=IF(param_mode_affichage="mois",EOMONTH(P$3,0),P$3+6)),"◆",""))</f>
      </c>
      <c r="Q130" s="26">
        <f>IF(OR($A130="",Q$3=""),"",IF(AND($J130&lt;&gt;"",$K130&lt;&gt;"",$J130=$K130,$J130&gt;=Q$3,$J130&lt;=IF(param_mode_affichage="mois",EOMONTH(Q$3,0),Q$3+6)),"◆",""))</f>
      </c>
      <c r="R130" s="26">
        <f>IF(OR($A130="",R$3=""),"",IF(AND($J130&lt;&gt;"",$K130&lt;&gt;"",$J130=$K130,$J130&gt;=R$3,$J130&lt;=IF(param_mode_affichage="mois",EOMONTH(R$3,0),R$3+6)),"◆",""))</f>
      </c>
      <c r="S130" s="26">
        <f>IF(OR($A130="",S$3=""),"",IF(AND($J130&lt;&gt;"",$K130&lt;&gt;"",$J130=$K130,$J130&gt;=S$3,$J130&lt;=IF(param_mode_affichage="mois",EOMONTH(S$3,0),S$3+6)),"◆",""))</f>
      </c>
      <c r="T130" s="26">
        <f>IF(OR($A130="",T$3=""),"",IF(AND($J130&lt;&gt;"",$K130&lt;&gt;"",$J130=$K130,$J130&gt;=T$3,$J130&lt;=IF(param_mode_affichage="mois",EOMONTH(T$3,0),T$3+6)),"◆",""))</f>
      </c>
      <c r="U130" s="26">
        <f>IF(OR($A130="",U$3=""),"",IF(AND($J130&lt;&gt;"",$K130&lt;&gt;"",$J130=$K130,$J130&gt;=U$3,$J130&lt;=IF(param_mode_affichage="mois",EOMONTH(U$3,0),U$3+6)),"◆",""))</f>
      </c>
      <c r="V130" s="26">
        <f>IF(OR($A130="",V$3=""),"",IF(AND($J130&lt;&gt;"",$K130&lt;&gt;"",$J130=$K130,$J130&gt;=V$3,$J130&lt;=IF(param_mode_affichage="mois",EOMONTH(V$3,0),V$3+6)),"◆",""))</f>
      </c>
      <c r="W130" s="26">
        <f>IF(OR($A130="",W$3=""),"",IF(AND($J130&lt;&gt;"",$K130&lt;&gt;"",$J130=$K130,$J130&gt;=W$3,$J130&lt;=IF(param_mode_affichage="mois",EOMONTH(W$3,0),W$3+6)),"◆",""))</f>
      </c>
      <c r="X130" s="26">
        <f>IF(OR($A130="",X$3=""),"",IF(AND($J130&lt;&gt;"",$K130&lt;&gt;"",$J130=$K130,$J130&gt;=X$3,$J130&lt;=IF(param_mode_affichage="mois",EOMONTH(X$3,0),X$3+6)),"◆",""))</f>
      </c>
      <c r="Y130" s="26">
        <f>IF(OR($A130="",Y$3=""),"",IF(AND($J130&lt;&gt;"",$K130&lt;&gt;"",$J130=$K130,$J130&gt;=Y$3,$J130&lt;=IF(param_mode_affichage="mois",EOMONTH(Y$3,0),Y$3+6)),"◆",""))</f>
      </c>
      <c r="Z130" s="26">
        <f>IF(OR($A130="",Z$3=""),"",IF(AND($J130&lt;&gt;"",$K130&lt;&gt;"",$J130=$K130,$J130&gt;=Z$3,$J130&lt;=IF(param_mode_affichage="mois",EOMONTH(Z$3,0),Z$3+6)),"◆",""))</f>
      </c>
      <c r="AA130" s="26">
        <f>IF(OR($A130="",AA$3=""),"",IF(AND($J130&lt;&gt;"",$K130&lt;&gt;"",$J130=$K130,$J130&gt;=AA$3,$J130&lt;=IF(param_mode_affichage="mois",EOMONTH(AA$3,0),AA$3+6)),"◆",""))</f>
      </c>
      <c r="AB130" s="26">
        <f>IF(OR($A130="",AB$3=""),"",IF(AND($J130&lt;&gt;"",$K130&lt;&gt;"",$J130=$K130,$J130&gt;=AB$3,$J130&lt;=IF(param_mode_affichage="mois",EOMONTH(AB$3,0),AB$3+6)),"◆",""))</f>
      </c>
      <c r="AC130" s="26">
        <f>IF(OR($A130="",AC$3=""),"",IF(AND($J130&lt;&gt;"",$K130&lt;&gt;"",$J130=$K130,$J130&gt;=AC$3,$J130&lt;=IF(param_mode_affichage="mois",EOMONTH(AC$3,0),AC$3+6)),"◆",""))</f>
      </c>
      <c r="AD130" s="26">
        <f>IF(OR($A130="",AD$3=""),"",IF(AND($J130&lt;&gt;"",$K130&lt;&gt;"",$J130=$K130,$J130&gt;=AD$3,$J130&lt;=IF(param_mode_affichage="mois",EOMONTH(AD$3,0),AD$3+6)),"◆",""))</f>
      </c>
      <c r="AE130" s="26">
        <f>IF(OR($A130="",AE$3=""),"",IF(AND($J130&lt;&gt;"",$K130&lt;&gt;"",$J130=$K130,$J130&gt;=AE$3,$J130&lt;=IF(param_mode_affichage="mois",EOMONTH(AE$3,0),AE$3+6)),"◆",""))</f>
      </c>
      <c r="AF130" s="26">
        <f>IF(OR($A130="",AF$3=""),"",IF(AND($J130&lt;&gt;"",$K130&lt;&gt;"",$J130=$K130,$J130&gt;=AF$3,$J130&lt;=IF(param_mode_affichage="mois",EOMONTH(AF$3,0),AF$3+6)),"◆",""))</f>
      </c>
      <c r="AG130" s="26">
        <f>IF(OR($A130="",AG$3=""),"",IF(AND($J130&lt;&gt;"",$K130&lt;&gt;"",$J130=$K130,$J130&gt;=AG$3,$J130&lt;=IF(param_mode_affichage="mois",EOMONTH(AG$3,0),AG$3+6)),"◆",""))</f>
      </c>
      <c r="AH130" s="26">
        <f>IF(OR($A130="",AH$3=""),"",IF(AND($J130&lt;&gt;"",$K130&lt;&gt;"",$J130=$K130,$J130&gt;=AH$3,$J130&lt;=IF(param_mode_affichage="mois",EOMONTH(AH$3,0),AH$3+6)),"◆",""))</f>
      </c>
      <c r="AI130" s="26">
        <f>IF(OR($A130="",AI$3=""),"",IF(AND($J130&lt;&gt;"",$K130&lt;&gt;"",$J130=$K130,$J130&gt;=AI$3,$J130&lt;=IF(param_mode_affichage="mois",EOMONTH(AI$3,0),AI$3+6)),"◆",""))</f>
      </c>
      <c r="AJ130" s="26">
        <f>IF(OR($A130="",AJ$3=""),"",IF(AND($J130&lt;&gt;"",$K130&lt;&gt;"",$J130=$K130,$J130&gt;=AJ$3,$J130&lt;=IF(param_mode_affichage="mois",EOMONTH(AJ$3,0),AJ$3+6)),"◆",""))</f>
      </c>
      <c r="AK130" s="26">
        <f>IF(OR($A130="",AK$3=""),"",IF(AND($J130&lt;&gt;"",$K130&lt;&gt;"",$J130=$K130,$J130&gt;=AK$3,$J130&lt;=IF(param_mode_affichage="mois",EOMONTH(AK$3,0),AK$3+6)),"◆",""))</f>
      </c>
      <c r="AL130" s="26">
        <f>IF(OR($A130="",AL$3=""),"",IF(AND($J130&lt;&gt;"",$K130&lt;&gt;"",$J130=$K130,$J130&gt;=AL$3,$J130&lt;=IF(param_mode_affichage="mois",EOMONTH(AL$3,0),AL$3+6)),"◆",""))</f>
      </c>
      <c r="AM130" s="26">
        <f>IF(OR($A130="",AM$3=""),"",IF(AND($J130&lt;&gt;"",$K130&lt;&gt;"",$J130=$K130,$J130&gt;=AM$3,$J130&lt;=IF(param_mode_affichage="mois",EOMONTH(AM$3,0),AM$3+6)),"◆",""))</f>
      </c>
      <c r="AN130" s="26">
        <f>IF(OR($A130="",AN$3=""),"",IF(AND($J130&lt;&gt;"",$K130&lt;&gt;"",$J130=$K130,$J130&gt;=AN$3,$J130&lt;=IF(param_mode_affichage="mois",EOMONTH(AN$3,0),AN$3+6)),"◆",""))</f>
      </c>
      <c r="AO130" s="26">
        <f>IF(OR($A130="",AO$3=""),"",IF(AND($J130&lt;&gt;"",$K130&lt;&gt;"",$J130=$K130,$J130&gt;=AO$3,$J130&lt;=IF(param_mode_affichage="mois",EOMONTH(AO$3,0),AO$3+6)),"◆",""))</f>
      </c>
      <c r="AP130" s="26">
        <f>IF(OR($A130="",AP$3=""),"",IF(AND($J130&lt;&gt;"",$K130&lt;&gt;"",$J130=$K130,$J130&gt;=AP$3,$J130&lt;=IF(param_mode_affichage="mois",EOMONTH(AP$3,0),AP$3+6)),"◆",""))</f>
      </c>
      <c r="AQ130" s="26">
        <f>IF(OR($A130="",AQ$3=""),"",IF(AND($J130&lt;&gt;"",$K130&lt;&gt;"",$J130=$K130,$J130&gt;=AQ$3,$J130&lt;=IF(param_mode_affichage="mois",EOMONTH(AQ$3,0),AQ$3+6)),"◆",""))</f>
      </c>
      <c r="AR130" s="26">
        <f>IF(OR($A130="",AR$3=""),"",IF(AND($J130&lt;&gt;"",$K130&lt;&gt;"",$J130=$K130,$J130&gt;=AR$3,$J130&lt;=IF(param_mode_affichage="mois",EOMONTH(AR$3,0),AR$3+6)),"◆",""))</f>
      </c>
      <c r="AS130" s="26">
        <f>IF(OR($A130="",AS$3=""),"",IF(AND($J130&lt;&gt;"",$K130&lt;&gt;"",$J130=$K130,$J130&gt;=AS$3,$J130&lt;=IF(param_mode_affichage="mois",EOMONTH(AS$3,0),AS$3+6)),"◆",""))</f>
      </c>
      <c r="AT130" s="26">
        <f>IF(OR($A130="",AT$3=""),"",IF(AND($J130&lt;&gt;"",$K130&lt;&gt;"",$J130=$K130,$J130&gt;=AT$3,$J130&lt;=IF(param_mode_affichage="mois",EOMONTH(AT$3,0),AT$3+6)),"◆",""))</f>
      </c>
      <c r="AU130" s="26">
        <f>IF(OR($A130="",AU$3=""),"",IF(AND($J130&lt;&gt;"",$K130&lt;&gt;"",$J130=$K130,$J130&gt;=AU$3,$J130&lt;=IF(param_mode_affichage="mois",EOMONTH(AU$3,0),AU$3+6)),"◆",""))</f>
      </c>
      <c r="AV130" s="26">
        <f>IF(OR($A130="",AV$3=""),"",IF(AND($J130&lt;&gt;"",$K130&lt;&gt;"",$J130=$K130,$J130&gt;=AV$3,$J130&lt;=IF(param_mode_affichage="mois",EOMONTH(AV$3,0),AV$3+6)),"◆",""))</f>
      </c>
      <c r="AW130" s="26">
        <f>IF(OR($A130="",AW$3=""),"",IF(AND($J130&lt;&gt;"",$K130&lt;&gt;"",$J130=$K130,$J130&gt;=AW$3,$J130&lt;=IF(param_mode_affichage="mois",EOMONTH(AW$3,0),AW$3+6)),"◆",""))</f>
      </c>
      <c r="AX130" s="26">
        <f>IF(OR($A130="",AX$3=""),"",IF(AND($J130&lt;&gt;"",$K130&lt;&gt;"",$J130=$K130,$J130&gt;=AX$3,$J130&lt;=IF(param_mode_affichage="mois",EOMONTH(AX$3,0),AX$3+6)),"◆",""))</f>
      </c>
      <c r="AY130" s="26">
        <f>IF(OR($A130="",AY$3=""),"",IF(AND($J130&lt;&gt;"",$K130&lt;&gt;"",$J130=$K130,$J130&gt;=AY$3,$J130&lt;=IF(param_mode_affichage="mois",EOMONTH(AY$3,0),AY$3+6)),"◆",""))</f>
      </c>
      <c r="AZ130" s="26">
        <f>IF(OR($A130="",AZ$3=""),"",IF(AND($J130&lt;&gt;"",$K130&lt;&gt;"",$J130=$K130,$J130&gt;=AZ$3,$J130&lt;=IF(param_mode_affichage="mois",EOMONTH(AZ$3,0),AZ$3+6)),"◆",""))</f>
      </c>
      <c r="BA130" s="26">
        <f>IF(OR($A130="",BA$3=""),"",IF(AND($J130&lt;&gt;"",$K130&lt;&gt;"",$J130=$K130,$J130&gt;=BA$3,$J130&lt;=IF(param_mode_affichage="mois",EOMONTH(BA$3,0),BA$3+6)),"◆",""))</f>
      </c>
      <c r="BB130" s="26">
        <f>IF(OR($A130="",BB$3=""),"",IF(AND($J130&lt;&gt;"",$K130&lt;&gt;"",$J130=$K130,$J130&gt;=BB$3,$J130&lt;=IF(param_mode_affichage="mois",EOMONTH(BB$3,0),BB$3+6)),"◆",""))</f>
      </c>
      <c r="BC130" s="26">
        <f>IF(OR($A130="",BC$3=""),"",IF(AND($J130&lt;&gt;"",$K130&lt;&gt;"",$J130=$K130,$J130&gt;=BC$3,$J130&lt;=IF(param_mode_affichage="mois",EOMONTH(BC$3,0),BC$3+6)),"◆",""))</f>
      </c>
      <c r="BD130" s="26">
        <f>IF(OR($A130="",BD$3=""),"",IF(AND($J130&lt;&gt;"",$K130&lt;&gt;"",$J130=$K130,$J130&gt;=BD$3,$J130&lt;=IF(param_mode_affichage="mois",EOMONTH(BD$3,0),BD$3+6)),"◆",""))</f>
      </c>
      <c r="BE130" s="26">
        <f>IF(OR($A130="",BE$3=""),"",IF(AND($J130&lt;&gt;"",$K130&lt;&gt;"",$J130=$K130,$J130&gt;=BE$3,$J130&lt;=IF(param_mode_affichage="mois",EOMONTH(BE$3,0),BE$3+6)),"◆",""))</f>
      </c>
      <c r="BF130" s="26">
        <f>IF(OR($A130="",BF$3=""),"",IF(AND($J130&lt;&gt;"",$K130&lt;&gt;"",$J130=$K130,$J130&gt;=BF$3,$J130&lt;=IF(param_mode_affichage="mois",EOMONTH(BF$3,0),BF$3+6)),"◆",""))</f>
      </c>
      <c r="BG130" s="26">
        <f>IF(OR($A130="",BG$3=""),"",IF(AND($J130&lt;&gt;"",$K130&lt;&gt;"",$J130=$K130,$J130&gt;=BG$3,$J130&lt;=IF(param_mode_affichage="mois",EOMONTH(BG$3,0),BG$3+6)),"◆",""))</f>
      </c>
      <c r="BH130" s="26">
        <f>IF(OR($A130="",BH$3=""),"",IF(AND($J130&lt;&gt;"",$K130&lt;&gt;"",$J130=$K130,$J130&gt;=BH$3,$J130&lt;=IF(param_mode_affichage="mois",EOMONTH(BH$3,0),BH$3+6)),"◆",""))</f>
      </c>
      <c r="BI130" s="26">
        <f>IF(OR($A130="",BI$3=""),"",IF(AND($J130&lt;&gt;"",$K130&lt;&gt;"",$J130=$K130,$J130&gt;=BI$3,$J130&lt;=IF(param_mode_affichage="mois",EOMONTH(BI$3,0),BI$3+6)),"◆",""))</f>
      </c>
      <c r="BJ130" s="26">
        <f>IF(OR($A130="",BJ$3=""),"",IF(AND($J130&lt;&gt;"",$K130&lt;&gt;"",$J130=$K130,$J130&gt;=BJ$3,$J130&lt;=IF(param_mode_affichage="mois",EOMONTH(BJ$3,0),BJ$3+6)),"◆",""))</f>
      </c>
      <c r="BK130" s="26">
        <f>IF(OR($A130="",BK$3=""),"",IF(AND($J130&lt;&gt;"",$K130&lt;&gt;"",$J130=$K130,$J130&gt;=BK$3,$J130&lt;=IF(param_mode_affichage="mois",EOMONTH(BK$3,0),BK$3+6)),"◆",""))</f>
      </c>
      <c r="BL130" s="26">
        <f>IF(OR($A130="",BL$3=""),"",IF(AND($J130&lt;&gt;"",$K130&lt;&gt;"",$J130=$K130,$J130&gt;=BL$3,$J130&lt;=IF(param_mode_affichage="mois",EOMONTH(BL$3,0),BL$3+6)),"◆",""))</f>
      </c>
    </row>
    <row r="131" spans="1:64" x14ac:dyDescent="0.25">
      <c r="A131" s="23">
        <f>IFERROR(INDEX(tblTasks[ID],ROW()-4),"")</f>
      </c>
      <c r="B131" s="24">
        <f>IF($A131="","",INDEX(tblTasks[Sujet],ROW()-4))</f>
      </c>
      <c r="C131" s="23">
        <f>IF($A131="","",INDEX(tblTasks[Responsable],ROW()-4))</f>
      </c>
      <c r="D131" s="23">
        <f>IF($A131="","",INDEX(tblTasks[Statut],ROW()-4))</f>
      </c>
      <c r="E131" s="23">
        <f>IF($A131="","",INDEX(tblTasks[Depend_de],ROW()-4))</f>
      </c>
      <c r="F131" s="23">
        <f>IF($A131="","",INDEX(tblTasks[Blocage],ROW()-4))</f>
      </c>
      <c r="G131" s="23">
        <f>IF($A131="","",INDEX(tblTasks[Niveau_criticite],ROW()-4))</f>
      </c>
      <c r="H131" s="23">
        <f>IF($A131="","",INDEX(tblTasks[Goulot],ROW()-4))</f>
      </c>
      <c r="I131" s="23">
        <f>IF($A131="","",IF(LOWER($F131)="oui","non",IF($E131="","oui",IFERROR(IF(LOWER(INDEX(tblTasks[Statut],MATCH($E131,tblTasks[ID],0)))="clos","oui","non"),"non"))))</f>
      </c>
      <c r="J131" s="25">
        <f>IF($A131="","",INDEX(tblTasks[Date_debut_prevue],ROW()-4))</f>
      </c>
      <c r="K131" s="25">
        <f>IF($A131="","",INDEX(tblTasks[Date_fin_prevue],ROW()-4))</f>
      </c>
      <c r="L131" s="23">
        <f>IF($A131="","",INDEX(tblTasks[Irreversibilite],ROW()-4))</f>
      </c>
      <c r="M131" s="26">
        <f>IF(OR($A131="",M$3=""),"",IF(AND($J131&lt;&gt;"",$K131&lt;&gt;"",$J131=$K131,$J131&gt;=M$3,$J131&lt;=IF(param_mode_affichage="mois",EOMONTH(M$3,0),M$3+6)),"◆",""))</f>
      </c>
      <c r="N131" s="26">
        <f>IF(OR($A131="",N$3=""),"",IF(AND($J131&lt;&gt;"",$K131&lt;&gt;"",$J131=$K131,$J131&gt;=N$3,$J131&lt;=IF(param_mode_affichage="mois",EOMONTH(N$3,0),N$3+6)),"◆",""))</f>
      </c>
      <c r="O131" s="26">
        <f>IF(OR($A131="",O$3=""),"",IF(AND($J131&lt;&gt;"",$K131&lt;&gt;"",$J131=$K131,$J131&gt;=O$3,$J131&lt;=IF(param_mode_affichage="mois",EOMONTH(O$3,0),O$3+6)),"◆",""))</f>
      </c>
      <c r="P131" s="26">
        <f>IF(OR($A131="",P$3=""),"",IF(AND($J131&lt;&gt;"",$K131&lt;&gt;"",$J131=$K131,$J131&gt;=P$3,$J131&lt;=IF(param_mode_affichage="mois",EOMONTH(P$3,0),P$3+6)),"◆",""))</f>
      </c>
      <c r="Q131" s="26">
        <f>IF(OR($A131="",Q$3=""),"",IF(AND($J131&lt;&gt;"",$K131&lt;&gt;"",$J131=$K131,$J131&gt;=Q$3,$J131&lt;=IF(param_mode_affichage="mois",EOMONTH(Q$3,0),Q$3+6)),"◆",""))</f>
      </c>
      <c r="R131" s="26">
        <f>IF(OR($A131="",R$3=""),"",IF(AND($J131&lt;&gt;"",$K131&lt;&gt;"",$J131=$K131,$J131&gt;=R$3,$J131&lt;=IF(param_mode_affichage="mois",EOMONTH(R$3,0),R$3+6)),"◆",""))</f>
      </c>
      <c r="S131" s="26">
        <f>IF(OR($A131="",S$3=""),"",IF(AND($J131&lt;&gt;"",$K131&lt;&gt;"",$J131=$K131,$J131&gt;=S$3,$J131&lt;=IF(param_mode_affichage="mois",EOMONTH(S$3,0),S$3+6)),"◆",""))</f>
      </c>
      <c r="T131" s="26">
        <f>IF(OR($A131="",T$3=""),"",IF(AND($J131&lt;&gt;"",$K131&lt;&gt;"",$J131=$K131,$J131&gt;=T$3,$J131&lt;=IF(param_mode_affichage="mois",EOMONTH(T$3,0),T$3+6)),"◆",""))</f>
      </c>
      <c r="U131" s="26">
        <f>IF(OR($A131="",U$3=""),"",IF(AND($J131&lt;&gt;"",$K131&lt;&gt;"",$J131=$K131,$J131&gt;=U$3,$J131&lt;=IF(param_mode_affichage="mois",EOMONTH(U$3,0),U$3+6)),"◆",""))</f>
      </c>
      <c r="V131" s="26">
        <f>IF(OR($A131="",V$3=""),"",IF(AND($J131&lt;&gt;"",$K131&lt;&gt;"",$J131=$K131,$J131&gt;=V$3,$J131&lt;=IF(param_mode_affichage="mois",EOMONTH(V$3,0),V$3+6)),"◆",""))</f>
      </c>
      <c r="W131" s="26">
        <f>IF(OR($A131="",W$3=""),"",IF(AND($J131&lt;&gt;"",$K131&lt;&gt;"",$J131=$K131,$J131&gt;=W$3,$J131&lt;=IF(param_mode_affichage="mois",EOMONTH(W$3,0),W$3+6)),"◆",""))</f>
      </c>
      <c r="X131" s="26">
        <f>IF(OR($A131="",X$3=""),"",IF(AND($J131&lt;&gt;"",$K131&lt;&gt;"",$J131=$K131,$J131&gt;=X$3,$J131&lt;=IF(param_mode_affichage="mois",EOMONTH(X$3,0),X$3+6)),"◆",""))</f>
      </c>
      <c r="Y131" s="26">
        <f>IF(OR($A131="",Y$3=""),"",IF(AND($J131&lt;&gt;"",$K131&lt;&gt;"",$J131=$K131,$J131&gt;=Y$3,$J131&lt;=IF(param_mode_affichage="mois",EOMONTH(Y$3,0),Y$3+6)),"◆",""))</f>
      </c>
      <c r="Z131" s="26">
        <f>IF(OR($A131="",Z$3=""),"",IF(AND($J131&lt;&gt;"",$K131&lt;&gt;"",$J131=$K131,$J131&gt;=Z$3,$J131&lt;=IF(param_mode_affichage="mois",EOMONTH(Z$3,0),Z$3+6)),"◆",""))</f>
      </c>
      <c r="AA131" s="26">
        <f>IF(OR($A131="",AA$3=""),"",IF(AND($J131&lt;&gt;"",$K131&lt;&gt;"",$J131=$K131,$J131&gt;=AA$3,$J131&lt;=IF(param_mode_affichage="mois",EOMONTH(AA$3,0),AA$3+6)),"◆",""))</f>
      </c>
      <c r="AB131" s="26">
        <f>IF(OR($A131="",AB$3=""),"",IF(AND($J131&lt;&gt;"",$K131&lt;&gt;"",$J131=$K131,$J131&gt;=AB$3,$J131&lt;=IF(param_mode_affichage="mois",EOMONTH(AB$3,0),AB$3+6)),"◆",""))</f>
      </c>
      <c r="AC131" s="26">
        <f>IF(OR($A131="",AC$3=""),"",IF(AND($J131&lt;&gt;"",$K131&lt;&gt;"",$J131=$K131,$J131&gt;=AC$3,$J131&lt;=IF(param_mode_affichage="mois",EOMONTH(AC$3,0),AC$3+6)),"◆",""))</f>
      </c>
      <c r="AD131" s="26">
        <f>IF(OR($A131="",AD$3=""),"",IF(AND($J131&lt;&gt;"",$K131&lt;&gt;"",$J131=$K131,$J131&gt;=AD$3,$J131&lt;=IF(param_mode_affichage="mois",EOMONTH(AD$3,0),AD$3+6)),"◆",""))</f>
      </c>
      <c r="AE131" s="26">
        <f>IF(OR($A131="",AE$3=""),"",IF(AND($J131&lt;&gt;"",$K131&lt;&gt;"",$J131=$K131,$J131&gt;=AE$3,$J131&lt;=IF(param_mode_affichage="mois",EOMONTH(AE$3,0),AE$3+6)),"◆",""))</f>
      </c>
      <c r="AF131" s="26">
        <f>IF(OR($A131="",AF$3=""),"",IF(AND($J131&lt;&gt;"",$K131&lt;&gt;"",$J131=$K131,$J131&gt;=AF$3,$J131&lt;=IF(param_mode_affichage="mois",EOMONTH(AF$3,0),AF$3+6)),"◆",""))</f>
      </c>
      <c r="AG131" s="26">
        <f>IF(OR($A131="",AG$3=""),"",IF(AND($J131&lt;&gt;"",$K131&lt;&gt;"",$J131=$K131,$J131&gt;=AG$3,$J131&lt;=IF(param_mode_affichage="mois",EOMONTH(AG$3,0),AG$3+6)),"◆",""))</f>
      </c>
      <c r="AH131" s="26">
        <f>IF(OR($A131="",AH$3=""),"",IF(AND($J131&lt;&gt;"",$K131&lt;&gt;"",$J131=$K131,$J131&gt;=AH$3,$J131&lt;=IF(param_mode_affichage="mois",EOMONTH(AH$3,0),AH$3+6)),"◆",""))</f>
      </c>
      <c r="AI131" s="26">
        <f>IF(OR($A131="",AI$3=""),"",IF(AND($J131&lt;&gt;"",$K131&lt;&gt;"",$J131=$K131,$J131&gt;=AI$3,$J131&lt;=IF(param_mode_affichage="mois",EOMONTH(AI$3,0),AI$3+6)),"◆",""))</f>
      </c>
      <c r="AJ131" s="26">
        <f>IF(OR($A131="",AJ$3=""),"",IF(AND($J131&lt;&gt;"",$K131&lt;&gt;"",$J131=$K131,$J131&gt;=AJ$3,$J131&lt;=IF(param_mode_affichage="mois",EOMONTH(AJ$3,0),AJ$3+6)),"◆",""))</f>
      </c>
      <c r="AK131" s="26">
        <f>IF(OR($A131="",AK$3=""),"",IF(AND($J131&lt;&gt;"",$K131&lt;&gt;"",$J131=$K131,$J131&gt;=AK$3,$J131&lt;=IF(param_mode_affichage="mois",EOMONTH(AK$3,0),AK$3+6)),"◆",""))</f>
      </c>
      <c r="AL131" s="26">
        <f>IF(OR($A131="",AL$3=""),"",IF(AND($J131&lt;&gt;"",$K131&lt;&gt;"",$J131=$K131,$J131&gt;=AL$3,$J131&lt;=IF(param_mode_affichage="mois",EOMONTH(AL$3,0),AL$3+6)),"◆",""))</f>
      </c>
      <c r="AM131" s="26">
        <f>IF(OR($A131="",AM$3=""),"",IF(AND($J131&lt;&gt;"",$K131&lt;&gt;"",$J131=$K131,$J131&gt;=AM$3,$J131&lt;=IF(param_mode_affichage="mois",EOMONTH(AM$3,0),AM$3+6)),"◆",""))</f>
      </c>
      <c r="AN131" s="26">
        <f>IF(OR($A131="",AN$3=""),"",IF(AND($J131&lt;&gt;"",$K131&lt;&gt;"",$J131=$K131,$J131&gt;=AN$3,$J131&lt;=IF(param_mode_affichage="mois",EOMONTH(AN$3,0),AN$3+6)),"◆",""))</f>
      </c>
      <c r="AO131" s="26">
        <f>IF(OR($A131="",AO$3=""),"",IF(AND($J131&lt;&gt;"",$K131&lt;&gt;"",$J131=$K131,$J131&gt;=AO$3,$J131&lt;=IF(param_mode_affichage="mois",EOMONTH(AO$3,0),AO$3+6)),"◆",""))</f>
      </c>
      <c r="AP131" s="26">
        <f>IF(OR($A131="",AP$3=""),"",IF(AND($J131&lt;&gt;"",$K131&lt;&gt;"",$J131=$K131,$J131&gt;=AP$3,$J131&lt;=IF(param_mode_affichage="mois",EOMONTH(AP$3,0),AP$3+6)),"◆",""))</f>
      </c>
      <c r="AQ131" s="26">
        <f>IF(OR($A131="",AQ$3=""),"",IF(AND($J131&lt;&gt;"",$K131&lt;&gt;"",$J131=$K131,$J131&gt;=AQ$3,$J131&lt;=IF(param_mode_affichage="mois",EOMONTH(AQ$3,0),AQ$3+6)),"◆",""))</f>
      </c>
      <c r="AR131" s="26">
        <f>IF(OR($A131="",AR$3=""),"",IF(AND($J131&lt;&gt;"",$K131&lt;&gt;"",$J131=$K131,$J131&gt;=AR$3,$J131&lt;=IF(param_mode_affichage="mois",EOMONTH(AR$3,0),AR$3+6)),"◆",""))</f>
      </c>
      <c r="AS131" s="26">
        <f>IF(OR($A131="",AS$3=""),"",IF(AND($J131&lt;&gt;"",$K131&lt;&gt;"",$J131=$K131,$J131&gt;=AS$3,$J131&lt;=IF(param_mode_affichage="mois",EOMONTH(AS$3,0),AS$3+6)),"◆",""))</f>
      </c>
      <c r="AT131" s="26">
        <f>IF(OR($A131="",AT$3=""),"",IF(AND($J131&lt;&gt;"",$K131&lt;&gt;"",$J131=$K131,$J131&gt;=AT$3,$J131&lt;=IF(param_mode_affichage="mois",EOMONTH(AT$3,0),AT$3+6)),"◆",""))</f>
      </c>
      <c r="AU131" s="26">
        <f>IF(OR($A131="",AU$3=""),"",IF(AND($J131&lt;&gt;"",$K131&lt;&gt;"",$J131=$K131,$J131&gt;=AU$3,$J131&lt;=IF(param_mode_affichage="mois",EOMONTH(AU$3,0),AU$3+6)),"◆",""))</f>
      </c>
      <c r="AV131" s="26">
        <f>IF(OR($A131="",AV$3=""),"",IF(AND($J131&lt;&gt;"",$K131&lt;&gt;"",$J131=$K131,$J131&gt;=AV$3,$J131&lt;=IF(param_mode_affichage="mois",EOMONTH(AV$3,0),AV$3+6)),"◆",""))</f>
      </c>
      <c r="AW131" s="26">
        <f>IF(OR($A131="",AW$3=""),"",IF(AND($J131&lt;&gt;"",$K131&lt;&gt;"",$J131=$K131,$J131&gt;=AW$3,$J131&lt;=IF(param_mode_affichage="mois",EOMONTH(AW$3,0),AW$3+6)),"◆",""))</f>
      </c>
      <c r="AX131" s="26">
        <f>IF(OR($A131="",AX$3=""),"",IF(AND($J131&lt;&gt;"",$K131&lt;&gt;"",$J131=$K131,$J131&gt;=AX$3,$J131&lt;=IF(param_mode_affichage="mois",EOMONTH(AX$3,0),AX$3+6)),"◆",""))</f>
      </c>
      <c r="AY131" s="26">
        <f>IF(OR($A131="",AY$3=""),"",IF(AND($J131&lt;&gt;"",$K131&lt;&gt;"",$J131=$K131,$J131&gt;=AY$3,$J131&lt;=IF(param_mode_affichage="mois",EOMONTH(AY$3,0),AY$3+6)),"◆",""))</f>
      </c>
      <c r="AZ131" s="26">
        <f>IF(OR($A131="",AZ$3=""),"",IF(AND($J131&lt;&gt;"",$K131&lt;&gt;"",$J131=$K131,$J131&gt;=AZ$3,$J131&lt;=IF(param_mode_affichage="mois",EOMONTH(AZ$3,0),AZ$3+6)),"◆",""))</f>
      </c>
      <c r="BA131" s="26">
        <f>IF(OR($A131="",BA$3=""),"",IF(AND($J131&lt;&gt;"",$K131&lt;&gt;"",$J131=$K131,$J131&gt;=BA$3,$J131&lt;=IF(param_mode_affichage="mois",EOMONTH(BA$3,0),BA$3+6)),"◆",""))</f>
      </c>
      <c r="BB131" s="26">
        <f>IF(OR($A131="",BB$3=""),"",IF(AND($J131&lt;&gt;"",$K131&lt;&gt;"",$J131=$K131,$J131&gt;=BB$3,$J131&lt;=IF(param_mode_affichage="mois",EOMONTH(BB$3,0),BB$3+6)),"◆",""))</f>
      </c>
      <c r="BC131" s="26">
        <f>IF(OR($A131="",BC$3=""),"",IF(AND($J131&lt;&gt;"",$K131&lt;&gt;"",$J131=$K131,$J131&gt;=BC$3,$J131&lt;=IF(param_mode_affichage="mois",EOMONTH(BC$3,0),BC$3+6)),"◆",""))</f>
      </c>
      <c r="BD131" s="26">
        <f>IF(OR($A131="",BD$3=""),"",IF(AND($J131&lt;&gt;"",$K131&lt;&gt;"",$J131=$K131,$J131&gt;=BD$3,$J131&lt;=IF(param_mode_affichage="mois",EOMONTH(BD$3,0),BD$3+6)),"◆",""))</f>
      </c>
      <c r="BE131" s="26">
        <f>IF(OR($A131="",BE$3=""),"",IF(AND($J131&lt;&gt;"",$K131&lt;&gt;"",$J131=$K131,$J131&gt;=BE$3,$J131&lt;=IF(param_mode_affichage="mois",EOMONTH(BE$3,0),BE$3+6)),"◆",""))</f>
      </c>
      <c r="BF131" s="26">
        <f>IF(OR($A131="",BF$3=""),"",IF(AND($J131&lt;&gt;"",$K131&lt;&gt;"",$J131=$K131,$J131&gt;=BF$3,$J131&lt;=IF(param_mode_affichage="mois",EOMONTH(BF$3,0),BF$3+6)),"◆",""))</f>
      </c>
      <c r="BG131" s="26">
        <f>IF(OR($A131="",BG$3=""),"",IF(AND($J131&lt;&gt;"",$K131&lt;&gt;"",$J131=$K131,$J131&gt;=BG$3,$J131&lt;=IF(param_mode_affichage="mois",EOMONTH(BG$3,0),BG$3+6)),"◆",""))</f>
      </c>
      <c r="BH131" s="26">
        <f>IF(OR($A131="",BH$3=""),"",IF(AND($J131&lt;&gt;"",$K131&lt;&gt;"",$J131=$K131,$J131&gt;=BH$3,$J131&lt;=IF(param_mode_affichage="mois",EOMONTH(BH$3,0),BH$3+6)),"◆",""))</f>
      </c>
      <c r="BI131" s="26">
        <f>IF(OR($A131="",BI$3=""),"",IF(AND($J131&lt;&gt;"",$K131&lt;&gt;"",$J131=$K131,$J131&gt;=BI$3,$J131&lt;=IF(param_mode_affichage="mois",EOMONTH(BI$3,0),BI$3+6)),"◆",""))</f>
      </c>
      <c r="BJ131" s="26">
        <f>IF(OR($A131="",BJ$3=""),"",IF(AND($J131&lt;&gt;"",$K131&lt;&gt;"",$J131=$K131,$J131&gt;=BJ$3,$J131&lt;=IF(param_mode_affichage="mois",EOMONTH(BJ$3,0),BJ$3+6)),"◆",""))</f>
      </c>
      <c r="BK131" s="26">
        <f>IF(OR($A131="",BK$3=""),"",IF(AND($J131&lt;&gt;"",$K131&lt;&gt;"",$J131=$K131,$J131&gt;=BK$3,$J131&lt;=IF(param_mode_affichage="mois",EOMONTH(BK$3,0),BK$3+6)),"◆",""))</f>
      </c>
      <c r="BL131" s="26">
        <f>IF(OR($A131="",BL$3=""),"",IF(AND($J131&lt;&gt;"",$K131&lt;&gt;"",$J131=$K131,$J131&gt;=BL$3,$J131&lt;=IF(param_mode_affichage="mois",EOMONTH(BL$3,0),BL$3+6)),"◆",""))</f>
      </c>
    </row>
    <row r="132" spans="1:64" x14ac:dyDescent="0.25">
      <c r="A132" s="23">
        <f>IFERROR(INDEX(tblTasks[ID],ROW()-4),"")</f>
      </c>
      <c r="B132" s="24">
        <f>IF($A132="","",INDEX(tblTasks[Sujet],ROW()-4))</f>
      </c>
      <c r="C132" s="23">
        <f>IF($A132="","",INDEX(tblTasks[Responsable],ROW()-4))</f>
      </c>
      <c r="D132" s="23">
        <f>IF($A132="","",INDEX(tblTasks[Statut],ROW()-4))</f>
      </c>
      <c r="E132" s="23">
        <f>IF($A132="","",INDEX(tblTasks[Depend_de],ROW()-4))</f>
      </c>
      <c r="F132" s="23">
        <f>IF($A132="","",INDEX(tblTasks[Blocage],ROW()-4))</f>
      </c>
      <c r="G132" s="23">
        <f>IF($A132="","",INDEX(tblTasks[Niveau_criticite],ROW()-4))</f>
      </c>
      <c r="H132" s="23">
        <f>IF($A132="","",INDEX(tblTasks[Goulot],ROW()-4))</f>
      </c>
      <c r="I132" s="23">
        <f>IF($A132="","",IF(LOWER($F132)="oui","non",IF($E132="","oui",IFERROR(IF(LOWER(INDEX(tblTasks[Statut],MATCH($E132,tblTasks[ID],0)))="clos","oui","non"),"non"))))</f>
      </c>
      <c r="J132" s="25">
        <f>IF($A132="","",INDEX(tblTasks[Date_debut_prevue],ROW()-4))</f>
      </c>
      <c r="K132" s="25">
        <f>IF($A132="","",INDEX(tblTasks[Date_fin_prevue],ROW()-4))</f>
      </c>
      <c r="L132" s="23">
        <f>IF($A132="","",INDEX(tblTasks[Irreversibilite],ROW()-4))</f>
      </c>
      <c r="M132" s="26">
        <f>IF(OR($A132="",M$3=""),"",IF(AND($J132&lt;&gt;"",$K132&lt;&gt;"",$J132=$K132,$J132&gt;=M$3,$J132&lt;=IF(param_mode_affichage="mois",EOMONTH(M$3,0),M$3+6)),"◆",""))</f>
      </c>
      <c r="N132" s="26">
        <f>IF(OR($A132="",N$3=""),"",IF(AND($J132&lt;&gt;"",$K132&lt;&gt;"",$J132=$K132,$J132&gt;=N$3,$J132&lt;=IF(param_mode_affichage="mois",EOMONTH(N$3,0),N$3+6)),"◆",""))</f>
      </c>
      <c r="O132" s="26">
        <f>IF(OR($A132="",O$3=""),"",IF(AND($J132&lt;&gt;"",$K132&lt;&gt;"",$J132=$K132,$J132&gt;=O$3,$J132&lt;=IF(param_mode_affichage="mois",EOMONTH(O$3,0),O$3+6)),"◆",""))</f>
      </c>
      <c r="P132" s="26">
        <f>IF(OR($A132="",P$3=""),"",IF(AND($J132&lt;&gt;"",$K132&lt;&gt;"",$J132=$K132,$J132&gt;=P$3,$J132&lt;=IF(param_mode_affichage="mois",EOMONTH(P$3,0),P$3+6)),"◆",""))</f>
      </c>
      <c r="Q132" s="26">
        <f>IF(OR($A132="",Q$3=""),"",IF(AND($J132&lt;&gt;"",$K132&lt;&gt;"",$J132=$K132,$J132&gt;=Q$3,$J132&lt;=IF(param_mode_affichage="mois",EOMONTH(Q$3,0),Q$3+6)),"◆",""))</f>
      </c>
      <c r="R132" s="26">
        <f>IF(OR($A132="",R$3=""),"",IF(AND($J132&lt;&gt;"",$K132&lt;&gt;"",$J132=$K132,$J132&gt;=R$3,$J132&lt;=IF(param_mode_affichage="mois",EOMONTH(R$3,0),R$3+6)),"◆",""))</f>
      </c>
      <c r="S132" s="26">
        <f>IF(OR($A132="",S$3=""),"",IF(AND($J132&lt;&gt;"",$K132&lt;&gt;"",$J132=$K132,$J132&gt;=S$3,$J132&lt;=IF(param_mode_affichage="mois",EOMONTH(S$3,0),S$3+6)),"◆",""))</f>
      </c>
      <c r="T132" s="26">
        <f>IF(OR($A132="",T$3=""),"",IF(AND($J132&lt;&gt;"",$K132&lt;&gt;"",$J132=$K132,$J132&gt;=T$3,$J132&lt;=IF(param_mode_affichage="mois",EOMONTH(T$3,0),T$3+6)),"◆",""))</f>
      </c>
      <c r="U132" s="26">
        <f>IF(OR($A132="",U$3=""),"",IF(AND($J132&lt;&gt;"",$K132&lt;&gt;"",$J132=$K132,$J132&gt;=U$3,$J132&lt;=IF(param_mode_affichage="mois",EOMONTH(U$3,0),U$3+6)),"◆",""))</f>
      </c>
      <c r="V132" s="26">
        <f>IF(OR($A132="",V$3=""),"",IF(AND($J132&lt;&gt;"",$K132&lt;&gt;"",$J132=$K132,$J132&gt;=V$3,$J132&lt;=IF(param_mode_affichage="mois",EOMONTH(V$3,0),V$3+6)),"◆",""))</f>
      </c>
      <c r="W132" s="26">
        <f>IF(OR($A132="",W$3=""),"",IF(AND($J132&lt;&gt;"",$K132&lt;&gt;"",$J132=$K132,$J132&gt;=W$3,$J132&lt;=IF(param_mode_affichage="mois",EOMONTH(W$3,0),W$3+6)),"◆",""))</f>
      </c>
      <c r="X132" s="26">
        <f>IF(OR($A132="",X$3=""),"",IF(AND($J132&lt;&gt;"",$K132&lt;&gt;"",$J132=$K132,$J132&gt;=X$3,$J132&lt;=IF(param_mode_affichage="mois",EOMONTH(X$3,0),X$3+6)),"◆",""))</f>
      </c>
      <c r="Y132" s="26">
        <f>IF(OR($A132="",Y$3=""),"",IF(AND($J132&lt;&gt;"",$K132&lt;&gt;"",$J132=$K132,$J132&gt;=Y$3,$J132&lt;=IF(param_mode_affichage="mois",EOMONTH(Y$3,0),Y$3+6)),"◆",""))</f>
      </c>
      <c r="Z132" s="26">
        <f>IF(OR($A132="",Z$3=""),"",IF(AND($J132&lt;&gt;"",$K132&lt;&gt;"",$J132=$K132,$J132&gt;=Z$3,$J132&lt;=IF(param_mode_affichage="mois",EOMONTH(Z$3,0),Z$3+6)),"◆",""))</f>
      </c>
      <c r="AA132" s="26">
        <f>IF(OR($A132="",AA$3=""),"",IF(AND($J132&lt;&gt;"",$K132&lt;&gt;"",$J132=$K132,$J132&gt;=AA$3,$J132&lt;=IF(param_mode_affichage="mois",EOMONTH(AA$3,0),AA$3+6)),"◆",""))</f>
      </c>
      <c r="AB132" s="26">
        <f>IF(OR($A132="",AB$3=""),"",IF(AND($J132&lt;&gt;"",$K132&lt;&gt;"",$J132=$K132,$J132&gt;=AB$3,$J132&lt;=IF(param_mode_affichage="mois",EOMONTH(AB$3,0),AB$3+6)),"◆",""))</f>
      </c>
      <c r="AC132" s="26">
        <f>IF(OR($A132="",AC$3=""),"",IF(AND($J132&lt;&gt;"",$K132&lt;&gt;"",$J132=$K132,$J132&gt;=AC$3,$J132&lt;=IF(param_mode_affichage="mois",EOMONTH(AC$3,0),AC$3+6)),"◆",""))</f>
      </c>
      <c r="AD132" s="26">
        <f>IF(OR($A132="",AD$3=""),"",IF(AND($J132&lt;&gt;"",$K132&lt;&gt;"",$J132=$K132,$J132&gt;=AD$3,$J132&lt;=IF(param_mode_affichage="mois",EOMONTH(AD$3,0),AD$3+6)),"◆",""))</f>
      </c>
      <c r="AE132" s="26">
        <f>IF(OR($A132="",AE$3=""),"",IF(AND($J132&lt;&gt;"",$K132&lt;&gt;"",$J132=$K132,$J132&gt;=AE$3,$J132&lt;=IF(param_mode_affichage="mois",EOMONTH(AE$3,0),AE$3+6)),"◆",""))</f>
      </c>
      <c r="AF132" s="26">
        <f>IF(OR($A132="",AF$3=""),"",IF(AND($J132&lt;&gt;"",$K132&lt;&gt;"",$J132=$K132,$J132&gt;=AF$3,$J132&lt;=IF(param_mode_affichage="mois",EOMONTH(AF$3,0),AF$3+6)),"◆",""))</f>
      </c>
      <c r="AG132" s="26">
        <f>IF(OR($A132="",AG$3=""),"",IF(AND($J132&lt;&gt;"",$K132&lt;&gt;"",$J132=$K132,$J132&gt;=AG$3,$J132&lt;=IF(param_mode_affichage="mois",EOMONTH(AG$3,0),AG$3+6)),"◆",""))</f>
      </c>
      <c r="AH132" s="26">
        <f>IF(OR($A132="",AH$3=""),"",IF(AND($J132&lt;&gt;"",$K132&lt;&gt;"",$J132=$K132,$J132&gt;=AH$3,$J132&lt;=IF(param_mode_affichage="mois",EOMONTH(AH$3,0),AH$3+6)),"◆",""))</f>
      </c>
      <c r="AI132" s="26">
        <f>IF(OR($A132="",AI$3=""),"",IF(AND($J132&lt;&gt;"",$K132&lt;&gt;"",$J132=$K132,$J132&gt;=AI$3,$J132&lt;=IF(param_mode_affichage="mois",EOMONTH(AI$3,0),AI$3+6)),"◆",""))</f>
      </c>
      <c r="AJ132" s="26">
        <f>IF(OR($A132="",AJ$3=""),"",IF(AND($J132&lt;&gt;"",$K132&lt;&gt;"",$J132=$K132,$J132&gt;=AJ$3,$J132&lt;=IF(param_mode_affichage="mois",EOMONTH(AJ$3,0),AJ$3+6)),"◆",""))</f>
      </c>
      <c r="AK132" s="26">
        <f>IF(OR($A132="",AK$3=""),"",IF(AND($J132&lt;&gt;"",$K132&lt;&gt;"",$J132=$K132,$J132&gt;=AK$3,$J132&lt;=IF(param_mode_affichage="mois",EOMONTH(AK$3,0),AK$3+6)),"◆",""))</f>
      </c>
      <c r="AL132" s="26">
        <f>IF(OR($A132="",AL$3=""),"",IF(AND($J132&lt;&gt;"",$K132&lt;&gt;"",$J132=$K132,$J132&gt;=AL$3,$J132&lt;=IF(param_mode_affichage="mois",EOMONTH(AL$3,0),AL$3+6)),"◆",""))</f>
      </c>
      <c r="AM132" s="26">
        <f>IF(OR($A132="",AM$3=""),"",IF(AND($J132&lt;&gt;"",$K132&lt;&gt;"",$J132=$K132,$J132&gt;=AM$3,$J132&lt;=IF(param_mode_affichage="mois",EOMONTH(AM$3,0),AM$3+6)),"◆",""))</f>
      </c>
      <c r="AN132" s="26">
        <f>IF(OR($A132="",AN$3=""),"",IF(AND($J132&lt;&gt;"",$K132&lt;&gt;"",$J132=$K132,$J132&gt;=AN$3,$J132&lt;=IF(param_mode_affichage="mois",EOMONTH(AN$3,0),AN$3+6)),"◆",""))</f>
      </c>
      <c r="AO132" s="26">
        <f>IF(OR($A132="",AO$3=""),"",IF(AND($J132&lt;&gt;"",$K132&lt;&gt;"",$J132=$K132,$J132&gt;=AO$3,$J132&lt;=IF(param_mode_affichage="mois",EOMONTH(AO$3,0),AO$3+6)),"◆",""))</f>
      </c>
      <c r="AP132" s="26">
        <f>IF(OR($A132="",AP$3=""),"",IF(AND($J132&lt;&gt;"",$K132&lt;&gt;"",$J132=$K132,$J132&gt;=AP$3,$J132&lt;=IF(param_mode_affichage="mois",EOMONTH(AP$3,0),AP$3+6)),"◆",""))</f>
      </c>
      <c r="AQ132" s="26">
        <f>IF(OR($A132="",AQ$3=""),"",IF(AND($J132&lt;&gt;"",$K132&lt;&gt;"",$J132=$K132,$J132&gt;=AQ$3,$J132&lt;=IF(param_mode_affichage="mois",EOMONTH(AQ$3,0),AQ$3+6)),"◆",""))</f>
      </c>
      <c r="AR132" s="26">
        <f>IF(OR($A132="",AR$3=""),"",IF(AND($J132&lt;&gt;"",$K132&lt;&gt;"",$J132=$K132,$J132&gt;=AR$3,$J132&lt;=IF(param_mode_affichage="mois",EOMONTH(AR$3,0),AR$3+6)),"◆",""))</f>
      </c>
      <c r="AS132" s="26">
        <f>IF(OR($A132="",AS$3=""),"",IF(AND($J132&lt;&gt;"",$K132&lt;&gt;"",$J132=$K132,$J132&gt;=AS$3,$J132&lt;=IF(param_mode_affichage="mois",EOMONTH(AS$3,0),AS$3+6)),"◆",""))</f>
      </c>
      <c r="AT132" s="26">
        <f>IF(OR($A132="",AT$3=""),"",IF(AND($J132&lt;&gt;"",$K132&lt;&gt;"",$J132=$K132,$J132&gt;=AT$3,$J132&lt;=IF(param_mode_affichage="mois",EOMONTH(AT$3,0),AT$3+6)),"◆",""))</f>
      </c>
      <c r="AU132" s="26">
        <f>IF(OR($A132="",AU$3=""),"",IF(AND($J132&lt;&gt;"",$K132&lt;&gt;"",$J132=$K132,$J132&gt;=AU$3,$J132&lt;=IF(param_mode_affichage="mois",EOMONTH(AU$3,0),AU$3+6)),"◆",""))</f>
      </c>
      <c r="AV132" s="26">
        <f>IF(OR($A132="",AV$3=""),"",IF(AND($J132&lt;&gt;"",$K132&lt;&gt;"",$J132=$K132,$J132&gt;=AV$3,$J132&lt;=IF(param_mode_affichage="mois",EOMONTH(AV$3,0),AV$3+6)),"◆",""))</f>
      </c>
      <c r="AW132" s="26">
        <f>IF(OR($A132="",AW$3=""),"",IF(AND($J132&lt;&gt;"",$K132&lt;&gt;"",$J132=$K132,$J132&gt;=AW$3,$J132&lt;=IF(param_mode_affichage="mois",EOMONTH(AW$3,0),AW$3+6)),"◆",""))</f>
      </c>
      <c r="AX132" s="26">
        <f>IF(OR($A132="",AX$3=""),"",IF(AND($J132&lt;&gt;"",$K132&lt;&gt;"",$J132=$K132,$J132&gt;=AX$3,$J132&lt;=IF(param_mode_affichage="mois",EOMONTH(AX$3,0),AX$3+6)),"◆",""))</f>
      </c>
      <c r="AY132" s="26">
        <f>IF(OR($A132="",AY$3=""),"",IF(AND($J132&lt;&gt;"",$K132&lt;&gt;"",$J132=$K132,$J132&gt;=AY$3,$J132&lt;=IF(param_mode_affichage="mois",EOMONTH(AY$3,0),AY$3+6)),"◆",""))</f>
      </c>
      <c r="AZ132" s="26">
        <f>IF(OR($A132="",AZ$3=""),"",IF(AND($J132&lt;&gt;"",$K132&lt;&gt;"",$J132=$K132,$J132&gt;=AZ$3,$J132&lt;=IF(param_mode_affichage="mois",EOMONTH(AZ$3,0),AZ$3+6)),"◆",""))</f>
      </c>
      <c r="BA132" s="26">
        <f>IF(OR($A132="",BA$3=""),"",IF(AND($J132&lt;&gt;"",$K132&lt;&gt;"",$J132=$K132,$J132&gt;=BA$3,$J132&lt;=IF(param_mode_affichage="mois",EOMONTH(BA$3,0),BA$3+6)),"◆",""))</f>
      </c>
      <c r="BB132" s="26">
        <f>IF(OR($A132="",BB$3=""),"",IF(AND($J132&lt;&gt;"",$K132&lt;&gt;"",$J132=$K132,$J132&gt;=BB$3,$J132&lt;=IF(param_mode_affichage="mois",EOMONTH(BB$3,0),BB$3+6)),"◆",""))</f>
      </c>
      <c r="BC132" s="26">
        <f>IF(OR($A132="",BC$3=""),"",IF(AND($J132&lt;&gt;"",$K132&lt;&gt;"",$J132=$K132,$J132&gt;=BC$3,$J132&lt;=IF(param_mode_affichage="mois",EOMONTH(BC$3,0),BC$3+6)),"◆",""))</f>
      </c>
      <c r="BD132" s="26">
        <f>IF(OR($A132="",BD$3=""),"",IF(AND($J132&lt;&gt;"",$K132&lt;&gt;"",$J132=$K132,$J132&gt;=BD$3,$J132&lt;=IF(param_mode_affichage="mois",EOMONTH(BD$3,0),BD$3+6)),"◆",""))</f>
      </c>
      <c r="BE132" s="26">
        <f>IF(OR($A132="",BE$3=""),"",IF(AND($J132&lt;&gt;"",$K132&lt;&gt;"",$J132=$K132,$J132&gt;=BE$3,$J132&lt;=IF(param_mode_affichage="mois",EOMONTH(BE$3,0),BE$3+6)),"◆",""))</f>
      </c>
      <c r="BF132" s="26">
        <f>IF(OR($A132="",BF$3=""),"",IF(AND($J132&lt;&gt;"",$K132&lt;&gt;"",$J132=$K132,$J132&gt;=BF$3,$J132&lt;=IF(param_mode_affichage="mois",EOMONTH(BF$3,0),BF$3+6)),"◆",""))</f>
      </c>
      <c r="BG132" s="26">
        <f>IF(OR($A132="",BG$3=""),"",IF(AND($J132&lt;&gt;"",$K132&lt;&gt;"",$J132=$K132,$J132&gt;=BG$3,$J132&lt;=IF(param_mode_affichage="mois",EOMONTH(BG$3,0),BG$3+6)),"◆",""))</f>
      </c>
      <c r="BH132" s="26">
        <f>IF(OR($A132="",BH$3=""),"",IF(AND($J132&lt;&gt;"",$K132&lt;&gt;"",$J132=$K132,$J132&gt;=BH$3,$J132&lt;=IF(param_mode_affichage="mois",EOMONTH(BH$3,0),BH$3+6)),"◆",""))</f>
      </c>
      <c r="BI132" s="26">
        <f>IF(OR($A132="",BI$3=""),"",IF(AND($J132&lt;&gt;"",$K132&lt;&gt;"",$J132=$K132,$J132&gt;=BI$3,$J132&lt;=IF(param_mode_affichage="mois",EOMONTH(BI$3,0),BI$3+6)),"◆",""))</f>
      </c>
      <c r="BJ132" s="26">
        <f>IF(OR($A132="",BJ$3=""),"",IF(AND($J132&lt;&gt;"",$K132&lt;&gt;"",$J132=$K132,$J132&gt;=BJ$3,$J132&lt;=IF(param_mode_affichage="mois",EOMONTH(BJ$3,0),BJ$3+6)),"◆",""))</f>
      </c>
      <c r="BK132" s="26">
        <f>IF(OR($A132="",BK$3=""),"",IF(AND($J132&lt;&gt;"",$K132&lt;&gt;"",$J132=$K132,$J132&gt;=BK$3,$J132&lt;=IF(param_mode_affichage="mois",EOMONTH(BK$3,0),BK$3+6)),"◆",""))</f>
      </c>
      <c r="BL132" s="26">
        <f>IF(OR($A132="",BL$3=""),"",IF(AND($J132&lt;&gt;"",$K132&lt;&gt;"",$J132=$K132,$J132&gt;=BL$3,$J132&lt;=IF(param_mode_affichage="mois",EOMONTH(BL$3,0),BL$3+6)),"◆",""))</f>
      </c>
    </row>
    <row r="133" spans="1:64" x14ac:dyDescent="0.25">
      <c r="A133" s="23">
        <f>IFERROR(INDEX(tblTasks[ID],ROW()-4),"")</f>
      </c>
      <c r="B133" s="24">
        <f>IF($A133="","",INDEX(tblTasks[Sujet],ROW()-4))</f>
      </c>
      <c r="C133" s="23">
        <f>IF($A133="","",INDEX(tblTasks[Responsable],ROW()-4))</f>
      </c>
      <c r="D133" s="23">
        <f>IF($A133="","",INDEX(tblTasks[Statut],ROW()-4))</f>
      </c>
      <c r="E133" s="23">
        <f>IF($A133="","",INDEX(tblTasks[Depend_de],ROW()-4))</f>
      </c>
      <c r="F133" s="23">
        <f>IF($A133="","",INDEX(tblTasks[Blocage],ROW()-4))</f>
      </c>
      <c r="G133" s="23">
        <f>IF($A133="","",INDEX(tblTasks[Niveau_criticite],ROW()-4))</f>
      </c>
      <c r="H133" s="23">
        <f>IF($A133="","",INDEX(tblTasks[Goulot],ROW()-4))</f>
      </c>
      <c r="I133" s="23">
        <f>IF($A133="","",IF(LOWER($F133)="oui","non",IF($E133="","oui",IFERROR(IF(LOWER(INDEX(tblTasks[Statut],MATCH($E133,tblTasks[ID],0)))="clos","oui","non"),"non"))))</f>
      </c>
      <c r="J133" s="25">
        <f>IF($A133="","",INDEX(tblTasks[Date_debut_prevue],ROW()-4))</f>
      </c>
      <c r="K133" s="25">
        <f>IF($A133="","",INDEX(tblTasks[Date_fin_prevue],ROW()-4))</f>
      </c>
      <c r="L133" s="23">
        <f>IF($A133="","",INDEX(tblTasks[Irreversibilite],ROW()-4))</f>
      </c>
      <c r="M133" s="26">
        <f>IF(OR($A133="",M$3=""),"",IF(AND($J133&lt;&gt;"",$K133&lt;&gt;"",$J133=$K133,$J133&gt;=M$3,$J133&lt;=IF(param_mode_affichage="mois",EOMONTH(M$3,0),M$3+6)),"◆",""))</f>
      </c>
      <c r="N133" s="26">
        <f>IF(OR($A133="",N$3=""),"",IF(AND($J133&lt;&gt;"",$K133&lt;&gt;"",$J133=$K133,$J133&gt;=N$3,$J133&lt;=IF(param_mode_affichage="mois",EOMONTH(N$3,0),N$3+6)),"◆",""))</f>
      </c>
      <c r="O133" s="26">
        <f>IF(OR($A133="",O$3=""),"",IF(AND($J133&lt;&gt;"",$K133&lt;&gt;"",$J133=$K133,$J133&gt;=O$3,$J133&lt;=IF(param_mode_affichage="mois",EOMONTH(O$3,0),O$3+6)),"◆",""))</f>
      </c>
      <c r="P133" s="26">
        <f>IF(OR($A133="",P$3=""),"",IF(AND($J133&lt;&gt;"",$K133&lt;&gt;"",$J133=$K133,$J133&gt;=P$3,$J133&lt;=IF(param_mode_affichage="mois",EOMONTH(P$3,0),P$3+6)),"◆",""))</f>
      </c>
      <c r="Q133" s="26">
        <f>IF(OR($A133="",Q$3=""),"",IF(AND($J133&lt;&gt;"",$K133&lt;&gt;"",$J133=$K133,$J133&gt;=Q$3,$J133&lt;=IF(param_mode_affichage="mois",EOMONTH(Q$3,0),Q$3+6)),"◆",""))</f>
      </c>
      <c r="R133" s="26">
        <f>IF(OR($A133="",R$3=""),"",IF(AND($J133&lt;&gt;"",$K133&lt;&gt;"",$J133=$K133,$J133&gt;=R$3,$J133&lt;=IF(param_mode_affichage="mois",EOMONTH(R$3,0),R$3+6)),"◆",""))</f>
      </c>
      <c r="S133" s="26">
        <f>IF(OR($A133="",S$3=""),"",IF(AND($J133&lt;&gt;"",$K133&lt;&gt;"",$J133=$K133,$J133&gt;=S$3,$J133&lt;=IF(param_mode_affichage="mois",EOMONTH(S$3,0),S$3+6)),"◆",""))</f>
      </c>
      <c r="T133" s="26">
        <f>IF(OR($A133="",T$3=""),"",IF(AND($J133&lt;&gt;"",$K133&lt;&gt;"",$J133=$K133,$J133&gt;=T$3,$J133&lt;=IF(param_mode_affichage="mois",EOMONTH(T$3,0),T$3+6)),"◆",""))</f>
      </c>
      <c r="U133" s="26">
        <f>IF(OR($A133="",U$3=""),"",IF(AND($J133&lt;&gt;"",$K133&lt;&gt;"",$J133=$K133,$J133&gt;=U$3,$J133&lt;=IF(param_mode_affichage="mois",EOMONTH(U$3,0),U$3+6)),"◆",""))</f>
      </c>
      <c r="V133" s="26">
        <f>IF(OR($A133="",V$3=""),"",IF(AND($J133&lt;&gt;"",$K133&lt;&gt;"",$J133=$K133,$J133&gt;=V$3,$J133&lt;=IF(param_mode_affichage="mois",EOMONTH(V$3,0),V$3+6)),"◆",""))</f>
      </c>
      <c r="W133" s="26">
        <f>IF(OR($A133="",W$3=""),"",IF(AND($J133&lt;&gt;"",$K133&lt;&gt;"",$J133=$K133,$J133&gt;=W$3,$J133&lt;=IF(param_mode_affichage="mois",EOMONTH(W$3,0),W$3+6)),"◆",""))</f>
      </c>
      <c r="X133" s="26">
        <f>IF(OR($A133="",X$3=""),"",IF(AND($J133&lt;&gt;"",$K133&lt;&gt;"",$J133=$K133,$J133&gt;=X$3,$J133&lt;=IF(param_mode_affichage="mois",EOMONTH(X$3,0),X$3+6)),"◆",""))</f>
      </c>
      <c r="Y133" s="26">
        <f>IF(OR($A133="",Y$3=""),"",IF(AND($J133&lt;&gt;"",$K133&lt;&gt;"",$J133=$K133,$J133&gt;=Y$3,$J133&lt;=IF(param_mode_affichage="mois",EOMONTH(Y$3,0),Y$3+6)),"◆",""))</f>
      </c>
      <c r="Z133" s="26">
        <f>IF(OR($A133="",Z$3=""),"",IF(AND($J133&lt;&gt;"",$K133&lt;&gt;"",$J133=$K133,$J133&gt;=Z$3,$J133&lt;=IF(param_mode_affichage="mois",EOMONTH(Z$3,0),Z$3+6)),"◆",""))</f>
      </c>
      <c r="AA133" s="26">
        <f>IF(OR($A133="",AA$3=""),"",IF(AND($J133&lt;&gt;"",$K133&lt;&gt;"",$J133=$K133,$J133&gt;=AA$3,$J133&lt;=IF(param_mode_affichage="mois",EOMONTH(AA$3,0),AA$3+6)),"◆",""))</f>
      </c>
      <c r="AB133" s="26">
        <f>IF(OR($A133="",AB$3=""),"",IF(AND($J133&lt;&gt;"",$K133&lt;&gt;"",$J133=$K133,$J133&gt;=AB$3,$J133&lt;=IF(param_mode_affichage="mois",EOMONTH(AB$3,0),AB$3+6)),"◆",""))</f>
      </c>
      <c r="AC133" s="26">
        <f>IF(OR($A133="",AC$3=""),"",IF(AND($J133&lt;&gt;"",$K133&lt;&gt;"",$J133=$K133,$J133&gt;=AC$3,$J133&lt;=IF(param_mode_affichage="mois",EOMONTH(AC$3,0),AC$3+6)),"◆",""))</f>
      </c>
      <c r="AD133" s="26">
        <f>IF(OR($A133="",AD$3=""),"",IF(AND($J133&lt;&gt;"",$K133&lt;&gt;"",$J133=$K133,$J133&gt;=AD$3,$J133&lt;=IF(param_mode_affichage="mois",EOMONTH(AD$3,0),AD$3+6)),"◆",""))</f>
      </c>
      <c r="AE133" s="26">
        <f>IF(OR($A133="",AE$3=""),"",IF(AND($J133&lt;&gt;"",$K133&lt;&gt;"",$J133=$K133,$J133&gt;=AE$3,$J133&lt;=IF(param_mode_affichage="mois",EOMONTH(AE$3,0),AE$3+6)),"◆",""))</f>
      </c>
      <c r="AF133" s="26">
        <f>IF(OR($A133="",AF$3=""),"",IF(AND($J133&lt;&gt;"",$K133&lt;&gt;"",$J133=$K133,$J133&gt;=AF$3,$J133&lt;=IF(param_mode_affichage="mois",EOMONTH(AF$3,0),AF$3+6)),"◆",""))</f>
      </c>
      <c r="AG133" s="26">
        <f>IF(OR($A133="",AG$3=""),"",IF(AND($J133&lt;&gt;"",$K133&lt;&gt;"",$J133=$K133,$J133&gt;=AG$3,$J133&lt;=IF(param_mode_affichage="mois",EOMONTH(AG$3,0),AG$3+6)),"◆",""))</f>
      </c>
      <c r="AH133" s="26">
        <f>IF(OR($A133="",AH$3=""),"",IF(AND($J133&lt;&gt;"",$K133&lt;&gt;"",$J133=$K133,$J133&gt;=AH$3,$J133&lt;=IF(param_mode_affichage="mois",EOMONTH(AH$3,0),AH$3+6)),"◆",""))</f>
      </c>
      <c r="AI133" s="26">
        <f>IF(OR($A133="",AI$3=""),"",IF(AND($J133&lt;&gt;"",$K133&lt;&gt;"",$J133=$K133,$J133&gt;=AI$3,$J133&lt;=IF(param_mode_affichage="mois",EOMONTH(AI$3,0),AI$3+6)),"◆",""))</f>
      </c>
      <c r="AJ133" s="26">
        <f>IF(OR($A133="",AJ$3=""),"",IF(AND($J133&lt;&gt;"",$K133&lt;&gt;"",$J133=$K133,$J133&gt;=AJ$3,$J133&lt;=IF(param_mode_affichage="mois",EOMONTH(AJ$3,0),AJ$3+6)),"◆",""))</f>
      </c>
      <c r="AK133" s="26">
        <f>IF(OR($A133="",AK$3=""),"",IF(AND($J133&lt;&gt;"",$K133&lt;&gt;"",$J133=$K133,$J133&gt;=AK$3,$J133&lt;=IF(param_mode_affichage="mois",EOMONTH(AK$3,0),AK$3+6)),"◆",""))</f>
      </c>
      <c r="AL133" s="26">
        <f>IF(OR($A133="",AL$3=""),"",IF(AND($J133&lt;&gt;"",$K133&lt;&gt;"",$J133=$K133,$J133&gt;=AL$3,$J133&lt;=IF(param_mode_affichage="mois",EOMONTH(AL$3,0),AL$3+6)),"◆",""))</f>
      </c>
      <c r="AM133" s="26">
        <f>IF(OR($A133="",AM$3=""),"",IF(AND($J133&lt;&gt;"",$K133&lt;&gt;"",$J133=$K133,$J133&gt;=AM$3,$J133&lt;=IF(param_mode_affichage="mois",EOMONTH(AM$3,0),AM$3+6)),"◆",""))</f>
      </c>
      <c r="AN133" s="26">
        <f>IF(OR($A133="",AN$3=""),"",IF(AND($J133&lt;&gt;"",$K133&lt;&gt;"",$J133=$K133,$J133&gt;=AN$3,$J133&lt;=IF(param_mode_affichage="mois",EOMONTH(AN$3,0),AN$3+6)),"◆",""))</f>
      </c>
      <c r="AO133" s="26">
        <f>IF(OR($A133="",AO$3=""),"",IF(AND($J133&lt;&gt;"",$K133&lt;&gt;"",$J133=$K133,$J133&gt;=AO$3,$J133&lt;=IF(param_mode_affichage="mois",EOMONTH(AO$3,0),AO$3+6)),"◆",""))</f>
      </c>
      <c r="AP133" s="26">
        <f>IF(OR($A133="",AP$3=""),"",IF(AND($J133&lt;&gt;"",$K133&lt;&gt;"",$J133=$K133,$J133&gt;=AP$3,$J133&lt;=IF(param_mode_affichage="mois",EOMONTH(AP$3,0),AP$3+6)),"◆",""))</f>
      </c>
      <c r="AQ133" s="26">
        <f>IF(OR($A133="",AQ$3=""),"",IF(AND($J133&lt;&gt;"",$K133&lt;&gt;"",$J133=$K133,$J133&gt;=AQ$3,$J133&lt;=IF(param_mode_affichage="mois",EOMONTH(AQ$3,0),AQ$3+6)),"◆",""))</f>
      </c>
      <c r="AR133" s="26">
        <f>IF(OR($A133="",AR$3=""),"",IF(AND($J133&lt;&gt;"",$K133&lt;&gt;"",$J133=$K133,$J133&gt;=AR$3,$J133&lt;=IF(param_mode_affichage="mois",EOMONTH(AR$3,0),AR$3+6)),"◆",""))</f>
      </c>
      <c r="AS133" s="26">
        <f>IF(OR($A133="",AS$3=""),"",IF(AND($J133&lt;&gt;"",$K133&lt;&gt;"",$J133=$K133,$J133&gt;=AS$3,$J133&lt;=IF(param_mode_affichage="mois",EOMONTH(AS$3,0),AS$3+6)),"◆",""))</f>
      </c>
      <c r="AT133" s="26">
        <f>IF(OR($A133="",AT$3=""),"",IF(AND($J133&lt;&gt;"",$K133&lt;&gt;"",$J133=$K133,$J133&gt;=AT$3,$J133&lt;=IF(param_mode_affichage="mois",EOMONTH(AT$3,0),AT$3+6)),"◆",""))</f>
      </c>
      <c r="AU133" s="26">
        <f>IF(OR($A133="",AU$3=""),"",IF(AND($J133&lt;&gt;"",$K133&lt;&gt;"",$J133=$K133,$J133&gt;=AU$3,$J133&lt;=IF(param_mode_affichage="mois",EOMONTH(AU$3,0),AU$3+6)),"◆",""))</f>
      </c>
      <c r="AV133" s="26">
        <f>IF(OR($A133="",AV$3=""),"",IF(AND($J133&lt;&gt;"",$K133&lt;&gt;"",$J133=$K133,$J133&gt;=AV$3,$J133&lt;=IF(param_mode_affichage="mois",EOMONTH(AV$3,0),AV$3+6)),"◆",""))</f>
      </c>
      <c r="AW133" s="26">
        <f>IF(OR($A133="",AW$3=""),"",IF(AND($J133&lt;&gt;"",$K133&lt;&gt;"",$J133=$K133,$J133&gt;=AW$3,$J133&lt;=IF(param_mode_affichage="mois",EOMONTH(AW$3,0),AW$3+6)),"◆",""))</f>
      </c>
      <c r="AX133" s="26">
        <f>IF(OR($A133="",AX$3=""),"",IF(AND($J133&lt;&gt;"",$K133&lt;&gt;"",$J133=$K133,$J133&gt;=AX$3,$J133&lt;=IF(param_mode_affichage="mois",EOMONTH(AX$3,0),AX$3+6)),"◆",""))</f>
      </c>
      <c r="AY133" s="26">
        <f>IF(OR($A133="",AY$3=""),"",IF(AND($J133&lt;&gt;"",$K133&lt;&gt;"",$J133=$K133,$J133&gt;=AY$3,$J133&lt;=IF(param_mode_affichage="mois",EOMONTH(AY$3,0),AY$3+6)),"◆",""))</f>
      </c>
      <c r="AZ133" s="26">
        <f>IF(OR($A133="",AZ$3=""),"",IF(AND($J133&lt;&gt;"",$K133&lt;&gt;"",$J133=$K133,$J133&gt;=AZ$3,$J133&lt;=IF(param_mode_affichage="mois",EOMONTH(AZ$3,0),AZ$3+6)),"◆",""))</f>
      </c>
      <c r="BA133" s="26">
        <f>IF(OR($A133="",BA$3=""),"",IF(AND($J133&lt;&gt;"",$K133&lt;&gt;"",$J133=$K133,$J133&gt;=BA$3,$J133&lt;=IF(param_mode_affichage="mois",EOMONTH(BA$3,0),BA$3+6)),"◆",""))</f>
      </c>
      <c r="BB133" s="26">
        <f>IF(OR($A133="",BB$3=""),"",IF(AND($J133&lt;&gt;"",$K133&lt;&gt;"",$J133=$K133,$J133&gt;=BB$3,$J133&lt;=IF(param_mode_affichage="mois",EOMONTH(BB$3,0),BB$3+6)),"◆",""))</f>
      </c>
      <c r="BC133" s="26">
        <f>IF(OR($A133="",BC$3=""),"",IF(AND($J133&lt;&gt;"",$K133&lt;&gt;"",$J133=$K133,$J133&gt;=BC$3,$J133&lt;=IF(param_mode_affichage="mois",EOMONTH(BC$3,0),BC$3+6)),"◆",""))</f>
      </c>
      <c r="BD133" s="26">
        <f>IF(OR($A133="",BD$3=""),"",IF(AND($J133&lt;&gt;"",$K133&lt;&gt;"",$J133=$K133,$J133&gt;=BD$3,$J133&lt;=IF(param_mode_affichage="mois",EOMONTH(BD$3,0),BD$3+6)),"◆",""))</f>
      </c>
      <c r="BE133" s="26">
        <f>IF(OR($A133="",BE$3=""),"",IF(AND($J133&lt;&gt;"",$K133&lt;&gt;"",$J133=$K133,$J133&gt;=BE$3,$J133&lt;=IF(param_mode_affichage="mois",EOMONTH(BE$3,0),BE$3+6)),"◆",""))</f>
      </c>
      <c r="BF133" s="26">
        <f>IF(OR($A133="",BF$3=""),"",IF(AND($J133&lt;&gt;"",$K133&lt;&gt;"",$J133=$K133,$J133&gt;=BF$3,$J133&lt;=IF(param_mode_affichage="mois",EOMONTH(BF$3,0),BF$3+6)),"◆",""))</f>
      </c>
      <c r="BG133" s="26">
        <f>IF(OR($A133="",BG$3=""),"",IF(AND($J133&lt;&gt;"",$K133&lt;&gt;"",$J133=$K133,$J133&gt;=BG$3,$J133&lt;=IF(param_mode_affichage="mois",EOMONTH(BG$3,0),BG$3+6)),"◆",""))</f>
      </c>
      <c r="BH133" s="26">
        <f>IF(OR($A133="",BH$3=""),"",IF(AND($J133&lt;&gt;"",$K133&lt;&gt;"",$J133=$K133,$J133&gt;=BH$3,$J133&lt;=IF(param_mode_affichage="mois",EOMONTH(BH$3,0),BH$3+6)),"◆",""))</f>
      </c>
      <c r="BI133" s="26">
        <f>IF(OR($A133="",BI$3=""),"",IF(AND($J133&lt;&gt;"",$K133&lt;&gt;"",$J133=$K133,$J133&gt;=BI$3,$J133&lt;=IF(param_mode_affichage="mois",EOMONTH(BI$3,0),BI$3+6)),"◆",""))</f>
      </c>
      <c r="BJ133" s="26">
        <f>IF(OR($A133="",BJ$3=""),"",IF(AND($J133&lt;&gt;"",$K133&lt;&gt;"",$J133=$K133,$J133&gt;=BJ$3,$J133&lt;=IF(param_mode_affichage="mois",EOMONTH(BJ$3,0),BJ$3+6)),"◆",""))</f>
      </c>
      <c r="BK133" s="26">
        <f>IF(OR($A133="",BK$3=""),"",IF(AND($J133&lt;&gt;"",$K133&lt;&gt;"",$J133=$K133,$J133&gt;=BK$3,$J133&lt;=IF(param_mode_affichage="mois",EOMONTH(BK$3,0),BK$3+6)),"◆",""))</f>
      </c>
      <c r="BL133" s="26">
        <f>IF(OR($A133="",BL$3=""),"",IF(AND($J133&lt;&gt;"",$K133&lt;&gt;"",$J133=$K133,$J133&gt;=BL$3,$J133&lt;=IF(param_mode_affichage="mois",EOMONTH(BL$3,0),BL$3+6)),"◆",""))</f>
      </c>
    </row>
    <row r="134" spans="1:64" x14ac:dyDescent="0.25">
      <c r="A134" s="23">
        <f>IFERROR(INDEX(tblTasks[ID],ROW()-4),"")</f>
      </c>
      <c r="B134" s="24">
        <f>IF($A134="","",INDEX(tblTasks[Sujet],ROW()-4))</f>
      </c>
      <c r="C134" s="23">
        <f>IF($A134="","",INDEX(tblTasks[Responsable],ROW()-4))</f>
      </c>
      <c r="D134" s="23">
        <f>IF($A134="","",INDEX(tblTasks[Statut],ROW()-4))</f>
      </c>
      <c r="E134" s="23">
        <f>IF($A134="","",INDEX(tblTasks[Depend_de],ROW()-4))</f>
      </c>
      <c r="F134" s="23">
        <f>IF($A134="","",INDEX(tblTasks[Blocage],ROW()-4))</f>
      </c>
      <c r="G134" s="23">
        <f>IF($A134="","",INDEX(tblTasks[Niveau_criticite],ROW()-4))</f>
      </c>
      <c r="H134" s="23">
        <f>IF($A134="","",INDEX(tblTasks[Goulot],ROW()-4))</f>
      </c>
      <c r="I134" s="23">
        <f>IF($A134="","",IF(LOWER($F134)="oui","non",IF($E134="","oui",IFERROR(IF(LOWER(INDEX(tblTasks[Statut],MATCH($E134,tblTasks[ID],0)))="clos","oui","non"),"non"))))</f>
      </c>
      <c r="J134" s="25">
        <f>IF($A134="","",INDEX(tblTasks[Date_debut_prevue],ROW()-4))</f>
      </c>
      <c r="K134" s="25">
        <f>IF($A134="","",INDEX(tblTasks[Date_fin_prevue],ROW()-4))</f>
      </c>
      <c r="L134" s="23">
        <f>IF($A134="","",INDEX(tblTasks[Irreversibilite],ROW()-4))</f>
      </c>
      <c r="M134" s="26">
        <f>IF(OR($A134="",M$3=""),"",IF(AND($J134&lt;&gt;"",$K134&lt;&gt;"",$J134=$K134,$J134&gt;=M$3,$J134&lt;=IF(param_mode_affichage="mois",EOMONTH(M$3,0),M$3+6)),"◆",""))</f>
      </c>
      <c r="N134" s="26">
        <f>IF(OR($A134="",N$3=""),"",IF(AND($J134&lt;&gt;"",$K134&lt;&gt;"",$J134=$K134,$J134&gt;=N$3,$J134&lt;=IF(param_mode_affichage="mois",EOMONTH(N$3,0),N$3+6)),"◆",""))</f>
      </c>
      <c r="O134" s="26">
        <f>IF(OR($A134="",O$3=""),"",IF(AND($J134&lt;&gt;"",$K134&lt;&gt;"",$J134=$K134,$J134&gt;=O$3,$J134&lt;=IF(param_mode_affichage="mois",EOMONTH(O$3,0),O$3+6)),"◆",""))</f>
      </c>
      <c r="P134" s="26">
        <f>IF(OR($A134="",P$3=""),"",IF(AND($J134&lt;&gt;"",$K134&lt;&gt;"",$J134=$K134,$J134&gt;=P$3,$J134&lt;=IF(param_mode_affichage="mois",EOMONTH(P$3,0),P$3+6)),"◆",""))</f>
      </c>
      <c r="Q134" s="26">
        <f>IF(OR($A134="",Q$3=""),"",IF(AND($J134&lt;&gt;"",$K134&lt;&gt;"",$J134=$K134,$J134&gt;=Q$3,$J134&lt;=IF(param_mode_affichage="mois",EOMONTH(Q$3,0),Q$3+6)),"◆",""))</f>
      </c>
      <c r="R134" s="26">
        <f>IF(OR($A134="",R$3=""),"",IF(AND($J134&lt;&gt;"",$K134&lt;&gt;"",$J134=$K134,$J134&gt;=R$3,$J134&lt;=IF(param_mode_affichage="mois",EOMONTH(R$3,0),R$3+6)),"◆",""))</f>
      </c>
      <c r="S134" s="26">
        <f>IF(OR($A134="",S$3=""),"",IF(AND($J134&lt;&gt;"",$K134&lt;&gt;"",$J134=$K134,$J134&gt;=S$3,$J134&lt;=IF(param_mode_affichage="mois",EOMONTH(S$3,0),S$3+6)),"◆",""))</f>
      </c>
      <c r="T134" s="26">
        <f>IF(OR($A134="",T$3=""),"",IF(AND($J134&lt;&gt;"",$K134&lt;&gt;"",$J134=$K134,$J134&gt;=T$3,$J134&lt;=IF(param_mode_affichage="mois",EOMONTH(T$3,0),T$3+6)),"◆",""))</f>
      </c>
      <c r="U134" s="26">
        <f>IF(OR($A134="",U$3=""),"",IF(AND($J134&lt;&gt;"",$K134&lt;&gt;"",$J134=$K134,$J134&gt;=U$3,$J134&lt;=IF(param_mode_affichage="mois",EOMONTH(U$3,0),U$3+6)),"◆",""))</f>
      </c>
      <c r="V134" s="26">
        <f>IF(OR($A134="",V$3=""),"",IF(AND($J134&lt;&gt;"",$K134&lt;&gt;"",$J134=$K134,$J134&gt;=V$3,$J134&lt;=IF(param_mode_affichage="mois",EOMONTH(V$3,0),V$3+6)),"◆",""))</f>
      </c>
      <c r="W134" s="26">
        <f>IF(OR($A134="",W$3=""),"",IF(AND($J134&lt;&gt;"",$K134&lt;&gt;"",$J134=$K134,$J134&gt;=W$3,$J134&lt;=IF(param_mode_affichage="mois",EOMONTH(W$3,0),W$3+6)),"◆",""))</f>
      </c>
      <c r="X134" s="26">
        <f>IF(OR($A134="",X$3=""),"",IF(AND($J134&lt;&gt;"",$K134&lt;&gt;"",$J134=$K134,$J134&gt;=X$3,$J134&lt;=IF(param_mode_affichage="mois",EOMONTH(X$3,0),X$3+6)),"◆",""))</f>
      </c>
      <c r="Y134" s="26">
        <f>IF(OR($A134="",Y$3=""),"",IF(AND($J134&lt;&gt;"",$K134&lt;&gt;"",$J134=$K134,$J134&gt;=Y$3,$J134&lt;=IF(param_mode_affichage="mois",EOMONTH(Y$3,0),Y$3+6)),"◆",""))</f>
      </c>
      <c r="Z134" s="26">
        <f>IF(OR($A134="",Z$3=""),"",IF(AND($J134&lt;&gt;"",$K134&lt;&gt;"",$J134=$K134,$J134&gt;=Z$3,$J134&lt;=IF(param_mode_affichage="mois",EOMONTH(Z$3,0),Z$3+6)),"◆",""))</f>
      </c>
      <c r="AA134" s="26">
        <f>IF(OR($A134="",AA$3=""),"",IF(AND($J134&lt;&gt;"",$K134&lt;&gt;"",$J134=$K134,$J134&gt;=AA$3,$J134&lt;=IF(param_mode_affichage="mois",EOMONTH(AA$3,0),AA$3+6)),"◆",""))</f>
      </c>
      <c r="AB134" s="26">
        <f>IF(OR($A134="",AB$3=""),"",IF(AND($J134&lt;&gt;"",$K134&lt;&gt;"",$J134=$K134,$J134&gt;=AB$3,$J134&lt;=IF(param_mode_affichage="mois",EOMONTH(AB$3,0),AB$3+6)),"◆",""))</f>
      </c>
      <c r="AC134" s="26">
        <f>IF(OR($A134="",AC$3=""),"",IF(AND($J134&lt;&gt;"",$K134&lt;&gt;"",$J134=$K134,$J134&gt;=AC$3,$J134&lt;=IF(param_mode_affichage="mois",EOMONTH(AC$3,0),AC$3+6)),"◆",""))</f>
      </c>
      <c r="AD134" s="26">
        <f>IF(OR($A134="",AD$3=""),"",IF(AND($J134&lt;&gt;"",$K134&lt;&gt;"",$J134=$K134,$J134&gt;=AD$3,$J134&lt;=IF(param_mode_affichage="mois",EOMONTH(AD$3,0),AD$3+6)),"◆",""))</f>
      </c>
      <c r="AE134" s="26">
        <f>IF(OR($A134="",AE$3=""),"",IF(AND($J134&lt;&gt;"",$K134&lt;&gt;"",$J134=$K134,$J134&gt;=AE$3,$J134&lt;=IF(param_mode_affichage="mois",EOMONTH(AE$3,0),AE$3+6)),"◆",""))</f>
      </c>
      <c r="AF134" s="26">
        <f>IF(OR($A134="",AF$3=""),"",IF(AND($J134&lt;&gt;"",$K134&lt;&gt;"",$J134=$K134,$J134&gt;=AF$3,$J134&lt;=IF(param_mode_affichage="mois",EOMONTH(AF$3,0),AF$3+6)),"◆",""))</f>
      </c>
      <c r="AG134" s="26">
        <f>IF(OR($A134="",AG$3=""),"",IF(AND($J134&lt;&gt;"",$K134&lt;&gt;"",$J134=$K134,$J134&gt;=AG$3,$J134&lt;=IF(param_mode_affichage="mois",EOMONTH(AG$3,0),AG$3+6)),"◆",""))</f>
      </c>
      <c r="AH134" s="26">
        <f>IF(OR($A134="",AH$3=""),"",IF(AND($J134&lt;&gt;"",$K134&lt;&gt;"",$J134=$K134,$J134&gt;=AH$3,$J134&lt;=IF(param_mode_affichage="mois",EOMONTH(AH$3,0),AH$3+6)),"◆",""))</f>
      </c>
      <c r="AI134" s="26">
        <f>IF(OR($A134="",AI$3=""),"",IF(AND($J134&lt;&gt;"",$K134&lt;&gt;"",$J134=$K134,$J134&gt;=AI$3,$J134&lt;=IF(param_mode_affichage="mois",EOMONTH(AI$3,0),AI$3+6)),"◆",""))</f>
      </c>
      <c r="AJ134" s="26">
        <f>IF(OR($A134="",AJ$3=""),"",IF(AND($J134&lt;&gt;"",$K134&lt;&gt;"",$J134=$K134,$J134&gt;=AJ$3,$J134&lt;=IF(param_mode_affichage="mois",EOMONTH(AJ$3,0),AJ$3+6)),"◆",""))</f>
      </c>
      <c r="AK134" s="26">
        <f>IF(OR($A134="",AK$3=""),"",IF(AND($J134&lt;&gt;"",$K134&lt;&gt;"",$J134=$K134,$J134&gt;=AK$3,$J134&lt;=IF(param_mode_affichage="mois",EOMONTH(AK$3,0),AK$3+6)),"◆",""))</f>
      </c>
      <c r="AL134" s="26">
        <f>IF(OR($A134="",AL$3=""),"",IF(AND($J134&lt;&gt;"",$K134&lt;&gt;"",$J134=$K134,$J134&gt;=AL$3,$J134&lt;=IF(param_mode_affichage="mois",EOMONTH(AL$3,0),AL$3+6)),"◆",""))</f>
      </c>
      <c r="AM134" s="26">
        <f>IF(OR($A134="",AM$3=""),"",IF(AND($J134&lt;&gt;"",$K134&lt;&gt;"",$J134=$K134,$J134&gt;=AM$3,$J134&lt;=IF(param_mode_affichage="mois",EOMONTH(AM$3,0),AM$3+6)),"◆",""))</f>
      </c>
      <c r="AN134" s="26">
        <f>IF(OR($A134="",AN$3=""),"",IF(AND($J134&lt;&gt;"",$K134&lt;&gt;"",$J134=$K134,$J134&gt;=AN$3,$J134&lt;=IF(param_mode_affichage="mois",EOMONTH(AN$3,0),AN$3+6)),"◆",""))</f>
      </c>
      <c r="AO134" s="26">
        <f>IF(OR($A134="",AO$3=""),"",IF(AND($J134&lt;&gt;"",$K134&lt;&gt;"",$J134=$K134,$J134&gt;=AO$3,$J134&lt;=IF(param_mode_affichage="mois",EOMONTH(AO$3,0),AO$3+6)),"◆",""))</f>
      </c>
      <c r="AP134" s="26">
        <f>IF(OR($A134="",AP$3=""),"",IF(AND($J134&lt;&gt;"",$K134&lt;&gt;"",$J134=$K134,$J134&gt;=AP$3,$J134&lt;=IF(param_mode_affichage="mois",EOMONTH(AP$3,0),AP$3+6)),"◆",""))</f>
      </c>
      <c r="AQ134" s="26">
        <f>IF(OR($A134="",AQ$3=""),"",IF(AND($J134&lt;&gt;"",$K134&lt;&gt;"",$J134=$K134,$J134&gt;=AQ$3,$J134&lt;=IF(param_mode_affichage="mois",EOMONTH(AQ$3,0),AQ$3+6)),"◆",""))</f>
      </c>
      <c r="AR134" s="26">
        <f>IF(OR($A134="",AR$3=""),"",IF(AND($J134&lt;&gt;"",$K134&lt;&gt;"",$J134=$K134,$J134&gt;=AR$3,$J134&lt;=IF(param_mode_affichage="mois",EOMONTH(AR$3,0),AR$3+6)),"◆",""))</f>
      </c>
      <c r="AS134" s="26">
        <f>IF(OR($A134="",AS$3=""),"",IF(AND($J134&lt;&gt;"",$K134&lt;&gt;"",$J134=$K134,$J134&gt;=AS$3,$J134&lt;=IF(param_mode_affichage="mois",EOMONTH(AS$3,0),AS$3+6)),"◆",""))</f>
      </c>
      <c r="AT134" s="26">
        <f>IF(OR($A134="",AT$3=""),"",IF(AND($J134&lt;&gt;"",$K134&lt;&gt;"",$J134=$K134,$J134&gt;=AT$3,$J134&lt;=IF(param_mode_affichage="mois",EOMONTH(AT$3,0),AT$3+6)),"◆",""))</f>
      </c>
      <c r="AU134" s="26">
        <f>IF(OR($A134="",AU$3=""),"",IF(AND($J134&lt;&gt;"",$K134&lt;&gt;"",$J134=$K134,$J134&gt;=AU$3,$J134&lt;=IF(param_mode_affichage="mois",EOMONTH(AU$3,0),AU$3+6)),"◆",""))</f>
      </c>
      <c r="AV134" s="26">
        <f>IF(OR($A134="",AV$3=""),"",IF(AND($J134&lt;&gt;"",$K134&lt;&gt;"",$J134=$K134,$J134&gt;=AV$3,$J134&lt;=IF(param_mode_affichage="mois",EOMONTH(AV$3,0),AV$3+6)),"◆",""))</f>
      </c>
      <c r="AW134" s="26">
        <f>IF(OR($A134="",AW$3=""),"",IF(AND($J134&lt;&gt;"",$K134&lt;&gt;"",$J134=$K134,$J134&gt;=AW$3,$J134&lt;=IF(param_mode_affichage="mois",EOMONTH(AW$3,0),AW$3+6)),"◆",""))</f>
      </c>
      <c r="AX134" s="26">
        <f>IF(OR($A134="",AX$3=""),"",IF(AND($J134&lt;&gt;"",$K134&lt;&gt;"",$J134=$K134,$J134&gt;=AX$3,$J134&lt;=IF(param_mode_affichage="mois",EOMONTH(AX$3,0),AX$3+6)),"◆",""))</f>
      </c>
      <c r="AY134" s="26">
        <f>IF(OR($A134="",AY$3=""),"",IF(AND($J134&lt;&gt;"",$K134&lt;&gt;"",$J134=$K134,$J134&gt;=AY$3,$J134&lt;=IF(param_mode_affichage="mois",EOMONTH(AY$3,0),AY$3+6)),"◆",""))</f>
      </c>
      <c r="AZ134" s="26">
        <f>IF(OR($A134="",AZ$3=""),"",IF(AND($J134&lt;&gt;"",$K134&lt;&gt;"",$J134=$K134,$J134&gt;=AZ$3,$J134&lt;=IF(param_mode_affichage="mois",EOMONTH(AZ$3,0),AZ$3+6)),"◆",""))</f>
      </c>
      <c r="BA134" s="26">
        <f>IF(OR($A134="",BA$3=""),"",IF(AND($J134&lt;&gt;"",$K134&lt;&gt;"",$J134=$K134,$J134&gt;=BA$3,$J134&lt;=IF(param_mode_affichage="mois",EOMONTH(BA$3,0),BA$3+6)),"◆",""))</f>
      </c>
      <c r="BB134" s="26">
        <f>IF(OR($A134="",BB$3=""),"",IF(AND($J134&lt;&gt;"",$K134&lt;&gt;"",$J134=$K134,$J134&gt;=BB$3,$J134&lt;=IF(param_mode_affichage="mois",EOMONTH(BB$3,0),BB$3+6)),"◆",""))</f>
      </c>
      <c r="BC134" s="26">
        <f>IF(OR($A134="",BC$3=""),"",IF(AND($J134&lt;&gt;"",$K134&lt;&gt;"",$J134=$K134,$J134&gt;=BC$3,$J134&lt;=IF(param_mode_affichage="mois",EOMONTH(BC$3,0),BC$3+6)),"◆",""))</f>
      </c>
      <c r="BD134" s="26">
        <f>IF(OR($A134="",BD$3=""),"",IF(AND($J134&lt;&gt;"",$K134&lt;&gt;"",$J134=$K134,$J134&gt;=BD$3,$J134&lt;=IF(param_mode_affichage="mois",EOMONTH(BD$3,0),BD$3+6)),"◆",""))</f>
      </c>
      <c r="BE134" s="26">
        <f>IF(OR($A134="",BE$3=""),"",IF(AND($J134&lt;&gt;"",$K134&lt;&gt;"",$J134=$K134,$J134&gt;=BE$3,$J134&lt;=IF(param_mode_affichage="mois",EOMONTH(BE$3,0),BE$3+6)),"◆",""))</f>
      </c>
      <c r="BF134" s="26">
        <f>IF(OR($A134="",BF$3=""),"",IF(AND($J134&lt;&gt;"",$K134&lt;&gt;"",$J134=$K134,$J134&gt;=BF$3,$J134&lt;=IF(param_mode_affichage="mois",EOMONTH(BF$3,0),BF$3+6)),"◆",""))</f>
      </c>
      <c r="BG134" s="26">
        <f>IF(OR($A134="",BG$3=""),"",IF(AND($J134&lt;&gt;"",$K134&lt;&gt;"",$J134=$K134,$J134&gt;=BG$3,$J134&lt;=IF(param_mode_affichage="mois",EOMONTH(BG$3,0),BG$3+6)),"◆",""))</f>
      </c>
      <c r="BH134" s="26">
        <f>IF(OR($A134="",BH$3=""),"",IF(AND($J134&lt;&gt;"",$K134&lt;&gt;"",$J134=$K134,$J134&gt;=BH$3,$J134&lt;=IF(param_mode_affichage="mois",EOMONTH(BH$3,0),BH$3+6)),"◆",""))</f>
      </c>
      <c r="BI134" s="26">
        <f>IF(OR($A134="",BI$3=""),"",IF(AND($J134&lt;&gt;"",$K134&lt;&gt;"",$J134=$K134,$J134&gt;=BI$3,$J134&lt;=IF(param_mode_affichage="mois",EOMONTH(BI$3,0),BI$3+6)),"◆",""))</f>
      </c>
      <c r="BJ134" s="26">
        <f>IF(OR($A134="",BJ$3=""),"",IF(AND($J134&lt;&gt;"",$K134&lt;&gt;"",$J134=$K134,$J134&gt;=BJ$3,$J134&lt;=IF(param_mode_affichage="mois",EOMONTH(BJ$3,0),BJ$3+6)),"◆",""))</f>
      </c>
      <c r="BK134" s="26">
        <f>IF(OR($A134="",BK$3=""),"",IF(AND($J134&lt;&gt;"",$K134&lt;&gt;"",$J134=$K134,$J134&gt;=BK$3,$J134&lt;=IF(param_mode_affichage="mois",EOMONTH(BK$3,0),BK$3+6)),"◆",""))</f>
      </c>
      <c r="BL134" s="26">
        <f>IF(OR($A134="",BL$3=""),"",IF(AND($J134&lt;&gt;"",$K134&lt;&gt;"",$J134=$K134,$J134&gt;=BL$3,$J134&lt;=IF(param_mode_affichage="mois",EOMONTH(BL$3,0),BL$3+6)),"◆",""))</f>
      </c>
    </row>
    <row r="135" spans="1:64" x14ac:dyDescent="0.25">
      <c r="A135" s="23">
        <f>IFERROR(INDEX(tblTasks[ID],ROW()-4),"")</f>
      </c>
      <c r="B135" s="24">
        <f>IF($A135="","",INDEX(tblTasks[Sujet],ROW()-4))</f>
      </c>
      <c r="C135" s="23">
        <f>IF($A135="","",INDEX(tblTasks[Responsable],ROW()-4))</f>
      </c>
      <c r="D135" s="23">
        <f>IF($A135="","",INDEX(tblTasks[Statut],ROW()-4))</f>
      </c>
      <c r="E135" s="23">
        <f>IF($A135="","",INDEX(tblTasks[Depend_de],ROW()-4))</f>
      </c>
      <c r="F135" s="23">
        <f>IF($A135="","",INDEX(tblTasks[Blocage],ROW()-4))</f>
      </c>
      <c r="G135" s="23">
        <f>IF($A135="","",INDEX(tblTasks[Niveau_criticite],ROW()-4))</f>
      </c>
      <c r="H135" s="23">
        <f>IF($A135="","",INDEX(tblTasks[Goulot],ROW()-4))</f>
      </c>
      <c r="I135" s="23">
        <f>IF($A135="","",IF(LOWER($F135)="oui","non",IF($E135="","oui",IFERROR(IF(LOWER(INDEX(tblTasks[Statut],MATCH($E135,tblTasks[ID],0)))="clos","oui","non"),"non"))))</f>
      </c>
      <c r="J135" s="25">
        <f>IF($A135="","",INDEX(tblTasks[Date_debut_prevue],ROW()-4))</f>
      </c>
      <c r="K135" s="25">
        <f>IF($A135="","",INDEX(tblTasks[Date_fin_prevue],ROW()-4))</f>
      </c>
      <c r="L135" s="23">
        <f>IF($A135="","",INDEX(tblTasks[Irreversibilite],ROW()-4))</f>
      </c>
      <c r="M135" s="26">
        <f>IF(OR($A135="",M$3=""),"",IF(AND($J135&lt;&gt;"",$K135&lt;&gt;"",$J135=$K135,$J135&gt;=M$3,$J135&lt;=IF(param_mode_affichage="mois",EOMONTH(M$3,0),M$3+6)),"◆",""))</f>
      </c>
      <c r="N135" s="26">
        <f>IF(OR($A135="",N$3=""),"",IF(AND($J135&lt;&gt;"",$K135&lt;&gt;"",$J135=$K135,$J135&gt;=N$3,$J135&lt;=IF(param_mode_affichage="mois",EOMONTH(N$3,0),N$3+6)),"◆",""))</f>
      </c>
      <c r="O135" s="26">
        <f>IF(OR($A135="",O$3=""),"",IF(AND($J135&lt;&gt;"",$K135&lt;&gt;"",$J135=$K135,$J135&gt;=O$3,$J135&lt;=IF(param_mode_affichage="mois",EOMONTH(O$3,0),O$3+6)),"◆",""))</f>
      </c>
      <c r="P135" s="26">
        <f>IF(OR($A135="",P$3=""),"",IF(AND($J135&lt;&gt;"",$K135&lt;&gt;"",$J135=$K135,$J135&gt;=P$3,$J135&lt;=IF(param_mode_affichage="mois",EOMONTH(P$3,0),P$3+6)),"◆",""))</f>
      </c>
      <c r="Q135" s="26">
        <f>IF(OR($A135="",Q$3=""),"",IF(AND($J135&lt;&gt;"",$K135&lt;&gt;"",$J135=$K135,$J135&gt;=Q$3,$J135&lt;=IF(param_mode_affichage="mois",EOMONTH(Q$3,0),Q$3+6)),"◆",""))</f>
      </c>
      <c r="R135" s="26">
        <f>IF(OR($A135="",R$3=""),"",IF(AND($J135&lt;&gt;"",$K135&lt;&gt;"",$J135=$K135,$J135&gt;=R$3,$J135&lt;=IF(param_mode_affichage="mois",EOMONTH(R$3,0),R$3+6)),"◆",""))</f>
      </c>
      <c r="S135" s="26">
        <f>IF(OR($A135="",S$3=""),"",IF(AND($J135&lt;&gt;"",$K135&lt;&gt;"",$J135=$K135,$J135&gt;=S$3,$J135&lt;=IF(param_mode_affichage="mois",EOMONTH(S$3,0),S$3+6)),"◆",""))</f>
      </c>
      <c r="T135" s="26">
        <f>IF(OR($A135="",T$3=""),"",IF(AND($J135&lt;&gt;"",$K135&lt;&gt;"",$J135=$K135,$J135&gt;=T$3,$J135&lt;=IF(param_mode_affichage="mois",EOMONTH(T$3,0),T$3+6)),"◆",""))</f>
      </c>
      <c r="U135" s="26">
        <f>IF(OR($A135="",U$3=""),"",IF(AND($J135&lt;&gt;"",$K135&lt;&gt;"",$J135=$K135,$J135&gt;=U$3,$J135&lt;=IF(param_mode_affichage="mois",EOMONTH(U$3,0),U$3+6)),"◆",""))</f>
      </c>
      <c r="V135" s="26">
        <f>IF(OR($A135="",V$3=""),"",IF(AND($J135&lt;&gt;"",$K135&lt;&gt;"",$J135=$K135,$J135&gt;=V$3,$J135&lt;=IF(param_mode_affichage="mois",EOMONTH(V$3,0),V$3+6)),"◆",""))</f>
      </c>
      <c r="W135" s="26">
        <f>IF(OR($A135="",W$3=""),"",IF(AND($J135&lt;&gt;"",$K135&lt;&gt;"",$J135=$K135,$J135&gt;=W$3,$J135&lt;=IF(param_mode_affichage="mois",EOMONTH(W$3,0),W$3+6)),"◆",""))</f>
      </c>
      <c r="X135" s="26">
        <f>IF(OR($A135="",X$3=""),"",IF(AND($J135&lt;&gt;"",$K135&lt;&gt;"",$J135=$K135,$J135&gt;=X$3,$J135&lt;=IF(param_mode_affichage="mois",EOMONTH(X$3,0),X$3+6)),"◆",""))</f>
      </c>
      <c r="Y135" s="26">
        <f>IF(OR($A135="",Y$3=""),"",IF(AND($J135&lt;&gt;"",$K135&lt;&gt;"",$J135=$K135,$J135&gt;=Y$3,$J135&lt;=IF(param_mode_affichage="mois",EOMONTH(Y$3,0),Y$3+6)),"◆",""))</f>
      </c>
      <c r="Z135" s="26">
        <f>IF(OR($A135="",Z$3=""),"",IF(AND($J135&lt;&gt;"",$K135&lt;&gt;"",$J135=$K135,$J135&gt;=Z$3,$J135&lt;=IF(param_mode_affichage="mois",EOMONTH(Z$3,0),Z$3+6)),"◆",""))</f>
      </c>
      <c r="AA135" s="26">
        <f>IF(OR($A135="",AA$3=""),"",IF(AND($J135&lt;&gt;"",$K135&lt;&gt;"",$J135=$K135,$J135&gt;=AA$3,$J135&lt;=IF(param_mode_affichage="mois",EOMONTH(AA$3,0),AA$3+6)),"◆",""))</f>
      </c>
      <c r="AB135" s="26">
        <f>IF(OR($A135="",AB$3=""),"",IF(AND($J135&lt;&gt;"",$K135&lt;&gt;"",$J135=$K135,$J135&gt;=AB$3,$J135&lt;=IF(param_mode_affichage="mois",EOMONTH(AB$3,0),AB$3+6)),"◆",""))</f>
      </c>
      <c r="AC135" s="26">
        <f>IF(OR($A135="",AC$3=""),"",IF(AND($J135&lt;&gt;"",$K135&lt;&gt;"",$J135=$K135,$J135&gt;=AC$3,$J135&lt;=IF(param_mode_affichage="mois",EOMONTH(AC$3,0),AC$3+6)),"◆",""))</f>
      </c>
      <c r="AD135" s="26">
        <f>IF(OR($A135="",AD$3=""),"",IF(AND($J135&lt;&gt;"",$K135&lt;&gt;"",$J135=$K135,$J135&gt;=AD$3,$J135&lt;=IF(param_mode_affichage="mois",EOMONTH(AD$3,0),AD$3+6)),"◆",""))</f>
      </c>
      <c r="AE135" s="26">
        <f>IF(OR($A135="",AE$3=""),"",IF(AND($J135&lt;&gt;"",$K135&lt;&gt;"",$J135=$K135,$J135&gt;=AE$3,$J135&lt;=IF(param_mode_affichage="mois",EOMONTH(AE$3,0),AE$3+6)),"◆",""))</f>
      </c>
      <c r="AF135" s="26">
        <f>IF(OR($A135="",AF$3=""),"",IF(AND($J135&lt;&gt;"",$K135&lt;&gt;"",$J135=$K135,$J135&gt;=AF$3,$J135&lt;=IF(param_mode_affichage="mois",EOMONTH(AF$3,0),AF$3+6)),"◆",""))</f>
      </c>
      <c r="AG135" s="26">
        <f>IF(OR($A135="",AG$3=""),"",IF(AND($J135&lt;&gt;"",$K135&lt;&gt;"",$J135=$K135,$J135&gt;=AG$3,$J135&lt;=IF(param_mode_affichage="mois",EOMONTH(AG$3,0),AG$3+6)),"◆",""))</f>
      </c>
      <c r="AH135" s="26">
        <f>IF(OR($A135="",AH$3=""),"",IF(AND($J135&lt;&gt;"",$K135&lt;&gt;"",$J135=$K135,$J135&gt;=AH$3,$J135&lt;=IF(param_mode_affichage="mois",EOMONTH(AH$3,0),AH$3+6)),"◆",""))</f>
      </c>
      <c r="AI135" s="26">
        <f>IF(OR($A135="",AI$3=""),"",IF(AND($J135&lt;&gt;"",$K135&lt;&gt;"",$J135=$K135,$J135&gt;=AI$3,$J135&lt;=IF(param_mode_affichage="mois",EOMONTH(AI$3,0),AI$3+6)),"◆",""))</f>
      </c>
      <c r="AJ135" s="26">
        <f>IF(OR($A135="",AJ$3=""),"",IF(AND($J135&lt;&gt;"",$K135&lt;&gt;"",$J135=$K135,$J135&gt;=AJ$3,$J135&lt;=IF(param_mode_affichage="mois",EOMONTH(AJ$3,0),AJ$3+6)),"◆",""))</f>
      </c>
      <c r="AK135" s="26">
        <f>IF(OR($A135="",AK$3=""),"",IF(AND($J135&lt;&gt;"",$K135&lt;&gt;"",$J135=$K135,$J135&gt;=AK$3,$J135&lt;=IF(param_mode_affichage="mois",EOMONTH(AK$3,0),AK$3+6)),"◆",""))</f>
      </c>
      <c r="AL135" s="26">
        <f>IF(OR($A135="",AL$3=""),"",IF(AND($J135&lt;&gt;"",$K135&lt;&gt;"",$J135=$K135,$J135&gt;=AL$3,$J135&lt;=IF(param_mode_affichage="mois",EOMONTH(AL$3,0),AL$3+6)),"◆",""))</f>
      </c>
      <c r="AM135" s="26">
        <f>IF(OR($A135="",AM$3=""),"",IF(AND($J135&lt;&gt;"",$K135&lt;&gt;"",$J135=$K135,$J135&gt;=AM$3,$J135&lt;=IF(param_mode_affichage="mois",EOMONTH(AM$3,0),AM$3+6)),"◆",""))</f>
      </c>
      <c r="AN135" s="26">
        <f>IF(OR($A135="",AN$3=""),"",IF(AND($J135&lt;&gt;"",$K135&lt;&gt;"",$J135=$K135,$J135&gt;=AN$3,$J135&lt;=IF(param_mode_affichage="mois",EOMONTH(AN$3,0),AN$3+6)),"◆",""))</f>
      </c>
      <c r="AO135" s="26">
        <f>IF(OR($A135="",AO$3=""),"",IF(AND($J135&lt;&gt;"",$K135&lt;&gt;"",$J135=$K135,$J135&gt;=AO$3,$J135&lt;=IF(param_mode_affichage="mois",EOMONTH(AO$3,0),AO$3+6)),"◆",""))</f>
      </c>
      <c r="AP135" s="26">
        <f>IF(OR($A135="",AP$3=""),"",IF(AND($J135&lt;&gt;"",$K135&lt;&gt;"",$J135=$K135,$J135&gt;=AP$3,$J135&lt;=IF(param_mode_affichage="mois",EOMONTH(AP$3,0),AP$3+6)),"◆",""))</f>
      </c>
      <c r="AQ135" s="26">
        <f>IF(OR($A135="",AQ$3=""),"",IF(AND($J135&lt;&gt;"",$K135&lt;&gt;"",$J135=$K135,$J135&gt;=AQ$3,$J135&lt;=IF(param_mode_affichage="mois",EOMONTH(AQ$3,0),AQ$3+6)),"◆",""))</f>
      </c>
      <c r="AR135" s="26">
        <f>IF(OR($A135="",AR$3=""),"",IF(AND($J135&lt;&gt;"",$K135&lt;&gt;"",$J135=$K135,$J135&gt;=AR$3,$J135&lt;=IF(param_mode_affichage="mois",EOMONTH(AR$3,0),AR$3+6)),"◆",""))</f>
      </c>
      <c r="AS135" s="26">
        <f>IF(OR($A135="",AS$3=""),"",IF(AND($J135&lt;&gt;"",$K135&lt;&gt;"",$J135=$K135,$J135&gt;=AS$3,$J135&lt;=IF(param_mode_affichage="mois",EOMONTH(AS$3,0),AS$3+6)),"◆",""))</f>
      </c>
      <c r="AT135" s="26">
        <f>IF(OR($A135="",AT$3=""),"",IF(AND($J135&lt;&gt;"",$K135&lt;&gt;"",$J135=$K135,$J135&gt;=AT$3,$J135&lt;=IF(param_mode_affichage="mois",EOMONTH(AT$3,0),AT$3+6)),"◆",""))</f>
      </c>
      <c r="AU135" s="26">
        <f>IF(OR($A135="",AU$3=""),"",IF(AND($J135&lt;&gt;"",$K135&lt;&gt;"",$J135=$K135,$J135&gt;=AU$3,$J135&lt;=IF(param_mode_affichage="mois",EOMONTH(AU$3,0),AU$3+6)),"◆",""))</f>
      </c>
      <c r="AV135" s="26">
        <f>IF(OR($A135="",AV$3=""),"",IF(AND($J135&lt;&gt;"",$K135&lt;&gt;"",$J135=$K135,$J135&gt;=AV$3,$J135&lt;=IF(param_mode_affichage="mois",EOMONTH(AV$3,0),AV$3+6)),"◆",""))</f>
      </c>
      <c r="AW135" s="26">
        <f>IF(OR($A135="",AW$3=""),"",IF(AND($J135&lt;&gt;"",$K135&lt;&gt;"",$J135=$K135,$J135&gt;=AW$3,$J135&lt;=IF(param_mode_affichage="mois",EOMONTH(AW$3,0),AW$3+6)),"◆",""))</f>
      </c>
      <c r="AX135" s="26">
        <f>IF(OR($A135="",AX$3=""),"",IF(AND($J135&lt;&gt;"",$K135&lt;&gt;"",$J135=$K135,$J135&gt;=AX$3,$J135&lt;=IF(param_mode_affichage="mois",EOMONTH(AX$3,0),AX$3+6)),"◆",""))</f>
      </c>
      <c r="AY135" s="26">
        <f>IF(OR($A135="",AY$3=""),"",IF(AND($J135&lt;&gt;"",$K135&lt;&gt;"",$J135=$K135,$J135&gt;=AY$3,$J135&lt;=IF(param_mode_affichage="mois",EOMONTH(AY$3,0),AY$3+6)),"◆",""))</f>
      </c>
      <c r="AZ135" s="26">
        <f>IF(OR($A135="",AZ$3=""),"",IF(AND($J135&lt;&gt;"",$K135&lt;&gt;"",$J135=$K135,$J135&gt;=AZ$3,$J135&lt;=IF(param_mode_affichage="mois",EOMONTH(AZ$3,0),AZ$3+6)),"◆",""))</f>
      </c>
      <c r="BA135" s="26">
        <f>IF(OR($A135="",BA$3=""),"",IF(AND($J135&lt;&gt;"",$K135&lt;&gt;"",$J135=$K135,$J135&gt;=BA$3,$J135&lt;=IF(param_mode_affichage="mois",EOMONTH(BA$3,0),BA$3+6)),"◆",""))</f>
      </c>
      <c r="BB135" s="26">
        <f>IF(OR($A135="",BB$3=""),"",IF(AND($J135&lt;&gt;"",$K135&lt;&gt;"",$J135=$K135,$J135&gt;=BB$3,$J135&lt;=IF(param_mode_affichage="mois",EOMONTH(BB$3,0),BB$3+6)),"◆",""))</f>
      </c>
      <c r="BC135" s="26">
        <f>IF(OR($A135="",BC$3=""),"",IF(AND($J135&lt;&gt;"",$K135&lt;&gt;"",$J135=$K135,$J135&gt;=BC$3,$J135&lt;=IF(param_mode_affichage="mois",EOMONTH(BC$3,0),BC$3+6)),"◆",""))</f>
      </c>
      <c r="BD135" s="26">
        <f>IF(OR($A135="",BD$3=""),"",IF(AND($J135&lt;&gt;"",$K135&lt;&gt;"",$J135=$K135,$J135&gt;=BD$3,$J135&lt;=IF(param_mode_affichage="mois",EOMONTH(BD$3,0),BD$3+6)),"◆",""))</f>
      </c>
      <c r="BE135" s="26">
        <f>IF(OR($A135="",BE$3=""),"",IF(AND($J135&lt;&gt;"",$K135&lt;&gt;"",$J135=$K135,$J135&gt;=BE$3,$J135&lt;=IF(param_mode_affichage="mois",EOMONTH(BE$3,0),BE$3+6)),"◆",""))</f>
      </c>
      <c r="BF135" s="26">
        <f>IF(OR($A135="",BF$3=""),"",IF(AND($J135&lt;&gt;"",$K135&lt;&gt;"",$J135=$K135,$J135&gt;=BF$3,$J135&lt;=IF(param_mode_affichage="mois",EOMONTH(BF$3,0),BF$3+6)),"◆",""))</f>
      </c>
      <c r="BG135" s="26">
        <f>IF(OR($A135="",BG$3=""),"",IF(AND($J135&lt;&gt;"",$K135&lt;&gt;"",$J135=$K135,$J135&gt;=BG$3,$J135&lt;=IF(param_mode_affichage="mois",EOMONTH(BG$3,0),BG$3+6)),"◆",""))</f>
      </c>
      <c r="BH135" s="26">
        <f>IF(OR($A135="",BH$3=""),"",IF(AND($J135&lt;&gt;"",$K135&lt;&gt;"",$J135=$K135,$J135&gt;=BH$3,$J135&lt;=IF(param_mode_affichage="mois",EOMONTH(BH$3,0),BH$3+6)),"◆",""))</f>
      </c>
      <c r="BI135" s="26">
        <f>IF(OR($A135="",BI$3=""),"",IF(AND($J135&lt;&gt;"",$K135&lt;&gt;"",$J135=$K135,$J135&gt;=BI$3,$J135&lt;=IF(param_mode_affichage="mois",EOMONTH(BI$3,0),BI$3+6)),"◆",""))</f>
      </c>
      <c r="BJ135" s="26">
        <f>IF(OR($A135="",BJ$3=""),"",IF(AND($J135&lt;&gt;"",$K135&lt;&gt;"",$J135=$K135,$J135&gt;=BJ$3,$J135&lt;=IF(param_mode_affichage="mois",EOMONTH(BJ$3,0),BJ$3+6)),"◆",""))</f>
      </c>
      <c r="BK135" s="26">
        <f>IF(OR($A135="",BK$3=""),"",IF(AND($J135&lt;&gt;"",$K135&lt;&gt;"",$J135=$K135,$J135&gt;=BK$3,$J135&lt;=IF(param_mode_affichage="mois",EOMONTH(BK$3,0),BK$3+6)),"◆",""))</f>
      </c>
      <c r="BL135" s="26">
        <f>IF(OR($A135="",BL$3=""),"",IF(AND($J135&lt;&gt;"",$K135&lt;&gt;"",$J135=$K135,$J135&gt;=BL$3,$J135&lt;=IF(param_mode_affichage="mois",EOMONTH(BL$3,0),BL$3+6)),"◆",""))</f>
      </c>
    </row>
    <row r="136" spans="1:64" x14ac:dyDescent="0.25">
      <c r="A136" s="23">
        <f>IFERROR(INDEX(tblTasks[ID],ROW()-4),"")</f>
      </c>
      <c r="B136" s="24">
        <f>IF($A136="","",INDEX(tblTasks[Sujet],ROW()-4))</f>
      </c>
      <c r="C136" s="23">
        <f>IF($A136="","",INDEX(tblTasks[Responsable],ROW()-4))</f>
      </c>
      <c r="D136" s="23">
        <f>IF($A136="","",INDEX(tblTasks[Statut],ROW()-4))</f>
      </c>
      <c r="E136" s="23">
        <f>IF($A136="","",INDEX(tblTasks[Depend_de],ROW()-4))</f>
      </c>
      <c r="F136" s="23">
        <f>IF($A136="","",INDEX(tblTasks[Blocage],ROW()-4))</f>
      </c>
      <c r="G136" s="23">
        <f>IF($A136="","",INDEX(tblTasks[Niveau_criticite],ROW()-4))</f>
      </c>
      <c r="H136" s="23">
        <f>IF($A136="","",INDEX(tblTasks[Goulot],ROW()-4))</f>
      </c>
      <c r="I136" s="23">
        <f>IF($A136="","",IF(LOWER($F136)="oui","non",IF($E136="","oui",IFERROR(IF(LOWER(INDEX(tblTasks[Statut],MATCH($E136,tblTasks[ID],0)))="clos","oui","non"),"non"))))</f>
      </c>
      <c r="J136" s="25">
        <f>IF($A136="","",INDEX(tblTasks[Date_debut_prevue],ROW()-4))</f>
      </c>
      <c r="K136" s="25">
        <f>IF($A136="","",INDEX(tblTasks[Date_fin_prevue],ROW()-4))</f>
      </c>
      <c r="L136" s="23">
        <f>IF($A136="","",INDEX(tblTasks[Irreversibilite],ROW()-4))</f>
      </c>
      <c r="M136" s="26">
        <f>IF(OR($A136="",M$3=""),"",IF(AND($J136&lt;&gt;"",$K136&lt;&gt;"",$J136=$K136,$J136&gt;=M$3,$J136&lt;=IF(param_mode_affichage="mois",EOMONTH(M$3,0),M$3+6)),"◆",""))</f>
      </c>
      <c r="N136" s="26">
        <f>IF(OR($A136="",N$3=""),"",IF(AND($J136&lt;&gt;"",$K136&lt;&gt;"",$J136=$K136,$J136&gt;=N$3,$J136&lt;=IF(param_mode_affichage="mois",EOMONTH(N$3,0),N$3+6)),"◆",""))</f>
      </c>
      <c r="O136" s="26">
        <f>IF(OR($A136="",O$3=""),"",IF(AND($J136&lt;&gt;"",$K136&lt;&gt;"",$J136=$K136,$J136&gt;=O$3,$J136&lt;=IF(param_mode_affichage="mois",EOMONTH(O$3,0),O$3+6)),"◆",""))</f>
      </c>
      <c r="P136" s="26">
        <f>IF(OR($A136="",P$3=""),"",IF(AND($J136&lt;&gt;"",$K136&lt;&gt;"",$J136=$K136,$J136&gt;=P$3,$J136&lt;=IF(param_mode_affichage="mois",EOMONTH(P$3,0),P$3+6)),"◆",""))</f>
      </c>
      <c r="Q136" s="26">
        <f>IF(OR($A136="",Q$3=""),"",IF(AND($J136&lt;&gt;"",$K136&lt;&gt;"",$J136=$K136,$J136&gt;=Q$3,$J136&lt;=IF(param_mode_affichage="mois",EOMONTH(Q$3,0),Q$3+6)),"◆",""))</f>
      </c>
      <c r="R136" s="26">
        <f>IF(OR($A136="",R$3=""),"",IF(AND($J136&lt;&gt;"",$K136&lt;&gt;"",$J136=$K136,$J136&gt;=R$3,$J136&lt;=IF(param_mode_affichage="mois",EOMONTH(R$3,0),R$3+6)),"◆",""))</f>
      </c>
      <c r="S136" s="26">
        <f>IF(OR($A136="",S$3=""),"",IF(AND($J136&lt;&gt;"",$K136&lt;&gt;"",$J136=$K136,$J136&gt;=S$3,$J136&lt;=IF(param_mode_affichage="mois",EOMONTH(S$3,0),S$3+6)),"◆",""))</f>
      </c>
      <c r="T136" s="26">
        <f>IF(OR($A136="",T$3=""),"",IF(AND($J136&lt;&gt;"",$K136&lt;&gt;"",$J136=$K136,$J136&gt;=T$3,$J136&lt;=IF(param_mode_affichage="mois",EOMONTH(T$3,0),T$3+6)),"◆",""))</f>
      </c>
      <c r="U136" s="26">
        <f>IF(OR($A136="",U$3=""),"",IF(AND($J136&lt;&gt;"",$K136&lt;&gt;"",$J136=$K136,$J136&gt;=U$3,$J136&lt;=IF(param_mode_affichage="mois",EOMONTH(U$3,0),U$3+6)),"◆",""))</f>
      </c>
      <c r="V136" s="26">
        <f>IF(OR($A136="",V$3=""),"",IF(AND($J136&lt;&gt;"",$K136&lt;&gt;"",$J136=$K136,$J136&gt;=V$3,$J136&lt;=IF(param_mode_affichage="mois",EOMONTH(V$3,0),V$3+6)),"◆",""))</f>
      </c>
      <c r="W136" s="26">
        <f>IF(OR($A136="",W$3=""),"",IF(AND($J136&lt;&gt;"",$K136&lt;&gt;"",$J136=$K136,$J136&gt;=W$3,$J136&lt;=IF(param_mode_affichage="mois",EOMONTH(W$3,0),W$3+6)),"◆",""))</f>
      </c>
      <c r="X136" s="26">
        <f>IF(OR($A136="",X$3=""),"",IF(AND($J136&lt;&gt;"",$K136&lt;&gt;"",$J136=$K136,$J136&gt;=X$3,$J136&lt;=IF(param_mode_affichage="mois",EOMONTH(X$3,0),X$3+6)),"◆",""))</f>
      </c>
      <c r="Y136" s="26">
        <f>IF(OR($A136="",Y$3=""),"",IF(AND($J136&lt;&gt;"",$K136&lt;&gt;"",$J136=$K136,$J136&gt;=Y$3,$J136&lt;=IF(param_mode_affichage="mois",EOMONTH(Y$3,0),Y$3+6)),"◆",""))</f>
      </c>
      <c r="Z136" s="26">
        <f>IF(OR($A136="",Z$3=""),"",IF(AND($J136&lt;&gt;"",$K136&lt;&gt;"",$J136=$K136,$J136&gt;=Z$3,$J136&lt;=IF(param_mode_affichage="mois",EOMONTH(Z$3,0),Z$3+6)),"◆",""))</f>
      </c>
      <c r="AA136" s="26">
        <f>IF(OR($A136="",AA$3=""),"",IF(AND($J136&lt;&gt;"",$K136&lt;&gt;"",$J136=$K136,$J136&gt;=AA$3,$J136&lt;=IF(param_mode_affichage="mois",EOMONTH(AA$3,0),AA$3+6)),"◆",""))</f>
      </c>
      <c r="AB136" s="26">
        <f>IF(OR($A136="",AB$3=""),"",IF(AND($J136&lt;&gt;"",$K136&lt;&gt;"",$J136=$K136,$J136&gt;=AB$3,$J136&lt;=IF(param_mode_affichage="mois",EOMONTH(AB$3,0),AB$3+6)),"◆",""))</f>
      </c>
      <c r="AC136" s="26">
        <f>IF(OR($A136="",AC$3=""),"",IF(AND($J136&lt;&gt;"",$K136&lt;&gt;"",$J136=$K136,$J136&gt;=AC$3,$J136&lt;=IF(param_mode_affichage="mois",EOMONTH(AC$3,0),AC$3+6)),"◆",""))</f>
      </c>
      <c r="AD136" s="26">
        <f>IF(OR($A136="",AD$3=""),"",IF(AND($J136&lt;&gt;"",$K136&lt;&gt;"",$J136=$K136,$J136&gt;=AD$3,$J136&lt;=IF(param_mode_affichage="mois",EOMONTH(AD$3,0),AD$3+6)),"◆",""))</f>
      </c>
      <c r="AE136" s="26">
        <f>IF(OR($A136="",AE$3=""),"",IF(AND($J136&lt;&gt;"",$K136&lt;&gt;"",$J136=$K136,$J136&gt;=AE$3,$J136&lt;=IF(param_mode_affichage="mois",EOMONTH(AE$3,0),AE$3+6)),"◆",""))</f>
      </c>
      <c r="AF136" s="26">
        <f>IF(OR($A136="",AF$3=""),"",IF(AND($J136&lt;&gt;"",$K136&lt;&gt;"",$J136=$K136,$J136&gt;=AF$3,$J136&lt;=IF(param_mode_affichage="mois",EOMONTH(AF$3,0),AF$3+6)),"◆",""))</f>
      </c>
      <c r="AG136" s="26">
        <f>IF(OR($A136="",AG$3=""),"",IF(AND($J136&lt;&gt;"",$K136&lt;&gt;"",$J136=$K136,$J136&gt;=AG$3,$J136&lt;=IF(param_mode_affichage="mois",EOMONTH(AG$3,0),AG$3+6)),"◆",""))</f>
      </c>
      <c r="AH136" s="26">
        <f>IF(OR($A136="",AH$3=""),"",IF(AND($J136&lt;&gt;"",$K136&lt;&gt;"",$J136=$K136,$J136&gt;=AH$3,$J136&lt;=IF(param_mode_affichage="mois",EOMONTH(AH$3,0),AH$3+6)),"◆",""))</f>
      </c>
      <c r="AI136" s="26">
        <f>IF(OR($A136="",AI$3=""),"",IF(AND($J136&lt;&gt;"",$K136&lt;&gt;"",$J136=$K136,$J136&gt;=AI$3,$J136&lt;=IF(param_mode_affichage="mois",EOMONTH(AI$3,0),AI$3+6)),"◆",""))</f>
      </c>
      <c r="AJ136" s="26">
        <f>IF(OR($A136="",AJ$3=""),"",IF(AND($J136&lt;&gt;"",$K136&lt;&gt;"",$J136=$K136,$J136&gt;=AJ$3,$J136&lt;=IF(param_mode_affichage="mois",EOMONTH(AJ$3,0),AJ$3+6)),"◆",""))</f>
      </c>
      <c r="AK136" s="26">
        <f>IF(OR($A136="",AK$3=""),"",IF(AND($J136&lt;&gt;"",$K136&lt;&gt;"",$J136=$K136,$J136&gt;=AK$3,$J136&lt;=IF(param_mode_affichage="mois",EOMONTH(AK$3,0),AK$3+6)),"◆",""))</f>
      </c>
      <c r="AL136" s="26">
        <f>IF(OR($A136="",AL$3=""),"",IF(AND($J136&lt;&gt;"",$K136&lt;&gt;"",$J136=$K136,$J136&gt;=AL$3,$J136&lt;=IF(param_mode_affichage="mois",EOMONTH(AL$3,0),AL$3+6)),"◆",""))</f>
      </c>
      <c r="AM136" s="26">
        <f>IF(OR($A136="",AM$3=""),"",IF(AND($J136&lt;&gt;"",$K136&lt;&gt;"",$J136=$K136,$J136&gt;=AM$3,$J136&lt;=IF(param_mode_affichage="mois",EOMONTH(AM$3,0),AM$3+6)),"◆",""))</f>
      </c>
      <c r="AN136" s="26">
        <f>IF(OR($A136="",AN$3=""),"",IF(AND($J136&lt;&gt;"",$K136&lt;&gt;"",$J136=$K136,$J136&gt;=AN$3,$J136&lt;=IF(param_mode_affichage="mois",EOMONTH(AN$3,0),AN$3+6)),"◆",""))</f>
      </c>
      <c r="AO136" s="26">
        <f>IF(OR($A136="",AO$3=""),"",IF(AND($J136&lt;&gt;"",$K136&lt;&gt;"",$J136=$K136,$J136&gt;=AO$3,$J136&lt;=IF(param_mode_affichage="mois",EOMONTH(AO$3,0),AO$3+6)),"◆",""))</f>
      </c>
      <c r="AP136" s="26">
        <f>IF(OR($A136="",AP$3=""),"",IF(AND($J136&lt;&gt;"",$K136&lt;&gt;"",$J136=$K136,$J136&gt;=AP$3,$J136&lt;=IF(param_mode_affichage="mois",EOMONTH(AP$3,0),AP$3+6)),"◆",""))</f>
      </c>
      <c r="AQ136" s="26">
        <f>IF(OR($A136="",AQ$3=""),"",IF(AND($J136&lt;&gt;"",$K136&lt;&gt;"",$J136=$K136,$J136&gt;=AQ$3,$J136&lt;=IF(param_mode_affichage="mois",EOMONTH(AQ$3,0),AQ$3+6)),"◆",""))</f>
      </c>
      <c r="AR136" s="26">
        <f>IF(OR($A136="",AR$3=""),"",IF(AND($J136&lt;&gt;"",$K136&lt;&gt;"",$J136=$K136,$J136&gt;=AR$3,$J136&lt;=IF(param_mode_affichage="mois",EOMONTH(AR$3,0),AR$3+6)),"◆",""))</f>
      </c>
      <c r="AS136" s="26">
        <f>IF(OR($A136="",AS$3=""),"",IF(AND($J136&lt;&gt;"",$K136&lt;&gt;"",$J136=$K136,$J136&gt;=AS$3,$J136&lt;=IF(param_mode_affichage="mois",EOMONTH(AS$3,0),AS$3+6)),"◆",""))</f>
      </c>
      <c r="AT136" s="26">
        <f>IF(OR($A136="",AT$3=""),"",IF(AND($J136&lt;&gt;"",$K136&lt;&gt;"",$J136=$K136,$J136&gt;=AT$3,$J136&lt;=IF(param_mode_affichage="mois",EOMONTH(AT$3,0),AT$3+6)),"◆",""))</f>
      </c>
      <c r="AU136" s="26">
        <f>IF(OR($A136="",AU$3=""),"",IF(AND($J136&lt;&gt;"",$K136&lt;&gt;"",$J136=$K136,$J136&gt;=AU$3,$J136&lt;=IF(param_mode_affichage="mois",EOMONTH(AU$3,0),AU$3+6)),"◆",""))</f>
      </c>
      <c r="AV136" s="26">
        <f>IF(OR($A136="",AV$3=""),"",IF(AND($J136&lt;&gt;"",$K136&lt;&gt;"",$J136=$K136,$J136&gt;=AV$3,$J136&lt;=IF(param_mode_affichage="mois",EOMONTH(AV$3,0),AV$3+6)),"◆",""))</f>
      </c>
      <c r="AW136" s="26">
        <f>IF(OR($A136="",AW$3=""),"",IF(AND($J136&lt;&gt;"",$K136&lt;&gt;"",$J136=$K136,$J136&gt;=AW$3,$J136&lt;=IF(param_mode_affichage="mois",EOMONTH(AW$3,0),AW$3+6)),"◆",""))</f>
      </c>
      <c r="AX136" s="26">
        <f>IF(OR($A136="",AX$3=""),"",IF(AND($J136&lt;&gt;"",$K136&lt;&gt;"",$J136=$K136,$J136&gt;=AX$3,$J136&lt;=IF(param_mode_affichage="mois",EOMONTH(AX$3,0),AX$3+6)),"◆",""))</f>
      </c>
      <c r="AY136" s="26">
        <f>IF(OR($A136="",AY$3=""),"",IF(AND($J136&lt;&gt;"",$K136&lt;&gt;"",$J136=$K136,$J136&gt;=AY$3,$J136&lt;=IF(param_mode_affichage="mois",EOMONTH(AY$3,0),AY$3+6)),"◆",""))</f>
      </c>
      <c r="AZ136" s="26">
        <f>IF(OR($A136="",AZ$3=""),"",IF(AND($J136&lt;&gt;"",$K136&lt;&gt;"",$J136=$K136,$J136&gt;=AZ$3,$J136&lt;=IF(param_mode_affichage="mois",EOMONTH(AZ$3,0),AZ$3+6)),"◆",""))</f>
      </c>
      <c r="BA136" s="26">
        <f>IF(OR($A136="",BA$3=""),"",IF(AND($J136&lt;&gt;"",$K136&lt;&gt;"",$J136=$K136,$J136&gt;=BA$3,$J136&lt;=IF(param_mode_affichage="mois",EOMONTH(BA$3,0),BA$3+6)),"◆",""))</f>
      </c>
      <c r="BB136" s="26">
        <f>IF(OR($A136="",BB$3=""),"",IF(AND($J136&lt;&gt;"",$K136&lt;&gt;"",$J136=$K136,$J136&gt;=BB$3,$J136&lt;=IF(param_mode_affichage="mois",EOMONTH(BB$3,0),BB$3+6)),"◆",""))</f>
      </c>
      <c r="BC136" s="26">
        <f>IF(OR($A136="",BC$3=""),"",IF(AND($J136&lt;&gt;"",$K136&lt;&gt;"",$J136=$K136,$J136&gt;=BC$3,$J136&lt;=IF(param_mode_affichage="mois",EOMONTH(BC$3,0),BC$3+6)),"◆",""))</f>
      </c>
      <c r="BD136" s="26">
        <f>IF(OR($A136="",BD$3=""),"",IF(AND($J136&lt;&gt;"",$K136&lt;&gt;"",$J136=$K136,$J136&gt;=BD$3,$J136&lt;=IF(param_mode_affichage="mois",EOMONTH(BD$3,0),BD$3+6)),"◆",""))</f>
      </c>
      <c r="BE136" s="26">
        <f>IF(OR($A136="",BE$3=""),"",IF(AND($J136&lt;&gt;"",$K136&lt;&gt;"",$J136=$K136,$J136&gt;=BE$3,$J136&lt;=IF(param_mode_affichage="mois",EOMONTH(BE$3,0),BE$3+6)),"◆",""))</f>
      </c>
      <c r="BF136" s="26">
        <f>IF(OR($A136="",BF$3=""),"",IF(AND($J136&lt;&gt;"",$K136&lt;&gt;"",$J136=$K136,$J136&gt;=BF$3,$J136&lt;=IF(param_mode_affichage="mois",EOMONTH(BF$3,0),BF$3+6)),"◆",""))</f>
      </c>
      <c r="BG136" s="26">
        <f>IF(OR($A136="",BG$3=""),"",IF(AND($J136&lt;&gt;"",$K136&lt;&gt;"",$J136=$K136,$J136&gt;=BG$3,$J136&lt;=IF(param_mode_affichage="mois",EOMONTH(BG$3,0),BG$3+6)),"◆",""))</f>
      </c>
      <c r="BH136" s="26">
        <f>IF(OR($A136="",BH$3=""),"",IF(AND($J136&lt;&gt;"",$K136&lt;&gt;"",$J136=$K136,$J136&gt;=BH$3,$J136&lt;=IF(param_mode_affichage="mois",EOMONTH(BH$3,0),BH$3+6)),"◆",""))</f>
      </c>
      <c r="BI136" s="26">
        <f>IF(OR($A136="",BI$3=""),"",IF(AND($J136&lt;&gt;"",$K136&lt;&gt;"",$J136=$K136,$J136&gt;=BI$3,$J136&lt;=IF(param_mode_affichage="mois",EOMONTH(BI$3,0),BI$3+6)),"◆",""))</f>
      </c>
      <c r="BJ136" s="26">
        <f>IF(OR($A136="",BJ$3=""),"",IF(AND($J136&lt;&gt;"",$K136&lt;&gt;"",$J136=$K136,$J136&gt;=BJ$3,$J136&lt;=IF(param_mode_affichage="mois",EOMONTH(BJ$3,0),BJ$3+6)),"◆",""))</f>
      </c>
      <c r="BK136" s="26">
        <f>IF(OR($A136="",BK$3=""),"",IF(AND($J136&lt;&gt;"",$K136&lt;&gt;"",$J136=$K136,$J136&gt;=BK$3,$J136&lt;=IF(param_mode_affichage="mois",EOMONTH(BK$3,0),BK$3+6)),"◆",""))</f>
      </c>
      <c r="BL136" s="26">
        <f>IF(OR($A136="",BL$3=""),"",IF(AND($J136&lt;&gt;"",$K136&lt;&gt;"",$J136=$K136,$J136&gt;=BL$3,$J136&lt;=IF(param_mode_affichage="mois",EOMONTH(BL$3,0),BL$3+6)),"◆",""))</f>
      </c>
    </row>
    <row r="137" spans="1:64" x14ac:dyDescent="0.25">
      <c r="A137" s="23">
        <f>IFERROR(INDEX(tblTasks[ID],ROW()-4),"")</f>
      </c>
      <c r="B137" s="24">
        <f>IF($A137="","",INDEX(tblTasks[Sujet],ROW()-4))</f>
      </c>
      <c r="C137" s="23">
        <f>IF($A137="","",INDEX(tblTasks[Responsable],ROW()-4))</f>
      </c>
      <c r="D137" s="23">
        <f>IF($A137="","",INDEX(tblTasks[Statut],ROW()-4))</f>
      </c>
      <c r="E137" s="23">
        <f>IF($A137="","",INDEX(tblTasks[Depend_de],ROW()-4))</f>
      </c>
      <c r="F137" s="23">
        <f>IF($A137="","",INDEX(tblTasks[Blocage],ROW()-4))</f>
      </c>
      <c r="G137" s="23">
        <f>IF($A137="","",INDEX(tblTasks[Niveau_criticite],ROW()-4))</f>
      </c>
      <c r="H137" s="23">
        <f>IF($A137="","",INDEX(tblTasks[Goulot],ROW()-4))</f>
      </c>
      <c r="I137" s="23">
        <f>IF($A137="","",IF(LOWER($F137)="oui","non",IF($E137="","oui",IFERROR(IF(LOWER(INDEX(tblTasks[Statut],MATCH($E137,tblTasks[ID],0)))="clos","oui","non"),"non"))))</f>
      </c>
      <c r="J137" s="25">
        <f>IF($A137="","",INDEX(tblTasks[Date_debut_prevue],ROW()-4))</f>
      </c>
      <c r="K137" s="25">
        <f>IF($A137="","",INDEX(tblTasks[Date_fin_prevue],ROW()-4))</f>
      </c>
      <c r="L137" s="23">
        <f>IF($A137="","",INDEX(tblTasks[Irreversibilite],ROW()-4))</f>
      </c>
      <c r="M137" s="26">
        <f>IF(OR($A137="",M$3=""),"",IF(AND($J137&lt;&gt;"",$K137&lt;&gt;"",$J137=$K137,$J137&gt;=M$3,$J137&lt;=IF(param_mode_affichage="mois",EOMONTH(M$3,0),M$3+6)),"◆",""))</f>
      </c>
      <c r="N137" s="26">
        <f>IF(OR($A137="",N$3=""),"",IF(AND($J137&lt;&gt;"",$K137&lt;&gt;"",$J137=$K137,$J137&gt;=N$3,$J137&lt;=IF(param_mode_affichage="mois",EOMONTH(N$3,0),N$3+6)),"◆",""))</f>
      </c>
      <c r="O137" s="26">
        <f>IF(OR($A137="",O$3=""),"",IF(AND($J137&lt;&gt;"",$K137&lt;&gt;"",$J137=$K137,$J137&gt;=O$3,$J137&lt;=IF(param_mode_affichage="mois",EOMONTH(O$3,0),O$3+6)),"◆",""))</f>
      </c>
      <c r="P137" s="26">
        <f>IF(OR($A137="",P$3=""),"",IF(AND($J137&lt;&gt;"",$K137&lt;&gt;"",$J137=$K137,$J137&gt;=P$3,$J137&lt;=IF(param_mode_affichage="mois",EOMONTH(P$3,0),P$3+6)),"◆",""))</f>
      </c>
      <c r="Q137" s="26">
        <f>IF(OR($A137="",Q$3=""),"",IF(AND($J137&lt;&gt;"",$K137&lt;&gt;"",$J137=$K137,$J137&gt;=Q$3,$J137&lt;=IF(param_mode_affichage="mois",EOMONTH(Q$3,0),Q$3+6)),"◆",""))</f>
      </c>
      <c r="R137" s="26">
        <f>IF(OR($A137="",R$3=""),"",IF(AND($J137&lt;&gt;"",$K137&lt;&gt;"",$J137=$K137,$J137&gt;=R$3,$J137&lt;=IF(param_mode_affichage="mois",EOMONTH(R$3,0),R$3+6)),"◆",""))</f>
      </c>
      <c r="S137" s="26">
        <f>IF(OR($A137="",S$3=""),"",IF(AND($J137&lt;&gt;"",$K137&lt;&gt;"",$J137=$K137,$J137&gt;=S$3,$J137&lt;=IF(param_mode_affichage="mois",EOMONTH(S$3,0),S$3+6)),"◆",""))</f>
      </c>
      <c r="T137" s="26">
        <f>IF(OR($A137="",T$3=""),"",IF(AND($J137&lt;&gt;"",$K137&lt;&gt;"",$J137=$K137,$J137&gt;=T$3,$J137&lt;=IF(param_mode_affichage="mois",EOMONTH(T$3,0),T$3+6)),"◆",""))</f>
      </c>
      <c r="U137" s="26">
        <f>IF(OR($A137="",U$3=""),"",IF(AND($J137&lt;&gt;"",$K137&lt;&gt;"",$J137=$K137,$J137&gt;=U$3,$J137&lt;=IF(param_mode_affichage="mois",EOMONTH(U$3,0),U$3+6)),"◆",""))</f>
      </c>
      <c r="V137" s="26">
        <f>IF(OR($A137="",V$3=""),"",IF(AND($J137&lt;&gt;"",$K137&lt;&gt;"",$J137=$K137,$J137&gt;=V$3,$J137&lt;=IF(param_mode_affichage="mois",EOMONTH(V$3,0),V$3+6)),"◆",""))</f>
      </c>
      <c r="W137" s="26">
        <f>IF(OR($A137="",W$3=""),"",IF(AND($J137&lt;&gt;"",$K137&lt;&gt;"",$J137=$K137,$J137&gt;=W$3,$J137&lt;=IF(param_mode_affichage="mois",EOMONTH(W$3,0),W$3+6)),"◆",""))</f>
      </c>
      <c r="X137" s="26">
        <f>IF(OR($A137="",X$3=""),"",IF(AND($J137&lt;&gt;"",$K137&lt;&gt;"",$J137=$K137,$J137&gt;=X$3,$J137&lt;=IF(param_mode_affichage="mois",EOMONTH(X$3,0),X$3+6)),"◆",""))</f>
      </c>
      <c r="Y137" s="26">
        <f>IF(OR($A137="",Y$3=""),"",IF(AND($J137&lt;&gt;"",$K137&lt;&gt;"",$J137=$K137,$J137&gt;=Y$3,$J137&lt;=IF(param_mode_affichage="mois",EOMONTH(Y$3,0),Y$3+6)),"◆",""))</f>
      </c>
      <c r="Z137" s="26">
        <f>IF(OR($A137="",Z$3=""),"",IF(AND($J137&lt;&gt;"",$K137&lt;&gt;"",$J137=$K137,$J137&gt;=Z$3,$J137&lt;=IF(param_mode_affichage="mois",EOMONTH(Z$3,0),Z$3+6)),"◆",""))</f>
      </c>
      <c r="AA137" s="26">
        <f>IF(OR($A137="",AA$3=""),"",IF(AND($J137&lt;&gt;"",$K137&lt;&gt;"",$J137=$K137,$J137&gt;=AA$3,$J137&lt;=IF(param_mode_affichage="mois",EOMONTH(AA$3,0),AA$3+6)),"◆",""))</f>
      </c>
      <c r="AB137" s="26">
        <f>IF(OR($A137="",AB$3=""),"",IF(AND($J137&lt;&gt;"",$K137&lt;&gt;"",$J137=$K137,$J137&gt;=AB$3,$J137&lt;=IF(param_mode_affichage="mois",EOMONTH(AB$3,0),AB$3+6)),"◆",""))</f>
      </c>
      <c r="AC137" s="26">
        <f>IF(OR($A137="",AC$3=""),"",IF(AND($J137&lt;&gt;"",$K137&lt;&gt;"",$J137=$K137,$J137&gt;=AC$3,$J137&lt;=IF(param_mode_affichage="mois",EOMONTH(AC$3,0),AC$3+6)),"◆",""))</f>
      </c>
      <c r="AD137" s="26">
        <f>IF(OR($A137="",AD$3=""),"",IF(AND($J137&lt;&gt;"",$K137&lt;&gt;"",$J137=$K137,$J137&gt;=AD$3,$J137&lt;=IF(param_mode_affichage="mois",EOMONTH(AD$3,0),AD$3+6)),"◆",""))</f>
      </c>
      <c r="AE137" s="26">
        <f>IF(OR($A137="",AE$3=""),"",IF(AND($J137&lt;&gt;"",$K137&lt;&gt;"",$J137=$K137,$J137&gt;=AE$3,$J137&lt;=IF(param_mode_affichage="mois",EOMONTH(AE$3,0),AE$3+6)),"◆",""))</f>
      </c>
      <c r="AF137" s="26">
        <f>IF(OR($A137="",AF$3=""),"",IF(AND($J137&lt;&gt;"",$K137&lt;&gt;"",$J137=$K137,$J137&gt;=AF$3,$J137&lt;=IF(param_mode_affichage="mois",EOMONTH(AF$3,0),AF$3+6)),"◆",""))</f>
      </c>
      <c r="AG137" s="26">
        <f>IF(OR($A137="",AG$3=""),"",IF(AND($J137&lt;&gt;"",$K137&lt;&gt;"",$J137=$K137,$J137&gt;=AG$3,$J137&lt;=IF(param_mode_affichage="mois",EOMONTH(AG$3,0),AG$3+6)),"◆",""))</f>
      </c>
      <c r="AH137" s="26">
        <f>IF(OR($A137="",AH$3=""),"",IF(AND($J137&lt;&gt;"",$K137&lt;&gt;"",$J137=$K137,$J137&gt;=AH$3,$J137&lt;=IF(param_mode_affichage="mois",EOMONTH(AH$3,0),AH$3+6)),"◆",""))</f>
      </c>
      <c r="AI137" s="26">
        <f>IF(OR($A137="",AI$3=""),"",IF(AND($J137&lt;&gt;"",$K137&lt;&gt;"",$J137=$K137,$J137&gt;=AI$3,$J137&lt;=IF(param_mode_affichage="mois",EOMONTH(AI$3,0),AI$3+6)),"◆",""))</f>
      </c>
      <c r="AJ137" s="26">
        <f>IF(OR($A137="",AJ$3=""),"",IF(AND($J137&lt;&gt;"",$K137&lt;&gt;"",$J137=$K137,$J137&gt;=AJ$3,$J137&lt;=IF(param_mode_affichage="mois",EOMONTH(AJ$3,0),AJ$3+6)),"◆",""))</f>
      </c>
      <c r="AK137" s="26">
        <f>IF(OR($A137="",AK$3=""),"",IF(AND($J137&lt;&gt;"",$K137&lt;&gt;"",$J137=$K137,$J137&gt;=AK$3,$J137&lt;=IF(param_mode_affichage="mois",EOMONTH(AK$3,0),AK$3+6)),"◆",""))</f>
      </c>
      <c r="AL137" s="26">
        <f>IF(OR($A137="",AL$3=""),"",IF(AND($J137&lt;&gt;"",$K137&lt;&gt;"",$J137=$K137,$J137&gt;=AL$3,$J137&lt;=IF(param_mode_affichage="mois",EOMONTH(AL$3,0),AL$3+6)),"◆",""))</f>
      </c>
      <c r="AM137" s="26">
        <f>IF(OR($A137="",AM$3=""),"",IF(AND($J137&lt;&gt;"",$K137&lt;&gt;"",$J137=$K137,$J137&gt;=AM$3,$J137&lt;=IF(param_mode_affichage="mois",EOMONTH(AM$3,0),AM$3+6)),"◆",""))</f>
      </c>
      <c r="AN137" s="26">
        <f>IF(OR($A137="",AN$3=""),"",IF(AND($J137&lt;&gt;"",$K137&lt;&gt;"",$J137=$K137,$J137&gt;=AN$3,$J137&lt;=IF(param_mode_affichage="mois",EOMONTH(AN$3,0),AN$3+6)),"◆",""))</f>
      </c>
      <c r="AO137" s="26">
        <f>IF(OR($A137="",AO$3=""),"",IF(AND($J137&lt;&gt;"",$K137&lt;&gt;"",$J137=$K137,$J137&gt;=AO$3,$J137&lt;=IF(param_mode_affichage="mois",EOMONTH(AO$3,0),AO$3+6)),"◆",""))</f>
      </c>
      <c r="AP137" s="26">
        <f>IF(OR($A137="",AP$3=""),"",IF(AND($J137&lt;&gt;"",$K137&lt;&gt;"",$J137=$K137,$J137&gt;=AP$3,$J137&lt;=IF(param_mode_affichage="mois",EOMONTH(AP$3,0),AP$3+6)),"◆",""))</f>
      </c>
      <c r="AQ137" s="26">
        <f>IF(OR($A137="",AQ$3=""),"",IF(AND($J137&lt;&gt;"",$K137&lt;&gt;"",$J137=$K137,$J137&gt;=AQ$3,$J137&lt;=IF(param_mode_affichage="mois",EOMONTH(AQ$3,0),AQ$3+6)),"◆",""))</f>
      </c>
      <c r="AR137" s="26">
        <f>IF(OR($A137="",AR$3=""),"",IF(AND($J137&lt;&gt;"",$K137&lt;&gt;"",$J137=$K137,$J137&gt;=AR$3,$J137&lt;=IF(param_mode_affichage="mois",EOMONTH(AR$3,0),AR$3+6)),"◆",""))</f>
      </c>
      <c r="AS137" s="26">
        <f>IF(OR($A137="",AS$3=""),"",IF(AND($J137&lt;&gt;"",$K137&lt;&gt;"",$J137=$K137,$J137&gt;=AS$3,$J137&lt;=IF(param_mode_affichage="mois",EOMONTH(AS$3,0),AS$3+6)),"◆",""))</f>
      </c>
      <c r="AT137" s="26">
        <f>IF(OR($A137="",AT$3=""),"",IF(AND($J137&lt;&gt;"",$K137&lt;&gt;"",$J137=$K137,$J137&gt;=AT$3,$J137&lt;=IF(param_mode_affichage="mois",EOMONTH(AT$3,0),AT$3+6)),"◆",""))</f>
      </c>
      <c r="AU137" s="26">
        <f>IF(OR($A137="",AU$3=""),"",IF(AND($J137&lt;&gt;"",$K137&lt;&gt;"",$J137=$K137,$J137&gt;=AU$3,$J137&lt;=IF(param_mode_affichage="mois",EOMONTH(AU$3,0),AU$3+6)),"◆",""))</f>
      </c>
      <c r="AV137" s="26">
        <f>IF(OR($A137="",AV$3=""),"",IF(AND($J137&lt;&gt;"",$K137&lt;&gt;"",$J137=$K137,$J137&gt;=AV$3,$J137&lt;=IF(param_mode_affichage="mois",EOMONTH(AV$3,0),AV$3+6)),"◆",""))</f>
      </c>
      <c r="AW137" s="26">
        <f>IF(OR($A137="",AW$3=""),"",IF(AND($J137&lt;&gt;"",$K137&lt;&gt;"",$J137=$K137,$J137&gt;=AW$3,$J137&lt;=IF(param_mode_affichage="mois",EOMONTH(AW$3,0),AW$3+6)),"◆",""))</f>
      </c>
      <c r="AX137" s="26">
        <f>IF(OR($A137="",AX$3=""),"",IF(AND($J137&lt;&gt;"",$K137&lt;&gt;"",$J137=$K137,$J137&gt;=AX$3,$J137&lt;=IF(param_mode_affichage="mois",EOMONTH(AX$3,0),AX$3+6)),"◆",""))</f>
      </c>
      <c r="AY137" s="26">
        <f>IF(OR($A137="",AY$3=""),"",IF(AND($J137&lt;&gt;"",$K137&lt;&gt;"",$J137=$K137,$J137&gt;=AY$3,$J137&lt;=IF(param_mode_affichage="mois",EOMONTH(AY$3,0),AY$3+6)),"◆",""))</f>
      </c>
      <c r="AZ137" s="26">
        <f>IF(OR($A137="",AZ$3=""),"",IF(AND($J137&lt;&gt;"",$K137&lt;&gt;"",$J137=$K137,$J137&gt;=AZ$3,$J137&lt;=IF(param_mode_affichage="mois",EOMONTH(AZ$3,0),AZ$3+6)),"◆",""))</f>
      </c>
      <c r="BA137" s="26">
        <f>IF(OR($A137="",BA$3=""),"",IF(AND($J137&lt;&gt;"",$K137&lt;&gt;"",$J137=$K137,$J137&gt;=BA$3,$J137&lt;=IF(param_mode_affichage="mois",EOMONTH(BA$3,0),BA$3+6)),"◆",""))</f>
      </c>
      <c r="BB137" s="26">
        <f>IF(OR($A137="",BB$3=""),"",IF(AND($J137&lt;&gt;"",$K137&lt;&gt;"",$J137=$K137,$J137&gt;=BB$3,$J137&lt;=IF(param_mode_affichage="mois",EOMONTH(BB$3,0),BB$3+6)),"◆",""))</f>
      </c>
      <c r="BC137" s="26">
        <f>IF(OR($A137="",BC$3=""),"",IF(AND($J137&lt;&gt;"",$K137&lt;&gt;"",$J137=$K137,$J137&gt;=BC$3,$J137&lt;=IF(param_mode_affichage="mois",EOMONTH(BC$3,0),BC$3+6)),"◆",""))</f>
      </c>
      <c r="BD137" s="26">
        <f>IF(OR($A137="",BD$3=""),"",IF(AND($J137&lt;&gt;"",$K137&lt;&gt;"",$J137=$K137,$J137&gt;=BD$3,$J137&lt;=IF(param_mode_affichage="mois",EOMONTH(BD$3,0),BD$3+6)),"◆",""))</f>
      </c>
      <c r="BE137" s="26">
        <f>IF(OR($A137="",BE$3=""),"",IF(AND($J137&lt;&gt;"",$K137&lt;&gt;"",$J137=$K137,$J137&gt;=BE$3,$J137&lt;=IF(param_mode_affichage="mois",EOMONTH(BE$3,0),BE$3+6)),"◆",""))</f>
      </c>
      <c r="BF137" s="26">
        <f>IF(OR($A137="",BF$3=""),"",IF(AND($J137&lt;&gt;"",$K137&lt;&gt;"",$J137=$K137,$J137&gt;=BF$3,$J137&lt;=IF(param_mode_affichage="mois",EOMONTH(BF$3,0),BF$3+6)),"◆",""))</f>
      </c>
      <c r="BG137" s="26">
        <f>IF(OR($A137="",BG$3=""),"",IF(AND($J137&lt;&gt;"",$K137&lt;&gt;"",$J137=$K137,$J137&gt;=BG$3,$J137&lt;=IF(param_mode_affichage="mois",EOMONTH(BG$3,0),BG$3+6)),"◆",""))</f>
      </c>
      <c r="BH137" s="26">
        <f>IF(OR($A137="",BH$3=""),"",IF(AND($J137&lt;&gt;"",$K137&lt;&gt;"",$J137=$K137,$J137&gt;=BH$3,$J137&lt;=IF(param_mode_affichage="mois",EOMONTH(BH$3,0),BH$3+6)),"◆",""))</f>
      </c>
      <c r="BI137" s="26">
        <f>IF(OR($A137="",BI$3=""),"",IF(AND($J137&lt;&gt;"",$K137&lt;&gt;"",$J137=$K137,$J137&gt;=BI$3,$J137&lt;=IF(param_mode_affichage="mois",EOMONTH(BI$3,0),BI$3+6)),"◆",""))</f>
      </c>
      <c r="BJ137" s="26">
        <f>IF(OR($A137="",BJ$3=""),"",IF(AND($J137&lt;&gt;"",$K137&lt;&gt;"",$J137=$K137,$J137&gt;=BJ$3,$J137&lt;=IF(param_mode_affichage="mois",EOMONTH(BJ$3,0),BJ$3+6)),"◆",""))</f>
      </c>
      <c r="BK137" s="26">
        <f>IF(OR($A137="",BK$3=""),"",IF(AND($J137&lt;&gt;"",$K137&lt;&gt;"",$J137=$K137,$J137&gt;=BK$3,$J137&lt;=IF(param_mode_affichage="mois",EOMONTH(BK$3,0),BK$3+6)),"◆",""))</f>
      </c>
      <c r="BL137" s="26">
        <f>IF(OR($A137="",BL$3=""),"",IF(AND($J137&lt;&gt;"",$K137&lt;&gt;"",$J137=$K137,$J137&gt;=BL$3,$J137&lt;=IF(param_mode_affichage="mois",EOMONTH(BL$3,0),BL$3+6)),"◆",""))</f>
      </c>
    </row>
    <row r="138" spans="1:64" x14ac:dyDescent="0.25">
      <c r="A138" s="23">
        <f>IFERROR(INDEX(tblTasks[ID],ROW()-4),"")</f>
      </c>
      <c r="B138" s="24">
        <f>IF($A138="","",INDEX(tblTasks[Sujet],ROW()-4))</f>
      </c>
      <c r="C138" s="23">
        <f>IF($A138="","",INDEX(tblTasks[Responsable],ROW()-4))</f>
      </c>
      <c r="D138" s="23">
        <f>IF($A138="","",INDEX(tblTasks[Statut],ROW()-4))</f>
      </c>
      <c r="E138" s="23">
        <f>IF($A138="","",INDEX(tblTasks[Depend_de],ROW()-4))</f>
      </c>
      <c r="F138" s="23">
        <f>IF($A138="","",INDEX(tblTasks[Blocage],ROW()-4))</f>
      </c>
      <c r="G138" s="23">
        <f>IF($A138="","",INDEX(tblTasks[Niveau_criticite],ROW()-4))</f>
      </c>
      <c r="H138" s="23">
        <f>IF($A138="","",INDEX(tblTasks[Goulot],ROW()-4))</f>
      </c>
      <c r="I138" s="23">
        <f>IF($A138="","",IF(LOWER($F138)="oui","non",IF($E138="","oui",IFERROR(IF(LOWER(INDEX(tblTasks[Statut],MATCH($E138,tblTasks[ID],0)))="clos","oui","non"),"non"))))</f>
      </c>
      <c r="J138" s="25">
        <f>IF($A138="","",INDEX(tblTasks[Date_debut_prevue],ROW()-4))</f>
      </c>
      <c r="K138" s="25">
        <f>IF($A138="","",INDEX(tblTasks[Date_fin_prevue],ROW()-4))</f>
      </c>
      <c r="L138" s="23">
        <f>IF($A138="","",INDEX(tblTasks[Irreversibilite],ROW()-4))</f>
      </c>
      <c r="M138" s="26">
        <f>IF(OR($A138="",M$3=""),"",IF(AND($J138&lt;&gt;"",$K138&lt;&gt;"",$J138=$K138,$J138&gt;=M$3,$J138&lt;=IF(param_mode_affichage="mois",EOMONTH(M$3,0),M$3+6)),"◆",""))</f>
      </c>
      <c r="N138" s="26">
        <f>IF(OR($A138="",N$3=""),"",IF(AND($J138&lt;&gt;"",$K138&lt;&gt;"",$J138=$K138,$J138&gt;=N$3,$J138&lt;=IF(param_mode_affichage="mois",EOMONTH(N$3,0),N$3+6)),"◆",""))</f>
      </c>
      <c r="O138" s="26">
        <f>IF(OR($A138="",O$3=""),"",IF(AND($J138&lt;&gt;"",$K138&lt;&gt;"",$J138=$K138,$J138&gt;=O$3,$J138&lt;=IF(param_mode_affichage="mois",EOMONTH(O$3,0),O$3+6)),"◆",""))</f>
      </c>
      <c r="P138" s="26">
        <f>IF(OR($A138="",P$3=""),"",IF(AND($J138&lt;&gt;"",$K138&lt;&gt;"",$J138=$K138,$J138&gt;=P$3,$J138&lt;=IF(param_mode_affichage="mois",EOMONTH(P$3,0),P$3+6)),"◆",""))</f>
      </c>
      <c r="Q138" s="26">
        <f>IF(OR($A138="",Q$3=""),"",IF(AND($J138&lt;&gt;"",$K138&lt;&gt;"",$J138=$K138,$J138&gt;=Q$3,$J138&lt;=IF(param_mode_affichage="mois",EOMONTH(Q$3,0),Q$3+6)),"◆",""))</f>
      </c>
      <c r="R138" s="26">
        <f>IF(OR($A138="",R$3=""),"",IF(AND($J138&lt;&gt;"",$K138&lt;&gt;"",$J138=$K138,$J138&gt;=R$3,$J138&lt;=IF(param_mode_affichage="mois",EOMONTH(R$3,0),R$3+6)),"◆",""))</f>
      </c>
      <c r="S138" s="26">
        <f>IF(OR($A138="",S$3=""),"",IF(AND($J138&lt;&gt;"",$K138&lt;&gt;"",$J138=$K138,$J138&gt;=S$3,$J138&lt;=IF(param_mode_affichage="mois",EOMONTH(S$3,0),S$3+6)),"◆",""))</f>
      </c>
      <c r="T138" s="26">
        <f>IF(OR($A138="",T$3=""),"",IF(AND($J138&lt;&gt;"",$K138&lt;&gt;"",$J138=$K138,$J138&gt;=T$3,$J138&lt;=IF(param_mode_affichage="mois",EOMONTH(T$3,0),T$3+6)),"◆",""))</f>
      </c>
      <c r="U138" s="26">
        <f>IF(OR($A138="",U$3=""),"",IF(AND($J138&lt;&gt;"",$K138&lt;&gt;"",$J138=$K138,$J138&gt;=U$3,$J138&lt;=IF(param_mode_affichage="mois",EOMONTH(U$3,0),U$3+6)),"◆",""))</f>
      </c>
      <c r="V138" s="26">
        <f>IF(OR($A138="",V$3=""),"",IF(AND($J138&lt;&gt;"",$K138&lt;&gt;"",$J138=$K138,$J138&gt;=V$3,$J138&lt;=IF(param_mode_affichage="mois",EOMONTH(V$3,0),V$3+6)),"◆",""))</f>
      </c>
      <c r="W138" s="26">
        <f>IF(OR($A138="",W$3=""),"",IF(AND($J138&lt;&gt;"",$K138&lt;&gt;"",$J138=$K138,$J138&gt;=W$3,$J138&lt;=IF(param_mode_affichage="mois",EOMONTH(W$3,0),W$3+6)),"◆",""))</f>
      </c>
      <c r="X138" s="26">
        <f>IF(OR($A138="",X$3=""),"",IF(AND($J138&lt;&gt;"",$K138&lt;&gt;"",$J138=$K138,$J138&gt;=X$3,$J138&lt;=IF(param_mode_affichage="mois",EOMONTH(X$3,0),X$3+6)),"◆",""))</f>
      </c>
      <c r="Y138" s="26">
        <f>IF(OR($A138="",Y$3=""),"",IF(AND($J138&lt;&gt;"",$K138&lt;&gt;"",$J138=$K138,$J138&gt;=Y$3,$J138&lt;=IF(param_mode_affichage="mois",EOMONTH(Y$3,0),Y$3+6)),"◆",""))</f>
      </c>
      <c r="Z138" s="26">
        <f>IF(OR($A138="",Z$3=""),"",IF(AND($J138&lt;&gt;"",$K138&lt;&gt;"",$J138=$K138,$J138&gt;=Z$3,$J138&lt;=IF(param_mode_affichage="mois",EOMONTH(Z$3,0),Z$3+6)),"◆",""))</f>
      </c>
      <c r="AA138" s="26">
        <f>IF(OR($A138="",AA$3=""),"",IF(AND($J138&lt;&gt;"",$K138&lt;&gt;"",$J138=$K138,$J138&gt;=AA$3,$J138&lt;=IF(param_mode_affichage="mois",EOMONTH(AA$3,0),AA$3+6)),"◆",""))</f>
      </c>
      <c r="AB138" s="26">
        <f>IF(OR($A138="",AB$3=""),"",IF(AND($J138&lt;&gt;"",$K138&lt;&gt;"",$J138=$K138,$J138&gt;=AB$3,$J138&lt;=IF(param_mode_affichage="mois",EOMONTH(AB$3,0),AB$3+6)),"◆",""))</f>
      </c>
      <c r="AC138" s="26">
        <f>IF(OR($A138="",AC$3=""),"",IF(AND($J138&lt;&gt;"",$K138&lt;&gt;"",$J138=$K138,$J138&gt;=AC$3,$J138&lt;=IF(param_mode_affichage="mois",EOMONTH(AC$3,0),AC$3+6)),"◆",""))</f>
      </c>
      <c r="AD138" s="26">
        <f>IF(OR($A138="",AD$3=""),"",IF(AND($J138&lt;&gt;"",$K138&lt;&gt;"",$J138=$K138,$J138&gt;=AD$3,$J138&lt;=IF(param_mode_affichage="mois",EOMONTH(AD$3,0),AD$3+6)),"◆",""))</f>
      </c>
      <c r="AE138" s="26">
        <f>IF(OR($A138="",AE$3=""),"",IF(AND($J138&lt;&gt;"",$K138&lt;&gt;"",$J138=$K138,$J138&gt;=AE$3,$J138&lt;=IF(param_mode_affichage="mois",EOMONTH(AE$3,0),AE$3+6)),"◆",""))</f>
      </c>
      <c r="AF138" s="26">
        <f>IF(OR($A138="",AF$3=""),"",IF(AND($J138&lt;&gt;"",$K138&lt;&gt;"",$J138=$K138,$J138&gt;=AF$3,$J138&lt;=IF(param_mode_affichage="mois",EOMONTH(AF$3,0),AF$3+6)),"◆",""))</f>
      </c>
      <c r="AG138" s="26">
        <f>IF(OR($A138="",AG$3=""),"",IF(AND($J138&lt;&gt;"",$K138&lt;&gt;"",$J138=$K138,$J138&gt;=AG$3,$J138&lt;=IF(param_mode_affichage="mois",EOMONTH(AG$3,0),AG$3+6)),"◆",""))</f>
      </c>
      <c r="AH138" s="26">
        <f>IF(OR($A138="",AH$3=""),"",IF(AND($J138&lt;&gt;"",$K138&lt;&gt;"",$J138=$K138,$J138&gt;=AH$3,$J138&lt;=IF(param_mode_affichage="mois",EOMONTH(AH$3,0),AH$3+6)),"◆",""))</f>
      </c>
      <c r="AI138" s="26">
        <f>IF(OR($A138="",AI$3=""),"",IF(AND($J138&lt;&gt;"",$K138&lt;&gt;"",$J138=$K138,$J138&gt;=AI$3,$J138&lt;=IF(param_mode_affichage="mois",EOMONTH(AI$3,0),AI$3+6)),"◆",""))</f>
      </c>
      <c r="AJ138" s="26">
        <f>IF(OR($A138="",AJ$3=""),"",IF(AND($J138&lt;&gt;"",$K138&lt;&gt;"",$J138=$K138,$J138&gt;=AJ$3,$J138&lt;=IF(param_mode_affichage="mois",EOMONTH(AJ$3,0),AJ$3+6)),"◆",""))</f>
      </c>
      <c r="AK138" s="26">
        <f>IF(OR($A138="",AK$3=""),"",IF(AND($J138&lt;&gt;"",$K138&lt;&gt;"",$J138=$K138,$J138&gt;=AK$3,$J138&lt;=IF(param_mode_affichage="mois",EOMONTH(AK$3,0),AK$3+6)),"◆",""))</f>
      </c>
      <c r="AL138" s="26">
        <f>IF(OR($A138="",AL$3=""),"",IF(AND($J138&lt;&gt;"",$K138&lt;&gt;"",$J138=$K138,$J138&gt;=AL$3,$J138&lt;=IF(param_mode_affichage="mois",EOMONTH(AL$3,0),AL$3+6)),"◆",""))</f>
      </c>
      <c r="AM138" s="26">
        <f>IF(OR($A138="",AM$3=""),"",IF(AND($J138&lt;&gt;"",$K138&lt;&gt;"",$J138=$K138,$J138&gt;=AM$3,$J138&lt;=IF(param_mode_affichage="mois",EOMONTH(AM$3,0),AM$3+6)),"◆",""))</f>
      </c>
      <c r="AN138" s="26">
        <f>IF(OR($A138="",AN$3=""),"",IF(AND($J138&lt;&gt;"",$K138&lt;&gt;"",$J138=$K138,$J138&gt;=AN$3,$J138&lt;=IF(param_mode_affichage="mois",EOMONTH(AN$3,0),AN$3+6)),"◆",""))</f>
      </c>
      <c r="AO138" s="26">
        <f>IF(OR($A138="",AO$3=""),"",IF(AND($J138&lt;&gt;"",$K138&lt;&gt;"",$J138=$K138,$J138&gt;=AO$3,$J138&lt;=IF(param_mode_affichage="mois",EOMONTH(AO$3,0),AO$3+6)),"◆",""))</f>
      </c>
      <c r="AP138" s="26">
        <f>IF(OR($A138="",AP$3=""),"",IF(AND($J138&lt;&gt;"",$K138&lt;&gt;"",$J138=$K138,$J138&gt;=AP$3,$J138&lt;=IF(param_mode_affichage="mois",EOMONTH(AP$3,0),AP$3+6)),"◆",""))</f>
      </c>
      <c r="AQ138" s="26">
        <f>IF(OR($A138="",AQ$3=""),"",IF(AND($J138&lt;&gt;"",$K138&lt;&gt;"",$J138=$K138,$J138&gt;=AQ$3,$J138&lt;=IF(param_mode_affichage="mois",EOMONTH(AQ$3,0),AQ$3+6)),"◆",""))</f>
      </c>
      <c r="AR138" s="26">
        <f>IF(OR($A138="",AR$3=""),"",IF(AND($J138&lt;&gt;"",$K138&lt;&gt;"",$J138=$K138,$J138&gt;=AR$3,$J138&lt;=IF(param_mode_affichage="mois",EOMONTH(AR$3,0),AR$3+6)),"◆",""))</f>
      </c>
      <c r="AS138" s="26">
        <f>IF(OR($A138="",AS$3=""),"",IF(AND($J138&lt;&gt;"",$K138&lt;&gt;"",$J138=$K138,$J138&gt;=AS$3,$J138&lt;=IF(param_mode_affichage="mois",EOMONTH(AS$3,0),AS$3+6)),"◆",""))</f>
      </c>
      <c r="AT138" s="26">
        <f>IF(OR($A138="",AT$3=""),"",IF(AND($J138&lt;&gt;"",$K138&lt;&gt;"",$J138=$K138,$J138&gt;=AT$3,$J138&lt;=IF(param_mode_affichage="mois",EOMONTH(AT$3,0),AT$3+6)),"◆",""))</f>
      </c>
      <c r="AU138" s="26">
        <f>IF(OR($A138="",AU$3=""),"",IF(AND($J138&lt;&gt;"",$K138&lt;&gt;"",$J138=$K138,$J138&gt;=AU$3,$J138&lt;=IF(param_mode_affichage="mois",EOMONTH(AU$3,0),AU$3+6)),"◆",""))</f>
      </c>
      <c r="AV138" s="26">
        <f>IF(OR($A138="",AV$3=""),"",IF(AND($J138&lt;&gt;"",$K138&lt;&gt;"",$J138=$K138,$J138&gt;=AV$3,$J138&lt;=IF(param_mode_affichage="mois",EOMONTH(AV$3,0),AV$3+6)),"◆",""))</f>
      </c>
      <c r="AW138" s="26">
        <f>IF(OR($A138="",AW$3=""),"",IF(AND($J138&lt;&gt;"",$K138&lt;&gt;"",$J138=$K138,$J138&gt;=AW$3,$J138&lt;=IF(param_mode_affichage="mois",EOMONTH(AW$3,0),AW$3+6)),"◆",""))</f>
      </c>
      <c r="AX138" s="26">
        <f>IF(OR($A138="",AX$3=""),"",IF(AND($J138&lt;&gt;"",$K138&lt;&gt;"",$J138=$K138,$J138&gt;=AX$3,$J138&lt;=IF(param_mode_affichage="mois",EOMONTH(AX$3,0),AX$3+6)),"◆",""))</f>
      </c>
      <c r="AY138" s="26">
        <f>IF(OR($A138="",AY$3=""),"",IF(AND($J138&lt;&gt;"",$K138&lt;&gt;"",$J138=$K138,$J138&gt;=AY$3,$J138&lt;=IF(param_mode_affichage="mois",EOMONTH(AY$3,0),AY$3+6)),"◆",""))</f>
      </c>
      <c r="AZ138" s="26">
        <f>IF(OR($A138="",AZ$3=""),"",IF(AND($J138&lt;&gt;"",$K138&lt;&gt;"",$J138=$K138,$J138&gt;=AZ$3,$J138&lt;=IF(param_mode_affichage="mois",EOMONTH(AZ$3,0),AZ$3+6)),"◆",""))</f>
      </c>
      <c r="BA138" s="26">
        <f>IF(OR($A138="",BA$3=""),"",IF(AND($J138&lt;&gt;"",$K138&lt;&gt;"",$J138=$K138,$J138&gt;=BA$3,$J138&lt;=IF(param_mode_affichage="mois",EOMONTH(BA$3,0),BA$3+6)),"◆",""))</f>
      </c>
      <c r="BB138" s="26">
        <f>IF(OR($A138="",BB$3=""),"",IF(AND($J138&lt;&gt;"",$K138&lt;&gt;"",$J138=$K138,$J138&gt;=BB$3,$J138&lt;=IF(param_mode_affichage="mois",EOMONTH(BB$3,0),BB$3+6)),"◆",""))</f>
      </c>
      <c r="BC138" s="26">
        <f>IF(OR($A138="",BC$3=""),"",IF(AND($J138&lt;&gt;"",$K138&lt;&gt;"",$J138=$K138,$J138&gt;=BC$3,$J138&lt;=IF(param_mode_affichage="mois",EOMONTH(BC$3,0),BC$3+6)),"◆",""))</f>
      </c>
      <c r="BD138" s="26">
        <f>IF(OR($A138="",BD$3=""),"",IF(AND($J138&lt;&gt;"",$K138&lt;&gt;"",$J138=$K138,$J138&gt;=BD$3,$J138&lt;=IF(param_mode_affichage="mois",EOMONTH(BD$3,0),BD$3+6)),"◆",""))</f>
      </c>
      <c r="BE138" s="26">
        <f>IF(OR($A138="",BE$3=""),"",IF(AND($J138&lt;&gt;"",$K138&lt;&gt;"",$J138=$K138,$J138&gt;=BE$3,$J138&lt;=IF(param_mode_affichage="mois",EOMONTH(BE$3,0),BE$3+6)),"◆",""))</f>
      </c>
      <c r="BF138" s="26">
        <f>IF(OR($A138="",BF$3=""),"",IF(AND($J138&lt;&gt;"",$K138&lt;&gt;"",$J138=$K138,$J138&gt;=BF$3,$J138&lt;=IF(param_mode_affichage="mois",EOMONTH(BF$3,0),BF$3+6)),"◆",""))</f>
      </c>
      <c r="BG138" s="26">
        <f>IF(OR($A138="",BG$3=""),"",IF(AND($J138&lt;&gt;"",$K138&lt;&gt;"",$J138=$K138,$J138&gt;=BG$3,$J138&lt;=IF(param_mode_affichage="mois",EOMONTH(BG$3,0),BG$3+6)),"◆",""))</f>
      </c>
      <c r="BH138" s="26">
        <f>IF(OR($A138="",BH$3=""),"",IF(AND($J138&lt;&gt;"",$K138&lt;&gt;"",$J138=$K138,$J138&gt;=BH$3,$J138&lt;=IF(param_mode_affichage="mois",EOMONTH(BH$3,0),BH$3+6)),"◆",""))</f>
      </c>
      <c r="BI138" s="26">
        <f>IF(OR($A138="",BI$3=""),"",IF(AND($J138&lt;&gt;"",$K138&lt;&gt;"",$J138=$K138,$J138&gt;=BI$3,$J138&lt;=IF(param_mode_affichage="mois",EOMONTH(BI$3,0),BI$3+6)),"◆",""))</f>
      </c>
      <c r="BJ138" s="26">
        <f>IF(OR($A138="",BJ$3=""),"",IF(AND($J138&lt;&gt;"",$K138&lt;&gt;"",$J138=$K138,$J138&gt;=BJ$3,$J138&lt;=IF(param_mode_affichage="mois",EOMONTH(BJ$3,0),BJ$3+6)),"◆",""))</f>
      </c>
      <c r="BK138" s="26">
        <f>IF(OR($A138="",BK$3=""),"",IF(AND($J138&lt;&gt;"",$K138&lt;&gt;"",$J138=$K138,$J138&gt;=BK$3,$J138&lt;=IF(param_mode_affichage="mois",EOMONTH(BK$3,0),BK$3+6)),"◆",""))</f>
      </c>
      <c r="BL138" s="26">
        <f>IF(OR($A138="",BL$3=""),"",IF(AND($J138&lt;&gt;"",$K138&lt;&gt;"",$J138=$K138,$J138&gt;=BL$3,$J138&lt;=IF(param_mode_affichage="mois",EOMONTH(BL$3,0),BL$3+6)),"◆",""))</f>
      </c>
    </row>
    <row r="139" spans="1:64" x14ac:dyDescent="0.25">
      <c r="A139" s="23">
        <f>IFERROR(INDEX(tblTasks[ID],ROW()-4),"")</f>
      </c>
      <c r="B139" s="24">
        <f>IF($A139="","",INDEX(tblTasks[Sujet],ROW()-4))</f>
      </c>
      <c r="C139" s="23">
        <f>IF($A139="","",INDEX(tblTasks[Responsable],ROW()-4))</f>
      </c>
      <c r="D139" s="23">
        <f>IF($A139="","",INDEX(tblTasks[Statut],ROW()-4))</f>
      </c>
      <c r="E139" s="23">
        <f>IF($A139="","",INDEX(tblTasks[Depend_de],ROW()-4))</f>
      </c>
      <c r="F139" s="23">
        <f>IF($A139="","",INDEX(tblTasks[Blocage],ROW()-4))</f>
      </c>
      <c r="G139" s="23">
        <f>IF($A139="","",INDEX(tblTasks[Niveau_criticite],ROW()-4))</f>
      </c>
      <c r="H139" s="23">
        <f>IF($A139="","",INDEX(tblTasks[Goulot],ROW()-4))</f>
      </c>
      <c r="I139" s="23">
        <f>IF($A139="","",IF(LOWER($F139)="oui","non",IF($E139="","oui",IFERROR(IF(LOWER(INDEX(tblTasks[Statut],MATCH($E139,tblTasks[ID],0)))="clos","oui","non"),"non"))))</f>
      </c>
      <c r="J139" s="25">
        <f>IF($A139="","",INDEX(tblTasks[Date_debut_prevue],ROW()-4))</f>
      </c>
      <c r="K139" s="25">
        <f>IF($A139="","",INDEX(tblTasks[Date_fin_prevue],ROW()-4))</f>
      </c>
      <c r="L139" s="23">
        <f>IF($A139="","",INDEX(tblTasks[Irreversibilite],ROW()-4))</f>
      </c>
      <c r="M139" s="26">
        <f>IF(OR($A139="",M$3=""),"",IF(AND($J139&lt;&gt;"",$K139&lt;&gt;"",$J139=$K139,$J139&gt;=M$3,$J139&lt;=IF(param_mode_affichage="mois",EOMONTH(M$3,0),M$3+6)),"◆",""))</f>
      </c>
      <c r="N139" s="26">
        <f>IF(OR($A139="",N$3=""),"",IF(AND($J139&lt;&gt;"",$K139&lt;&gt;"",$J139=$K139,$J139&gt;=N$3,$J139&lt;=IF(param_mode_affichage="mois",EOMONTH(N$3,0),N$3+6)),"◆",""))</f>
      </c>
      <c r="O139" s="26">
        <f>IF(OR($A139="",O$3=""),"",IF(AND($J139&lt;&gt;"",$K139&lt;&gt;"",$J139=$K139,$J139&gt;=O$3,$J139&lt;=IF(param_mode_affichage="mois",EOMONTH(O$3,0),O$3+6)),"◆",""))</f>
      </c>
      <c r="P139" s="26">
        <f>IF(OR($A139="",P$3=""),"",IF(AND($J139&lt;&gt;"",$K139&lt;&gt;"",$J139=$K139,$J139&gt;=P$3,$J139&lt;=IF(param_mode_affichage="mois",EOMONTH(P$3,0),P$3+6)),"◆",""))</f>
      </c>
      <c r="Q139" s="26">
        <f>IF(OR($A139="",Q$3=""),"",IF(AND($J139&lt;&gt;"",$K139&lt;&gt;"",$J139=$K139,$J139&gt;=Q$3,$J139&lt;=IF(param_mode_affichage="mois",EOMONTH(Q$3,0),Q$3+6)),"◆",""))</f>
      </c>
      <c r="R139" s="26">
        <f>IF(OR($A139="",R$3=""),"",IF(AND($J139&lt;&gt;"",$K139&lt;&gt;"",$J139=$K139,$J139&gt;=R$3,$J139&lt;=IF(param_mode_affichage="mois",EOMONTH(R$3,0),R$3+6)),"◆",""))</f>
      </c>
      <c r="S139" s="26">
        <f>IF(OR($A139="",S$3=""),"",IF(AND($J139&lt;&gt;"",$K139&lt;&gt;"",$J139=$K139,$J139&gt;=S$3,$J139&lt;=IF(param_mode_affichage="mois",EOMONTH(S$3,0),S$3+6)),"◆",""))</f>
      </c>
      <c r="T139" s="26">
        <f>IF(OR($A139="",T$3=""),"",IF(AND($J139&lt;&gt;"",$K139&lt;&gt;"",$J139=$K139,$J139&gt;=T$3,$J139&lt;=IF(param_mode_affichage="mois",EOMONTH(T$3,0),T$3+6)),"◆",""))</f>
      </c>
      <c r="U139" s="26">
        <f>IF(OR($A139="",U$3=""),"",IF(AND($J139&lt;&gt;"",$K139&lt;&gt;"",$J139=$K139,$J139&gt;=U$3,$J139&lt;=IF(param_mode_affichage="mois",EOMONTH(U$3,0),U$3+6)),"◆",""))</f>
      </c>
      <c r="V139" s="26">
        <f>IF(OR($A139="",V$3=""),"",IF(AND($J139&lt;&gt;"",$K139&lt;&gt;"",$J139=$K139,$J139&gt;=V$3,$J139&lt;=IF(param_mode_affichage="mois",EOMONTH(V$3,0),V$3+6)),"◆",""))</f>
      </c>
      <c r="W139" s="26">
        <f>IF(OR($A139="",W$3=""),"",IF(AND($J139&lt;&gt;"",$K139&lt;&gt;"",$J139=$K139,$J139&gt;=W$3,$J139&lt;=IF(param_mode_affichage="mois",EOMONTH(W$3,0),W$3+6)),"◆",""))</f>
      </c>
      <c r="X139" s="26">
        <f>IF(OR($A139="",X$3=""),"",IF(AND($J139&lt;&gt;"",$K139&lt;&gt;"",$J139=$K139,$J139&gt;=X$3,$J139&lt;=IF(param_mode_affichage="mois",EOMONTH(X$3,0),X$3+6)),"◆",""))</f>
      </c>
      <c r="Y139" s="26">
        <f>IF(OR($A139="",Y$3=""),"",IF(AND($J139&lt;&gt;"",$K139&lt;&gt;"",$J139=$K139,$J139&gt;=Y$3,$J139&lt;=IF(param_mode_affichage="mois",EOMONTH(Y$3,0),Y$3+6)),"◆",""))</f>
      </c>
      <c r="Z139" s="26">
        <f>IF(OR($A139="",Z$3=""),"",IF(AND($J139&lt;&gt;"",$K139&lt;&gt;"",$J139=$K139,$J139&gt;=Z$3,$J139&lt;=IF(param_mode_affichage="mois",EOMONTH(Z$3,0),Z$3+6)),"◆",""))</f>
      </c>
      <c r="AA139" s="26">
        <f>IF(OR($A139="",AA$3=""),"",IF(AND($J139&lt;&gt;"",$K139&lt;&gt;"",$J139=$K139,$J139&gt;=AA$3,$J139&lt;=IF(param_mode_affichage="mois",EOMONTH(AA$3,0),AA$3+6)),"◆",""))</f>
      </c>
      <c r="AB139" s="26">
        <f>IF(OR($A139="",AB$3=""),"",IF(AND($J139&lt;&gt;"",$K139&lt;&gt;"",$J139=$K139,$J139&gt;=AB$3,$J139&lt;=IF(param_mode_affichage="mois",EOMONTH(AB$3,0),AB$3+6)),"◆",""))</f>
      </c>
      <c r="AC139" s="26">
        <f>IF(OR($A139="",AC$3=""),"",IF(AND($J139&lt;&gt;"",$K139&lt;&gt;"",$J139=$K139,$J139&gt;=AC$3,$J139&lt;=IF(param_mode_affichage="mois",EOMONTH(AC$3,0),AC$3+6)),"◆",""))</f>
      </c>
      <c r="AD139" s="26">
        <f>IF(OR($A139="",AD$3=""),"",IF(AND($J139&lt;&gt;"",$K139&lt;&gt;"",$J139=$K139,$J139&gt;=AD$3,$J139&lt;=IF(param_mode_affichage="mois",EOMONTH(AD$3,0),AD$3+6)),"◆",""))</f>
      </c>
      <c r="AE139" s="26">
        <f>IF(OR($A139="",AE$3=""),"",IF(AND($J139&lt;&gt;"",$K139&lt;&gt;"",$J139=$K139,$J139&gt;=AE$3,$J139&lt;=IF(param_mode_affichage="mois",EOMONTH(AE$3,0),AE$3+6)),"◆",""))</f>
      </c>
      <c r="AF139" s="26">
        <f>IF(OR($A139="",AF$3=""),"",IF(AND($J139&lt;&gt;"",$K139&lt;&gt;"",$J139=$K139,$J139&gt;=AF$3,$J139&lt;=IF(param_mode_affichage="mois",EOMONTH(AF$3,0),AF$3+6)),"◆",""))</f>
      </c>
      <c r="AG139" s="26">
        <f>IF(OR($A139="",AG$3=""),"",IF(AND($J139&lt;&gt;"",$K139&lt;&gt;"",$J139=$K139,$J139&gt;=AG$3,$J139&lt;=IF(param_mode_affichage="mois",EOMONTH(AG$3,0),AG$3+6)),"◆",""))</f>
      </c>
      <c r="AH139" s="26">
        <f>IF(OR($A139="",AH$3=""),"",IF(AND($J139&lt;&gt;"",$K139&lt;&gt;"",$J139=$K139,$J139&gt;=AH$3,$J139&lt;=IF(param_mode_affichage="mois",EOMONTH(AH$3,0),AH$3+6)),"◆",""))</f>
      </c>
      <c r="AI139" s="26">
        <f>IF(OR($A139="",AI$3=""),"",IF(AND($J139&lt;&gt;"",$K139&lt;&gt;"",$J139=$K139,$J139&gt;=AI$3,$J139&lt;=IF(param_mode_affichage="mois",EOMONTH(AI$3,0),AI$3+6)),"◆",""))</f>
      </c>
      <c r="AJ139" s="26">
        <f>IF(OR($A139="",AJ$3=""),"",IF(AND($J139&lt;&gt;"",$K139&lt;&gt;"",$J139=$K139,$J139&gt;=AJ$3,$J139&lt;=IF(param_mode_affichage="mois",EOMONTH(AJ$3,0),AJ$3+6)),"◆",""))</f>
      </c>
      <c r="AK139" s="26">
        <f>IF(OR($A139="",AK$3=""),"",IF(AND($J139&lt;&gt;"",$K139&lt;&gt;"",$J139=$K139,$J139&gt;=AK$3,$J139&lt;=IF(param_mode_affichage="mois",EOMONTH(AK$3,0),AK$3+6)),"◆",""))</f>
      </c>
      <c r="AL139" s="26">
        <f>IF(OR($A139="",AL$3=""),"",IF(AND($J139&lt;&gt;"",$K139&lt;&gt;"",$J139=$K139,$J139&gt;=AL$3,$J139&lt;=IF(param_mode_affichage="mois",EOMONTH(AL$3,0),AL$3+6)),"◆",""))</f>
      </c>
      <c r="AM139" s="26">
        <f>IF(OR($A139="",AM$3=""),"",IF(AND($J139&lt;&gt;"",$K139&lt;&gt;"",$J139=$K139,$J139&gt;=AM$3,$J139&lt;=IF(param_mode_affichage="mois",EOMONTH(AM$3,0),AM$3+6)),"◆",""))</f>
      </c>
      <c r="AN139" s="26">
        <f>IF(OR($A139="",AN$3=""),"",IF(AND($J139&lt;&gt;"",$K139&lt;&gt;"",$J139=$K139,$J139&gt;=AN$3,$J139&lt;=IF(param_mode_affichage="mois",EOMONTH(AN$3,0),AN$3+6)),"◆",""))</f>
      </c>
      <c r="AO139" s="26">
        <f>IF(OR($A139="",AO$3=""),"",IF(AND($J139&lt;&gt;"",$K139&lt;&gt;"",$J139=$K139,$J139&gt;=AO$3,$J139&lt;=IF(param_mode_affichage="mois",EOMONTH(AO$3,0),AO$3+6)),"◆",""))</f>
      </c>
      <c r="AP139" s="26">
        <f>IF(OR($A139="",AP$3=""),"",IF(AND($J139&lt;&gt;"",$K139&lt;&gt;"",$J139=$K139,$J139&gt;=AP$3,$J139&lt;=IF(param_mode_affichage="mois",EOMONTH(AP$3,0),AP$3+6)),"◆",""))</f>
      </c>
      <c r="AQ139" s="26">
        <f>IF(OR($A139="",AQ$3=""),"",IF(AND($J139&lt;&gt;"",$K139&lt;&gt;"",$J139=$K139,$J139&gt;=AQ$3,$J139&lt;=IF(param_mode_affichage="mois",EOMONTH(AQ$3,0),AQ$3+6)),"◆",""))</f>
      </c>
      <c r="AR139" s="26">
        <f>IF(OR($A139="",AR$3=""),"",IF(AND($J139&lt;&gt;"",$K139&lt;&gt;"",$J139=$K139,$J139&gt;=AR$3,$J139&lt;=IF(param_mode_affichage="mois",EOMONTH(AR$3,0),AR$3+6)),"◆",""))</f>
      </c>
      <c r="AS139" s="26">
        <f>IF(OR($A139="",AS$3=""),"",IF(AND($J139&lt;&gt;"",$K139&lt;&gt;"",$J139=$K139,$J139&gt;=AS$3,$J139&lt;=IF(param_mode_affichage="mois",EOMONTH(AS$3,0),AS$3+6)),"◆",""))</f>
      </c>
      <c r="AT139" s="26">
        <f>IF(OR($A139="",AT$3=""),"",IF(AND($J139&lt;&gt;"",$K139&lt;&gt;"",$J139=$K139,$J139&gt;=AT$3,$J139&lt;=IF(param_mode_affichage="mois",EOMONTH(AT$3,0),AT$3+6)),"◆",""))</f>
      </c>
      <c r="AU139" s="26">
        <f>IF(OR($A139="",AU$3=""),"",IF(AND($J139&lt;&gt;"",$K139&lt;&gt;"",$J139=$K139,$J139&gt;=AU$3,$J139&lt;=IF(param_mode_affichage="mois",EOMONTH(AU$3,0),AU$3+6)),"◆",""))</f>
      </c>
      <c r="AV139" s="26">
        <f>IF(OR($A139="",AV$3=""),"",IF(AND($J139&lt;&gt;"",$K139&lt;&gt;"",$J139=$K139,$J139&gt;=AV$3,$J139&lt;=IF(param_mode_affichage="mois",EOMONTH(AV$3,0),AV$3+6)),"◆",""))</f>
      </c>
      <c r="AW139" s="26">
        <f>IF(OR($A139="",AW$3=""),"",IF(AND($J139&lt;&gt;"",$K139&lt;&gt;"",$J139=$K139,$J139&gt;=AW$3,$J139&lt;=IF(param_mode_affichage="mois",EOMONTH(AW$3,0),AW$3+6)),"◆",""))</f>
      </c>
      <c r="AX139" s="26">
        <f>IF(OR($A139="",AX$3=""),"",IF(AND($J139&lt;&gt;"",$K139&lt;&gt;"",$J139=$K139,$J139&gt;=AX$3,$J139&lt;=IF(param_mode_affichage="mois",EOMONTH(AX$3,0),AX$3+6)),"◆",""))</f>
      </c>
      <c r="AY139" s="26">
        <f>IF(OR($A139="",AY$3=""),"",IF(AND($J139&lt;&gt;"",$K139&lt;&gt;"",$J139=$K139,$J139&gt;=AY$3,$J139&lt;=IF(param_mode_affichage="mois",EOMONTH(AY$3,0),AY$3+6)),"◆",""))</f>
      </c>
      <c r="AZ139" s="26">
        <f>IF(OR($A139="",AZ$3=""),"",IF(AND($J139&lt;&gt;"",$K139&lt;&gt;"",$J139=$K139,$J139&gt;=AZ$3,$J139&lt;=IF(param_mode_affichage="mois",EOMONTH(AZ$3,0),AZ$3+6)),"◆",""))</f>
      </c>
      <c r="BA139" s="26">
        <f>IF(OR($A139="",BA$3=""),"",IF(AND($J139&lt;&gt;"",$K139&lt;&gt;"",$J139=$K139,$J139&gt;=BA$3,$J139&lt;=IF(param_mode_affichage="mois",EOMONTH(BA$3,0),BA$3+6)),"◆",""))</f>
      </c>
      <c r="BB139" s="26">
        <f>IF(OR($A139="",BB$3=""),"",IF(AND($J139&lt;&gt;"",$K139&lt;&gt;"",$J139=$K139,$J139&gt;=BB$3,$J139&lt;=IF(param_mode_affichage="mois",EOMONTH(BB$3,0),BB$3+6)),"◆",""))</f>
      </c>
      <c r="BC139" s="26">
        <f>IF(OR($A139="",BC$3=""),"",IF(AND($J139&lt;&gt;"",$K139&lt;&gt;"",$J139=$K139,$J139&gt;=BC$3,$J139&lt;=IF(param_mode_affichage="mois",EOMONTH(BC$3,0),BC$3+6)),"◆",""))</f>
      </c>
      <c r="BD139" s="26">
        <f>IF(OR($A139="",BD$3=""),"",IF(AND($J139&lt;&gt;"",$K139&lt;&gt;"",$J139=$K139,$J139&gt;=BD$3,$J139&lt;=IF(param_mode_affichage="mois",EOMONTH(BD$3,0),BD$3+6)),"◆",""))</f>
      </c>
      <c r="BE139" s="26">
        <f>IF(OR($A139="",BE$3=""),"",IF(AND($J139&lt;&gt;"",$K139&lt;&gt;"",$J139=$K139,$J139&gt;=BE$3,$J139&lt;=IF(param_mode_affichage="mois",EOMONTH(BE$3,0),BE$3+6)),"◆",""))</f>
      </c>
      <c r="BF139" s="26">
        <f>IF(OR($A139="",BF$3=""),"",IF(AND($J139&lt;&gt;"",$K139&lt;&gt;"",$J139=$K139,$J139&gt;=BF$3,$J139&lt;=IF(param_mode_affichage="mois",EOMONTH(BF$3,0),BF$3+6)),"◆",""))</f>
      </c>
      <c r="BG139" s="26">
        <f>IF(OR($A139="",BG$3=""),"",IF(AND($J139&lt;&gt;"",$K139&lt;&gt;"",$J139=$K139,$J139&gt;=BG$3,$J139&lt;=IF(param_mode_affichage="mois",EOMONTH(BG$3,0),BG$3+6)),"◆",""))</f>
      </c>
      <c r="BH139" s="26">
        <f>IF(OR($A139="",BH$3=""),"",IF(AND($J139&lt;&gt;"",$K139&lt;&gt;"",$J139=$K139,$J139&gt;=BH$3,$J139&lt;=IF(param_mode_affichage="mois",EOMONTH(BH$3,0),BH$3+6)),"◆",""))</f>
      </c>
      <c r="BI139" s="26">
        <f>IF(OR($A139="",BI$3=""),"",IF(AND($J139&lt;&gt;"",$K139&lt;&gt;"",$J139=$K139,$J139&gt;=BI$3,$J139&lt;=IF(param_mode_affichage="mois",EOMONTH(BI$3,0),BI$3+6)),"◆",""))</f>
      </c>
      <c r="BJ139" s="26">
        <f>IF(OR($A139="",BJ$3=""),"",IF(AND($J139&lt;&gt;"",$K139&lt;&gt;"",$J139=$K139,$J139&gt;=BJ$3,$J139&lt;=IF(param_mode_affichage="mois",EOMONTH(BJ$3,0),BJ$3+6)),"◆",""))</f>
      </c>
      <c r="BK139" s="26">
        <f>IF(OR($A139="",BK$3=""),"",IF(AND($J139&lt;&gt;"",$K139&lt;&gt;"",$J139=$K139,$J139&gt;=BK$3,$J139&lt;=IF(param_mode_affichage="mois",EOMONTH(BK$3,0),BK$3+6)),"◆",""))</f>
      </c>
      <c r="BL139" s="26">
        <f>IF(OR($A139="",BL$3=""),"",IF(AND($J139&lt;&gt;"",$K139&lt;&gt;"",$J139=$K139,$J139&gt;=BL$3,$J139&lt;=IF(param_mode_affichage="mois",EOMONTH(BL$3,0),BL$3+6)),"◆",""))</f>
      </c>
    </row>
    <row r="140" spans="1:64" x14ac:dyDescent="0.25">
      <c r="A140" s="23">
        <f>IFERROR(INDEX(tblTasks[ID],ROW()-4),"")</f>
      </c>
      <c r="B140" s="24">
        <f>IF($A140="","",INDEX(tblTasks[Sujet],ROW()-4))</f>
      </c>
      <c r="C140" s="23">
        <f>IF($A140="","",INDEX(tblTasks[Responsable],ROW()-4))</f>
      </c>
      <c r="D140" s="23">
        <f>IF($A140="","",INDEX(tblTasks[Statut],ROW()-4))</f>
      </c>
      <c r="E140" s="23">
        <f>IF($A140="","",INDEX(tblTasks[Depend_de],ROW()-4))</f>
      </c>
      <c r="F140" s="23">
        <f>IF($A140="","",INDEX(tblTasks[Blocage],ROW()-4))</f>
      </c>
      <c r="G140" s="23">
        <f>IF($A140="","",INDEX(tblTasks[Niveau_criticite],ROW()-4))</f>
      </c>
      <c r="H140" s="23">
        <f>IF($A140="","",INDEX(tblTasks[Goulot],ROW()-4))</f>
      </c>
      <c r="I140" s="23">
        <f>IF($A140="","",IF(LOWER($F140)="oui","non",IF($E140="","oui",IFERROR(IF(LOWER(INDEX(tblTasks[Statut],MATCH($E140,tblTasks[ID],0)))="clos","oui","non"),"non"))))</f>
      </c>
      <c r="J140" s="25">
        <f>IF($A140="","",INDEX(tblTasks[Date_debut_prevue],ROW()-4))</f>
      </c>
      <c r="K140" s="25">
        <f>IF($A140="","",INDEX(tblTasks[Date_fin_prevue],ROW()-4))</f>
      </c>
      <c r="L140" s="23">
        <f>IF($A140="","",INDEX(tblTasks[Irreversibilite],ROW()-4))</f>
      </c>
      <c r="M140" s="26">
        <f>IF(OR($A140="",M$3=""),"",IF(AND($J140&lt;&gt;"",$K140&lt;&gt;"",$J140=$K140,$J140&gt;=M$3,$J140&lt;=IF(param_mode_affichage="mois",EOMONTH(M$3,0),M$3+6)),"◆",""))</f>
      </c>
      <c r="N140" s="26">
        <f>IF(OR($A140="",N$3=""),"",IF(AND($J140&lt;&gt;"",$K140&lt;&gt;"",$J140=$K140,$J140&gt;=N$3,$J140&lt;=IF(param_mode_affichage="mois",EOMONTH(N$3,0),N$3+6)),"◆",""))</f>
      </c>
      <c r="O140" s="26">
        <f>IF(OR($A140="",O$3=""),"",IF(AND($J140&lt;&gt;"",$K140&lt;&gt;"",$J140=$K140,$J140&gt;=O$3,$J140&lt;=IF(param_mode_affichage="mois",EOMONTH(O$3,0),O$3+6)),"◆",""))</f>
      </c>
      <c r="P140" s="26">
        <f>IF(OR($A140="",P$3=""),"",IF(AND($J140&lt;&gt;"",$K140&lt;&gt;"",$J140=$K140,$J140&gt;=P$3,$J140&lt;=IF(param_mode_affichage="mois",EOMONTH(P$3,0),P$3+6)),"◆",""))</f>
      </c>
      <c r="Q140" s="26">
        <f>IF(OR($A140="",Q$3=""),"",IF(AND($J140&lt;&gt;"",$K140&lt;&gt;"",$J140=$K140,$J140&gt;=Q$3,$J140&lt;=IF(param_mode_affichage="mois",EOMONTH(Q$3,0),Q$3+6)),"◆",""))</f>
      </c>
      <c r="R140" s="26">
        <f>IF(OR($A140="",R$3=""),"",IF(AND($J140&lt;&gt;"",$K140&lt;&gt;"",$J140=$K140,$J140&gt;=R$3,$J140&lt;=IF(param_mode_affichage="mois",EOMONTH(R$3,0),R$3+6)),"◆",""))</f>
      </c>
      <c r="S140" s="26">
        <f>IF(OR($A140="",S$3=""),"",IF(AND($J140&lt;&gt;"",$K140&lt;&gt;"",$J140=$K140,$J140&gt;=S$3,$J140&lt;=IF(param_mode_affichage="mois",EOMONTH(S$3,0),S$3+6)),"◆",""))</f>
      </c>
      <c r="T140" s="26">
        <f>IF(OR($A140="",T$3=""),"",IF(AND($J140&lt;&gt;"",$K140&lt;&gt;"",$J140=$K140,$J140&gt;=T$3,$J140&lt;=IF(param_mode_affichage="mois",EOMONTH(T$3,0),T$3+6)),"◆",""))</f>
      </c>
      <c r="U140" s="26">
        <f>IF(OR($A140="",U$3=""),"",IF(AND($J140&lt;&gt;"",$K140&lt;&gt;"",$J140=$K140,$J140&gt;=U$3,$J140&lt;=IF(param_mode_affichage="mois",EOMONTH(U$3,0),U$3+6)),"◆",""))</f>
      </c>
      <c r="V140" s="26">
        <f>IF(OR($A140="",V$3=""),"",IF(AND($J140&lt;&gt;"",$K140&lt;&gt;"",$J140=$K140,$J140&gt;=V$3,$J140&lt;=IF(param_mode_affichage="mois",EOMONTH(V$3,0),V$3+6)),"◆",""))</f>
      </c>
      <c r="W140" s="26">
        <f>IF(OR($A140="",W$3=""),"",IF(AND($J140&lt;&gt;"",$K140&lt;&gt;"",$J140=$K140,$J140&gt;=W$3,$J140&lt;=IF(param_mode_affichage="mois",EOMONTH(W$3,0),W$3+6)),"◆",""))</f>
      </c>
      <c r="X140" s="26">
        <f>IF(OR($A140="",X$3=""),"",IF(AND($J140&lt;&gt;"",$K140&lt;&gt;"",$J140=$K140,$J140&gt;=X$3,$J140&lt;=IF(param_mode_affichage="mois",EOMONTH(X$3,0),X$3+6)),"◆",""))</f>
      </c>
      <c r="Y140" s="26">
        <f>IF(OR($A140="",Y$3=""),"",IF(AND($J140&lt;&gt;"",$K140&lt;&gt;"",$J140=$K140,$J140&gt;=Y$3,$J140&lt;=IF(param_mode_affichage="mois",EOMONTH(Y$3,0),Y$3+6)),"◆",""))</f>
      </c>
      <c r="Z140" s="26">
        <f>IF(OR($A140="",Z$3=""),"",IF(AND($J140&lt;&gt;"",$K140&lt;&gt;"",$J140=$K140,$J140&gt;=Z$3,$J140&lt;=IF(param_mode_affichage="mois",EOMONTH(Z$3,0),Z$3+6)),"◆",""))</f>
      </c>
      <c r="AA140" s="26">
        <f>IF(OR($A140="",AA$3=""),"",IF(AND($J140&lt;&gt;"",$K140&lt;&gt;"",$J140=$K140,$J140&gt;=AA$3,$J140&lt;=IF(param_mode_affichage="mois",EOMONTH(AA$3,0),AA$3+6)),"◆",""))</f>
      </c>
      <c r="AB140" s="26">
        <f>IF(OR($A140="",AB$3=""),"",IF(AND($J140&lt;&gt;"",$K140&lt;&gt;"",$J140=$K140,$J140&gt;=AB$3,$J140&lt;=IF(param_mode_affichage="mois",EOMONTH(AB$3,0),AB$3+6)),"◆",""))</f>
      </c>
      <c r="AC140" s="26">
        <f>IF(OR($A140="",AC$3=""),"",IF(AND($J140&lt;&gt;"",$K140&lt;&gt;"",$J140=$K140,$J140&gt;=AC$3,$J140&lt;=IF(param_mode_affichage="mois",EOMONTH(AC$3,0),AC$3+6)),"◆",""))</f>
      </c>
      <c r="AD140" s="26">
        <f>IF(OR($A140="",AD$3=""),"",IF(AND($J140&lt;&gt;"",$K140&lt;&gt;"",$J140=$K140,$J140&gt;=AD$3,$J140&lt;=IF(param_mode_affichage="mois",EOMONTH(AD$3,0),AD$3+6)),"◆",""))</f>
      </c>
      <c r="AE140" s="26">
        <f>IF(OR($A140="",AE$3=""),"",IF(AND($J140&lt;&gt;"",$K140&lt;&gt;"",$J140=$K140,$J140&gt;=AE$3,$J140&lt;=IF(param_mode_affichage="mois",EOMONTH(AE$3,0),AE$3+6)),"◆",""))</f>
      </c>
      <c r="AF140" s="26">
        <f>IF(OR($A140="",AF$3=""),"",IF(AND($J140&lt;&gt;"",$K140&lt;&gt;"",$J140=$K140,$J140&gt;=AF$3,$J140&lt;=IF(param_mode_affichage="mois",EOMONTH(AF$3,0),AF$3+6)),"◆",""))</f>
      </c>
      <c r="AG140" s="26">
        <f>IF(OR($A140="",AG$3=""),"",IF(AND($J140&lt;&gt;"",$K140&lt;&gt;"",$J140=$K140,$J140&gt;=AG$3,$J140&lt;=IF(param_mode_affichage="mois",EOMONTH(AG$3,0),AG$3+6)),"◆",""))</f>
      </c>
      <c r="AH140" s="26">
        <f>IF(OR($A140="",AH$3=""),"",IF(AND($J140&lt;&gt;"",$K140&lt;&gt;"",$J140=$K140,$J140&gt;=AH$3,$J140&lt;=IF(param_mode_affichage="mois",EOMONTH(AH$3,0),AH$3+6)),"◆",""))</f>
      </c>
      <c r="AI140" s="26">
        <f>IF(OR($A140="",AI$3=""),"",IF(AND($J140&lt;&gt;"",$K140&lt;&gt;"",$J140=$K140,$J140&gt;=AI$3,$J140&lt;=IF(param_mode_affichage="mois",EOMONTH(AI$3,0),AI$3+6)),"◆",""))</f>
      </c>
      <c r="AJ140" s="26">
        <f>IF(OR($A140="",AJ$3=""),"",IF(AND($J140&lt;&gt;"",$K140&lt;&gt;"",$J140=$K140,$J140&gt;=AJ$3,$J140&lt;=IF(param_mode_affichage="mois",EOMONTH(AJ$3,0),AJ$3+6)),"◆",""))</f>
      </c>
      <c r="AK140" s="26">
        <f>IF(OR($A140="",AK$3=""),"",IF(AND($J140&lt;&gt;"",$K140&lt;&gt;"",$J140=$K140,$J140&gt;=AK$3,$J140&lt;=IF(param_mode_affichage="mois",EOMONTH(AK$3,0),AK$3+6)),"◆",""))</f>
      </c>
      <c r="AL140" s="26">
        <f>IF(OR($A140="",AL$3=""),"",IF(AND($J140&lt;&gt;"",$K140&lt;&gt;"",$J140=$K140,$J140&gt;=AL$3,$J140&lt;=IF(param_mode_affichage="mois",EOMONTH(AL$3,0),AL$3+6)),"◆",""))</f>
      </c>
      <c r="AM140" s="26">
        <f>IF(OR($A140="",AM$3=""),"",IF(AND($J140&lt;&gt;"",$K140&lt;&gt;"",$J140=$K140,$J140&gt;=AM$3,$J140&lt;=IF(param_mode_affichage="mois",EOMONTH(AM$3,0),AM$3+6)),"◆",""))</f>
      </c>
      <c r="AN140" s="26">
        <f>IF(OR($A140="",AN$3=""),"",IF(AND($J140&lt;&gt;"",$K140&lt;&gt;"",$J140=$K140,$J140&gt;=AN$3,$J140&lt;=IF(param_mode_affichage="mois",EOMONTH(AN$3,0),AN$3+6)),"◆",""))</f>
      </c>
      <c r="AO140" s="26">
        <f>IF(OR($A140="",AO$3=""),"",IF(AND($J140&lt;&gt;"",$K140&lt;&gt;"",$J140=$K140,$J140&gt;=AO$3,$J140&lt;=IF(param_mode_affichage="mois",EOMONTH(AO$3,0),AO$3+6)),"◆",""))</f>
      </c>
      <c r="AP140" s="26">
        <f>IF(OR($A140="",AP$3=""),"",IF(AND($J140&lt;&gt;"",$K140&lt;&gt;"",$J140=$K140,$J140&gt;=AP$3,$J140&lt;=IF(param_mode_affichage="mois",EOMONTH(AP$3,0),AP$3+6)),"◆",""))</f>
      </c>
      <c r="AQ140" s="26">
        <f>IF(OR($A140="",AQ$3=""),"",IF(AND($J140&lt;&gt;"",$K140&lt;&gt;"",$J140=$K140,$J140&gt;=AQ$3,$J140&lt;=IF(param_mode_affichage="mois",EOMONTH(AQ$3,0),AQ$3+6)),"◆",""))</f>
      </c>
      <c r="AR140" s="26">
        <f>IF(OR($A140="",AR$3=""),"",IF(AND($J140&lt;&gt;"",$K140&lt;&gt;"",$J140=$K140,$J140&gt;=AR$3,$J140&lt;=IF(param_mode_affichage="mois",EOMONTH(AR$3,0),AR$3+6)),"◆",""))</f>
      </c>
      <c r="AS140" s="26">
        <f>IF(OR($A140="",AS$3=""),"",IF(AND($J140&lt;&gt;"",$K140&lt;&gt;"",$J140=$K140,$J140&gt;=AS$3,$J140&lt;=IF(param_mode_affichage="mois",EOMONTH(AS$3,0),AS$3+6)),"◆",""))</f>
      </c>
      <c r="AT140" s="26">
        <f>IF(OR($A140="",AT$3=""),"",IF(AND($J140&lt;&gt;"",$K140&lt;&gt;"",$J140=$K140,$J140&gt;=AT$3,$J140&lt;=IF(param_mode_affichage="mois",EOMONTH(AT$3,0),AT$3+6)),"◆",""))</f>
      </c>
      <c r="AU140" s="26">
        <f>IF(OR($A140="",AU$3=""),"",IF(AND($J140&lt;&gt;"",$K140&lt;&gt;"",$J140=$K140,$J140&gt;=AU$3,$J140&lt;=IF(param_mode_affichage="mois",EOMONTH(AU$3,0),AU$3+6)),"◆",""))</f>
      </c>
      <c r="AV140" s="26">
        <f>IF(OR($A140="",AV$3=""),"",IF(AND($J140&lt;&gt;"",$K140&lt;&gt;"",$J140=$K140,$J140&gt;=AV$3,$J140&lt;=IF(param_mode_affichage="mois",EOMONTH(AV$3,0),AV$3+6)),"◆",""))</f>
      </c>
      <c r="AW140" s="26">
        <f>IF(OR($A140="",AW$3=""),"",IF(AND($J140&lt;&gt;"",$K140&lt;&gt;"",$J140=$K140,$J140&gt;=AW$3,$J140&lt;=IF(param_mode_affichage="mois",EOMONTH(AW$3,0),AW$3+6)),"◆",""))</f>
      </c>
      <c r="AX140" s="26">
        <f>IF(OR($A140="",AX$3=""),"",IF(AND($J140&lt;&gt;"",$K140&lt;&gt;"",$J140=$K140,$J140&gt;=AX$3,$J140&lt;=IF(param_mode_affichage="mois",EOMONTH(AX$3,0),AX$3+6)),"◆",""))</f>
      </c>
      <c r="AY140" s="26">
        <f>IF(OR($A140="",AY$3=""),"",IF(AND($J140&lt;&gt;"",$K140&lt;&gt;"",$J140=$K140,$J140&gt;=AY$3,$J140&lt;=IF(param_mode_affichage="mois",EOMONTH(AY$3,0),AY$3+6)),"◆",""))</f>
      </c>
      <c r="AZ140" s="26">
        <f>IF(OR($A140="",AZ$3=""),"",IF(AND($J140&lt;&gt;"",$K140&lt;&gt;"",$J140=$K140,$J140&gt;=AZ$3,$J140&lt;=IF(param_mode_affichage="mois",EOMONTH(AZ$3,0),AZ$3+6)),"◆",""))</f>
      </c>
      <c r="BA140" s="26">
        <f>IF(OR($A140="",BA$3=""),"",IF(AND($J140&lt;&gt;"",$K140&lt;&gt;"",$J140=$K140,$J140&gt;=BA$3,$J140&lt;=IF(param_mode_affichage="mois",EOMONTH(BA$3,0),BA$3+6)),"◆",""))</f>
      </c>
      <c r="BB140" s="26">
        <f>IF(OR($A140="",BB$3=""),"",IF(AND($J140&lt;&gt;"",$K140&lt;&gt;"",$J140=$K140,$J140&gt;=BB$3,$J140&lt;=IF(param_mode_affichage="mois",EOMONTH(BB$3,0),BB$3+6)),"◆",""))</f>
      </c>
      <c r="BC140" s="26">
        <f>IF(OR($A140="",BC$3=""),"",IF(AND($J140&lt;&gt;"",$K140&lt;&gt;"",$J140=$K140,$J140&gt;=BC$3,$J140&lt;=IF(param_mode_affichage="mois",EOMONTH(BC$3,0),BC$3+6)),"◆",""))</f>
      </c>
      <c r="BD140" s="26">
        <f>IF(OR($A140="",BD$3=""),"",IF(AND($J140&lt;&gt;"",$K140&lt;&gt;"",$J140=$K140,$J140&gt;=BD$3,$J140&lt;=IF(param_mode_affichage="mois",EOMONTH(BD$3,0),BD$3+6)),"◆",""))</f>
      </c>
      <c r="BE140" s="26">
        <f>IF(OR($A140="",BE$3=""),"",IF(AND($J140&lt;&gt;"",$K140&lt;&gt;"",$J140=$K140,$J140&gt;=BE$3,$J140&lt;=IF(param_mode_affichage="mois",EOMONTH(BE$3,0),BE$3+6)),"◆",""))</f>
      </c>
      <c r="BF140" s="26">
        <f>IF(OR($A140="",BF$3=""),"",IF(AND($J140&lt;&gt;"",$K140&lt;&gt;"",$J140=$K140,$J140&gt;=BF$3,$J140&lt;=IF(param_mode_affichage="mois",EOMONTH(BF$3,0),BF$3+6)),"◆",""))</f>
      </c>
      <c r="BG140" s="26">
        <f>IF(OR($A140="",BG$3=""),"",IF(AND($J140&lt;&gt;"",$K140&lt;&gt;"",$J140=$K140,$J140&gt;=BG$3,$J140&lt;=IF(param_mode_affichage="mois",EOMONTH(BG$3,0),BG$3+6)),"◆",""))</f>
      </c>
      <c r="BH140" s="26">
        <f>IF(OR($A140="",BH$3=""),"",IF(AND($J140&lt;&gt;"",$K140&lt;&gt;"",$J140=$K140,$J140&gt;=BH$3,$J140&lt;=IF(param_mode_affichage="mois",EOMONTH(BH$3,0),BH$3+6)),"◆",""))</f>
      </c>
      <c r="BI140" s="26">
        <f>IF(OR($A140="",BI$3=""),"",IF(AND($J140&lt;&gt;"",$K140&lt;&gt;"",$J140=$K140,$J140&gt;=BI$3,$J140&lt;=IF(param_mode_affichage="mois",EOMONTH(BI$3,0),BI$3+6)),"◆",""))</f>
      </c>
      <c r="BJ140" s="26">
        <f>IF(OR($A140="",BJ$3=""),"",IF(AND($J140&lt;&gt;"",$K140&lt;&gt;"",$J140=$K140,$J140&gt;=BJ$3,$J140&lt;=IF(param_mode_affichage="mois",EOMONTH(BJ$3,0),BJ$3+6)),"◆",""))</f>
      </c>
      <c r="BK140" s="26">
        <f>IF(OR($A140="",BK$3=""),"",IF(AND($J140&lt;&gt;"",$K140&lt;&gt;"",$J140=$K140,$J140&gt;=BK$3,$J140&lt;=IF(param_mode_affichage="mois",EOMONTH(BK$3,0),BK$3+6)),"◆",""))</f>
      </c>
      <c r="BL140" s="26">
        <f>IF(OR($A140="",BL$3=""),"",IF(AND($J140&lt;&gt;"",$K140&lt;&gt;"",$J140=$K140,$J140&gt;=BL$3,$J140&lt;=IF(param_mode_affichage="mois",EOMONTH(BL$3,0),BL$3+6)),"◆",""))</f>
      </c>
    </row>
    <row r="141" spans="1:64" x14ac:dyDescent="0.25">
      <c r="A141" s="23">
        <f>IFERROR(INDEX(tblTasks[ID],ROW()-4),"")</f>
      </c>
      <c r="B141" s="24">
        <f>IF($A141="","",INDEX(tblTasks[Sujet],ROW()-4))</f>
      </c>
      <c r="C141" s="23">
        <f>IF($A141="","",INDEX(tblTasks[Responsable],ROW()-4))</f>
      </c>
      <c r="D141" s="23">
        <f>IF($A141="","",INDEX(tblTasks[Statut],ROW()-4))</f>
      </c>
      <c r="E141" s="23">
        <f>IF($A141="","",INDEX(tblTasks[Depend_de],ROW()-4))</f>
      </c>
      <c r="F141" s="23">
        <f>IF($A141="","",INDEX(tblTasks[Blocage],ROW()-4))</f>
      </c>
      <c r="G141" s="23">
        <f>IF($A141="","",INDEX(tblTasks[Niveau_criticite],ROW()-4))</f>
      </c>
      <c r="H141" s="23">
        <f>IF($A141="","",INDEX(tblTasks[Goulot],ROW()-4))</f>
      </c>
      <c r="I141" s="23">
        <f>IF($A141="","",IF(LOWER($F141)="oui","non",IF($E141="","oui",IFERROR(IF(LOWER(INDEX(tblTasks[Statut],MATCH($E141,tblTasks[ID],0)))="clos","oui","non"),"non"))))</f>
      </c>
      <c r="J141" s="25">
        <f>IF($A141="","",INDEX(tblTasks[Date_debut_prevue],ROW()-4))</f>
      </c>
      <c r="K141" s="25">
        <f>IF($A141="","",INDEX(tblTasks[Date_fin_prevue],ROW()-4))</f>
      </c>
      <c r="L141" s="23">
        <f>IF($A141="","",INDEX(tblTasks[Irreversibilite],ROW()-4))</f>
      </c>
      <c r="M141" s="26">
        <f>IF(OR($A141="",M$3=""),"",IF(AND($J141&lt;&gt;"",$K141&lt;&gt;"",$J141=$K141,$J141&gt;=M$3,$J141&lt;=IF(param_mode_affichage="mois",EOMONTH(M$3,0),M$3+6)),"◆",""))</f>
      </c>
      <c r="N141" s="26">
        <f>IF(OR($A141="",N$3=""),"",IF(AND($J141&lt;&gt;"",$K141&lt;&gt;"",$J141=$K141,$J141&gt;=N$3,$J141&lt;=IF(param_mode_affichage="mois",EOMONTH(N$3,0),N$3+6)),"◆",""))</f>
      </c>
      <c r="O141" s="26">
        <f>IF(OR($A141="",O$3=""),"",IF(AND($J141&lt;&gt;"",$K141&lt;&gt;"",$J141=$K141,$J141&gt;=O$3,$J141&lt;=IF(param_mode_affichage="mois",EOMONTH(O$3,0),O$3+6)),"◆",""))</f>
      </c>
      <c r="P141" s="26">
        <f>IF(OR($A141="",P$3=""),"",IF(AND($J141&lt;&gt;"",$K141&lt;&gt;"",$J141=$K141,$J141&gt;=P$3,$J141&lt;=IF(param_mode_affichage="mois",EOMONTH(P$3,0),P$3+6)),"◆",""))</f>
      </c>
      <c r="Q141" s="26">
        <f>IF(OR($A141="",Q$3=""),"",IF(AND($J141&lt;&gt;"",$K141&lt;&gt;"",$J141=$K141,$J141&gt;=Q$3,$J141&lt;=IF(param_mode_affichage="mois",EOMONTH(Q$3,0),Q$3+6)),"◆",""))</f>
      </c>
      <c r="R141" s="26">
        <f>IF(OR($A141="",R$3=""),"",IF(AND($J141&lt;&gt;"",$K141&lt;&gt;"",$J141=$K141,$J141&gt;=R$3,$J141&lt;=IF(param_mode_affichage="mois",EOMONTH(R$3,0),R$3+6)),"◆",""))</f>
      </c>
      <c r="S141" s="26">
        <f>IF(OR($A141="",S$3=""),"",IF(AND($J141&lt;&gt;"",$K141&lt;&gt;"",$J141=$K141,$J141&gt;=S$3,$J141&lt;=IF(param_mode_affichage="mois",EOMONTH(S$3,0),S$3+6)),"◆",""))</f>
      </c>
      <c r="T141" s="26">
        <f>IF(OR($A141="",T$3=""),"",IF(AND($J141&lt;&gt;"",$K141&lt;&gt;"",$J141=$K141,$J141&gt;=T$3,$J141&lt;=IF(param_mode_affichage="mois",EOMONTH(T$3,0),T$3+6)),"◆",""))</f>
      </c>
      <c r="U141" s="26">
        <f>IF(OR($A141="",U$3=""),"",IF(AND($J141&lt;&gt;"",$K141&lt;&gt;"",$J141=$K141,$J141&gt;=U$3,$J141&lt;=IF(param_mode_affichage="mois",EOMONTH(U$3,0),U$3+6)),"◆",""))</f>
      </c>
      <c r="V141" s="26">
        <f>IF(OR($A141="",V$3=""),"",IF(AND($J141&lt;&gt;"",$K141&lt;&gt;"",$J141=$K141,$J141&gt;=V$3,$J141&lt;=IF(param_mode_affichage="mois",EOMONTH(V$3,0),V$3+6)),"◆",""))</f>
      </c>
      <c r="W141" s="26">
        <f>IF(OR($A141="",W$3=""),"",IF(AND($J141&lt;&gt;"",$K141&lt;&gt;"",$J141=$K141,$J141&gt;=W$3,$J141&lt;=IF(param_mode_affichage="mois",EOMONTH(W$3,0),W$3+6)),"◆",""))</f>
      </c>
      <c r="X141" s="26">
        <f>IF(OR($A141="",X$3=""),"",IF(AND($J141&lt;&gt;"",$K141&lt;&gt;"",$J141=$K141,$J141&gt;=X$3,$J141&lt;=IF(param_mode_affichage="mois",EOMONTH(X$3,0),X$3+6)),"◆",""))</f>
      </c>
      <c r="Y141" s="26">
        <f>IF(OR($A141="",Y$3=""),"",IF(AND($J141&lt;&gt;"",$K141&lt;&gt;"",$J141=$K141,$J141&gt;=Y$3,$J141&lt;=IF(param_mode_affichage="mois",EOMONTH(Y$3,0),Y$3+6)),"◆",""))</f>
      </c>
      <c r="Z141" s="26">
        <f>IF(OR($A141="",Z$3=""),"",IF(AND($J141&lt;&gt;"",$K141&lt;&gt;"",$J141=$K141,$J141&gt;=Z$3,$J141&lt;=IF(param_mode_affichage="mois",EOMONTH(Z$3,0),Z$3+6)),"◆",""))</f>
      </c>
      <c r="AA141" s="26">
        <f>IF(OR($A141="",AA$3=""),"",IF(AND($J141&lt;&gt;"",$K141&lt;&gt;"",$J141=$K141,$J141&gt;=AA$3,$J141&lt;=IF(param_mode_affichage="mois",EOMONTH(AA$3,0),AA$3+6)),"◆",""))</f>
      </c>
      <c r="AB141" s="26">
        <f>IF(OR($A141="",AB$3=""),"",IF(AND($J141&lt;&gt;"",$K141&lt;&gt;"",$J141=$K141,$J141&gt;=AB$3,$J141&lt;=IF(param_mode_affichage="mois",EOMONTH(AB$3,0),AB$3+6)),"◆",""))</f>
      </c>
      <c r="AC141" s="26">
        <f>IF(OR($A141="",AC$3=""),"",IF(AND($J141&lt;&gt;"",$K141&lt;&gt;"",$J141=$K141,$J141&gt;=AC$3,$J141&lt;=IF(param_mode_affichage="mois",EOMONTH(AC$3,0),AC$3+6)),"◆",""))</f>
      </c>
      <c r="AD141" s="26">
        <f>IF(OR($A141="",AD$3=""),"",IF(AND($J141&lt;&gt;"",$K141&lt;&gt;"",$J141=$K141,$J141&gt;=AD$3,$J141&lt;=IF(param_mode_affichage="mois",EOMONTH(AD$3,0),AD$3+6)),"◆",""))</f>
      </c>
      <c r="AE141" s="26">
        <f>IF(OR($A141="",AE$3=""),"",IF(AND($J141&lt;&gt;"",$K141&lt;&gt;"",$J141=$K141,$J141&gt;=AE$3,$J141&lt;=IF(param_mode_affichage="mois",EOMONTH(AE$3,0),AE$3+6)),"◆",""))</f>
      </c>
      <c r="AF141" s="26">
        <f>IF(OR($A141="",AF$3=""),"",IF(AND($J141&lt;&gt;"",$K141&lt;&gt;"",$J141=$K141,$J141&gt;=AF$3,$J141&lt;=IF(param_mode_affichage="mois",EOMONTH(AF$3,0),AF$3+6)),"◆",""))</f>
      </c>
      <c r="AG141" s="26">
        <f>IF(OR($A141="",AG$3=""),"",IF(AND($J141&lt;&gt;"",$K141&lt;&gt;"",$J141=$K141,$J141&gt;=AG$3,$J141&lt;=IF(param_mode_affichage="mois",EOMONTH(AG$3,0),AG$3+6)),"◆",""))</f>
      </c>
      <c r="AH141" s="26">
        <f>IF(OR($A141="",AH$3=""),"",IF(AND($J141&lt;&gt;"",$K141&lt;&gt;"",$J141=$K141,$J141&gt;=AH$3,$J141&lt;=IF(param_mode_affichage="mois",EOMONTH(AH$3,0),AH$3+6)),"◆",""))</f>
      </c>
      <c r="AI141" s="26">
        <f>IF(OR($A141="",AI$3=""),"",IF(AND($J141&lt;&gt;"",$K141&lt;&gt;"",$J141=$K141,$J141&gt;=AI$3,$J141&lt;=IF(param_mode_affichage="mois",EOMONTH(AI$3,0),AI$3+6)),"◆",""))</f>
      </c>
      <c r="AJ141" s="26">
        <f>IF(OR($A141="",AJ$3=""),"",IF(AND($J141&lt;&gt;"",$K141&lt;&gt;"",$J141=$K141,$J141&gt;=AJ$3,$J141&lt;=IF(param_mode_affichage="mois",EOMONTH(AJ$3,0),AJ$3+6)),"◆",""))</f>
      </c>
      <c r="AK141" s="26">
        <f>IF(OR($A141="",AK$3=""),"",IF(AND($J141&lt;&gt;"",$K141&lt;&gt;"",$J141=$K141,$J141&gt;=AK$3,$J141&lt;=IF(param_mode_affichage="mois",EOMONTH(AK$3,0),AK$3+6)),"◆",""))</f>
      </c>
      <c r="AL141" s="26">
        <f>IF(OR($A141="",AL$3=""),"",IF(AND($J141&lt;&gt;"",$K141&lt;&gt;"",$J141=$K141,$J141&gt;=AL$3,$J141&lt;=IF(param_mode_affichage="mois",EOMONTH(AL$3,0),AL$3+6)),"◆",""))</f>
      </c>
      <c r="AM141" s="26">
        <f>IF(OR($A141="",AM$3=""),"",IF(AND($J141&lt;&gt;"",$K141&lt;&gt;"",$J141=$K141,$J141&gt;=AM$3,$J141&lt;=IF(param_mode_affichage="mois",EOMONTH(AM$3,0),AM$3+6)),"◆",""))</f>
      </c>
      <c r="AN141" s="26">
        <f>IF(OR($A141="",AN$3=""),"",IF(AND($J141&lt;&gt;"",$K141&lt;&gt;"",$J141=$K141,$J141&gt;=AN$3,$J141&lt;=IF(param_mode_affichage="mois",EOMONTH(AN$3,0),AN$3+6)),"◆",""))</f>
      </c>
      <c r="AO141" s="26">
        <f>IF(OR($A141="",AO$3=""),"",IF(AND($J141&lt;&gt;"",$K141&lt;&gt;"",$J141=$K141,$J141&gt;=AO$3,$J141&lt;=IF(param_mode_affichage="mois",EOMONTH(AO$3,0),AO$3+6)),"◆",""))</f>
      </c>
      <c r="AP141" s="26">
        <f>IF(OR($A141="",AP$3=""),"",IF(AND($J141&lt;&gt;"",$K141&lt;&gt;"",$J141=$K141,$J141&gt;=AP$3,$J141&lt;=IF(param_mode_affichage="mois",EOMONTH(AP$3,0),AP$3+6)),"◆",""))</f>
      </c>
      <c r="AQ141" s="26">
        <f>IF(OR($A141="",AQ$3=""),"",IF(AND($J141&lt;&gt;"",$K141&lt;&gt;"",$J141=$K141,$J141&gt;=AQ$3,$J141&lt;=IF(param_mode_affichage="mois",EOMONTH(AQ$3,0),AQ$3+6)),"◆",""))</f>
      </c>
      <c r="AR141" s="26">
        <f>IF(OR($A141="",AR$3=""),"",IF(AND($J141&lt;&gt;"",$K141&lt;&gt;"",$J141=$K141,$J141&gt;=AR$3,$J141&lt;=IF(param_mode_affichage="mois",EOMONTH(AR$3,0),AR$3+6)),"◆",""))</f>
      </c>
      <c r="AS141" s="26">
        <f>IF(OR($A141="",AS$3=""),"",IF(AND($J141&lt;&gt;"",$K141&lt;&gt;"",$J141=$K141,$J141&gt;=AS$3,$J141&lt;=IF(param_mode_affichage="mois",EOMONTH(AS$3,0),AS$3+6)),"◆",""))</f>
      </c>
      <c r="AT141" s="26">
        <f>IF(OR($A141="",AT$3=""),"",IF(AND($J141&lt;&gt;"",$K141&lt;&gt;"",$J141=$K141,$J141&gt;=AT$3,$J141&lt;=IF(param_mode_affichage="mois",EOMONTH(AT$3,0),AT$3+6)),"◆",""))</f>
      </c>
      <c r="AU141" s="26">
        <f>IF(OR($A141="",AU$3=""),"",IF(AND($J141&lt;&gt;"",$K141&lt;&gt;"",$J141=$K141,$J141&gt;=AU$3,$J141&lt;=IF(param_mode_affichage="mois",EOMONTH(AU$3,0),AU$3+6)),"◆",""))</f>
      </c>
      <c r="AV141" s="26">
        <f>IF(OR($A141="",AV$3=""),"",IF(AND($J141&lt;&gt;"",$K141&lt;&gt;"",$J141=$K141,$J141&gt;=AV$3,$J141&lt;=IF(param_mode_affichage="mois",EOMONTH(AV$3,0),AV$3+6)),"◆",""))</f>
      </c>
      <c r="AW141" s="26">
        <f>IF(OR($A141="",AW$3=""),"",IF(AND($J141&lt;&gt;"",$K141&lt;&gt;"",$J141=$K141,$J141&gt;=AW$3,$J141&lt;=IF(param_mode_affichage="mois",EOMONTH(AW$3,0),AW$3+6)),"◆",""))</f>
      </c>
      <c r="AX141" s="26">
        <f>IF(OR($A141="",AX$3=""),"",IF(AND($J141&lt;&gt;"",$K141&lt;&gt;"",$J141=$K141,$J141&gt;=AX$3,$J141&lt;=IF(param_mode_affichage="mois",EOMONTH(AX$3,0),AX$3+6)),"◆",""))</f>
      </c>
      <c r="AY141" s="26">
        <f>IF(OR($A141="",AY$3=""),"",IF(AND($J141&lt;&gt;"",$K141&lt;&gt;"",$J141=$K141,$J141&gt;=AY$3,$J141&lt;=IF(param_mode_affichage="mois",EOMONTH(AY$3,0),AY$3+6)),"◆",""))</f>
      </c>
      <c r="AZ141" s="26">
        <f>IF(OR($A141="",AZ$3=""),"",IF(AND($J141&lt;&gt;"",$K141&lt;&gt;"",$J141=$K141,$J141&gt;=AZ$3,$J141&lt;=IF(param_mode_affichage="mois",EOMONTH(AZ$3,0),AZ$3+6)),"◆",""))</f>
      </c>
      <c r="BA141" s="26">
        <f>IF(OR($A141="",BA$3=""),"",IF(AND($J141&lt;&gt;"",$K141&lt;&gt;"",$J141=$K141,$J141&gt;=BA$3,$J141&lt;=IF(param_mode_affichage="mois",EOMONTH(BA$3,0),BA$3+6)),"◆",""))</f>
      </c>
      <c r="BB141" s="26">
        <f>IF(OR($A141="",BB$3=""),"",IF(AND($J141&lt;&gt;"",$K141&lt;&gt;"",$J141=$K141,$J141&gt;=BB$3,$J141&lt;=IF(param_mode_affichage="mois",EOMONTH(BB$3,0),BB$3+6)),"◆",""))</f>
      </c>
      <c r="BC141" s="26">
        <f>IF(OR($A141="",BC$3=""),"",IF(AND($J141&lt;&gt;"",$K141&lt;&gt;"",$J141=$K141,$J141&gt;=BC$3,$J141&lt;=IF(param_mode_affichage="mois",EOMONTH(BC$3,0),BC$3+6)),"◆",""))</f>
      </c>
      <c r="BD141" s="26">
        <f>IF(OR($A141="",BD$3=""),"",IF(AND($J141&lt;&gt;"",$K141&lt;&gt;"",$J141=$K141,$J141&gt;=BD$3,$J141&lt;=IF(param_mode_affichage="mois",EOMONTH(BD$3,0),BD$3+6)),"◆",""))</f>
      </c>
      <c r="BE141" s="26">
        <f>IF(OR($A141="",BE$3=""),"",IF(AND($J141&lt;&gt;"",$K141&lt;&gt;"",$J141=$K141,$J141&gt;=BE$3,$J141&lt;=IF(param_mode_affichage="mois",EOMONTH(BE$3,0),BE$3+6)),"◆",""))</f>
      </c>
      <c r="BF141" s="26">
        <f>IF(OR($A141="",BF$3=""),"",IF(AND($J141&lt;&gt;"",$K141&lt;&gt;"",$J141=$K141,$J141&gt;=BF$3,$J141&lt;=IF(param_mode_affichage="mois",EOMONTH(BF$3,0),BF$3+6)),"◆",""))</f>
      </c>
      <c r="BG141" s="26">
        <f>IF(OR($A141="",BG$3=""),"",IF(AND($J141&lt;&gt;"",$K141&lt;&gt;"",$J141=$K141,$J141&gt;=BG$3,$J141&lt;=IF(param_mode_affichage="mois",EOMONTH(BG$3,0),BG$3+6)),"◆",""))</f>
      </c>
      <c r="BH141" s="26">
        <f>IF(OR($A141="",BH$3=""),"",IF(AND($J141&lt;&gt;"",$K141&lt;&gt;"",$J141=$K141,$J141&gt;=BH$3,$J141&lt;=IF(param_mode_affichage="mois",EOMONTH(BH$3,0),BH$3+6)),"◆",""))</f>
      </c>
      <c r="BI141" s="26">
        <f>IF(OR($A141="",BI$3=""),"",IF(AND($J141&lt;&gt;"",$K141&lt;&gt;"",$J141=$K141,$J141&gt;=BI$3,$J141&lt;=IF(param_mode_affichage="mois",EOMONTH(BI$3,0),BI$3+6)),"◆",""))</f>
      </c>
      <c r="BJ141" s="26">
        <f>IF(OR($A141="",BJ$3=""),"",IF(AND($J141&lt;&gt;"",$K141&lt;&gt;"",$J141=$K141,$J141&gt;=BJ$3,$J141&lt;=IF(param_mode_affichage="mois",EOMONTH(BJ$3,0),BJ$3+6)),"◆",""))</f>
      </c>
      <c r="BK141" s="26">
        <f>IF(OR($A141="",BK$3=""),"",IF(AND($J141&lt;&gt;"",$K141&lt;&gt;"",$J141=$K141,$J141&gt;=BK$3,$J141&lt;=IF(param_mode_affichage="mois",EOMONTH(BK$3,0),BK$3+6)),"◆",""))</f>
      </c>
      <c r="BL141" s="26">
        <f>IF(OR($A141="",BL$3=""),"",IF(AND($J141&lt;&gt;"",$K141&lt;&gt;"",$J141=$K141,$J141&gt;=BL$3,$J141&lt;=IF(param_mode_affichage="mois",EOMONTH(BL$3,0),BL$3+6)),"◆",""))</f>
      </c>
    </row>
    <row r="142" spans="1:64" x14ac:dyDescent="0.25">
      <c r="A142" s="23">
        <f>IFERROR(INDEX(tblTasks[ID],ROW()-4),"")</f>
      </c>
      <c r="B142" s="24">
        <f>IF($A142="","",INDEX(tblTasks[Sujet],ROW()-4))</f>
      </c>
      <c r="C142" s="23">
        <f>IF($A142="","",INDEX(tblTasks[Responsable],ROW()-4))</f>
      </c>
      <c r="D142" s="23">
        <f>IF($A142="","",INDEX(tblTasks[Statut],ROW()-4))</f>
      </c>
      <c r="E142" s="23">
        <f>IF($A142="","",INDEX(tblTasks[Depend_de],ROW()-4))</f>
      </c>
      <c r="F142" s="23">
        <f>IF($A142="","",INDEX(tblTasks[Blocage],ROW()-4))</f>
      </c>
      <c r="G142" s="23">
        <f>IF($A142="","",INDEX(tblTasks[Niveau_criticite],ROW()-4))</f>
      </c>
      <c r="H142" s="23">
        <f>IF($A142="","",INDEX(tblTasks[Goulot],ROW()-4))</f>
      </c>
      <c r="I142" s="23">
        <f>IF($A142="","",IF(LOWER($F142)="oui","non",IF($E142="","oui",IFERROR(IF(LOWER(INDEX(tblTasks[Statut],MATCH($E142,tblTasks[ID],0)))="clos","oui","non"),"non"))))</f>
      </c>
      <c r="J142" s="25">
        <f>IF($A142="","",INDEX(tblTasks[Date_debut_prevue],ROW()-4))</f>
      </c>
      <c r="K142" s="25">
        <f>IF($A142="","",INDEX(tblTasks[Date_fin_prevue],ROW()-4))</f>
      </c>
      <c r="L142" s="23">
        <f>IF($A142="","",INDEX(tblTasks[Irreversibilite],ROW()-4))</f>
      </c>
      <c r="M142" s="26">
        <f>IF(OR($A142="",M$3=""),"",IF(AND($J142&lt;&gt;"",$K142&lt;&gt;"",$J142=$K142,$J142&gt;=M$3,$J142&lt;=IF(param_mode_affichage="mois",EOMONTH(M$3,0),M$3+6)),"◆",""))</f>
      </c>
      <c r="N142" s="26">
        <f>IF(OR($A142="",N$3=""),"",IF(AND($J142&lt;&gt;"",$K142&lt;&gt;"",$J142=$K142,$J142&gt;=N$3,$J142&lt;=IF(param_mode_affichage="mois",EOMONTH(N$3,0),N$3+6)),"◆",""))</f>
      </c>
      <c r="O142" s="26">
        <f>IF(OR($A142="",O$3=""),"",IF(AND($J142&lt;&gt;"",$K142&lt;&gt;"",$J142=$K142,$J142&gt;=O$3,$J142&lt;=IF(param_mode_affichage="mois",EOMONTH(O$3,0),O$3+6)),"◆",""))</f>
      </c>
      <c r="P142" s="26">
        <f>IF(OR($A142="",P$3=""),"",IF(AND($J142&lt;&gt;"",$K142&lt;&gt;"",$J142=$K142,$J142&gt;=P$3,$J142&lt;=IF(param_mode_affichage="mois",EOMONTH(P$3,0),P$3+6)),"◆",""))</f>
      </c>
      <c r="Q142" s="26">
        <f>IF(OR($A142="",Q$3=""),"",IF(AND($J142&lt;&gt;"",$K142&lt;&gt;"",$J142=$K142,$J142&gt;=Q$3,$J142&lt;=IF(param_mode_affichage="mois",EOMONTH(Q$3,0),Q$3+6)),"◆",""))</f>
      </c>
      <c r="R142" s="26">
        <f>IF(OR($A142="",R$3=""),"",IF(AND($J142&lt;&gt;"",$K142&lt;&gt;"",$J142=$K142,$J142&gt;=R$3,$J142&lt;=IF(param_mode_affichage="mois",EOMONTH(R$3,0),R$3+6)),"◆",""))</f>
      </c>
      <c r="S142" s="26">
        <f>IF(OR($A142="",S$3=""),"",IF(AND($J142&lt;&gt;"",$K142&lt;&gt;"",$J142=$K142,$J142&gt;=S$3,$J142&lt;=IF(param_mode_affichage="mois",EOMONTH(S$3,0),S$3+6)),"◆",""))</f>
      </c>
      <c r="T142" s="26">
        <f>IF(OR($A142="",T$3=""),"",IF(AND($J142&lt;&gt;"",$K142&lt;&gt;"",$J142=$K142,$J142&gt;=T$3,$J142&lt;=IF(param_mode_affichage="mois",EOMONTH(T$3,0),T$3+6)),"◆",""))</f>
      </c>
      <c r="U142" s="26">
        <f>IF(OR($A142="",U$3=""),"",IF(AND($J142&lt;&gt;"",$K142&lt;&gt;"",$J142=$K142,$J142&gt;=U$3,$J142&lt;=IF(param_mode_affichage="mois",EOMONTH(U$3,0),U$3+6)),"◆",""))</f>
      </c>
      <c r="V142" s="26">
        <f>IF(OR($A142="",V$3=""),"",IF(AND($J142&lt;&gt;"",$K142&lt;&gt;"",$J142=$K142,$J142&gt;=V$3,$J142&lt;=IF(param_mode_affichage="mois",EOMONTH(V$3,0),V$3+6)),"◆",""))</f>
      </c>
      <c r="W142" s="26">
        <f>IF(OR($A142="",W$3=""),"",IF(AND($J142&lt;&gt;"",$K142&lt;&gt;"",$J142=$K142,$J142&gt;=W$3,$J142&lt;=IF(param_mode_affichage="mois",EOMONTH(W$3,0),W$3+6)),"◆",""))</f>
      </c>
      <c r="X142" s="26">
        <f>IF(OR($A142="",X$3=""),"",IF(AND($J142&lt;&gt;"",$K142&lt;&gt;"",$J142=$K142,$J142&gt;=X$3,$J142&lt;=IF(param_mode_affichage="mois",EOMONTH(X$3,0),X$3+6)),"◆",""))</f>
      </c>
      <c r="Y142" s="26">
        <f>IF(OR($A142="",Y$3=""),"",IF(AND($J142&lt;&gt;"",$K142&lt;&gt;"",$J142=$K142,$J142&gt;=Y$3,$J142&lt;=IF(param_mode_affichage="mois",EOMONTH(Y$3,0),Y$3+6)),"◆",""))</f>
      </c>
      <c r="Z142" s="26">
        <f>IF(OR($A142="",Z$3=""),"",IF(AND($J142&lt;&gt;"",$K142&lt;&gt;"",$J142=$K142,$J142&gt;=Z$3,$J142&lt;=IF(param_mode_affichage="mois",EOMONTH(Z$3,0),Z$3+6)),"◆",""))</f>
      </c>
      <c r="AA142" s="26">
        <f>IF(OR($A142="",AA$3=""),"",IF(AND($J142&lt;&gt;"",$K142&lt;&gt;"",$J142=$K142,$J142&gt;=AA$3,$J142&lt;=IF(param_mode_affichage="mois",EOMONTH(AA$3,0),AA$3+6)),"◆",""))</f>
      </c>
      <c r="AB142" s="26">
        <f>IF(OR($A142="",AB$3=""),"",IF(AND($J142&lt;&gt;"",$K142&lt;&gt;"",$J142=$K142,$J142&gt;=AB$3,$J142&lt;=IF(param_mode_affichage="mois",EOMONTH(AB$3,0),AB$3+6)),"◆",""))</f>
      </c>
      <c r="AC142" s="26">
        <f>IF(OR($A142="",AC$3=""),"",IF(AND($J142&lt;&gt;"",$K142&lt;&gt;"",$J142=$K142,$J142&gt;=AC$3,$J142&lt;=IF(param_mode_affichage="mois",EOMONTH(AC$3,0),AC$3+6)),"◆",""))</f>
      </c>
      <c r="AD142" s="26">
        <f>IF(OR($A142="",AD$3=""),"",IF(AND($J142&lt;&gt;"",$K142&lt;&gt;"",$J142=$K142,$J142&gt;=AD$3,$J142&lt;=IF(param_mode_affichage="mois",EOMONTH(AD$3,0),AD$3+6)),"◆",""))</f>
      </c>
      <c r="AE142" s="26">
        <f>IF(OR($A142="",AE$3=""),"",IF(AND($J142&lt;&gt;"",$K142&lt;&gt;"",$J142=$K142,$J142&gt;=AE$3,$J142&lt;=IF(param_mode_affichage="mois",EOMONTH(AE$3,0),AE$3+6)),"◆",""))</f>
      </c>
      <c r="AF142" s="26">
        <f>IF(OR($A142="",AF$3=""),"",IF(AND($J142&lt;&gt;"",$K142&lt;&gt;"",$J142=$K142,$J142&gt;=AF$3,$J142&lt;=IF(param_mode_affichage="mois",EOMONTH(AF$3,0),AF$3+6)),"◆",""))</f>
      </c>
      <c r="AG142" s="26">
        <f>IF(OR($A142="",AG$3=""),"",IF(AND($J142&lt;&gt;"",$K142&lt;&gt;"",$J142=$K142,$J142&gt;=AG$3,$J142&lt;=IF(param_mode_affichage="mois",EOMONTH(AG$3,0),AG$3+6)),"◆",""))</f>
      </c>
      <c r="AH142" s="26">
        <f>IF(OR($A142="",AH$3=""),"",IF(AND($J142&lt;&gt;"",$K142&lt;&gt;"",$J142=$K142,$J142&gt;=AH$3,$J142&lt;=IF(param_mode_affichage="mois",EOMONTH(AH$3,0),AH$3+6)),"◆",""))</f>
      </c>
      <c r="AI142" s="26">
        <f>IF(OR($A142="",AI$3=""),"",IF(AND($J142&lt;&gt;"",$K142&lt;&gt;"",$J142=$K142,$J142&gt;=AI$3,$J142&lt;=IF(param_mode_affichage="mois",EOMONTH(AI$3,0),AI$3+6)),"◆",""))</f>
      </c>
      <c r="AJ142" s="26">
        <f>IF(OR($A142="",AJ$3=""),"",IF(AND($J142&lt;&gt;"",$K142&lt;&gt;"",$J142=$K142,$J142&gt;=AJ$3,$J142&lt;=IF(param_mode_affichage="mois",EOMONTH(AJ$3,0),AJ$3+6)),"◆",""))</f>
      </c>
      <c r="AK142" s="26">
        <f>IF(OR($A142="",AK$3=""),"",IF(AND($J142&lt;&gt;"",$K142&lt;&gt;"",$J142=$K142,$J142&gt;=AK$3,$J142&lt;=IF(param_mode_affichage="mois",EOMONTH(AK$3,0),AK$3+6)),"◆",""))</f>
      </c>
      <c r="AL142" s="26">
        <f>IF(OR($A142="",AL$3=""),"",IF(AND($J142&lt;&gt;"",$K142&lt;&gt;"",$J142=$K142,$J142&gt;=AL$3,$J142&lt;=IF(param_mode_affichage="mois",EOMONTH(AL$3,0),AL$3+6)),"◆",""))</f>
      </c>
      <c r="AM142" s="26">
        <f>IF(OR($A142="",AM$3=""),"",IF(AND($J142&lt;&gt;"",$K142&lt;&gt;"",$J142=$K142,$J142&gt;=AM$3,$J142&lt;=IF(param_mode_affichage="mois",EOMONTH(AM$3,0),AM$3+6)),"◆",""))</f>
      </c>
      <c r="AN142" s="26">
        <f>IF(OR($A142="",AN$3=""),"",IF(AND($J142&lt;&gt;"",$K142&lt;&gt;"",$J142=$K142,$J142&gt;=AN$3,$J142&lt;=IF(param_mode_affichage="mois",EOMONTH(AN$3,0),AN$3+6)),"◆",""))</f>
      </c>
      <c r="AO142" s="26">
        <f>IF(OR($A142="",AO$3=""),"",IF(AND($J142&lt;&gt;"",$K142&lt;&gt;"",$J142=$K142,$J142&gt;=AO$3,$J142&lt;=IF(param_mode_affichage="mois",EOMONTH(AO$3,0),AO$3+6)),"◆",""))</f>
      </c>
      <c r="AP142" s="26">
        <f>IF(OR($A142="",AP$3=""),"",IF(AND($J142&lt;&gt;"",$K142&lt;&gt;"",$J142=$K142,$J142&gt;=AP$3,$J142&lt;=IF(param_mode_affichage="mois",EOMONTH(AP$3,0),AP$3+6)),"◆",""))</f>
      </c>
      <c r="AQ142" s="26">
        <f>IF(OR($A142="",AQ$3=""),"",IF(AND($J142&lt;&gt;"",$K142&lt;&gt;"",$J142=$K142,$J142&gt;=AQ$3,$J142&lt;=IF(param_mode_affichage="mois",EOMONTH(AQ$3,0),AQ$3+6)),"◆",""))</f>
      </c>
      <c r="AR142" s="26">
        <f>IF(OR($A142="",AR$3=""),"",IF(AND($J142&lt;&gt;"",$K142&lt;&gt;"",$J142=$K142,$J142&gt;=AR$3,$J142&lt;=IF(param_mode_affichage="mois",EOMONTH(AR$3,0),AR$3+6)),"◆",""))</f>
      </c>
      <c r="AS142" s="26">
        <f>IF(OR($A142="",AS$3=""),"",IF(AND($J142&lt;&gt;"",$K142&lt;&gt;"",$J142=$K142,$J142&gt;=AS$3,$J142&lt;=IF(param_mode_affichage="mois",EOMONTH(AS$3,0),AS$3+6)),"◆",""))</f>
      </c>
      <c r="AT142" s="26">
        <f>IF(OR($A142="",AT$3=""),"",IF(AND($J142&lt;&gt;"",$K142&lt;&gt;"",$J142=$K142,$J142&gt;=AT$3,$J142&lt;=IF(param_mode_affichage="mois",EOMONTH(AT$3,0),AT$3+6)),"◆",""))</f>
      </c>
      <c r="AU142" s="26">
        <f>IF(OR($A142="",AU$3=""),"",IF(AND($J142&lt;&gt;"",$K142&lt;&gt;"",$J142=$K142,$J142&gt;=AU$3,$J142&lt;=IF(param_mode_affichage="mois",EOMONTH(AU$3,0),AU$3+6)),"◆",""))</f>
      </c>
      <c r="AV142" s="26">
        <f>IF(OR($A142="",AV$3=""),"",IF(AND($J142&lt;&gt;"",$K142&lt;&gt;"",$J142=$K142,$J142&gt;=AV$3,$J142&lt;=IF(param_mode_affichage="mois",EOMONTH(AV$3,0),AV$3+6)),"◆",""))</f>
      </c>
      <c r="AW142" s="26">
        <f>IF(OR($A142="",AW$3=""),"",IF(AND($J142&lt;&gt;"",$K142&lt;&gt;"",$J142=$K142,$J142&gt;=AW$3,$J142&lt;=IF(param_mode_affichage="mois",EOMONTH(AW$3,0),AW$3+6)),"◆",""))</f>
      </c>
      <c r="AX142" s="26">
        <f>IF(OR($A142="",AX$3=""),"",IF(AND($J142&lt;&gt;"",$K142&lt;&gt;"",$J142=$K142,$J142&gt;=AX$3,$J142&lt;=IF(param_mode_affichage="mois",EOMONTH(AX$3,0),AX$3+6)),"◆",""))</f>
      </c>
      <c r="AY142" s="26">
        <f>IF(OR($A142="",AY$3=""),"",IF(AND($J142&lt;&gt;"",$K142&lt;&gt;"",$J142=$K142,$J142&gt;=AY$3,$J142&lt;=IF(param_mode_affichage="mois",EOMONTH(AY$3,0),AY$3+6)),"◆",""))</f>
      </c>
      <c r="AZ142" s="26">
        <f>IF(OR($A142="",AZ$3=""),"",IF(AND($J142&lt;&gt;"",$K142&lt;&gt;"",$J142=$K142,$J142&gt;=AZ$3,$J142&lt;=IF(param_mode_affichage="mois",EOMONTH(AZ$3,0),AZ$3+6)),"◆",""))</f>
      </c>
      <c r="BA142" s="26">
        <f>IF(OR($A142="",BA$3=""),"",IF(AND($J142&lt;&gt;"",$K142&lt;&gt;"",$J142=$K142,$J142&gt;=BA$3,$J142&lt;=IF(param_mode_affichage="mois",EOMONTH(BA$3,0),BA$3+6)),"◆",""))</f>
      </c>
      <c r="BB142" s="26">
        <f>IF(OR($A142="",BB$3=""),"",IF(AND($J142&lt;&gt;"",$K142&lt;&gt;"",$J142=$K142,$J142&gt;=BB$3,$J142&lt;=IF(param_mode_affichage="mois",EOMONTH(BB$3,0),BB$3+6)),"◆",""))</f>
      </c>
      <c r="BC142" s="26">
        <f>IF(OR($A142="",BC$3=""),"",IF(AND($J142&lt;&gt;"",$K142&lt;&gt;"",$J142=$K142,$J142&gt;=BC$3,$J142&lt;=IF(param_mode_affichage="mois",EOMONTH(BC$3,0),BC$3+6)),"◆",""))</f>
      </c>
      <c r="BD142" s="26">
        <f>IF(OR($A142="",BD$3=""),"",IF(AND($J142&lt;&gt;"",$K142&lt;&gt;"",$J142=$K142,$J142&gt;=BD$3,$J142&lt;=IF(param_mode_affichage="mois",EOMONTH(BD$3,0),BD$3+6)),"◆",""))</f>
      </c>
      <c r="BE142" s="26">
        <f>IF(OR($A142="",BE$3=""),"",IF(AND($J142&lt;&gt;"",$K142&lt;&gt;"",$J142=$K142,$J142&gt;=BE$3,$J142&lt;=IF(param_mode_affichage="mois",EOMONTH(BE$3,0),BE$3+6)),"◆",""))</f>
      </c>
      <c r="BF142" s="26">
        <f>IF(OR($A142="",BF$3=""),"",IF(AND($J142&lt;&gt;"",$K142&lt;&gt;"",$J142=$K142,$J142&gt;=BF$3,$J142&lt;=IF(param_mode_affichage="mois",EOMONTH(BF$3,0),BF$3+6)),"◆",""))</f>
      </c>
      <c r="BG142" s="26">
        <f>IF(OR($A142="",BG$3=""),"",IF(AND($J142&lt;&gt;"",$K142&lt;&gt;"",$J142=$K142,$J142&gt;=BG$3,$J142&lt;=IF(param_mode_affichage="mois",EOMONTH(BG$3,0),BG$3+6)),"◆",""))</f>
      </c>
      <c r="BH142" s="26">
        <f>IF(OR($A142="",BH$3=""),"",IF(AND($J142&lt;&gt;"",$K142&lt;&gt;"",$J142=$K142,$J142&gt;=BH$3,$J142&lt;=IF(param_mode_affichage="mois",EOMONTH(BH$3,0),BH$3+6)),"◆",""))</f>
      </c>
      <c r="BI142" s="26">
        <f>IF(OR($A142="",BI$3=""),"",IF(AND($J142&lt;&gt;"",$K142&lt;&gt;"",$J142=$K142,$J142&gt;=BI$3,$J142&lt;=IF(param_mode_affichage="mois",EOMONTH(BI$3,0),BI$3+6)),"◆",""))</f>
      </c>
      <c r="BJ142" s="26">
        <f>IF(OR($A142="",BJ$3=""),"",IF(AND($J142&lt;&gt;"",$K142&lt;&gt;"",$J142=$K142,$J142&gt;=BJ$3,$J142&lt;=IF(param_mode_affichage="mois",EOMONTH(BJ$3,0),BJ$3+6)),"◆",""))</f>
      </c>
      <c r="BK142" s="26">
        <f>IF(OR($A142="",BK$3=""),"",IF(AND($J142&lt;&gt;"",$K142&lt;&gt;"",$J142=$K142,$J142&gt;=BK$3,$J142&lt;=IF(param_mode_affichage="mois",EOMONTH(BK$3,0),BK$3+6)),"◆",""))</f>
      </c>
      <c r="BL142" s="26">
        <f>IF(OR($A142="",BL$3=""),"",IF(AND($J142&lt;&gt;"",$K142&lt;&gt;"",$J142=$K142,$J142&gt;=BL$3,$J142&lt;=IF(param_mode_affichage="mois",EOMONTH(BL$3,0),BL$3+6)),"◆",""))</f>
      </c>
    </row>
    <row r="143" spans="1:64" x14ac:dyDescent="0.25">
      <c r="A143" s="23">
        <f>IFERROR(INDEX(tblTasks[ID],ROW()-4),"")</f>
      </c>
      <c r="B143" s="24">
        <f>IF($A143="","",INDEX(tblTasks[Sujet],ROW()-4))</f>
      </c>
      <c r="C143" s="23">
        <f>IF($A143="","",INDEX(tblTasks[Responsable],ROW()-4))</f>
      </c>
      <c r="D143" s="23">
        <f>IF($A143="","",INDEX(tblTasks[Statut],ROW()-4))</f>
      </c>
      <c r="E143" s="23">
        <f>IF($A143="","",INDEX(tblTasks[Depend_de],ROW()-4))</f>
      </c>
      <c r="F143" s="23">
        <f>IF($A143="","",INDEX(tblTasks[Blocage],ROW()-4))</f>
      </c>
      <c r="G143" s="23">
        <f>IF($A143="","",INDEX(tblTasks[Niveau_criticite],ROW()-4))</f>
      </c>
      <c r="H143" s="23">
        <f>IF($A143="","",INDEX(tblTasks[Goulot],ROW()-4))</f>
      </c>
      <c r="I143" s="23">
        <f>IF($A143="","",IF(LOWER($F143)="oui","non",IF($E143="","oui",IFERROR(IF(LOWER(INDEX(tblTasks[Statut],MATCH($E143,tblTasks[ID],0)))="clos","oui","non"),"non"))))</f>
      </c>
      <c r="J143" s="25">
        <f>IF($A143="","",INDEX(tblTasks[Date_debut_prevue],ROW()-4))</f>
      </c>
      <c r="K143" s="25">
        <f>IF($A143="","",INDEX(tblTasks[Date_fin_prevue],ROW()-4))</f>
      </c>
      <c r="L143" s="23">
        <f>IF($A143="","",INDEX(tblTasks[Irreversibilite],ROW()-4))</f>
      </c>
      <c r="M143" s="26">
        <f>IF(OR($A143="",M$3=""),"",IF(AND($J143&lt;&gt;"",$K143&lt;&gt;"",$J143=$K143,$J143&gt;=M$3,$J143&lt;=IF(param_mode_affichage="mois",EOMONTH(M$3,0),M$3+6)),"◆",""))</f>
      </c>
      <c r="N143" s="26">
        <f>IF(OR($A143="",N$3=""),"",IF(AND($J143&lt;&gt;"",$K143&lt;&gt;"",$J143=$K143,$J143&gt;=N$3,$J143&lt;=IF(param_mode_affichage="mois",EOMONTH(N$3,0),N$3+6)),"◆",""))</f>
      </c>
      <c r="O143" s="26">
        <f>IF(OR($A143="",O$3=""),"",IF(AND($J143&lt;&gt;"",$K143&lt;&gt;"",$J143=$K143,$J143&gt;=O$3,$J143&lt;=IF(param_mode_affichage="mois",EOMONTH(O$3,0),O$3+6)),"◆",""))</f>
      </c>
      <c r="P143" s="26">
        <f>IF(OR($A143="",P$3=""),"",IF(AND($J143&lt;&gt;"",$K143&lt;&gt;"",$J143=$K143,$J143&gt;=P$3,$J143&lt;=IF(param_mode_affichage="mois",EOMONTH(P$3,0),P$3+6)),"◆",""))</f>
      </c>
      <c r="Q143" s="26">
        <f>IF(OR($A143="",Q$3=""),"",IF(AND($J143&lt;&gt;"",$K143&lt;&gt;"",$J143=$K143,$J143&gt;=Q$3,$J143&lt;=IF(param_mode_affichage="mois",EOMONTH(Q$3,0),Q$3+6)),"◆",""))</f>
      </c>
      <c r="R143" s="26">
        <f>IF(OR($A143="",R$3=""),"",IF(AND($J143&lt;&gt;"",$K143&lt;&gt;"",$J143=$K143,$J143&gt;=R$3,$J143&lt;=IF(param_mode_affichage="mois",EOMONTH(R$3,0),R$3+6)),"◆",""))</f>
      </c>
      <c r="S143" s="26">
        <f>IF(OR($A143="",S$3=""),"",IF(AND($J143&lt;&gt;"",$K143&lt;&gt;"",$J143=$K143,$J143&gt;=S$3,$J143&lt;=IF(param_mode_affichage="mois",EOMONTH(S$3,0),S$3+6)),"◆",""))</f>
      </c>
      <c r="T143" s="26">
        <f>IF(OR($A143="",T$3=""),"",IF(AND($J143&lt;&gt;"",$K143&lt;&gt;"",$J143=$K143,$J143&gt;=T$3,$J143&lt;=IF(param_mode_affichage="mois",EOMONTH(T$3,0),T$3+6)),"◆",""))</f>
      </c>
      <c r="U143" s="26">
        <f>IF(OR($A143="",U$3=""),"",IF(AND($J143&lt;&gt;"",$K143&lt;&gt;"",$J143=$K143,$J143&gt;=U$3,$J143&lt;=IF(param_mode_affichage="mois",EOMONTH(U$3,0),U$3+6)),"◆",""))</f>
      </c>
      <c r="V143" s="26">
        <f>IF(OR($A143="",V$3=""),"",IF(AND($J143&lt;&gt;"",$K143&lt;&gt;"",$J143=$K143,$J143&gt;=V$3,$J143&lt;=IF(param_mode_affichage="mois",EOMONTH(V$3,0),V$3+6)),"◆",""))</f>
      </c>
      <c r="W143" s="26">
        <f>IF(OR($A143="",W$3=""),"",IF(AND($J143&lt;&gt;"",$K143&lt;&gt;"",$J143=$K143,$J143&gt;=W$3,$J143&lt;=IF(param_mode_affichage="mois",EOMONTH(W$3,0),W$3+6)),"◆",""))</f>
      </c>
      <c r="X143" s="26">
        <f>IF(OR($A143="",X$3=""),"",IF(AND($J143&lt;&gt;"",$K143&lt;&gt;"",$J143=$K143,$J143&gt;=X$3,$J143&lt;=IF(param_mode_affichage="mois",EOMONTH(X$3,0),X$3+6)),"◆",""))</f>
      </c>
      <c r="Y143" s="26">
        <f>IF(OR($A143="",Y$3=""),"",IF(AND($J143&lt;&gt;"",$K143&lt;&gt;"",$J143=$K143,$J143&gt;=Y$3,$J143&lt;=IF(param_mode_affichage="mois",EOMONTH(Y$3,0),Y$3+6)),"◆",""))</f>
      </c>
      <c r="Z143" s="26">
        <f>IF(OR($A143="",Z$3=""),"",IF(AND($J143&lt;&gt;"",$K143&lt;&gt;"",$J143=$K143,$J143&gt;=Z$3,$J143&lt;=IF(param_mode_affichage="mois",EOMONTH(Z$3,0),Z$3+6)),"◆",""))</f>
      </c>
      <c r="AA143" s="26">
        <f>IF(OR($A143="",AA$3=""),"",IF(AND($J143&lt;&gt;"",$K143&lt;&gt;"",$J143=$K143,$J143&gt;=AA$3,$J143&lt;=IF(param_mode_affichage="mois",EOMONTH(AA$3,0),AA$3+6)),"◆",""))</f>
      </c>
      <c r="AB143" s="26">
        <f>IF(OR($A143="",AB$3=""),"",IF(AND($J143&lt;&gt;"",$K143&lt;&gt;"",$J143=$K143,$J143&gt;=AB$3,$J143&lt;=IF(param_mode_affichage="mois",EOMONTH(AB$3,0),AB$3+6)),"◆",""))</f>
      </c>
      <c r="AC143" s="26">
        <f>IF(OR($A143="",AC$3=""),"",IF(AND($J143&lt;&gt;"",$K143&lt;&gt;"",$J143=$K143,$J143&gt;=AC$3,$J143&lt;=IF(param_mode_affichage="mois",EOMONTH(AC$3,0),AC$3+6)),"◆",""))</f>
      </c>
      <c r="AD143" s="26">
        <f>IF(OR($A143="",AD$3=""),"",IF(AND($J143&lt;&gt;"",$K143&lt;&gt;"",$J143=$K143,$J143&gt;=AD$3,$J143&lt;=IF(param_mode_affichage="mois",EOMONTH(AD$3,0),AD$3+6)),"◆",""))</f>
      </c>
      <c r="AE143" s="26">
        <f>IF(OR($A143="",AE$3=""),"",IF(AND($J143&lt;&gt;"",$K143&lt;&gt;"",$J143=$K143,$J143&gt;=AE$3,$J143&lt;=IF(param_mode_affichage="mois",EOMONTH(AE$3,0),AE$3+6)),"◆",""))</f>
      </c>
      <c r="AF143" s="26">
        <f>IF(OR($A143="",AF$3=""),"",IF(AND($J143&lt;&gt;"",$K143&lt;&gt;"",$J143=$K143,$J143&gt;=AF$3,$J143&lt;=IF(param_mode_affichage="mois",EOMONTH(AF$3,0),AF$3+6)),"◆",""))</f>
      </c>
      <c r="AG143" s="26">
        <f>IF(OR($A143="",AG$3=""),"",IF(AND($J143&lt;&gt;"",$K143&lt;&gt;"",$J143=$K143,$J143&gt;=AG$3,$J143&lt;=IF(param_mode_affichage="mois",EOMONTH(AG$3,0),AG$3+6)),"◆",""))</f>
      </c>
      <c r="AH143" s="26">
        <f>IF(OR($A143="",AH$3=""),"",IF(AND($J143&lt;&gt;"",$K143&lt;&gt;"",$J143=$K143,$J143&gt;=AH$3,$J143&lt;=IF(param_mode_affichage="mois",EOMONTH(AH$3,0),AH$3+6)),"◆",""))</f>
      </c>
      <c r="AI143" s="26">
        <f>IF(OR($A143="",AI$3=""),"",IF(AND($J143&lt;&gt;"",$K143&lt;&gt;"",$J143=$K143,$J143&gt;=AI$3,$J143&lt;=IF(param_mode_affichage="mois",EOMONTH(AI$3,0),AI$3+6)),"◆",""))</f>
      </c>
      <c r="AJ143" s="26">
        <f>IF(OR($A143="",AJ$3=""),"",IF(AND($J143&lt;&gt;"",$K143&lt;&gt;"",$J143=$K143,$J143&gt;=AJ$3,$J143&lt;=IF(param_mode_affichage="mois",EOMONTH(AJ$3,0),AJ$3+6)),"◆",""))</f>
      </c>
      <c r="AK143" s="26">
        <f>IF(OR($A143="",AK$3=""),"",IF(AND($J143&lt;&gt;"",$K143&lt;&gt;"",$J143=$K143,$J143&gt;=AK$3,$J143&lt;=IF(param_mode_affichage="mois",EOMONTH(AK$3,0),AK$3+6)),"◆",""))</f>
      </c>
      <c r="AL143" s="26">
        <f>IF(OR($A143="",AL$3=""),"",IF(AND($J143&lt;&gt;"",$K143&lt;&gt;"",$J143=$K143,$J143&gt;=AL$3,$J143&lt;=IF(param_mode_affichage="mois",EOMONTH(AL$3,0),AL$3+6)),"◆",""))</f>
      </c>
      <c r="AM143" s="26">
        <f>IF(OR($A143="",AM$3=""),"",IF(AND($J143&lt;&gt;"",$K143&lt;&gt;"",$J143=$K143,$J143&gt;=AM$3,$J143&lt;=IF(param_mode_affichage="mois",EOMONTH(AM$3,0),AM$3+6)),"◆",""))</f>
      </c>
      <c r="AN143" s="26">
        <f>IF(OR($A143="",AN$3=""),"",IF(AND($J143&lt;&gt;"",$K143&lt;&gt;"",$J143=$K143,$J143&gt;=AN$3,$J143&lt;=IF(param_mode_affichage="mois",EOMONTH(AN$3,0),AN$3+6)),"◆",""))</f>
      </c>
      <c r="AO143" s="26">
        <f>IF(OR($A143="",AO$3=""),"",IF(AND($J143&lt;&gt;"",$K143&lt;&gt;"",$J143=$K143,$J143&gt;=AO$3,$J143&lt;=IF(param_mode_affichage="mois",EOMONTH(AO$3,0),AO$3+6)),"◆",""))</f>
      </c>
      <c r="AP143" s="26">
        <f>IF(OR($A143="",AP$3=""),"",IF(AND($J143&lt;&gt;"",$K143&lt;&gt;"",$J143=$K143,$J143&gt;=AP$3,$J143&lt;=IF(param_mode_affichage="mois",EOMONTH(AP$3,0),AP$3+6)),"◆",""))</f>
      </c>
      <c r="AQ143" s="26">
        <f>IF(OR($A143="",AQ$3=""),"",IF(AND($J143&lt;&gt;"",$K143&lt;&gt;"",$J143=$K143,$J143&gt;=AQ$3,$J143&lt;=IF(param_mode_affichage="mois",EOMONTH(AQ$3,0),AQ$3+6)),"◆",""))</f>
      </c>
      <c r="AR143" s="26">
        <f>IF(OR($A143="",AR$3=""),"",IF(AND($J143&lt;&gt;"",$K143&lt;&gt;"",$J143=$K143,$J143&gt;=AR$3,$J143&lt;=IF(param_mode_affichage="mois",EOMONTH(AR$3,0),AR$3+6)),"◆",""))</f>
      </c>
      <c r="AS143" s="26">
        <f>IF(OR($A143="",AS$3=""),"",IF(AND($J143&lt;&gt;"",$K143&lt;&gt;"",$J143=$K143,$J143&gt;=AS$3,$J143&lt;=IF(param_mode_affichage="mois",EOMONTH(AS$3,0),AS$3+6)),"◆",""))</f>
      </c>
      <c r="AT143" s="26">
        <f>IF(OR($A143="",AT$3=""),"",IF(AND($J143&lt;&gt;"",$K143&lt;&gt;"",$J143=$K143,$J143&gt;=AT$3,$J143&lt;=IF(param_mode_affichage="mois",EOMONTH(AT$3,0),AT$3+6)),"◆",""))</f>
      </c>
      <c r="AU143" s="26">
        <f>IF(OR($A143="",AU$3=""),"",IF(AND($J143&lt;&gt;"",$K143&lt;&gt;"",$J143=$K143,$J143&gt;=AU$3,$J143&lt;=IF(param_mode_affichage="mois",EOMONTH(AU$3,0),AU$3+6)),"◆",""))</f>
      </c>
      <c r="AV143" s="26">
        <f>IF(OR($A143="",AV$3=""),"",IF(AND($J143&lt;&gt;"",$K143&lt;&gt;"",$J143=$K143,$J143&gt;=AV$3,$J143&lt;=IF(param_mode_affichage="mois",EOMONTH(AV$3,0),AV$3+6)),"◆",""))</f>
      </c>
      <c r="AW143" s="26">
        <f>IF(OR($A143="",AW$3=""),"",IF(AND($J143&lt;&gt;"",$K143&lt;&gt;"",$J143=$K143,$J143&gt;=AW$3,$J143&lt;=IF(param_mode_affichage="mois",EOMONTH(AW$3,0),AW$3+6)),"◆",""))</f>
      </c>
      <c r="AX143" s="26">
        <f>IF(OR($A143="",AX$3=""),"",IF(AND($J143&lt;&gt;"",$K143&lt;&gt;"",$J143=$K143,$J143&gt;=AX$3,$J143&lt;=IF(param_mode_affichage="mois",EOMONTH(AX$3,0),AX$3+6)),"◆",""))</f>
      </c>
      <c r="AY143" s="26">
        <f>IF(OR($A143="",AY$3=""),"",IF(AND($J143&lt;&gt;"",$K143&lt;&gt;"",$J143=$K143,$J143&gt;=AY$3,$J143&lt;=IF(param_mode_affichage="mois",EOMONTH(AY$3,0),AY$3+6)),"◆",""))</f>
      </c>
      <c r="AZ143" s="26">
        <f>IF(OR($A143="",AZ$3=""),"",IF(AND($J143&lt;&gt;"",$K143&lt;&gt;"",$J143=$K143,$J143&gt;=AZ$3,$J143&lt;=IF(param_mode_affichage="mois",EOMONTH(AZ$3,0),AZ$3+6)),"◆",""))</f>
      </c>
      <c r="BA143" s="26">
        <f>IF(OR($A143="",BA$3=""),"",IF(AND($J143&lt;&gt;"",$K143&lt;&gt;"",$J143=$K143,$J143&gt;=BA$3,$J143&lt;=IF(param_mode_affichage="mois",EOMONTH(BA$3,0),BA$3+6)),"◆",""))</f>
      </c>
      <c r="BB143" s="26">
        <f>IF(OR($A143="",BB$3=""),"",IF(AND($J143&lt;&gt;"",$K143&lt;&gt;"",$J143=$K143,$J143&gt;=BB$3,$J143&lt;=IF(param_mode_affichage="mois",EOMONTH(BB$3,0),BB$3+6)),"◆",""))</f>
      </c>
      <c r="BC143" s="26">
        <f>IF(OR($A143="",BC$3=""),"",IF(AND($J143&lt;&gt;"",$K143&lt;&gt;"",$J143=$K143,$J143&gt;=BC$3,$J143&lt;=IF(param_mode_affichage="mois",EOMONTH(BC$3,0),BC$3+6)),"◆",""))</f>
      </c>
      <c r="BD143" s="26">
        <f>IF(OR($A143="",BD$3=""),"",IF(AND($J143&lt;&gt;"",$K143&lt;&gt;"",$J143=$K143,$J143&gt;=BD$3,$J143&lt;=IF(param_mode_affichage="mois",EOMONTH(BD$3,0),BD$3+6)),"◆",""))</f>
      </c>
      <c r="BE143" s="26">
        <f>IF(OR($A143="",BE$3=""),"",IF(AND($J143&lt;&gt;"",$K143&lt;&gt;"",$J143=$K143,$J143&gt;=BE$3,$J143&lt;=IF(param_mode_affichage="mois",EOMONTH(BE$3,0),BE$3+6)),"◆",""))</f>
      </c>
      <c r="BF143" s="26">
        <f>IF(OR($A143="",BF$3=""),"",IF(AND($J143&lt;&gt;"",$K143&lt;&gt;"",$J143=$K143,$J143&gt;=BF$3,$J143&lt;=IF(param_mode_affichage="mois",EOMONTH(BF$3,0),BF$3+6)),"◆",""))</f>
      </c>
      <c r="BG143" s="26">
        <f>IF(OR($A143="",BG$3=""),"",IF(AND($J143&lt;&gt;"",$K143&lt;&gt;"",$J143=$K143,$J143&gt;=BG$3,$J143&lt;=IF(param_mode_affichage="mois",EOMONTH(BG$3,0),BG$3+6)),"◆",""))</f>
      </c>
      <c r="BH143" s="26">
        <f>IF(OR($A143="",BH$3=""),"",IF(AND($J143&lt;&gt;"",$K143&lt;&gt;"",$J143=$K143,$J143&gt;=BH$3,$J143&lt;=IF(param_mode_affichage="mois",EOMONTH(BH$3,0),BH$3+6)),"◆",""))</f>
      </c>
      <c r="BI143" s="26">
        <f>IF(OR($A143="",BI$3=""),"",IF(AND($J143&lt;&gt;"",$K143&lt;&gt;"",$J143=$K143,$J143&gt;=BI$3,$J143&lt;=IF(param_mode_affichage="mois",EOMONTH(BI$3,0),BI$3+6)),"◆",""))</f>
      </c>
      <c r="BJ143" s="26">
        <f>IF(OR($A143="",BJ$3=""),"",IF(AND($J143&lt;&gt;"",$K143&lt;&gt;"",$J143=$K143,$J143&gt;=BJ$3,$J143&lt;=IF(param_mode_affichage="mois",EOMONTH(BJ$3,0),BJ$3+6)),"◆",""))</f>
      </c>
      <c r="BK143" s="26">
        <f>IF(OR($A143="",BK$3=""),"",IF(AND($J143&lt;&gt;"",$K143&lt;&gt;"",$J143=$K143,$J143&gt;=BK$3,$J143&lt;=IF(param_mode_affichage="mois",EOMONTH(BK$3,0),BK$3+6)),"◆",""))</f>
      </c>
      <c r="BL143" s="26">
        <f>IF(OR($A143="",BL$3=""),"",IF(AND($J143&lt;&gt;"",$K143&lt;&gt;"",$J143=$K143,$J143&gt;=BL$3,$J143&lt;=IF(param_mode_affichage="mois",EOMONTH(BL$3,0),BL$3+6)),"◆",""))</f>
      </c>
    </row>
    <row r="144" spans="1:64" x14ac:dyDescent="0.25">
      <c r="A144" s="23">
        <f>IFERROR(INDEX(tblTasks[ID],ROW()-4),"")</f>
      </c>
      <c r="B144" s="24">
        <f>IF($A144="","",INDEX(tblTasks[Sujet],ROW()-4))</f>
      </c>
      <c r="C144" s="23">
        <f>IF($A144="","",INDEX(tblTasks[Responsable],ROW()-4))</f>
      </c>
      <c r="D144" s="23">
        <f>IF($A144="","",INDEX(tblTasks[Statut],ROW()-4))</f>
      </c>
      <c r="E144" s="23">
        <f>IF($A144="","",INDEX(tblTasks[Depend_de],ROW()-4))</f>
      </c>
      <c r="F144" s="23">
        <f>IF($A144="","",INDEX(tblTasks[Blocage],ROW()-4))</f>
      </c>
      <c r="G144" s="23">
        <f>IF($A144="","",INDEX(tblTasks[Niveau_criticite],ROW()-4))</f>
      </c>
      <c r="H144" s="23">
        <f>IF($A144="","",INDEX(tblTasks[Goulot],ROW()-4))</f>
      </c>
      <c r="I144" s="23">
        <f>IF($A144="","",IF(LOWER($F144)="oui","non",IF($E144="","oui",IFERROR(IF(LOWER(INDEX(tblTasks[Statut],MATCH($E144,tblTasks[ID],0)))="clos","oui","non"),"non"))))</f>
      </c>
      <c r="J144" s="25">
        <f>IF($A144="","",INDEX(tblTasks[Date_debut_prevue],ROW()-4))</f>
      </c>
      <c r="K144" s="25">
        <f>IF($A144="","",INDEX(tblTasks[Date_fin_prevue],ROW()-4))</f>
      </c>
      <c r="L144" s="23">
        <f>IF($A144="","",INDEX(tblTasks[Irreversibilite],ROW()-4))</f>
      </c>
      <c r="M144" s="26">
        <f>IF(OR($A144="",M$3=""),"",IF(AND($J144&lt;&gt;"",$K144&lt;&gt;"",$J144=$K144,$J144&gt;=M$3,$J144&lt;=IF(param_mode_affichage="mois",EOMONTH(M$3,0),M$3+6)),"◆",""))</f>
      </c>
      <c r="N144" s="26">
        <f>IF(OR($A144="",N$3=""),"",IF(AND($J144&lt;&gt;"",$K144&lt;&gt;"",$J144=$K144,$J144&gt;=N$3,$J144&lt;=IF(param_mode_affichage="mois",EOMONTH(N$3,0),N$3+6)),"◆",""))</f>
      </c>
      <c r="O144" s="26">
        <f>IF(OR($A144="",O$3=""),"",IF(AND($J144&lt;&gt;"",$K144&lt;&gt;"",$J144=$K144,$J144&gt;=O$3,$J144&lt;=IF(param_mode_affichage="mois",EOMONTH(O$3,0),O$3+6)),"◆",""))</f>
      </c>
      <c r="P144" s="26">
        <f>IF(OR($A144="",P$3=""),"",IF(AND($J144&lt;&gt;"",$K144&lt;&gt;"",$J144=$K144,$J144&gt;=P$3,$J144&lt;=IF(param_mode_affichage="mois",EOMONTH(P$3,0),P$3+6)),"◆",""))</f>
      </c>
      <c r="Q144" s="26">
        <f>IF(OR($A144="",Q$3=""),"",IF(AND($J144&lt;&gt;"",$K144&lt;&gt;"",$J144=$K144,$J144&gt;=Q$3,$J144&lt;=IF(param_mode_affichage="mois",EOMONTH(Q$3,0),Q$3+6)),"◆",""))</f>
      </c>
      <c r="R144" s="26">
        <f>IF(OR($A144="",R$3=""),"",IF(AND($J144&lt;&gt;"",$K144&lt;&gt;"",$J144=$K144,$J144&gt;=R$3,$J144&lt;=IF(param_mode_affichage="mois",EOMONTH(R$3,0),R$3+6)),"◆",""))</f>
      </c>
      <c r="S144" s="26">
        <f>IF(OR($A144="",S$3=""),"",IF(AND($J144&lt;&gt;"",$K144&lt;&gt;"",$J144=$K144,$J144&gt;=S$3,$J144&lt;=IF(param_mode_affichage="mois",EOMONTH(S$3,0),S$3+6)),"◆",""))</f>
      </c>
      <c r="T144" s="26">
        <f>IF(OR($A144="",T$3=""),"",IF(AND($J144&lt;&gt;"",$K144&lt;&gt;"",$J144=$K144,$J144&gt;=T$3,$J144&lt;=IF(param_mode_affichage="mois",EOMONTH(T$3,0),T$3+6)),"◆",""))</f>
      </c>
      <c r="U144" s="26">
        <f>IF(OR($A144="",U$3=""),"",IF(AND($J144&lt;&gt;"",$K144&lt;&gt;"",$J144=$K144,$J144&gt;=U$3,$J144&lt;=IF(param_mode_affichage="mois",EOMONTH(U$3,0),U$3+6)),"◆",""))</f>
      </c>
      <c r="V144" s="26">
        <f>IF(OR($A144="",V$3=""),"",IF(AND($J144&lt;&gt;"",$K144&lt;&gt;"",$J144=$K144,$J144&gt;=V$3,$J144&lt;=IF(param_mode_affichage="mois",EOMONTH(V$3,0),V$3+6)),"◆",""))</f>
      </c>
      <c r="W144" s="26">
        <f>IF(OR($A144="",W$3=""),"",IF(AND($J144&lt;&gt;"",$K144&lt;&gt;"",$J144=$K144,$J144&gt;=W$3,$J144&lt;=IF(param_mode_affichage="mois",EOMONTH(W$3,0),W$3+6)),"◆",""))</f>
      </c>
      <c r="X144" s="26">
        <f>IF(OR($A144="",X$3=""),"",IF(AND($J144&lt;&gt;"",$K144&lt;&gt;"",$J144=$K144,$J144&gt;=X$3,$J144&lt;=IF(param_mode_affichage="mois",EOMONTH(X$3,0),X$3+6)),"◆",""))</f>
      </c>
      <c r="Y144" s="26">
        <f>IF(OR($A144="",Y$3=""),"",IF(AND($J144&lt;&gt;"",$K144&lt;&gt;"",$J144=$K144,$J144&gt;=Y$3,$J144&lt;=IF(param_mode_affichage="mois",EOMONTH(Y$3,0),Y$3+6)),"◆",""))</f>
      </c>
      <c r="Z144" s="26">
        <f>IF(OR($A144="",Z$3=""),"",IF(AND($J144&lt;&gt;"",$K144&lt;&gt;"",$J144=$K144,$J144&gt;=Z$3,$J144&lt;=IF(param_mode_affichage="mois",EOMONTH(Z$3,0),Z$3+6)),"◆",""))</f>
      </c>
      <c r="AA144" s="26">
        <f>IF(OR($A144="",AA$3=""),"",IF(AND($J144&lt;&gt;"",$K144&lt;&gt;"",$J144=$K144,$J144&gt;=AA$3,$J144&lt;=IF(param_mode_affichage="mois",EOMONTH(AA$3,0),AA$3+6)),"◆",""))</f>
      </c>
      <c r="AB144" s="26">
        <f>IF(OR($A144="",AB$3=""),"",IF(AND($J144&lt;&gt;"",$K144&lt;&gt;"",$J144=$K144,$J144&gt;=AB$3,$J144&lt;=IF(param_mode_affichage="mois",EOMONTH(AB$3,0),AB$3+6)),"◆",""))</f>
      </c>
      <c r="AC144" s="26">
        <f>IF(OR($A144="",AC$3=""),"",IF(AND($J144&lt;&gt;"",$K144&lt;&gt;"",$J144=$K144,$J144&gt;=AC$3,$J144&lt;=IF(param_mode_affichage="mois",EOMONTH(AC$3,0),AC$3+6)),"◆",""))</f>
      </c>
      <c r="AD144" s="26">
        <f>IF(OR($A144="",AD$3=""),"",IF(AND($J144&lt;&gt;"",$K144&lt;&gt;"",$J144=$K144,$J144&gt;=AD$3,$J144&lt;=IF(param_mode_affichage="mois",EOMONTH(AD$3,0),AD$3+6)),"◆",""))</f>
      </c>
      <c r="AE144" s="26">
        <f>IF(OR($A144="",AE$3=""),"",IF(AND($J144&lt;&gt;"",$K144&lt;&gt;"",$J144=$K144,$J144&gt;=AE$3,$J144&lt;=IF(param_mode_affichage="mois",EOMONTH(AE$3,0),AE$3+6)),"◆",""))</f>
      </c>
      <c r="AF144" s="26">
        <f>IF(OR($A144="",AF$3=""),"",IF(AND($J144&lt;&gt;"",$K144&lt;&gt;"",$J144=$K144,$J144&gt;=AF$3,$J144&lt;=IF(param_mode_affichage="mois",EOMONTH(AF$3,0),AF$3+6)),"◆",""))</f>
      </c>
      <c r="AG144" s="26">
        <f>IF(OR($A144="",AG$3=""),"",IF(AND($J144&lt;&gt;"",$K144&lt;&gt;"",$J144=$K144,$J144&gt;=AG$3,$J144&lt;=IF(param_mode_affichage="mois",EOMONTH(AG$3,0),AG$3+6)),"◆",""))</f>
      </c>
      <c r="AH144" s="26">
        <f>IF(OR($A144="",AH$3=""),"",IF(AND($J144&lt;&gt;"",$K144&lt;&gt;"",$J144=$K144,$J144&gt;=AH$3,$J144&lt;=IF(param_mode_affichage="mois",EOMONTH(AH$3,0),AH$3+6)),"◆",""))</f>
      </c>
      <c r="AI144" s="26">
        <f>IF(OR($A144="",AI$3=""),"",IF(AND($J144&lt;&gt;"",$K144&lt;&gt;"",$J144=$K144,$J144&gt;=AI$3,$J144&lt;=IF(param_mode_affichage="mois",EOMONTH(AI$3,0),AI$3+6)),"◆",""))</f>
      </c>
      <c r="AJ144" s="26">
        <f>IF(OR($A144="",AJ$3=""),"",IF(AND($J144&lt;&gt;"",$K144&lt;&gt;"",$J144=$K144,$J144&gt;=AJ$3,$J144&lt;=IF(param_mode_affichage="mois",EOMONTH(AJ$3,0),AJ$3+6)),"◆",""))</f>
      </c>
      <c r="AK144" s="26">
        <f>IF(OR($A144="",AK$3=""),"",IF(AND($J144&lt;&gt;"",$K144&lt;&gt;"",$J144=$K144,$J144&gt;=AK$3,$J144&lt;=IF(param_mode_affichage="mois",EOMONTH(AK$3,0),AK$3+6)),"◆",""))</f>
      </c>
      <c r="AL144" s="26">
        <f>IF(OR($A144="",AL$3=""),"",IF(AND($J144&lt;&gt;"",$K144&lt;&gt;"",$J144=$K144,$J144&gt;=AL$3,$J144&lt;=IF(param_mode_affichage="mois",EOMONTH(AL$3,0),AL$3+6)),"◆",""))</f>
      </c>
      <c r="AM144" s="26">
        <f>IF(OR($A144="",AM$3=""),"",IF(AND($J144&lt;&gt;"",$K144&lt;&gt;"",$J144=$K144,$J144&gt;=AM$3,$J144&lt;=IF(param_mode_affichage="mois",EOMONTH(AM$3,0),AM$3+6)),"◆",""))</f>
      </c>
      <c r="AN144" s="26">
        <f>IF(OR($A144="",AN$3=""),"",IF(AND($J144&lt;&gt;"",$K144&lt;&gt;"",$J144=$K144,$J144&gt;=AN$3,$J144&lt;=IF(param_mode_affichage="mois",EOMONTH(AN$3,0),AN$3+6)),"◆",""))</f>
      </c>
      <c r="AO144" s="26">
        <f>IF(OR($A144="",AO$3=""),"",IF(AND($J144&lt;&gt;"",$K144&lt;&gt;"",$J144=$K144,$J144&gt;=AO$3,$J144&lt;=IF(param_mode_affichage="mois",EOMONTH(AO$3,0),AO$3+6)),"◆",""))</f>
      </c>
      <c r="AP144" s="26">
        <f>IF(OR($A144="",AP$3=""),"",IF(AND($J144&lt;&gt;"",$K144&lt;&gt;"",$J144=$K144,$J144&gt;=AP$3,$J144&lt;=IF(param_mode_affichage="mois",EOMONTH(AP$3,0),AP$3+6)),"◆",""))</f>
      </c>
      <c r="AQ144" s="26">
        <f>IF(OR($A144="",AQ$3=""),"",IF(AND($J144&lt;&gt;"",$K144&lt;&gt;"",$J144=$K144,$J144&gt;=AQ$3,$J144&lt;=IF(param_mode_affichage="mois",EOMONTH(AQ$3,0),AQ$3+6)),"◆",""))</f>
      </c>
      <c r="AR144" s="26">
        <f>IF(OR($A144="",AR$3=""),"",IF(AND($J144&lt;&gt;"",$K144&lt;&gt;"",$J144=$K144,$J144&gt;=AR$3,$J144&lt;=IF(param_mode_affichage="mois",EOMONTH(AR$3,0),AR$3+6)),"◆",""))</f>
      </c>
      <c r="AS144" s="26">
        <f>IF(OR($A144="",AS$3=""),"",IF(AND($J144&lt;&gt;"",$K144&lt;&gt;"",$J144=$K144,$J144&gt;=AS$3,$J144&lt;=IF(param_mode_affichage="mois",EOMONTH(AS$3,0),AS$3+6)),"◆",""))</f>
      </c>
      <c r="AT144" s="26">
        <f>IF(OR($A144="",AT$3=""),"",IF(AND($J144&lt;&gt;"",$K144&lt;&gt;"",$J144=$K144,$J144&gt;=AT$3,$J144&lt;=IF(param_mode_affichage="mois",EOMONTH(AT$3,0),AT$3+6)),"◆",""))</f>
      </c>
      <c r="AU144" s="26">
        <f>IF(OR($A144="",AU$3=""),"",IF(AND($J144&lt;&gt;"",$K144&lt;&gt;"",$J144=$K144,$J144&gt;=AU$3,$J144&lt;=IF(param_mode_affichage="mois",EOMONTH(AU$3,0),AU$3+6)),"◆",""))</f>
      </c>
      <c r="AV144" s="26">
        <f>IF(OR($A144="",AV$3=""),"",IF(AND($J144&lt;&gt;"",$K144&lt;&gt;"",$J144=$K144,$J144&gt;=AV$3,$J144&lt;=IF(param_mode_affichage="mois",EOMONTH(AV$3,0),AV$3+6)),"◆",""))</f>
      </c>
      <c r="AW144" s="26">
        <f>IF(OR($A144="",AW$3=""),"",IF(AND($J144&lt;&gt;"",$K144&lt;&gt;"",$J144=$K144,$J144&gt;=AW$3,$J144&lt;=IF(param_mode_affichage="mois",EOMONTH(AW$3,0),AW$3+6)),"◆",""))</f>
      </c>
      <c r="AX144" s="26">
        <f>IF(OR($A144="",AX$3=""),"",IF(AND($J144&lt;&gt;"",$K144&lt;&gt;"",$J144=$K144,$J144&gt;=AX$3,$J144&lt;=IF(param_mode_affichage="mois",EOMONTH(AX$3,0),AX$3+6)),"◆",""))</f>
      </c>
      <c r="AY144" s="26">
        <f>IF(OR($A144="",AY$3=""),"",IF(AND($J144&lt;&gt;"",$K144&lt;&gt;"",$J144=$K144,$J144&gt;=AY$3,$J144&lt;=IF(param_mode_affichage="mois",EOMONTH(AY$3,0),AY$3+6)),"◆",""))</f>
      </c>
      <c r="AZ144" s="26">
        <f>IF(OR($A144="",AZ$3=""),"",IF(AND($J144&lt;&gt;"",$K144&lt;&gt;"",$J144=$K144,$J144&gt;=AZ$3,$J144&lt;=IF(param_mode_affichage="mois",EOMONTH(AZ$3,0),AZ$3+6)),"◆",""))</f>
      </c>
      <c r="BA144" s="26">
        <f>IF(OR($A144="",BA$3=""),"",IF(AND($J144&lt;&gt;"",$K144&lt;&gt;"",$J144=$K144,$J144&gt;=BA$3,$J144&lt;=IF(param_mode_affichage="mois",EOMONTH(BA$3,0),BA$3+6)),"◆",""))</f>
      </c>
      <c r="BB144" s="26">
        <f>IF(OR($A144="",BB$3=""),"",IF(AND($J144&lt;&gt;"",$K144&lt;&gt;"",$J144=$K144,$J144&gt;=BB$3,$J144&lt;=IF(param_mode_affichage="mois",EOMONTH(BB$3,0),BB$3+6)),"◆",""))</f>
      </c>
      <c r="BC144" s="26">
        <f>IF(OR($A144="",BC$3=""),"",IF(AND($J144&lt;&gt;"",$K144&lt;&gt;"",$J144=$K144,$J144&gt;=BC$3,$J144&lt;=IF(param_mode_affichage="mois",EOMONTH(BC$3,0),BC$3+6)),"◆",""))</f>
      </c>
      <c r="BD144" s="26">
        <f>IF(OR($A144="",BD$3=""),"",IF(AND($J144&lt;&gt;"",$K144&lt;&gt;"",$J144=$K144,$J144&gt;=BD$3,$J144&lt;=IF(param_mode_affichage="mois",EOMONTH(BD$3,0),BD$3+6)),"◆",""))</f>
      </c>
      <c r="BE144" s="26">
        <f>IF(OR($A144="",BE$3=""),"",IF(AND($J144&lt;&gt;"",$K144&lt;&gt;"",$J144=$K144,$J144&gt;=BE$3,$J144&lt;=IF(param_mode_affichage="mois",EOMONTH(BE$3,0),BE$3+6)),"◆",""))</f>
      </c>
      <c r="BF144" s="26">
        <f>IF(OR($A144="",BF$3=""),"",IF(AND($J144&lt;&gt;"",$K144&lt;&gt;"",$J144=$K144,$J144&gt;=BF$3,$J144&lt;=IF(param_mode_affichage="mois",EOMONTH(BF$3,0),BF$3+6)),"◆",""))</f>
      </c>
      <c r="BG144" s="26">
        <f>IF(OR($A144="",BG$3=""),"",IF(AND($J144&lt;&gt;"",$K144&lt;&gt;"",$J144=$K144,$J144&gt;=BG$3,$J144&lt;=IF(param_mode_affichage="mois",EOMONTH(BG$3,0),BG$3+6)),"◆",""))</f>
      </c>
      <c r="BH144" s="26">
        <f>IF(OR($A144="",BH$3=""),"",IF(AND($J144&lt;&gt;"",$K144&lt;&gt;"",$J144=$K144,$J144&gt;=BH$3,$J144&lt;=IF(param_mode_affichage="mois",EOMONTH(BH$3,0),BH$3+6)),"◆",""))</f>
      </c>
      <c r="BI144" s="26">
        <f>IF(OR($A144="",BI$3=""),"",IF(AND($J144&lt;&gt;"",$K144&lt;&gt;"",$J144=$K144,$J144&gt;=BI$3,$J144&lt;=IF(param_mode_affichage="mois",EOMONTH(BI$3,0),BI$3+6)),"◆",""))</f>
      </c>
      <c r="BJ144" s="26">
        <f>IF(OR($A144="",BJ$3=""),"",IF(AND($J144&lt;&gt;"",$K144&lt;&gt;"",$J144=$K144,$J144&gt;=BJ$3,$J144&lt;=IF(param_mode_affichage="mois",EOMONTH(BJ$3,0),BJ$3+6)),"◆",""))</f>
      </c>
      <c r="BK144" s="26">
        <f>IF(OR($A144="",BK$3=""),"",IF(AND($J144&lt;&gt;"",$K144&lt;&gt;"",$J144=$K144,$J144&gt;=BK$3,$J144&lt;=IF(param_mode_affichage="mois",EOMONTH(BK$3,0),BK$3+6)),"◆",""))</f>
      </c>
      <c r="BL144" s="26">
        <f>IF(OR($A144="",BL$3=""),"",IF(AND($J144&lt;&gt;"",$K144&lt;&gt;"",$J144=$K144,$J144&gt;=BL$3,$J144&lt;=IF(param_mode_affichage="mois",EOMONTH(BL$3,0),BL$3+6)),"◆",""))</f>
      </c>
    </row>
    <row r="145" spans="1:64" x14ac:dyDescent="0.25">
      <c r="A145" s="23">
        <f>IFERROR(INDEX(tblTasks[ID],ROW()-4),"")</f>
      </c>
      <c r="B145" s="24">
        <f>IF($A145="","",INDEX(tblTasks[Sujet],ROW()-4))</f>
      </c>
      <c r="C145" s="23">
        <f>IF($A145="","",INDEX(tblTasks[Responsable],ROW()-4))</f>
      </c>
      <c r="D145" s="23">
        <f>IF($A145="","",INDEX(tblTasks[Statut],ROW()-4))</f>
      </c>
      <c r="E145" s="23">
        <f>IF($A145="","",INDEX(tblTasks[Depend_de],ROW()-4))</f>
      </c>
      <c r="F145" s="23">
        <f>IF($A145="","",INDEX(tblTasks[Blocage],ROW()-4))</f>
      </c>
      <c r="G145" s="23">
        <f>IF($A145="","",INDEX(tblTasks[Niveau_criticite],ROW()-4))</f>
      </c>
      <c r="H145" s="23">
        <f>IF($A145="","",INDEX(tblTasks[Goulot],ROW()-4))</f>
      </c>
      <c r="I145" s="23">
        <f>IF($A145="","",IF(LOWER($F145)="oui","non",IF($E145="","oui",IFERROR(IF(LOWER(INDEX(tblTasks[Statut],MATCH($E145,tblTasks[ID],0)))="clos","oui","non"),"non"))))</f>
      </c>
      <c r="J145" s="25">
        <f>IF($A145="","",INDEX(tblTasks[Date_debut_prevue],ROW()-4))</f>
      </c>
      <c r="K145" s="25">
        <f>IF($A145="","",INDEX(tblTasks[Date_fin_prevue],ROW()-4))</f>
      </c>
      <c r="L145" s="23">
        <f>IF($A145="","",INDEX(tblTasks[Irreversibilite],ROW()-4))</f>
      </c>
      <c r="M145" s="26">
        <f>IF(OR($A145="",M$3=""),"",IF(AND($J145&lt;&gt;"",$K145&lt;&gt;"",$J145=$K145,$J145&gt;=M$3,$J145&lt;=IF(param_mode_affichage="mois",EOMONTH(M$3,0),M$3+6)),"◆",""))</f>
      </c>
      <c r="N145" s="26">
        <f>IF(OR($A145="",N$3=""),"",IF(AND($J145&lt;&gt;"",$K145&lt;&gt;"",$J145=$K145,$J145&gt;=N$3,$J145&lt;=IF(param_mode_affichage="mois",EOMONTH(N$3,0),N$3+6)),"◆",""))</f>
      </c>
      <c r="O145" s="26">
        <f>IF(OR($A145="",O$3=""),"",IF(AND($J145&lt;&gt;"",$K145&lt;&gt;"",$J145=$K145,$J145&gt;=O$3,$J145&lt;=IF(param_mode_affichage="mois",EOMONTH(O$3,0),O$3+6)),"◆",""))</f>
      </c>
      <c r="P145" s="26">
        <f>IF(OR($A145="",P$3=""),"",IF(AND($J145&lt;&gt;"",$K145&lt;&gt;"",$J145=$K145,$J145&gt;=P$3,$J145&lt;=IF(param_mode_affichage="mois",EOMONTH(P$3,0),P$3+6)),"◆",""))</f>
      </c>
      <c r="Q145" s="26">
        <f>IF(OR($A145="",Q$3=""),"",IF(AND($J145&lt;&gt;"",$K145&lt;&gt;"",$J145=$K145,$J145&gt;=Q$3,$J145&lt;=IF(param_mode_affichage="mois",EOMONTH(Q$3,0),Q$3+6)),"◆",""))</f>
      </c>
      <c r="R145" s="26">
        <f>IF(OR($A145="",R$3=""),"",IF(AND($J145&lt;&gt;"",$K145&lt;&gt;"",$J145=$K145,$J145&gt;=R$3,$J145&lt;=IF(param_mode_affichage="mois",EOMONTH(R$3,0),R$3+6)),"◆",""))</f>
      </c>
      <c r="S145" s="26">
        <f>IF(OR($A145="",S$3=""),"",IF(AND($J145&lt;&gt;"",$K145&lt;&gt;"",$J145=$K145,$J145&gt;=S$3,$J145&lt;=IF(param_mode_affichage="mois",EOMONTH(S$3,0),S$3+6)),"◆",""))</f>
      </c>
      <c r="T145" s="26">
        <f>IF(OR($A145="",T$3=""),"",IF(AND($J145&lt;&gt;"",$K145&lt;&gt;"",$J145=$K145,$J145&gt;=T$3,$J145&lt;=IF(param_mode_affichage="mois",EOMONTH(T$3,0),T$3+6)),"◆",""))</f>
      </c>
      <c r="U145" s="26">
        <f>IF(OR($A145="",U$3=""),"",IF(AND($J145&lt;&gt;"",$K145&lt;&gt;"",$J145=$K145,$J145&gt;=U$3,$J145&lt;=IF(param_mode_affichage="mois",EOMONTH(U$3,0),U$3+6)),"◆",""))</f>
      </c>
      <c r="V145" s="26">
        <f>IF(OR($A145="",V$3=""),"",IF(AND($J145&lt;&gt;"",$K145&lt;&gt;"",$J145=$K145,$J145&gt;=V$3,$J145&lt;=IF(param_mode_affichage="mois",EOMONTH(V$3,0),V$3+6)),"◆",""))</f>
      </c>
      <c r="W145" s="26">
        <f>IF(OR($A145="",W$3=""),"",IF(AND($J145&lt;&gt;"",$K145&lt;&gt;"",$J145=$K145,$J145&gt;=W$3,$J145&lt;=IF(param_mode_affichage="mois",EOMONTH(W$3,0),W$3+6)),"◆",""))</f>
      </c>
      <c r="X145" s="26">
        <f>IF(OR($A145="",X$3=""),"",IF(AND($J145&lt;&gt;"",$K145&lt;&gt;"",$J145=$K145,$J145&gt;=X$3,$J145&lt;=IF(param_mode_affichage="mois",EOMONTH(X$3,0),X$3+6)),"◆",""))</f>
      </c>
      <c r="Y145" s="26">
        <f>IF(OR($A145="",Y$3=""),"",IF(AND($J145&lt;&gt;"",$K145&lt;&gt;"",$J145=$K145,$J145&gt;=Y$3,$J145&lt;=IF(param_mode_affichage="mois",EOMONTH(Y$3,0),Y$3+6)),"◆",""))</f>
      </c>
      <c r="Z145" s="26">
        <f>IF(OR($A145="",Z$3=""),"",IF(AND($J145&lt;&gt;"",$K145&lt;&gt;"",$J145=$K145,$J145&gt;=Z$3,$J145&lt;=IF(param_mode_affichage="mois",EOMONTH(Z$3,0),Z$3+6)),"◆",""))</f>
      </c>
      <c r="AA145" s="26">
        <f>IF(OR($A145="",AA$3=""),"",IF(AND($J145&lt;&gt;"",$K145&lt;&gt;"",$J145=$K145,$J145&gt;=AA$3,$J145&lt;=IF(param_mode_affichage="mois",EOMONTH(AA$3,0),AA$3+6)),"◆",""))</f>
      </c>
      <c r="AB145" s="26">
        <f>IF(OR($A145="",AB$3=""),"",IF(AND($J145&lt;&gt;"",$K145&lt;&gt;"",$J145=$K145,$J145&gt;=AB$3,$J145&lt;=IF(param_mode_affichage="mois",EOMONTH(AB$3,0),AB$3+6)),"◆",""))</f>
      </c>
      <c r="AC145" s="26">
        <f>IF(OR($A145="",AC$3=""),"",IF(AND($J145&lt;&gt;"",$K145&lt;&gt;"",$J145=$K145,$J145&gt;=AC$3,$J145&lt;=IF(param_mode_affichage="mois",EOMONTH(AC$3,0),AC$3+6)),"◆",""))</f>
      </c>
      <c r="AD145" s="26">
        <f>IF(OR($A145="",AD$3=""),"",IF(AND($J145&lt;&gt;"",$K145&lt;&gt;"",$J145=$K145,$J145&gt;=AD$3,$J145&lt;=IF(param_mode_affichage="mois",EOMONTH(AD$3,0),AD$3+6)),"◆",""))</f>
      </c>
      <c r="AE145" s="26">
        <f>IF(OR($A145="",AE$3=""),"",IF(AND($J145&lt;&gt;"",$K145&lt;&gt;"",$J145=$K145,$J145&gt;=AE$3,$J145&lt;=IF(param_mode_affichage="mois",EOMONTH(AE$3,0),AE$3+6)),"◆",""))</f>
      </c>
      <c r="AF145" s="26">
        <f>IF(OR($A145="",AF$3=""),"",IF(AND($J145&lt;&gt;"",$K145&lt;&gt;"",$J145=$K145,$J145&gt;=AF$3,$J145&lt;=IF(param_mode_affichage="mois",EOMONTH(AF$3,0),AF$3+6)),"◆",""))</f>
      </c>
      <c r="AG145" s="26">
        <f>IF(OR($A145="",AG$3=""),"",IF(AND($J145&lt;&gt;"",$K145&lt;&gt;"",$J145=$K145,$J145&gt;=AG$3,$J145&lt;=IF(param_mode_affichage="mois",EOMONTH(AG$3,0),AG$3+6)),"◆",""))</f>
      </c>
      <c r="AH145" s="26">
        <f>IF(OR($A145="",AH$3=""),"",IF(AND($J145&lt;&gt;"",$K145&lt;&gt;"",$J145=$K145,$J145&gt;=AH$3,$J145&lt;=IF(param_mode_affichage="mois",EOMONTH(AH$3,0),AH$3+6)),"◆",""))</f>
      </c>
      <c r="AI145" s="26">
        <f>IF(OR($A145="",AI$3=""),"",IF(AND($J145&lt;&gt;"",$K145&lt;&gt;"",$J145=$K145,$J145&gt;=AI$3,$J145&lt;=IF(param_mode_affichage="mois",EOMONTH(AI$3,0),AI$3+6)),"◆",""))</f>
      </c>
      <c r="AJ145" s="26">
        <f>IF(OR($A145="",AJ$3=""),"",IF(AND($J145&lt;&gt;"",$K145&lt;&gt;"",$J145=$K145,$J145&gt;=AJ$3,$J145&lt;=IF(param_mode_affichage="mois",EOMONTH(AJ$3,0),AJ$3+6)),"◆",""))</f>
      </c>
      <c r="AK145" s="26">
        <f>IF(OR($A145="",AK$3=""),"",IF(AND($J145&lt;&gt;"",$K145&lt;&gt;"",$J145=$K145,$J145&gt;=AK$3,$J145&lt;=IF(param_mode_affichage="mois",EOMONTH(AK$3,0),AK$3+6)),"◆",""))</f>
      </c>
      <c r="AL145" s="26">
        <f>IF(OR($A145="",AL$3=""),"",IF(AND($J145&lt;&gt;"",$K145&lt;&gt;"",$J145=$K145,$J145&gt;=AL$3,$J145&lt;=IF(param_mode_affichage="mois",EOMONTH(AL$3,0),AL$3+6)),"◆",""))</f>
      </c>
      <c r="AM145" s="26">
        <f>IF(OR($A145="",AM$3=""),"",IF(AND($J145&lt;&gt;"",$K145&lt;&gt;"",$J145=$K145,$J145&gt;=AM$3,$J145&lt;=IF(param_mode_affichage="mois",EOMONTH(AM$3,0),AM$3+6)),"◆",""))</f>
      </c>
      <c r="AN145" s="26">
        <f>IF(OR($A145="",AN$3=""),"",IF(AND($J145&lt;&gt;"",$K145&lt;&gt;"",$J145=$K145,$J145&gt;=AN$3,$J145&lt;=IF(param_mode_affichage="mois",EOMONTH(AN$3,0),AN$3+6)),"◆",""))</f>
      </c>
      <c r="AO145" s="26">
        <f>IF(OR($A145="",AO$3=""),"",IF(AND($J145&lt;&gt;"",$K145&lt;&gt;"",$J145=$K145,$J145&gt;=AO$3,$J145&lt;=IF(param_mode_affichage="mois",EOMONTH(AO$3,0),AO$3+6)),"◆",""))</f>
      </c>
      <c r="AP145" s="26">
        <f>IF(OR($A145="",AP$3=""),"",IF(AND($J145&lt;&gt;"",$K145&lt;&gt;"",$J145=$K145,$J145&gt;=AP$3,$J145&lt;=IF(param_mode_affichage="mois",EOMONTH(AP$3,0),AP$3+6)),"◆",""))</f>
      </c>
      <c r="AQ145" s="26">
        <f>IF(OR($A145="",AQ$3=""),"",IF(AND($J145&lt;&gt;"",$K145&lt;&gt;"",$J145=$K145,$J145&gt;=AQ$3,$J145&lt;=IF(param_mode_affichage="mois",EOMONTH(AQ$3,0),AQ$3+6)),"◆",""))</f>
      </c>
      <c r="AR145" s="26">
        <f>IF(OR($A145="",AR$3=""),"",IF(AND($J145&lt;&gt;"",$K145&lt;&gt;"",$J145=$K145,$J145&gt;=AR$3,$J145&lt;=IF(param_mode_affichage="mois",EOMONTH(AR$3,0),AR$3+6)),"◆",""))</f>
      </c>
      <c r="AS145" s="26">
        <f>IF(OR($A145="",AS$3=""),"",IF(AND($J145&lt;&gt;"",$K145&lt;&gt;"",$J145=$K145,$J145&gt;=AS$3,$J145&lt;=IF(param_mode_affichage="mois",EOMONTH(AS$3,0),AS$3+6)),"◆",""))</f>
      </c>
      <c r="AT145" s="26">
        <f>IF(OR($A145="",AT$3=""),"",IF(AND($J145&lt;&gt;"",$K145&lt;&gt;"",$J145=$K145,$J145&gt;=AT$3,$J145&lt;=IF(param_mode_affichage="mois",EOMONTH(AT$3,0),AT$3+6)),"◆",""))</f>
      </c>
      <c r="AU145" s="26">
        <f>IF(OR($A145="",AU$3=""),"",IF(AND($J145&lt;&gt;"",$K145&lt;&gt;"",$J145=$K145,$J145&gt;=AU$3,$J145&lt;=IF(param_mode_affichage="mois",EOMONTH(AU$3,0),AU$3+6)),"◆",""))</f>
      </c>
      <c r="AV145" s="26">
        <f>IF(OR($A145="",AV$3=""),"",IF(AND($J145&lt;&gt;"",$K145&lt;&gt;"",$J145=$K145,$J145&gt;=AV$3,$J145&lt;=IF(param_mode_affichage="mois",EOMONTH(AV$3,0),AV$3+6)),"◆",""))</f>
      </c>
      <c r="AW145" s="26">
        <f>IF(OR($A145="",AW$3=""),"",IF(AND($J145&lt;&gt;"",$K145&lt;&gt;"",$J145=$K145,$J145&gt;=AW$3,$J145&lt;=IF(param_mode_affichage="mois",EOMONTH(AW$3,0),AW$3+6)),"◆",""))</f>
      </c>
      <c r="AX145" s="26">
        <f>IF(OR($A145="",AX$3=""),"",IF(AND($J145&lt;&gt;"",$K145&lt;&gt;"",$J145=$K145,$J145&gt;=AX$3,$J145&lt;=IF(param_mode_affichage="mois",EOMONTH(AX$3,0),AX$3+6)),"◆",""))</f>
      </c>
      <c r="AY145" s="26">
        <f>IF(OR($A145="",AY$3=""),"",IF(AND($J145&lt;&gt;"",$K145&lt;&gt;"",$J145=$K145,$J145&gt;=AY$3,$J145&lt;=IF(param_mode_affichage="mois",EOMONTH(AY$3,0),AY$3+6)),"◆",""))</f>
      </c>
      <c r="AZ145" s="26">
        <f>IF(OR($A145="",AZ$3=""),"",IF(AND($J145&lt;&gt;"",$K145&lt;&gt;"",$J145=$K145,$J145&gt;=AZ$3,$J145&lt;=IF(param_mode_affichage="mois",EOMONTH(AZ$3,0),AZ$3+6)),"◆",""))</f>
      </c>
      <c r="BA145" s="26">
        <f>IF(OR($A145="",BA$3=""),"",IF(AND($J145&lt;&gt;"",$K145&lt;&gt;"",$J145=$K145,$J145&gt;=BA$3,$J145&lt;=IF(param_mode_affichage="mois",EOMONTH(BA$3,0),BA$3+6)),"◆",""))</f>
      </c>
      <c r="BB145" s="26">
        <f>IF(OR($A145="",BB$3=""),"",IF(AND($J145&lt;&gt;"",$K145&lt;&gt;"",$J145=$K145,$J145&gt;=BB$3,$J145&lt;=IF(param_mode_affichage="mois",EOMONTH(BB$3,0),BB$3+6)),"◆",""))</f>
      </c>
      <c r="BC145" s="26">
        <f>IF(OR($A145="",BC$3=""),"",IF(AND($J145&lt;&gt;"",$K145&lt;&gt;"",$J145=$K145,$J145&gt;=BC$3,$J145&lt;=IF(param_mode_affichage="mois",EOMONTH(BC$3,0),BC$3+6)),"◆",""))</f>
      </c>
      <c r="BD145" s="26">
        <f>IF(OR($A145="",BD$3=""),"",IF(AND($J145&lt;&gt;"",$K145&lt;&gt;"",$J145=$K145,$J145&gt;=BD$3,$J145&lt;=IF(param_mode_affichage="mois",EOMONTH(BD$3,0),BD$3+6)),"◆",""))</f>
      </c>
      <c r="BE145" s="26">
        <f>IF(OR($A145="",BE$3=""),"",IF(AND($J145&lt;&gt;"",$K145&lt;&gt;"",$J145=$K145,$J145&gt;=BE$3,$J145&lt;=IF(param_mode_affichage="mois",EOMONTH(BE$3,0),BE$3+6)),"◆",""))</f>
      </c>
      <c r="BF145" s="26">
        <f>IF(OR($A145="",BF$3=""),"",IF(AND($J145&lt;&gt;"",$K145&lt;&gt;"",$J145=$K145,$J145&gt;=BF$3,$J145&lt;=IF(param_mode_affichage="mois",EOMONTH(BF$3,0),BF$3+6)),"◆",""))</f>
      </c>
      <c r="BG145" s="26">
        <f>IF(OR($A145="",BG$3=""),"",IF(AND($J145&lt;&gt;"",$K145&lt;&gt;"",$J145=$K145,$J145&gt;=BG$3,$J145&lt;=IF(param_mode_affichage="mois",EOMONTH(BG$3,0),BG$3+6)),"◆",""))</f>
      </c>
      <c r="BH145" s="26">
        <f>IF(OR($A145="",BH$3=""),"",IF(AND($J145&lt;&gt;"",$K145&lt;&gt;"",$J145=$K145,$J145&gt;=BH$3,$J145&lt;=IF(param_mode_affichage="mois",EOMONTH(BH$3,0),BH$3+6)),"◆",""))</f>
      </c>
      <c r="BI145" s="26">
        <f>IF(OR($A145="",BI$3=""),"",IF(AND($J145&lt;&gt;"",$K145&lt;&gt;"",$J145=$K145,$J145&gt;=BI$3,$J145&lt;=IF(param_mode_affichage="mois",EOMONTH(BI$3,0),BI$3+6)),"◆",""))</f>
      </c>
      <c r="BJ145" s="26">
        <f>IF(OR($A145="",BJ$3=""),"",IF(AND($J145&lt;&gt;"",$K145&lt;&gt;"",$J145=$K145,$J145&gt;=BJ$3,$J145&lt;=IF(param_mode_affichage="mois",EOMONTH(BJ$3,0),BJ$3+6)),"◆",""))</f>
      </c>
      <c r="BK145" s="26">
        <f>IF(OR($A145="",BK$3=""),"",IF(AND($J145&lt;&gt;"",$K145&lt;&gt;"",$J145=$K145,$J145&gt;=BK$3,$J145&lt;=IF(param_mode_affichage="mois",EOMONTH(BK$3,0),BK$3+6)),"◆",""))</f>
      </c>
      <c r="BL145" s="26">
        <f>IF(OR($A145="",BL$3=""),"",IF(AND($J145&lt;&gt;"",$K145&lt;&gt;"",$J145=$K145,$J145&gt;=BL$3,$J145&lt;=IF(param_mode_affichage="mois",EOMONTH(BL$3,0),BL$3+6)),"◆",""))</f>
      </c>
    </row>
    <row r="146" spans="1:64" x14ac:dyDescent="0.25">
      <c r="A146" s="23">
        <f>IFERROR(INDEX(tblTasks[ID],ROW()-4),"")</f>
      </c>
      <c r="B146" s="24">
        <f>IF($A146="","",INDEX(tblTasks[Sujet],ROW()-4))</f>
      </c>
      <c r="C146" s="23">
        <f>IF($A146="","",INDEX(tblTasks[Responsable],ROW()-4))</f>
      </c>
      <c r="D146" s="23">
        <f>IF($A146="","",INDEX(tblTasks[Statut],ROW()-4))</f>
      </c>
      <c r="E146" s="23">
        <f>IF($A146="","",INDEX(tblTasks[Depend_de],ROW()-4))</f>
      </c>
      <c r="F146" s="23">
        <f>IF($A146="","",INDEX(tblTasks[Blocage],ROW()-4))</f>
      </c>
      <c r="G146" s="23">
        <f>IF($A146="","",INDEX(tblTasks[Niveau_criticite],ROW()-4))</f>
      </c>
      <c r="H146" s="23">
        <f>IF($A146="","",INDEX(tblTasks[Goulot],ROW()-4))</f>
      </c>
      <c r="I146" s="23">
        <f>IF($A146="","",IF(LOWER($F146)="oui","non",IF($E146="","oui",IFERROR(IF(LOWER(INDEX(tblTasks[Statut],MATCH($E146,tblTasks[ID],0)))="clos","oui","non"),"non"))))</f>
      </c>
      <c r="J146" s="25">
        <f>IF($A146="","",INDEX(tblTasks[Date_debut_prevue],ROW()-4))</f>
      </c>
      <c r="K146" s="25">
        <f>IF($A146="","",INDEX(tblTasks[Date_fin_prevue],ROW()-4))</f>
      </c>
      <c r="L146" s="23">
        <f>IF($A146="","",INDEX(tblTasks[Irreversibilite],ROW()-4))</f>
      </c>
      <c r="M146" s="26">
        <f>IF(OR($A146="",M$3=""),"",IF(AND($J146&lt;&gt;"",$K146&lt;&gt;"",$J146=$K146,$J146&gt;=M$3,$J146&lt;=IF(param_mode_affichage="mois",EOMONTH(M$3,0),M$3+6)),"◆",""))</f>
      </c>
      <c r="N146" s="26">
        <f>IF(OR($A146="",N$3=""),"",IF(AND($J146&lt;&gt;"",$K146&lt;&gt;"",$J146=$K146,$J146&gt;=N$3,$J146&lt;=IF(param_mode_affichage="mois",EOMONTH(N$3,0),N$3+6)),"◆",""))</f>
      </c>
      <c r="O146" s="26">
        <f>IF(OR($A146="",O$3=""),"",IF(AND($J146&lt;&gt;"",$K146&lt;&gt;"",$J146=$K146,$J146&gt;=O$3,$J146&lt;=IF(param_mode_affichage="mois",EOMONTH(O$3,0),O$3+6)),"◆",""))</f>
      </c>
      <c r="P146" s="26">
        <f>IF(OR($A146="",P$3=""),"",IF(AND($J146&lt;&gt;"",$K146&lt;&gt;"",$J146=$K146,$J146&gt;=P$3,$J146&lt;=IF(param_mode_affichage="mois",EOMONTH(P$3,0),P$3+6)),"◆",""))</f>
      </c>
      <c r="Q146" s="26">
        <f>IF(OR($A146="",Q$3=""),"",IF(AND($J146&lt;&gt;"",$K146&lt;&gt;"",$J146=$K146,$J146&gt;=Q$3,$J146&lt;=IF(param_mode_affichage="mois",EOMONTH(Q$3,0),Q$3+6)),"◆",""))</f>
      </c>
      <c r="R146" s="26">
        <f>IF(OR($A146="",R$3=""),"",IF(AND($J146&lt;&gt;"",$K146&lt;&gt;"",$J146=$K146,$J146&gt;=R$3,$J146&lt;=IF(param_mode_affichage="mois",EOMONTH(R$3,0),R$3+6)),"◆",""))</f>
      </c>
      <c r="S146" s="26">
        <f>IF(OR($A146="",S$3=""),"",IF(AND($J146&lt;&gt;"",$K146&lt;&gt;"",$J146=$K146,$J146&gt;=S$3,$J146&lt;=IF(param_mode_affichage="mois",EOMONTH(S$3,0),S$3+6)),"◆",""))</f>
      </c>
      <c r="T146" s="26">
        <f>IF(OR($A146="",T$3=""),"",IF(AND($J146&lt;&gt;"",$K146&lt;&gt;"",$J146=$K146,$J146&gt;=T$3,$J146&lt;=IF(param_mode_affichage="mois",EOMONTH(T$3,0),T$3+6)),"◆",""))</f>
      </c>
      <c r="U146" s="26">
        <f>IF(OR($A146="",U$3=""),"",IF(AND($J146&lt;&gt;"",$K146&lt;&gt;"",$J146=$K146,$J146&gt;=U$3,$J146&lt;=IF(param_mode_affichage="mois",EOMONTH(U$3,0),U$3+6)),"◆",""))</f>
      </c>
      <c r="V146" s="26">
        <f>IF(OR($A146="",V$3=""),"",IF(AND($J146&lt;&gt;"",$K146&lt;&gt;"",$J146=$K146,$J146&gt;=V$3,$J146&lt;=IF(param_mode_affichage="mois",EOMONTH(V$3,0),V$3+6)),"◆",""))</f>
      </c>
      <c r="W146" s="26">
        <f>IF(OR($A146="",W$3=""),"",IF(AND($J146&lt;&gt;"",$K146&lt;&gt;"",$J146=$K146,$J146&gt;=W$3,$J146&lt;=IF(param_mode_affichage="mois",EOMONTH(W$3,0),W$3+6)),"◆",""))</f>
      </c>
      <c r="X146" s="26">
        <f>IF(OR($A146="",X$3=""),"",IF(AND($J146&lt;&gt;"",$K146&lt;&gt;"",$J146=$K146,$J146&gt;=X$3,$J146&lt;=IF(param_mode_affichage="mois",EOMONTH(X$3,0),X$3+6)),"◆",""))</f>
      </c>
      <c r="Y146" s="26">
        <f>IF(OR($A146="",Y$3=""),"",IF(AND($J146&lt;&gt;"",$K146&lt;&gt;"",$J146=$K146,$J146&gt;=Y$3,$J146&lt;=IF(param_mode_affichage="mois",EOMONTH(Y$3,0),Y$3+6)),"◆",""))</f>
      </c>
      <c r="Z146" s="26">
        <f>IF(OR($A146="",Z$3=""),"",IF(AND($J146&lt;&gt;"",$K146&lt;&gt;"",$J146=$K146,$J146&gt;=Z$3,$J146&lt;=IF(param_mode_affichage="mois",EOMONTH(Z$3,0),Z$3+6)),"◆",""))</f>
      </c>
      <c r="AA146" s="26">
        <f>IF(OR($A146="",AA$3=""),"",IF(AND($J146&lt;&gt;"",$K146&lt;&gt;"",$J146=$K146,$J146&gt;=AA$3,$J146&lt;=IF(param_mode_affichage="mois",EOMONTH(AA$3,0),AA$3+6)),"◆",""))</f>
      </c>
      <c r="AB146" s="26">
        <f>IF(OR($A146="",AB$3=""),"",IF(AND($J146&lt;&gt;"",$K146&lt;&gt;"",$J146=$K146,$J146&gt;=AB$3,$J146&lt;=IF(param_mode_affichage="mois",EOMONTH(AB$3,0),AB$3+6)),"◆",""))</f>
      </c>
      <c r="AC146" s="26">
        <f>IF(OR($A146="",AC$3=""),"",IF(AND($J146&lt;&gt;"",$K146&lt;&gt;"",$J146=$K146,$J146&gt;=AC$3,$J146&lt;=IF(param_mode_affichage="mois",EOMONTH(AC$3,0),AC$3+6)),"◆",""))</f>
      </c>
      <c r="AD146" s="26">
        <f>IF(OR($A146="",AD$3=""),"",IF(AND($J146&lt;&gt;"",$K146&lt;&gt;"",$J146=$K146,$J146&gt;=AD$3,$J146&lt;=IF(param_mode_affichage="mois",EOMONTH(AD$3,0),AD$3+6)),"◆",""))</f>
      </c>
      <c r="AE146" s="26">
        <f>IF(OR($A146="",AE$3=""),"",IF(AND($J146&lt;&gt;"",$K146&lt;&gt;"",$J146=$K146,$J146&gt;=AE$3,$J146&lt;=IF(param_mode_affichage="mois",EOMONTH(AE$3,0),AE$3+6)),"◆",""))</f>
      </c>
      <c r="AF146" s="26">
        <f>IF(OR($A146="",AF$3=""),"",IF(AND($J146&lt;&gt;"",$K146&lt;&gt;"",$J146=$K146,$J146&gt;=AF$3,$J146&lt;=IF(param_mode_affichage="mois",EOMONTH(AF$3,0),AF$3+6)),"◆",""))</f>
      </c>
      <c r="AG146" s="26">
        <f>IF(OR($A146="",AG$3=""),"",IF(AND($J146&lt;&gt;"",$K146&lt;&gt;"",$J146=$K146,$J146&gt;=AG$3,$J146&lt;=IF(param_mode_affichage="mois",EOMONTH(AG$3,0),AG$3+6)),"◆",""))</f>
      </c>
      <c r="AH146" s="26">
        <f>IF(OR($A146="",AH$3=""),"",IF(AND($J146&lt;&gt;"",$K146&lt;&gt;"",$J146=$K146,$J146&gt;=AH$3,$J146&lt;=IF(param_mode_affichage="mois",EOMONTH(AH$3,0),AH$3+6)),"◆",""))</f>
      </c>
      <c r="AI146" s="26">
        <f>IF(OR($A146="",AI$3=""),"",IF(AND($J146&lt;&gt;"",$K146&lt;&gt;"",$J146=$K146,$J146&gt;=AI$3,$J146&lt;=IF(param_mode_affichage="mois",EOMONTH(AI$3,0),AI$3+6)),"◆",""))</f>
      </c>
      <c r="AJ146" s="26">
        <f>IF(OR($A146="",AJ$3=""),"",IF(AND($J146&lt;&gt;"",$K146&lt;&gt;"",$J146=$K146,$J146&gt;=AJ$3,$J146&lt;=IF(param_mode_affichage="mois",EOMONTH(AJ$3,0),AJ$3+6)),"◆",""))</f>
      </c>
      <c r="AK146" s="26">
        <f>IF(OR($A146="",AK$3=""),"",IF(AND($J146&lt;&gt;"",$K146&lt;&gt;"",$J146=$K146,$J146&gt;=AK$3,$J146&lt;=IF(param_mode_affichage="mois",EOMONTH(AK$3,0),AK$3+6)),"◆",""))</f>
      </c>
      <c r="AL146" s="26">
        <f>IF(OR($A146="",AL$3=""),"",IF(AND($J146&lt;&gt;"",$K146&lt;&gt;"",$J146=$K146,$J146&gt;=AL$3,$J146&lt;=IF(param_mode_affichage="mois",EOMONTH(AL$3,0),AL$3+6)),"◆",""))</f>
      </c>
      <c r="AM146" s="26">
        <f>IF(OR($A146="",AM$3=""),"",IF(AND($J146&lt;&gt;"",$K146&lt;&gt;"",$J146=$K146,$J146&gt;=AM$3,$J146&lt;=IF(param_mode_affichage="mois",EOMONTH(AM$3,0),AM$3+6)),"◆",""))</f>
      </c>
      <c r="AN146" s="26">
        <f>IF(OR($A146="",AN$3=""),"",IF(AND($J146&lt;&gt;"",$K146&lt;&gt;"",$J146=$K146,$J146&gt;=AN$3,$J146&lt;=IF(param_mode_affichage="mois",EOMONTH(AN$3,0),AN$3+6)),"◆",""))</f>
      </c>
      <c r="AO146" s="26">
        <f>IF(OR($A146="",AO$3=""),"",IF(AND($J146&lt;&gt;"",$K146&lt;&gt;"",$J146=$K146,$J146&gt;=AO$3,$J146&lt;=IF(param_mode_affichage="mois",EOMONTH(AO$3,0),AO$3+6)),"◆",""))</f>
      </c>
      <c r="AP146" s="26">
        <f>IF(OR($A146="",AP$3=""),"",IF(AND($J146&lt;&gt;"",$K146&lt;&gt;"",$J146=$K146,$J146&gt;=AP$3,$J146&lt;=IF(param_mode_affichage="mois",EOMONTH(AP$3,0),AP$3+6)),"◆",""))</f>
      </c>
      <c r="AQ146" s="26">
        <f>IF(OR($A146="",AQ$3=""),"",IF(AND($J146&lt;&gt;"",$K146&lt;&gt;"",$J146=$K146,$J146&gt;=AQ$3,$J146&lt;=IF(param_mode_affichage="mois",EOMONTH(AQ$3,0),AQ$3+6)),"◆",""))</f>
      </c>
      <c r="AR146" s="26">
        <f>IF(OR($A146="",AR$3=""),"",IF(AND($J146&lt;&gt;"",$K146&lt;&gt;"",$J146=$K146,$J146&gt;=AR$3,$J146&lt;=IF(param_mode_affichage="mois",EOMONTH(AR$3,0),AR$3+6)),"◆",""))</f>
      </c>
      <c r="AS146" s="26">
        <f>IF(OR($A146="",AS$3=""),"",IF(AND($J146&lt;&gt;"",$K146&lt;&gt;"",$J146=$K146,$J146&gt;=AS$3,$J146&lt;=IF(param_mode_affichage="mois",EOMONTH(AS$3,0),AS$3+6)),"◆",""))</f>
      </c>
      <c r="AT146" s="26">
        <f>IF(OR($A146="",AT$3=""),"",IF(AND($J146&lt;&gt;"",$K146&lt;&gt;"",$J146=$K146,$J146&gt;=AT$3,$J146&lt;=IF(param_mode_affichage="mois",EOMONTH(AT$3,0),AT$3+6)),"◆",""))</f>
      </c>
      <c r="AU146" s="26">
        <f>IF(OR($A146="",AU$3=""),"",IF(AND($J146&lt;&gt;"",$K146&lt;&gt;"",$J146=$K146,$J146&gt;=AU$3,$J146&lt;=IF(param_mode_affichage="mois",EOMONTH(AU$3,0),AU$3+6)),"◆",""))</f>
      </c>
      <c r="AV146" s="26">
        <f>IF(OR($A146="",AV$3=""),"",IF(AND($J146&lt;&gt;"",$K146&lt;&gt;"",$J146=$K146,$J146&gt;=AV$3,$J146&lt;=IF(param_mode_affichage="mois",EOMONTH(AV$3,0),AV$3+6)),"◆",""))</f>
      </c>
      <c r="AW146" s="26">
        <f>IF(OR($A146="",AW$3=""),"",IF(AND($J146&lt;&gt;"",$K146&lt;&gt;"",$J146=$K146,$J146&gt;=AW$3,$J146&lt;=IF(param_mode_affichage="mois",EOMONTH(AW$3,0),AW$3+6)),"◆",""))</f>
      </c>
      <c r="AX146" s="26">
        <f>IF(OR($A146="",AX$3=""),"",IF(AND($J146&lt;&gt;"",$K146&lt;&gt;"",$J146=$K146,$J146&gt;=AX$3,$J146&lt;=IF(param_mode_affichage="mois",EOMONTH(AX$3,0),AX$3+6)),"◆",""))</f>
      </c>
      <c r="AY146" s="26">
        <f>IF(OR($A146="",AY$3=""),"",IF(AND($J146&lt;&gt;"",$K146&lt;&gt;"",$J146=$K146,$J146&gt;=AY$3,$J146&lt;=IF(param_mode_affichage="mois",EOMONTH(AY$3,0),AY$3+6)),"◆",""))</f>
      </c>
      <c r="AZ146" s="26">
        <f>IF(OR($A146="",AZ$3=""),"",IF(AND($J146&lt;&gt;"",$K146&lt;&gt;"",$J146=$K146,$J146&gt;=AZ$3,$J146&lt;=IF(param_mode_affichage="mois",EOMONTH(AZ$3,0),AZ$3+6)),"◆",""))</f>
      </c>
      <c r="BA146" s="26">
        <f>IF(OR($A146="",BA$3=""),"",IF(AND($J146&lt;&gt;"",$K146&lt;&gt;"",$J146=$K146,$J146&gt;=BA$3,$J146&lt;=IF(param_mode_affichage="mois",EOMONTH(BA$3,0),BA$3+6)),"◆",""))</f>
      </c>
      <c r="BB146" s="26">
        <f>IF(OR($A146="",BB$3=""),"",IF(AND($J146&lt;&gt;"",$K146&lt;&gt;"",$J146=$K146,$J146&gt;=BB$3,$J146&lt;=IF(param_mode_affichage="mois",EOMONTH(BB$3,0),BB$3+6)),"◆",""))</f>
      </c>
      <c r="BC146" s="26">
        <f>IF(OR($A146="",BC$3=""),"",IF(AND($J146&lt;&gt;"",$K146&lt;&gt;"",$J146=$K146,$J146&gt;=BC$3,$J146&lt;=IF(param_mode_affichage="mois",EOMONTH(BC$3,0),BC$3+6)),"◆",""))</f>
      </c>
      <c r="BD146" s="26">
        <f>IF(OR($A146="",BD$3=""),"",IF(AND($J146&lt;&gt;"",$K146&lt;&gt;"",$J146=$K146,$J146&gt;=BD$3,$J146&lt;=IF(param_mode_affichage="mois",EOMONTH(BD$3,0),BD$3+6)),"◆",""))</f>
      </c>
      <c r="BE146" s="26">
        <f>IF(OR($A146="",BE$3=""),"",IF(AND($J146&lt;&gt;"",$K146&lt;&gt;"",$J146=$K146,$J146&gt;=BE$3,$J146&lt;=IF(param_mode_affichage="mois",EOMONTH(BE$3,0),BE$3+6)),"◆",""))</f>
      </c>
      <c r="BF146" s="26">
        <f>IF(OR($A146="",BF$3=""),"",IF(AND($J146&lt;&gt;"",$K146&lt;&gt;"",$J146=$K146,$J146&gt;=BF$3,$J146&lt;=IF(param_mode_affichage="mois",EOMONTH(BF$3,0),BF$3+6)),"◆",""))</f>
      </c>
      <c r="BG146" s="26">
        <f>IF(OR($A146="",BG$3=""),"",IF(AND($J146&lt;&gt;"",$K146&lt;&gt;"",$J146=$K146,$J146&gt;=BG$3,$J146&lt;=IF(param_mode_affichage="mois",EOMONTH(BG$3,0),BG$3+6)),"◆",""))</f>
      </c>
      <c r="BH146" s="26">
        <f>IF(OR($A146="",BH$3=""),"",IF(AND($J146&lt;&gt;"",$K146&lt;&gt;"",$J146=$K146,$J146&gt;=BH$3,$J146&lt;=IF(param_mode_affichage="mois",EOMONTH(BH$3,0),BH$3+6)),"◆",""))</f>
      </c>
      <c r="BI146" s="26">
        <f>IF(OR($A146="",BI$3=""),"",IF(AND($J146&lt;&gt;"",$K146&lt;&gt;"",$J146=$K146,$J146&gt;=BI$3,$J146&lt;=IF(param_mode_affichage="mois",EOMONTH(BI$3,0),BI$3+6)),"◆",""))</f>
      </c>
      <c r="BJ146" s="26">
        <f>IF(OR($A146="",BJ$3=""),"",IF(AND($J146&lt;&gt;"",$K146&lt;&gt;"",$J146=$K146,$J146&gt;=BJ$3,$J146&lt;=IF(param_mode_affichage="mois",EOMONTH(BJ$3,0),BJ$3+6)),"◆",""))</f>
      </c>
      <c r="BK146" s="26">
        <f>IF(OR($A146="",BK$3=""),"",IF(AND($J146&lt;&gt;"",$K146&lt;&gt;"",$J146=$K146,$J146&gt;=BK$3,$J146&lt;=IF(param_mode_affichage="mois",EOMONTH(BK$3,0),BK$3+6)),"◆",""))</f>
      </c>
      <c r="BL146" s="26">
        <f>IF(OR($A146="",BL$3=""),"",IF(AND($J146&lt;&gt;"",$K146&lt;&gt;"",$J146=$K146,$J146&gt;=BL$3,$J146&lt;=IF(param_mode_affichage="mois",EOMONTH(BL$3,0),BL$3+6)),"◆",""))</f>
      </c>
    </row>
    <row r="147" spans="1:64" x14ac:dyDescent="0.25">
      <c r="A147" s="23">
        <f>IFERROR(INDEX(tblTasks[ID],ROW()-4),"")</f>
      </c>
      <c r="B147" s="24">
        <f>IF($A147="","",INDEX(tblTasks[Sujet],ROW()-4))</f>
      </c>
      <c r="C147" s="23">
        <f>IF($A147="","",INDEX(tblTasks[Responsable],ROW()-4))</f>
      </c>
      <c r="D147" s="23">
        <f>IF($A147="","",INDEX(tblTasks[Statut],ROW()-4))</f>
      </c>
      <c r="E147" s="23">
        <f>IF($A147="","",INDEX(tblTasks[Depend_de],ROW()-4))</f>
      </c>
      <c r="F147" s="23">
        <f>IF($A147="","",INDEX(tblTasks[Blocage],ROW()-4))</f>
      </c>
      <c r="G147" s="23">
        <f>IF($A147="","",INDEX(tblTasks[Niveau_criticite],ROW()-4))</f>
      </c>
      <c r="H147" s="23">
        <f>IF($A147="","",INDEX(tblTasks[Goulot],ROW()-4))</f>
      </c>
      <c r="I147" s="23">
        <f>IF($A147="","",IF(LOWER($F147)="oui","non",IF($E147="","oui",IFERROR(IF(LOWER(INDEX(tblTasks[Statut],MATCH($E147,tblTasks[ID],0)))="clos","oui","non"),"non"))))</f>
      </c>
      <c r="J147" s="25">
        <f>IF($A147="","",INDEX(tblTasks[Date_debut_prevue],ROW()-4))</f>
      </c>
      <c r="K147" s="25">
        <f>IF($A147="","",INDEX(tblTasks[Date_fin_prevue],ROW()-4))</f>
      </c>
      <c r="L147" s="23">
        <f>IF($A147="","",INDEX(tblTasks[Irreversibilite],ROW()-4))</f>
      </c>
      <c r="M147" s="26">
        <f>IF(OR($A147="",M$3=""),"",IF(AND($J147&lt;&gt;"",$K147&lt;&gt;"",$J147=$K147,$J147&gt;=M$3,$J147&lt;=IF(param_mode_affichage="mois",EOMONTH(M$3,0),M$3+6)),"◆",""))</f>
      </c>
      <c r="N147" s="26">
        <f>IF(OR($A147="",N$3=""),"",IF(AND($J147&lt;&gt;"",$K147&lt;&gt;"",$J147=$K147,$J147&gt;=N$3,$J147&lt;=IF(param_mode_affichage="mois",EOMONTH(N$3,0),N$3+6)),"◆",""))</f>
      </c>
      <c r="O147" s="26">
        <f>IF(OR($A147="",O$3=""),"",IF(AND($J147&lt;&gt;"",$K147&lt;&gt;"",$J147=$K147,$J147&gt;=O$3,$J147&lt;=IF(param_mode_affichage="mois",EOMONTH(O$3,0),O$3+6)),"◆",""))</f>
      </c>
      <c r="P147" s="26">
        <f>IF(OR($A147="",P$3=""),"",IF(AND($J147&lt;&gt;"",$K147&lt;&gt;"",$J147=$K147,$J147&gt;=P$3,$J147&lt;=IF(param_mode_affichage="mois",EOMONTH(P$3,0),P$3+6)),"◆",""))</f>
      </c>
      <c r="Q147" s="26">
        <f>IF(OR($A147="",Q$3=""),"",IF(AND($J147&lt;&gt;"",$K147&lt;&gt;"",$J147=$K147,$J147&gt;=Q$3,$J147&lt;=IF(param_mode_affichage="mois",EOMONTH(Q$3,0),Q$3+6)),"◆",""))</f>
      </c>
      <c r="R147" s="26">
        <f>IF(OR($A147="",R$3=""),"",IF(AND($J147&lt;&gt;"",$K147&lt;&gt;"",$J147=$K147,$J147&gt;=R$3,$J147&lt;=IF(param_mode_affichage="mois",EOMONTH(R$3,0),R$3+6)),"◆",""))</f>
      </c>
      <c r="S147" s="26">
        <f>IF(OR($A147="",S$3=""),"",IF(AND($J147&lt;&gt;"",$K147&lt;&gt;"",$J147=$K147,$J147&gt;=S$3,$J147&lt;=IF(param_mode_affichage="mois",EOMONTH(S$3,0),S$3+6)),"◆",""))</f>
      </c>
      <c r="T147" s="26">
        <f>IF(OR($A147="",T$3=""),"",IF(AND($J147&lt;&gt;"",$K147&lt;&gt;"",$J147=$K147,$J147&gt;=T$3,$J147&lt;=IF(param_mode_affichage="mois",EOMONTH(T$3,0),T$3+6)),"◆",""))</f>
      </c>
      <c r="U147" s="26">
        <f>IF(OR($A147="",U$3=""),"",IF(AND($J147&lt;&gt;"",$K147&lt;&gt;"",$J147=$K147,$J147&gt;=U$3,$J147&lt;=IF(param_mode_affichage="mois",EOMONTH(U$3,0),U$3+6)),"◆",""))</f>
      </c>
      <c r="V147" s="26">
        <f>IF(OR($A147="",V$3=""),"",IF(AND($J147&lt;&gt;"",$K147&lt;&gt;"",$J147=$K147,$J147&gt;=V$3,$J147&lt;=IF(param_mode_affichage="mois",EOMONTH(V$3,0),V$3+6)),"◆",""))</f>
      </c>
      <c r="W147" s="26">
        <f>IF(OR($A147="",W$3=""),"",IF(AND($J147&lt;&gt;"",$K147&lt;&gt;"",$J147=$K147,$J147&gt;=W$3,$J147&lt;=IF(param_mode_affichage="mois",EOMONTH(W$3,0),W$3+6)),"◆",""))</f>
      </c>
      <c r="X147" s="26">
        <f>IF(OR($A147="",X$3=""),"",IF(AND($J147&lt;&gt;"",$K147&lt;&gt;"",$J147=$K147,$J147&gt;=X$3,$J147&lt;=IF(param_mode_affichage="mois",EOMONTH(X$3,0),X$3+6)),"◆",""))</f>
      </c>
      <c r="Y147" s="26">
        <f>IF(OR($A147="",Y$3=""),"",IF(AND($J147&lt;&gt;"",$K147&lt;&gt;"",$J147=$K147,$J147&gt;=Y$3,$J147&lt;=IF(param_mode_affichage="mois",EOMONTH(Y$3,0),Y$3+6)),"◆",""))</f>
      </c>
      <c r="Z147" s="26">
        <f>IF(OR($A147="",Z$3=""),"",IF(AND($J147&lt;&gt;"",$K147&lt;&gt;"",$J147=$K147,$J147&gt;=Z$3,$J147&lt;=IF(param_mode_affichage="mois",EOMONTH(Z$3,0),Z$3+6)),"◆",""))</f>
      </c>
      <c r="AA147" s="26">
        <f>IF(OR($A147="",AA$3=""),"",IF(AND($J147&lt;&gt;"",$K147&lt;&gt;"",$J147=$K147,$J147&gt;=AA$3,$J147&lt;=IF(param_mode_affichage="mois",EOMONTH(AA$3,0),AA$3+6)),"◆",""))</f>
      </c>
      <c r="AB147" s="26">
        <f>IF(OR($A147="",AB$3=""),"",IF(AND($J147&lt;&gt;"",$K147&lt;&gt;"",$J147=$K147,$J147&gt;=AB$3,$J147&lt;=IF(param_mode_affichage="mois",EOMONTH(AB$3,0),AB$3+6)),"◆",""))</f>
      </c>
      <c r="AC147" s="26">
        <f>IF(OR($A147="",AC$3=""),"",IF(AND($J147&lt;&gt;"",$K147&lt;&gt;"",$J147=$K147,$J147&gt;=AC$3,$J147&lt;=IF(param_mode_affichage="mois",EOMONTH(AC$3,0),AC$3+6)),"◆",""))</f>
      </c>
      <c r="AD147" s="26">
        <f>IF(OR($A147="",AD$3=""),"",IF(AND($J147&lt;&gt;"",$K147&lt;&gt;"",$J147=$K147,$J147&gt;=AD$3,$J147&lt;=IF(param_mode_affichage="mois",EOMONTH(AD$3,0),AD$3+6)),"◆",""))</f>
      </c>
      <c r="AE147" s="26">
        <f>IF(OR($A147="",AE$3=""),"",IF(AND($J147&lt;&gt;"",$K147&lt;&gt;"",$J147=$K147,$J147&gt;=AE$3,$J147&lt;=IF(param_mode_affichage="mois",EOMONTH(AE$3,0),AE$3+6)),"◆",""))</f>
      </c>
      <c r="AF147" s="26">
        <f>IF(OR($A147="",AF$3=""),"",IF(AND($J147&lt;&gt;"",$K147&lt;&gt;"",$J147=$K147,$J147&gt;=AF$3,$J147&lt;=IF(param_mode_affichage="mois",EOMONTH(AF$3,0),AF$3+6)),"◆",""))</f>
      </c>
      <c r="AG147" s="26">
        <f>IF(OR($A147="",AG$3=""),"",IF(AND($J147&lt;&gt;"",$K147&lt;&gt;"",$J147=$K147,$J147&gt;=AG$3,$J147&lt;=IF(param_mode_affichage="mois",EOMONTH(AG$3,0),AG$3+6)),"◆",""))</f>
      </c>
      <c r="AH147" s="26">
        <f>IF(OR($A147="",AH$3=""),"",IF(AND($J147&lt;&gt;"",$K147&lt;&gt;"",$J147=$K147,$J147&gt;=AH$3,$J147&lt;=IF(param_mode_affichage="mois",EOMONTH(AH$3,0),AH$3+6)),"◆",""))</f>
      </c>
      <c r="AI147" s="26">
        <f>IF(OR($A147="",AI$3=""),"",IF(AND($J147&lt;&gt;"",$K147&lt;&gt;"",$J147=$K147,$J147&gt;=AI$3,$J147&lt;=IF(param_mode_affichage="mois",EOMONTH(AI$3,0),AI$3+6)),"◆",""))</f>
      </c>
      <c r="AJ147" s="26">
        <f>IF(OR($A147="",AJ$3=""),"",IF(AND($J147&lt;&gt;"",$K147&lt;&gt;"",$J147=$K147,$J147&gt;=AJ$3,$J147&lt;=IF(param_mode_affichage="mois",EOMONTH(AJ$3,0),AJ$3+6)),"◆",""))</f>
      </c>
      <c r="AK147" s="26">
        <f>IF(OR($A147="",AK$3=""),"",IF(AND($J147&lt;&gt;"",$K147&lt;&gt;"",$J147=$K147,$J147&gt;=AK$3,$J147&lt;=IF(param_mode_affichage="mois",EOMONTH(AK$3,0),AK$3+6)),"◆",""))</f>
      </c>
      <c r="AL147" s="26">
        <f>IF(OR($A147="",AL$3=""),"",IF(AND($J147&lt;&gt;"",$K147&lt;&gt;"",$J147=$K147,$J147&gt;=AL$3,$J147&lt;=IF(param_mode_affichage="mois",EOMONTH(AL$3,0),AL$3+6)),"◆",""))</f>
      </c>
      <c r="AM147" s="26">
        <f>IF(OR($A147="",AM$3=""),"",IF(AND($J147&lt;&gt;"",$K147&lt;&gt;"",$J147=$K147,$J147&gt;=AM$3,$J147&lt;=IF(param_mode_affichage="mois",EOMONTH(AM$3,0),AM$3+6)),"◆",""))</f>
      </c>
      <c r="AN147" s="26">
        <f>IF(OR($A147="",AN$3=""),"",IF(AND($J147&lt;&gt;"",$K147&lt;&gt;"",$J147=$K147,$J147&gt;=AN$3,$J147&lt;=IF(param_mode_affichage="mois",EOMONTH(AN$3,0),AN$3+6)),"◆",""))</f>
      </c>
      <c r="AO147" s="26">
        <f>IF(OR($A147="",AO$3=""),"",IF(AND($J147&lt;&gt;"",$K147&lt;&gt;"",$J147=$K147,$J147&gt;=AO$3,$J147&lt;=IF(param_mode_affichage="mois",EOMONTH(AO$3,0),AO$3+6)),"◆",""))</f>
      </c>
      <c r="AP147" s="26">
        <f>IF(OR($A147="",AP$3=""),"",IF(AND($J147&lt;&gt;"",$K147&lt;&gt;"",$J147=$K147,$J147&gt;=AP$3,$J147&lt;=IF(param_mode_affichage="mois",EOMONTH(AP$3,0),AP$3+6)),"◆",""))</f>
      </c>
      <c r="AQ147" s="26">
        <f>IF(OR($A147="",AQ$3=""),"",IF(AND($J147&lt;&gt;"",$K147&lt;&gt;"",$J147=$K147,$J147&gt;=AQ$3,$J147&lt;=IF(param_mode_affichage="mois",EOMONTH(AQ$3,0),AQ$3+6)),"◆",""))</f>
      </c>
      <c r="AR147" s="26">
        <f>IF(OR($A147="",AR$3=""),"",IF(AND($J147&lt;&gt;"",$K147&lt;&gt;"",$J147=$K147,$J147&gt;=AR$3,$J147&lt;=IF(param_mode_affichage="mois",EOMONTH(AR$3,0),AR$3+6)),"◆",""))</f>
      </c>
      <c r="AS147" s="26">
        <f>IF(OR($A147="",AS$3=""),"",IF(AND($J147&lt;&gt;"",$K147&lt;&gt;"",$J147=$K147,$J147&gt;=AS$3,$J147&lt;=IF(param_mode_affichage="mois",EOMONTH(AS$3,0),AS$3+6)),"◆",""))</f>
      </c>
      <c r="AT147" s="26">
        <f>IF(OR($A147="",AT$3=""),"",IF(AND($J147&lt;&gt;"",$K147&lt;&gt;"",$J147=$K147,$J147&gt;=AT$3,$J147&lt;=IF(param_mode_affichage="mois",EOMONTH(AT$3,0),AT$3+6)),"◆",""))</f>
      </c>
      <c r="AU147" s="26">
        <f>IF(OR($A147="",AU$3=""),"",IF(AND($J147&lt;&gt;"",$K147&lt;&gt;"",$J147=$K147,$J147&gt;=AU$3,$J147&lt;=IF(param_mode_affichage="mois",EOMONTH(AU$3,0),AU$3+6)),"◆",""))</f>
      </c>
      <c r="AV147" s="26">
        <f>IF(OR($A147="",AV$3=""),"",IF(AND($J147&lt;&gt;"",$K147&lt;&gt;"",$J147=$K147,$J147&gt;=AV$3,$J147&lt;=IF(param_mode_affichage="mois",EOMONTH(AV$3,0),AV$3+6)),"◆",""))</f>
      </c>
      <c r="AW147" s="26">
        <f>IF(OR($A147="",AW$3=""),"",IF(AND($J147&lt;&gt;"",$K147&lt;&gt;"",$J147=$K147,$J147&gt;=AW$3,$J147&lt;=IF(param_mode_affichage="mois",EOMONTH(AW$3,0),AW$3+6)),"◆",""))</f>
      </c>
      <c r="AX147" s="26">
        <f>IF(OR($A147="",AX$3=""),"",IF(AND($J147&lt;&gt;"",$K147&lt;&gt;"",$J147=$K147,$J147&gt;=AX$3,$J147&lt;=IF(param_mode_affichage="mois",EOMONTH(AX$3,0),AX$3+6)),"◆",""))</f>
      </c>
      <c r="AY147" s="26">
        <f>IF(OR($A147="",AY$3=""),"",IF(AND($J147&lt;&gt;"",$K147&lt;&gt;"",$J147=$K147,$J147&gt;=AY$3,$J147&lt;=IF(param_mode_affichage="mois",EOMONTH(AY$3,0),AY$3+6)),"◆",""))</f>
      </c>
      <c r="AZ147" s="26">
        <f>IF(OR($A147="",AZ$3=""),"",IF(AND($J147&lt;&gt;"",$K147&lt;&gt;"",$J147=$K147,$J147&gt;=AZ$3,$J147&lt;=IF(param_mode_affichage="mois",EOMONTH(AZ$3,0),AZ$3+6)),"◆",""))</f>
      </c>
      <c r="BA147" s="26">
        <f>IF(OR($A147="",BA$3=""),"",IF(AND($J147&lt;&gt;"",$K147&lt;&gt;"",$J147=$K147,$J147&gt;=BA$3,$J147&lt;=IF(param_mode_affichage="mois",EOMONTH(BA$3,0),BA$3+6)),"◆",""))</f>
      </c>
      <c r="BB147" s="26">
        <f>IF(OR($A147="",BB$3=""),"",IF(AND($J147&lt;&gt;"",$K147&lt;&gt;"",$J147=$K147,$J147&gt;=BB$3,$J147&lt;=IF(param_mode_affichage="mois",EOMONTH(BB$3,0),BB$3+6)),"◆",""))</f>
      </c>
      <c r="BC147" s="26">
        <f>IF(OR($A147="",BC$3=""),"",IF(AND($J147&lt;&gt;"",$K147&lt;&gt;"",$J147=$K147,$J147&gt;=BC$3,$J147&lt;=IF(param_mode_affichage="mois",EOMONTH(BC$3,0),BC$3+6)),"◆",""))</f>
      </c>
      <c r="BD147" s="26">
        <f>IF(OR($A147="",BD$3=""),"",IF(AND($J147&lt;&gt;"",$K147&lt;&gt;"",$J147=$K147,$J147&gt;=BD$3,$J147&lt;=IF(param_mode_affichage="mois",EOMONTH(BD$3,0),BD$3+6)),"◆",""))</f>
      </c>
      <c r="BE147" s="26">
        <f>IF(OR($A147="",BE$3=""),"",IF(AND($J147&lt;&gt;"",$K147&lt;&gt;"",$J147=$K147,$J147&gt;=BE$3,$J147&lt;=IF(param_mode_affichage="mois",EOMONTH(BE$3,0),BE$3+6)),"◆",""))</f>
      </c>
      <c r="BF147" s="26">
        <f>IF(OR($A147="",BF$3=""),"",IF(AND($J147&lt;&gt;"",$K147&lt;&gt;"",$J147=$K147,$J147&gt;=BF$3,$J147&lt;=IF(param_mode_affichage="mois",EOMONTH(BF$3,0),BF$3+6)),"◆",""))</f>
      </c>
      <c r="BG147" s="26">
        <f>IF(OR($A147="",BG$3=""),"",IF(AND($J147&lt;&gt;"",$K147&lt;&gt;"",$J147=$K147,$J147&gt;=BG$3,$J147&lt;=IF(param_mode_affichage="mois",EOMONTH(BG$3,0),BG$3+6)),"◆",""))</f>
      </c>
      <c r="BH147" s="26">
        <f>IF(OR($A147="",BH$3=""),"",IF(AND($J147&lt;&gt;"",$K147&lt;&gt;"",$J147=$K147,$J147&gt;=BH$3,$J147&lt;=IF(param_mode_affichage="mois",EOMONTH(BH$3,0),BH$3+6)),"◆",""))</f>
      </c>
      <c r="BI147" s="26">
        <f>IF(OR($A147="",BI$3=""),"",IF(AND($J147&lt;&gt;"",$K147&lt;&gt;"",$J147=$K147,$J147&gt;=BI$3,$J147&lt;=IF(param_mode_affichage="mois",EOMONTH(BI$3,0),BI$3+6)),"◆",""))</f>
      </c>
      <c r="BJ147" s="26">
        <f>IF(OR($A147="",BJ$3=""),"",IF(AND($J147&lt;&gt;"",$K147&lt;&gt;"",$J147=$K147,$J147&gt;=BJ$3,$J147&lt;=IF(param_mode_affichage="mois",EOMONTH(BJ$3,0),BJ$3+6)),"◆",""))</f>
      </c>
      <c r="BK147" s="26">
        <f>IF(OR($A147="",BK$3=""),"",IF(AND($J147&lt;&gt;"",$K147&lt;&gt;"",$J147=$K147,$J147&gt;=BK$3,$J147&lt;=IF(param_mode_affichage="mois",EOMONTH(BK$3,0),BK$3+6)),"◆",""))</f>
      </c>
      <c r="BL147" s="26">
        <f>IF(OR($A147="",BL$3=""),"",IF(AND($J147&lt;&gt;"",$K147&lt;&gt;"",$J147=$K147,$J147&gt;=BL$3,$J147&lt;=IF(param_mode_affichage="mois",EOMONTH(BL$3,0),BL$3+6)),"◆",""))</f>
      </c>
    </row>
    <row r="148" spans="1:64" x14ac:dyDescent="0.25">
      <c r="A148" s="23">
        <f>IFERROR(INDEX(tblTasks[ID],ROW()-4),"")</f>
      </c>
      <c r="B148" s="24">
        <f>IF($A148="","",INDEX(tblTasks[Sujet],ROW()-4))</f>
      </c>
      <c r="C148" s="23">
        <f>IF($A148="","",INDEX(tblTasks[Responsable],ROW()-4))</f>
      </c>
      <c r="D148" s="23">
        <f>IF($A148="","",INDEX(tblTasks[Statut],ROW()-4))</f>
      </c>
      <c r="E148" s="23">
        <f>IF($A148="","",INDEX(tblTasks[Depend_de],ROW()-4))</f>
      </c>
      <c r="F148" s="23">
        <f>IF($A148="","",INDEX(tblTasks[Blocage],ROW()-4))</f>
      </c>
      <c r="G148" s="23">
        <f>IF($A148="","",INDEX(tblTasks[Niveau_criticite],ROW()-4))</f>
      </c>
      <c r="H148" s="23">
        <f>IF($A148="","",INDEX(tblTasks[Goulot],ROW()-4))</f>
      </c>
      <c r="I148" s="23">
        <f>IF($A148="","",IF(LOWER($F148)="oui","non",IF($E148="","oui",IFERROR(IF(LOWER(INDEX(tblTasks[Statut],MATCH($E148,tblTasks[ID],0)))="clos","oui","non"),"non"))))</f>
      </c>
      <c r="J148" s="25">
        <f>IF($A148="","",INDEX(tblTasks[Date_debut_prevue],ROW()-4))</f>
      </c>
      <c r="K148" s="25">
        <f>IF($A148="","",INDEX(tblTasks[Date_fin_prevue],ROW()-4))</f>
      </c>
      <c r="L148" s="23">
        <f>IF($A148="","",INDEX(tblTasks[Irreversibilite],ROW()-4))</f>
      </c>
      <c r="M148" s="26">
        <f>IF(OR($A148="",M$3=""),"",IF(AND($J148&lt;&gt;"",$K148&lt;&gt;"",$J148=$K148,$J148&gt;=M$3,$J148&lt;=IF(param_mode_affichage="mois",EOMONTH(M$3,0),M$3+6)),"◆",""))</f>
      </c>
      <c r="N148" s="26">
        <f>IF(OR($A148="",N$3=""),"",IF(AND($J148&lt;&gt;"",$K148&lt;&gt;"",$J148=$K148,$J148&gt;=N$3,$J148&lt;=IF(param_mode_affichage="mois",EOMONTH(N$3,0),N$3+6)),"◆",""))</f>
      </c>
      <c r="O148" s="26">
        <f>IF(OR($A148="",O$3=""),"",IF(AND($J148&lt;&gt;"",$K148&lt;&gt;"",$J148=$K148,$J148&gt;=O$3,$J148&lt;=IF(param_mode_affichage="mois",EOMONTH(O$3,0),O$3+6)),"◆",""))</f>
      </c>
      <c r="P148" s="26">
        <f>IF(OR($A148="",P$3=""),"",IF(AND($J148&lt;&gt;"",$K148&lt;&gt;"",$J148=$K148,$J148&gt;=P$3,$J148&lt;=IF(param_mode_affichage="mois",EOMONTH(P$3,0),P$3+6)),"◆",""))</f>
      </c>
      <c r="Q148" s="26">
        <f>IF(OR($A148="",Q$3=""),"",IF(AND($J148&lt;&gt;"",$K148&lt;&gt;"",$J148=$K148,$J148&gt;=Q$3,$J148&lt;=IF(param_mode_affichage="mois",EOMONTH(Q$3,0),Q$3+6)),"◆",""))</f>
      </c>
      <c r="R148" s="26">
        <f>IF(OR($A148="",R$3=""),"",IF(AND($J148&lt;&gt;"",$K148&lt;&gt;"",$J148=$K148,$J148&gt;=R$3,$J148&lt;=IF(param_mode_affichage="mois",EOMONTH(R$3,0),R$3+6)),"◆",""))</f>
      </c>
      <c r="S148" s="26">
        <f>IF(OR($A148="",S$3=""),"",IF(AND($J148&lt;&gt;"",$K148&lt;&gt;"",$J148=$K148,$J148&gt;=S$3,$J148&lt;=IF(param_mode_affichage="mois",EOMONTH(S$3,0),S$3+6)),"◆",""))</f>
      </c>
      <c r="T148" s="26">
        <f>IF(OR($A148="",T$3=""),"",IF(AND($J148&lt;&gt;"",$K148&lt;&gt;"",$J148=$K148,$J148&gt;=T$3,$J148&lt;=IF(param_mode_affichage="mois",EOMONTH(T$3,0),T$3+6)),"◆",""))</f>
      </c>
      <c r="U148" s="26">
        <f>IF(OR($A148="",U$3=""),"",IF(AND($J148&lt;&gt;"",$K148&lt;&gt;"",$J148=$K148,$J148&gt;=U$3,$J148&lt;=IF(param_mode_affichage="mois",EOMONTH(U$3,0),U$3+6)),"◆",""))</f>
      </c>
      <c r="V148" s="26">
        <f>IF(OR($A148="",V$3=""),"",IF(AND($J148&lt;&gt;"",$K148&lt;&gt;"",$J148=$K148,$J148&gt;=V$3,$J148&lt;=IF(param_mode_affichage="mois",EOMONTH(V$3,0),V$3+6)),"◆",""))</f>
      </c>
      <c r="W148" s="26">
        <f>IF(OR($A148="",W$3=""),"",IF(AND($J148&lt;&gt;"",$K148&lt;&gt;"",$J148=$K148,$J148&gt;=W$3,$J148&lt;=IF(param_mode_affichage="mois",EOMONTH(W$3,0),W$3+6)),"◆",""))</f>
      </c>
      <c r="X148" s="26">
        <f>IF(OR($A148="",X$3=""),"",IF(AND($J148&lt;&gt;"",$K148&lt;&gt;"",$J148=$K148,$J148&gt;=X$3,$J148&lt;=IF(param_mode_affichage="mois",EOMONTH(X$3,0),X$3+6)),"◆",""))</f>
      </c>
      <c r="Y148" s="26">
        <f>IF(OR($A148="",Y$3=""),"",IF(AND($J148&lt;&gt;"",$K148&lt;&gt;"",$J148=$K148,$J148&gt;=Y$3,$J148&lt;=IF(param_mode_affichage="mois",EOMONTH(Y$3,0),Y$3+6)),"◆",""))</f>
      </c>
      <c r="Z148" s="26">
        <f>IF(OR($A148="",Z$3=""),"",IF(AND($J148&lt;&gt;"",$K148&lt;&gt;"",$J148=$K148,$J148&gt;=Z$3,$J148&lt;=IF(param_mode_affichage="mois",EOMONTH(Z$3,0),Z$3+6)),"◆",""))</f>
      </c>
      <c r="AA148" s="26">
        <f>IF(OR($A148="",AA$3=""),"",IF(AND($J148&lt;&gt;"",$K148&lt;&gt;"",$J148=$K148,$J148&gt;=AA$3,$J148&lt;=IF(param_mode_affichage="mois",EOMONTH(AA$3,0),AA$3+6)),"◆",""))</f>
      </c>
      <c r="AB148" s="26">
        <f>IF(OR($A148="",AB$3=""),"",IF(AND($J148&lt;&gt;"",$K148&lt;&gt;"",$J148=$K148,$J148&gt;=AB$3,$J148&lt;=IF(param_mode_affichage="mois",EOMONTH(AB$3,0),AB$3+6)),"◆",""))</f>
      </c>
      <c r="AC148" s="26">
        <f>IF(OR($A148="",AC$3=""),"",IF(AND($J148&lt;&gt;"",$K148&lt;&gt;"",$J148=$K148,$J148&gt;=AC$3,$J148&lt;=IF(param_mode_affichage="mois",EOMONTH(AC$3,0),AC$3+6)),"◆",""))</f>
      </c>
      <c r="AD148" s="26">
        <f>IF(OR($A148="",AD$3=""),"",IF(AND($J148&lt;&gt;"",$K148&lt;&gt;"",$J148=$K148,$J148&gt;=AD$3,$J148&lt;=IF(param_mode_affichage="mois",EOMONTH(AD$3,0),AD$3+6)),"◆",""))</f>
      </c>
      <c r="AE148" s="26">
        <f>IF(OR($A148="",AE$3=""),"",IF(AND($J148&lt;&gt;"",$K148&lt;&gt;"",$J148=$K148,$J148&gt;=AE$3,$J148&lt;=IF(param_mode_affichage="mois",EOMONTH(AE$3,0),AE$3+6)),"◆",""))</f>
      </c>
      <c r="AF148" s="26">
        <f>IF(OR($A148="",AF$3=""),"",IF(AND($J148&lt;&gt;"",$K148&lt;&gt;"",$J148=$K148,$J148&gt;=AF$3,$J148&lt;=IF(param_mode_affichage="mois",EOMONTH(AF$3,0),AF$3+6)),"◆",""))</f>
      </c>
      <c r="AG148" s="26">
        <f>IF(OR($A148="",AG$3=""),"",IF(AND($J148&lt;&gt;"",$K148&lt;&gt;"",$J148=$K148,$J148&gt;=AG$3,$J148&lt;=IF(param_mode_affichage="mois",EOMONTH(AG$3,0),AG$3+6)),"◆",""))</f>
      </c>
      <c r="AH148" s="26">
        <f>IF(OR($A148="",AH$3=""),"",IF(AND($J148&lt;&gt;"",$K148&lt;&gt;"",$J148=$K148,$J148&gt;=AH$3,$J148&lt;=IF(param_mode_affichage="mois",EOMONTH(AH$3,0),AH$3+6)),"◆",""))</f>
      </c>
      <c r="AI148" s="26">
        <f>IF(OR($A148="",AI$3=""),"",IF(AND($J148&lt;&gt;"",$K148&lt;&gt;"",$J148=$K148,$J148&gt;=AI$3,$J148&lt;=IF(param_mode_affichage="mois",EOMONTH(AI$3,0),AI$3+6)),"◆",""))</f>
      </c>
      <c r="AJ148" s="26">
        <f>IF(OR($A148="",AJ$3=""),"",IF(AND($J148&lt;&gt;"",$K148&lt;&gt;"",$J148=$K148,$J148&gt;=AJ$3,$J148&lt;=IF(param_mode_affichage="mois",EOMONTH(AJ$3,0),AJ$3+6)),"◆",""))</f>
      </c>
      <c r="AK148" s="26">
        <f>IF(OR($A148="",AK$3=""),"",IF(AND($J148&lt;&gt;"",$K148&lt;&gt;"",$J148=$K148,$J148&gt;=AK$3,$J148&lt;=IF(param_mode_affichage="mois",EOMONTH(AK$3,0),AK$3+6)),"◆",""))</f>
      </c>
      <c r="AL148" s="26">
        <f>IF(OR($A148="",AL$3=""),"",IF(AND($J148&lt;&gt;"",$K148&lt;&gt;"",$J148=$K148,$J148&gt;=AL$3,$J148&lt;=IF(param_mode_affichage="mois",EOMONTH(AL$3,0),AL$3+6)),"◆",""))</f>
      </c>
      <c r="AM148" s="26">
        <f>IF(OR($A148="",AM$3=""),"",IF(AND($J148&lt;&gt;"",$K148&lt;&gt;"",$J148=$K148,$J148&gt;=AM$3,$J148&lt;=IF(param_mode_affichage="mois",EOMONTH(AM$3,0),AM$3+6)),"◆",""))</f>
      </c>
      <c r="AN148" s="26">
        <f>IF(OR($A148="",AN$3=""),"",IF(AND($J148&lt;&gt;"",$K148&lt;&gt;"",$J148=$K148,$J148&gt;=AN$3,$J148&lt;=IF(param_mode_affichage="mois",EOMONTH(AN$3,0),AN$3+6)),"◆",""))</f>
      </c>
      <c r="AO148" s="26">
        <f>IF(OR($A148="",AO$3=""),"",IF(AND($J148&lt;&gt;"",$K148&lt;&gt;"",$J148=$K148,$J148&gt;=AO$3,$J148&lt;=IF(param_mode_affichage="mois",EOMONTH(AO$3,0),AO$3+6)),"◆",""))</f>
      </c>
      <c r="AP148" s="26">
        <f>IF(OR($A148="",AP$3=""),"",IF(AND($J148&lt;&gt;"",$K148&lt;&gt;"",$J148=$K148,$J148&gt;=AP$3,$J148&lt;=IF(param_mode_affichage="mois",EOMONTH(AP$3,0),AP$3+6)),"◆",""))</f>
      </c>
      <c r="AQ148" s="26">
        <f>IF(OR($A148="",AQ$3=""),"",IF(AND($J148&lt;&gt;"",$K148&lt;&gt;"",$J148=$K148,$J148&gt;=AQ$3,$J148&lt;=IF(param_mode_affichage="mois",EOMONTH(AQ$3,0),AQ$3+6)),"◆",""))</f>
      </c>
      <c r="AR148" s="26">
        <f>IF(OR($A148="",AR$3=""),"",IF(AND($J148&lt;&gt;"",$K148&lt;&gt;"",$J148=$K148,$J148&gt;=AR$3,$J148&lt;=IF(param_mode_affichage="mois",EOMONTH(AR$3,0),AR$3+6)),"◆",""))</f>
      </c>
      <c r="AS148" s="26">
        <f>IF(OR($A148="",AS$3=""),"",IF(AND($J148&lt;&gt;"",$K148&lt;&gt;"",$J148=$K148,$J148&gt;=AS$3,$J148&lt;=IF(param_mode_affichage="mois",EOMONTH(AS$3,0),AS$3+6)),"◆",""))</f>
      </c>
      <c r="AT148" s="26">
        <f>IF(OR($A148="",AT$3=""),"",IF(AND($J148&lt;&gt;"",$K148&lt;&gt;"",$J148=$K148,$J148&gt;=AT$3,$J148&lt;=IF(param_mode_affichage="mois",EOMONTH(AT$3,0),AT$3+6)),"◆",""))</f>
      </c>
      <c r="AU148" s="26">
        <f>IF(OR($A148="",AU$3=""),"",IF(AND($J148&lt;&gt;"",$K148&lt;&gt;"",$J148=$K148,$J148&gt;=AU$3,$J148&lt;=IF(param_mode_affichage="mois",EOMONTH(AU$3,0),AU$3+6)),"◆",""))</f>
      </c>
      <c r="AV148" s="26">
        <f>IF(OR($A148="",AV$3=""),"",IF(AND($J148&lt;&gt;"",$K148&lt;&gt;"",$J148=$K148,$J148&gt;=AV$3,$J148&lt;=IF(param_mode_affichage="mois",EOMONTH(AV$3,0),AV$3+6)),"◆",""))</f>
      </c>
      <c r="AW148" s="26">
        <f>IF(OR($A148="",AW$3=""),"",IF(AND($J148&lt;&gt;"",$K148&lt;&gt;"",$J148=$K148,$J148&gt;=AW$3,$J148&lt;=IF(param_mode_affichage="mois",EOMONTH(AW$3,0),AW$3+6)),"◆",""))</f>
      </c>
      <c r="AX148" s="26">
        <f>IF(OR($A148="",AX$3=""),"",IF(AND($J148&lt;&gt;"",$K148&lt;&gt;"",$J148=$K148,$J148&gt;=AX$3,$J148&lt;=IF(param_mode_affichage="mois",EOMONTH(AX$3,0),AX$3+6)),"◆",""))</f>
      </c>
      <c r="AY148" s="26">
        <f>IF(OR($A148="",AY$3=""),"",IF(AND($J148&lt;&gt;"",$K148&lt;&gt;"",$J148=$K148,$J148&gt;=AY$3,$J148&lt;=IF(param_mode_affichage="mois",EOMONTH(AY$3,0),AY$3+6)),"◆",""))</f>
      </c>
      <c r="AZ148" s="26">
        <f>IF(OR($A148="",AZ$3=""),"",IF(AND($J148&lt;&gt;"",$K148&lt;&gt;"",$J148=$K148,$J148&gt;=AZ$3,$J148&lt;=IF(param_mode_affichage="mois",EOMONTH(AZ$3,0),AZ$3+6)),"◆",""))</f>
      </c>
      <c r="BA148" s="26">
        <f>IF(OR($A148="",BA$3=""),"",IF(AND($J148&lt;&gt;"",$K148&lt;&gt;"",$J148=$K148,$J148&gt;=BA$3,$J148&lt;=IF(param_mode_affichage="mois",EOMONTH(BA$3,0),BA$3+6)),"◆",""))</f>
      </c>
      <c r="BB148" s="26">
        <f>IF(OR($A148="",BB$3=""),"",IF(AND($J148&lt;&gt;"",$K148&lt;&gt;"",$J148=$K148,$J148&gt;=BB$3,$J148&lt;=IF(param_mode_affichage="mois",EOMONTH(BB$3,0),BB$3+6)),"◆",""))</f>
      </c>
      <c r="BC148" s="26">
        <f>IF(OR($A148="",BC$3=""),"",IF(AND($J148&lt;&gt;"",$K148&lt;&gt;"",$J148=$K148,$J148&gt;=BC$3,$J148&lt;=IF(param_mode_affichage="mois",EOMONTH(BC$3,0),BC$3+6)),"◆",""))</f>
      </c>
      <c r="BD148" s="26">
        <f>IF(OR($A148="",BD$3=""),"",IF(AND($J148&lt;&gt;"",$K148&lt;&gt;"",$J148=$K148,$J148&gt;=BD$3,$J148&lt;=IF(param_mode_affichage="mois",EOMONTH(BD$3,0),BD$3+6)),"◆",""))</f>
      </c>
      <c r="BE148" s="26">
        <f>IF(OR($A148="",BE$3=""),"",IF(AND($J148&lt;&gt;"",$K148&lt;&gt;"",$J148=$K148,$J148&gt;=BE$3,$J148&lt;=IF(param_mode_affichage="mois",EOMONTH(BE$3,0),BE$3+6)),"◆",""))</f>
      </c>
      <c r="BF148" s="26">
        <f>IF(OR($A148="",BF$3=""),"",IF(AND($J148&lt;&gt;"",$K148&lt;&gt;"",$J148=$K148,$J148&gt;=BF$3,$J148&lt;=IF(param_mode_affichage="mois",EOMONTH(BF$3,0),BF$3+6)),"◆",""))</f>
      </c>
      <c r="BG148" s="26">
        <f>IF(OR($A148="",BG$3=""),"",IF(AND($J148&lt;&gt;"",$K148&lt;&gt;"",$J148=$K148,$J148&gt;=BG$3,$J148&lt;=IF(param_mode_affichage="mois",EOMONTH(BG$3,0),BG$3+6)),"◆",""))</f>
      </c>
      <c r="BH148" s="26">
        <f>IF(OR($A148="",BH$3=""),"",IF(AND($J148&lt;&gt;"",$K148&lt;&gt;"",$J148=$K148,$J148&gt;=BH$3,$J148&lt;=IF(param_mode_affichage="mois",EOMONTH(BH$3,0),BH$3+6)),"◆",""))</f>
      </c>
      <c r="BI148" s="26">
        <f>IF(OR($A148="",BI$3=""),"",IF(AND($J148&lt;&gt;"",$K148&lt;&gt;"",$J148=$K148,$J148&gt;=BI$3,$J148&lt;=IF(param_mode_affichage="mois",EOMONTH(BI$3,0),BI$3+6)),"◆",""))</f>
      </c>
      <c r="BJ148" s="26">
        <f>IF(OR($A148="",BJ$3=""),"",IF(AND($J148&lt;&gt;"",$K148&lt;&gt;"",$J148=$K148,$J148&gt;=BJ$3,$J148&lt;=IF(param_mode_affichage="mois",EOMONTH(BJ$3,0),BJ$3+6)),"◆",""))</f>
      </c>
      <c r="BK148" s="26">
        <f>IF(OR($A148="",BK$3=""),"",IF(AND($J148&lt;&gt;"",$K148&lt;&gt;"",$J148=$K148,$J148&gt;=BK$3,$J148&lt;=IF(param_mode_affichage="mois",EOMONTH(BK$3,0),BK$3+6)),"◆",""))</f>
      </c>
      <c r="BL148" s="26">
        <f>IF(OR($A148="",BL$3=""),"",IF(AND($J148&lt;&gt;"",$K148&lt;&gt;"",$J148=$K148,$J148&gt;=BL$3,$J148&lt;=IF(param_mode_affichage="mois",EOMONTH(BL$3,0),BL$3+6)),"◆",""))</f>
      </c>
    </row>
    <row r="149" spans="1:64" x14ac:dyDescent="0.25">
      <c r="A149" s="23">
        <f>IFERROR(INDEX(tblTasks[ID],ROW()-4),"")</f>
      </c>
      <c r="B149" s="24">
        <f>IF($A149="","",INDEX(tblTasks[Sujet],ROW()-4))</f>
      </c>
      <c r="C149" s="23">
        <f>IF($A149="","",INDEX(tblTasks[Responsable],ROW()-4))</f>
      </c>
      <c r="D149" s="23">
        <f>IF($A149="","",INDEX(tblTasks[Statut],ROW()-4))</f>
      </c>
      <c r="E149" s="23">
        <f>IF($A149="","",INDEX(tblTasks[Depend_de],ROW()-4))</f>
      </c>
      <c r="F149" s="23">
        <f>IF($A149="","",INDEX(tblTasks[Blocage],ROW()-4))</f>
      </c>
      <c r="G149" s="23">
        <f>IF($A149="","",INDEX(tblTasks[Niveau_criticite],ROW()-4))</f>
      </c>
      <c r="H149" s="23">
        <f>IF($A149="","",INDEX(tblTasks[Goulot],ROW()-4))</f>
      </c>
      <c r="I149" s="23">
        <f>IF($A149="","",IF(LOWER($F149)="oui","non",IF($E149="","oui",IFERROR(IF(LOWER(INDEX(tblTasks[Statut],MATCH($E149,tblTasks[ID],0)))="clos","oui","non"),"non"))))</f>
      </c>
      <c r="J149" s="25">
        <f>IF($A149="","",INDEX(tblTasks[Date_debut_prevue],ROW()-4))</f>
      </c>
      <c r="K149" s="25">
        <f>IF($A149="","",INDEX(tblTasks[Date_fin_prevue],ROW()-4))</f>
      </c>
      <c r="L149" s="23">
        <f>IF($A149="","",INDEX(tblTasks[Irreversibilite],ROW()-4))</f>
      </c>
      <c r="M149" s="26">
        <f>IF(OR($A149="",M$3=""),"",IF(AND($J149&lt;&gt;"",$K149&lt;&gt;"",$J149=$K149,$J149&gt;=M$3,$J149&lt;=IF(param_mode_affichage="mois",EOMONTH(M$3,0),M$3+6)),"◆",""))</f>
      </c>
      <c r="N149" s="26">
        <f>IF(OR($A149="",N$3=""),"",IF(AND($J149&lt;&gt;"",$K149&lt;&gt;"",$J149=$K149,$J149&gt;=N$3,$J149&lt;=IF(param_mode_affichage="mois",EOMONTH(N$3,0),N$3+6)),"◆",""))</f>
      </c>
      <c r="O149" s="26">
        <f>IF(OR($A149="",O$3=""),"",IF(AND($J149&lt;&gt;"",$K149&lt;&gt;"",$J149=$K149,$J149&gt;=O$3,$J149&lt;=IF(param_mode_affichage="mois",EOMONTH(O$3,0),O$3+6)),"◆",""))</f>
      </c>
      <c r="P149" s="26">
        <f>IF(OR($A149="",P$3=""),"",IF(AND($J149&lt;&gt;"",$K149&lt;&gt;"",$J149=$K149,$J149&gt;=P$3,$J149&lt;=IF(param_mode_affichage="mois",EOMONTH(P$3,0),P$3+6)),"◆",""))</f>
      </c>
      <c r="Q149" s="26">
        <f>IF(OR($A149="",Q$3=""),"",IF(AND($J149&lt;&gt;"",$K149&lt;&gt;"",$J149=$K149,$J149&gt;=Q$3,$J149&lt;=IF(param_mode_affichage="mois",EOMONTH(Q$3,0),Q$3+6)),"◆",""))</f>
      </c>
      <c r="R149" s="26">
        <f>IF(OR($A149="",R$3=""),"",IF(AND($J149&lt;&gt;"",$K149&lt;&gt;"",$J149=$K149,$J149&gt;=R$3,$J149&lt;=IF(param_mode_affichage="mois",EOMONTH(R$3,0),R$3+6)),"◆",""))</f>
      </c>
      <c r="S149" s="26">
        <f>IF(OR($A149="",S$3=""),"",IF(AND($J149&lt;&gt;"",$K149&lt;&gt;"",$J149=$K149,$J149&gt;=S$3,$J149&lt;=IF(param_mode_affichage="mois",EOMONTH(S$3,0),S$3+6)),"◆",""))</f>
      </c>
      <c r="T149" s="26">
        <f>IF(OR($A149="",T$3=""),"",IF(AND($J149&lt;&gt;"",$K149&lt;&gt;"",$J149=$K149,$J149&gt;=T$3,$J149&lt;=IF(param_mode_affichage="mois",EOMONTH(T$3,0),T$3+6)),"◆",""))</f>
      </c>
      <c r="U149" s="26">
        <f>IF(OR($A149="",U$3=""),"",IF(AND($J149&lt;&gt;"",$K149&lt;&gt;"",$J149=$K149,$J149&gt;=U$3,$J149&lt;=IF(param_mode_affichage="mois",EOMONTH(U$3,0),U$3+6)),"◆",""))</f>
      </c>
      <c r="V149" s="26">
        <f>IF(OR($A149="",V$3=""),"",IF(AND($J149&lt;&gt;"",$K149&lt;&gt;"",$J149=$K149,$J149&gt;=V$3,$J149&lt;=IF(param_mode_affichage="mois",EOMONTH(V$3,0),V$3+6)),"◆",""))</f>
      </c>
      <c r="W149" s="26">
        <f>IF(OR($A149="",W$3=""),"",IF(AND($J149&lt;&gt;"",$K149&lt;&gt;"",$J149=$K149,$J149&gt;=W$3,$J149&lt;=IF(param_mode_affichage="mois",EOMONTH(W$3,0),W$3+6)),"◆",""))</f>
      </c>
      <c r="X149" s="26">
        <f>IF(OR($A149="",X$3=""),"",IF(AND($J149&lt;&gt;"",$K149&lt;&gt;"",$J149=$K149,$J149&gt;=X$3,$J149&lt;=IF(param_mode_affichage="mois",EOMONTH(X$3,0),X$3+6)),"◆",""))</f>
      </c>
      <c r="Y149" s="26">
        <f>IF(OR($A149="",Y$3=""),"",IF(AND($J149&lt;&gt;"",$K149&lt;&gt;"",$J149=$K149,$J149&gt;=Y$3,$J149&lt;=IF(param_mode_affichage="mois",EOMONTH(Y$3,0),Y$3+6)),"◆",""))</f>
      </c>
      <c r="Z149" s="26">
        <f>IF(OR($A149="",Z$3=""),"",IF(AND($J149&lt;&gt;"",$K149&lt;&gt;"",$J149=$K149,$J149&gt;=Z$3,$J149&lt;=IF(param_mode_affichage="mois",EOMONTH(Z$3,0),Z$3+6)),"◆",""))</f>
      </c>
      <c r="AA149" s="26">
        <f>IF(OR($A149="",AA$3=""),"",IF(AND($J149&lt;&gt;"",$K149&lt;&gt;"",$J149=$K149,$J149&gt;=AA$3,$J149&lt;=IF(param_mode_affichage="mois",EOMONTH(AA$3,0),AA$3+6)),"◆",""))</f>
      </c>
      <c r="AB149" s="26">
        <f>IF(OR($A149="",AB$3=""),"",IF(AND($J149&lt;&gt;"",$K149&lt;&gt;"",$J149=$K149,$J149&gt;=AB$3,$J149&lt;=IF(param_mode_affichage="mois",EOMONTH(AB$3,0),AB$3+6)),"◆",""))</f>
      </c>
      <c r="AC149" s="26">
        <f>IF(OR($A149="",AC$3=""),"",IF(AND($J149&lt;&gt;"",$K149&lt;&gt;"",$J149=$K149,$J149&gt;=AC$3,$J149&lt;=IF(param_mode_affichage="mois",EOMONTH(AC$3,0),AC$3+6)),"◆",""))</f>
      </c>
      <c r="AD149" s="26">
        <f>IF(OR($A149="",AD$3=""),"",IF(AND($J149&lt;&gt;"",$K149&lt;&gt;"",$J149=$K149,$J149&gt;=AD$3,$J149&lt;=IF(param_mode_affichage="mois",EOMONTH(AD$3,0),AD$3+6)),"◆",""))</f>
      </c>
      <c r="AE149" s="26">
        <f>IF(OR($A149="",AE$3=""),"",IF(AND($J149&lt;&gt;"",$K149&lt;&gt;"",$J149=$K149,$J149&gt;=AE$3,$J149&lt;=IF(param_mode_affichage="mois",EOMONTH(AE$3,0),AE$3+6)),"◆",""))</f>
      </c>
      <c r="AF149" s="26">
        <f>IF(OR($A149="",AF$3=""),"",IF(AND($J149&lt;&gt;"",$K149&lt;&gt;"",$J149=$K149,$J149&gt;=AF$3,$J149&lt;=IF(param_mode_affichage="mois",EOMONTH(AF$3,0),AF$3+6)),"◆",""))</f>
      </c>
      <c r="AG149" s="26">
        <f>IF(OR($A149="",AG$3=""),"",IF(AND($J149&lt;&gt;"",$K149&lt;&gt;"",$J149=$K149,$J149&gt;=AG$3,$J149&lt;=IF(param_mode_affichage="mois",EOMONTH(AG$3,0),AG$3+6)),"◆",""))</f>
      </c>
      <c r="AH149" s="26">
        <f>IF(OR($A149="",AH$3=""),"",IF(AND($J149&lt;&gt;"",$K149&lt;&gt;"",$J149=$K149,$J149&gt;=AH$3,$J149&lt;=IF(param_mode_affichage="mois",EOMONTH(AH$3,0),AH$3+6)),"◆",""))</f>
      </c>
      <c r="AI149" s="26">
        <f>IF(OR($A149="",AI$3=""),"",IF(AND($J149&lt;&gt;"",$K149&lt;&gt;"",$J149=$K149,$J149&gt;=AI$3,$J149&lt;=IF(param_mode_affichage="mois",EOMONTH(AI$3,0),AI$3+6)),"◆",""))</f>
      </c>
      <c r="AJ149" s="26">
        <f>IF(OR($A149="",AJ$3=""),"",IF(AND($J149&lt;&gt;"",$K149&lt;&gt;"",$J149=$K149,$J149&gt;=AJ$3,$J149&lt;=IF(param_mode_affichage="mois",EOMONTH(AJ$3,0),AJ$3+6)),"◆",""))</f>
      </c>
      <c r="AK149" s="26">
        <f>IF(OR($A149="",AK$3=""),"",IF(AND($J149&lt;&gt;"",$K149&lt;&gt;"",$J149=$K149,$J149&gt;=AK$3,$J149&lt;=IF(param_mode_affichage="mois",EOMONTH(AK$3,0),AK$3+6)),"◆",""))</f>
      </c>
      <c r="AL149" s="26">
        <f>IF(OR($A149="",AL$3=""),"",IF(AND($J149&lt;&gt;"",$K149&lt;&gt;"",$J149=$K149,$J149&gt;=AL$3,$J149&lt;=IF(param_mode_affichage="mois",EOMONTH(AL$3,0),AL$3+6)),"◆",""))</f>
      </c>
      <c r="AM149" s="26">
        <f>IF(OR($A149="",AM$3=""),"",IF(AND($J149&lt;&gt;"",$K149&lt;&gt;"",$J149=$K149,$J149&gt;=AM$3,$J149&lt;=IF(param_mode_affichage="mois",EOMONTH(AM$3,0),AM$3+6)),"◆",""))</f>
      </c>
      <c r="AN149" s="26">
        <f>IF(OR($A149="",AN$3=""),"",IF(AND($J149&lt;&gt;"",$K149&lt;&gt;"",$J149=$K149,$J149&gt;=AN$3,$J149&lt;=IF(param_mode_affichage="mois",EOMONTH(AN$3,0),AN$3+6)),"◆",""))</f>
      </c>
      <c r="AO149" s="26">
        <f>IF(OR($A149="",AO$3=""),"",IF(AND($J149&lt;&gt;"",$K149&lt;&gt;"",$J149=$K149,$J149&gt;=AO$3,$J149&lt;=IF(param_mode_affichage="mois",EOMONTH(AO$3,0),AO$3+6)),"◆",""))</f>
      </c>
      <c r="AP149" s="26">
        <f>IF(OR($A149="",AP$3=""),"",IF(AND($J149&lt;&gt;"",$K149&lt;&gt;"",$J149=$K149,$J149&gt;=AP$3,$J149&lt;=IF(param_mode_affichage="mois",EOMONTH(AP$3,0),AP$3+6)),"◆",""))</f>
      </c>
      <c r="AQ149" s="26">
        <f>IF(OR($A149="",AQ$3=""),"",IF(AND($J149&lt;&gt;"",$K149&lt;&gt;"",$J149=$K149,$J149&gt;=AQ$3,$J149&lt;=IF(param_mode_affichage="mois",EOMONTH(AQ$3,0),AQ$3+6)),"◆",""))</f>
      </c>
      <c r="AR149" s="26">
        <f>IF(OR($A149="",AR$3=""),"",IF(AND($J149&lt;&gt;"",$K149&lt;&gt;"",$J149=$K149,$J149&gt;=AR$3,$J149&lt;=IF(param_mode_affichage="mois",EOMONTH(AR$3,0),AR$3+6)),"◆",""))</f>
      </c>
      <c r="AS149" s="26">
        <f>IF(OR($A149="",AS$3=""),"",IF(AND($J149&lt;&gt;"",$K149&lt;&gt;"",$J149=$K149,$J149&gt;=AS$3,$J149&lt;=IF(param_mode_affichage="mois",EOMONTH(AS$3,0),AS$3+6)),"◆",""))</f>
      </c>
      <c r="AT149" s="26">
        <f>IF(OR($A149="",AT$3=""),"",IF(AND($J149&lt;&gt;"",$K149&lt;&gt;"",$J149=$K149,$J149&gt;=AT$3,$J149&lt;=IF(param_mode_affichage="mois",EOMONTH(AT$3,0),AT$3+6)),"◆",""))</f>
      </c>
      <c r="AU149" s="26">
        <f>IF(OR($A149="",AU$3=""),"",IF(AND($J149&lt;&gt;"",$K149&lt;&gt;"",$J149=$K149,$J149&gt;=AU$3,$J149&lt;=IF(param_mode_affichage="mois",EOMONTH(AU$3,0),AU$3+6)),"◆",""))</f>
      </c>
      <c r="AV149" s="26">
        <f>IF(OR($A149="",AV$3=""),"",IF(AND($J149&lt;&gt;"",$K149&lt;&gt;"",$J149=$K149,$J149&gt;=AV$3,$J149&lt;=IF(param_mode_affichage="mois",EOMONTH(AV$3,0),AV$3+6)),"◆",""))</f>
      </c>
      <c r="AW149" s="26">
        <f>IF(OR($A149="",AW$3=""),"",IF(AND($J149&lt;&gt;"",$K149&lt;&gt;"",$J149=$K149,$J149&gt;=AW$3,$J149&lt;=IF(param_mode_affichage="mois",EOMONTH(AW$3,0),AW$3+6)),"◆",""))</f>
      </c>
      <c r="AX149" s="26">
        <f>IF(OR($A149="",AX$3=""),"",IF(AND($J149&lt;&gt;"",$K149&lt;&gt;"",$J149=$K149,$J149&gt;=AX$3,$J149&lt;=IF(param_mode_affichage="mois",EOMONTH(AX$3,0),AX$3+6)),"◆",""))</f>
      </c>
      <c r="AY149" s="26">
        <f>IF(OR($A149="",AY$3=""),"",IF(AND($J149&lt;&gt;"",$K149&lt;&gt;"",$J149=$K149,$J149&gt;=AY$3,$J149&lt;=IF(param_mode_affichage="mois",EOMONTH(AY$3,0),AY$3+6)),"◆",""))</f>
      </c>
      <c r="AZ149" s="26">
        <f>IF(OR($A149="",AZ$3=""),"",IF(AND($J149&lt;&gt;"",$K149&lt;&gt;"",$J149=$K149,$J149&gt;=AZ$3,$J149&lt;=IF(param_mode_affichage="mois",EOMONTH(AZ$3,0),AZ$3+6)),"◆",""))</f>
      </c>
      <c r="BA149" s="26">
        <f>IF(OR($A149="",BA$3=""),"",IF(AND($J149&lt;&gt;"",$K149&lt;&gt;"",$J149=$K149,$J149&gt;=BA$3,$J149&lt;=IF(param_mode_affichage="mois",EOMONTH(BA$3,0),BA$3+6)),"◆",""))</f>
      </c>
      <c r="BB149" s="26">
        <f>IF(OR($A149="",BB$3=""),"",IF(AND($J149&lt;&gt;"",$K149&lt;&gt;"",$J149=$K149,$J149&gt;=BB$3,$J149&lt;=IF(param_mode_affichage="mois",EOMONTH(BB$3,0),BB$3+6)),"◆",""))</f>
      </c>
      <c r="BC149" s="26">
        <f>IF(OR($A149="",BC$3=""),"",IF(AND($J149&lt;&gt;"",$K149&lt;&gt;"",$J149=$K149,$J149&gt;=BC$3,$J149&lt;=IF(param_mode_affichage="mois",EOMONTH(BC$3,0),BC$3+6)),"◆",""))</f>
      </c>
      <c r="BD149" s="26">
        <f>IF(OR($A149="",BD$3=""),"",IF(AND($J149&lt;&gt;"",$K149&lt;&gt;"",$J149=$K149,$J149&gt;=BD$3,$J149&lt;=IF(param_mode_affichage="mois",EOMONTH(BD$3,0),BD$3+6)),"◆",""))</f>
      </c>
      <c r="BE149" s="26">
        <f>IF(OR($A149="",BE$3=""),"",IF(AND($J149&lt;&gt;"",$K149&lt;&gt;"",$J149=$K149,$J149&gt;=BE$3,$J149&lt;=IF(param_mode_affichage="mois",EOMONTH(BE$3,0),BE$3+6)),"◆",""))</f>
      </c>
      <c r="BF149" s="26">
        <f>IF(OR($A149="",BF$3=""),"",IF(AND($J149&lt;&gt;"",$K149&lt;&gt;"",$J149=$K149,$J149&gt;=BF$3,$J149&lt;=IF(param_mode_affichage="mois",EOMONTH(BF$3,0),BF$3+6)),"◆",""))</f>
      </c>
      <c r="BG149" s="26">
        <f>IF(OR($A149="",BG$3=""),"",IF(AND($J149&lt;&gt;"",$K149&lt;&gt;"",$J149=$K149,$J149&gt;=BG$3,$J149&lt;=IF(param_mode_affichage="mois",EOMONTH(BG$3,0),BG$3+6)),"◆",""))</f>
      </c>
      <c r="BH149" s="26">
        <f>IF(OR($A149="",BH$3=""),"",IF(AND($J149&lt;&gt;"",$K149&lt;&gt;"",$J149=$K149,$J149&gt;=BH$3,$J149&lt;=IF(param_mode_affichage="mois",EOMONTH(BH$3,0),BH$3+6)),"◆",""))</f>
      </c>
      <c r="BI149" s="26">
        <f>IF(OR($A149="",BI$3=""),"",IF(AND($J149&lt;&gt;"",$K149&lt;&gt;"",$J149=$K149,$J149&gt;=BI$3,$J149&lt;=IF(param_mode_affichage="mois",EOMONTH(BI$3,0),BI$3+6)),"◆",""))</f>
      </c>
      <c r="BJ149" s="26">
        <f>IF(OR($A149="",BJ$3=""),"",IF(AND($J149&lt;&gt;"",$K149&lt;&gt;"",$J149=$K149,$J149&gt;=BJ$3,$J149&lt;=IF(param_mode_affichage="mois",EOMONTH(BJ$3,0),BJ$3+6)),"◆",""))</f>
      </c>
      <c r="BK149" s="26">
        <f>IF(OR($A149="",BK$3=""),"",IF(AND($J149&lt;&gt;"",$K149&lt;&gt;"",$J149=$K149,$J149&gt;=BK$3,$J149&lt;=IF(param_mode_affichage="mois",EOMONTH(BK$3,0),BK$3+6)),"◆",""))</f>
      </c>
      <c r="BL149" s="26">
        <f>IF(OR($A149="",BL$3=""),"",IF(AND($J149&lt;&gt;"",$K149&lt;&gt;"",$J149=$K149,$J149&gt;=BL$3,$J149&lt;=IF(param_mode_affichage="mois",EOMONTH(BL$3,0),BL$3+6)),"◆",""))</f>
      </c>
    </row>
    <row r="150" spans="1:64" x14ac:dyDescent="0.25">
      <c r="A150" s="23">
        <f>IFERROR(INDEX(tblTasks[ID],ROW()-4),"")</f>
      </c>
      <c r="B150" s="24">
        <f>IF($A150="","",INDEX(tblTasks[Sujet],ROW()-4))</f>
      </c>
      <c r="C150" s="23">
        <f>IF($A150="","",INDEX(tblTasks[Responsable],ROW()-4))</f>
      </c>
      <c r="D150" s="23">
        <f>IF($A150="","",INDEX(tblTasks[Statut],ROW()-4))</f>
      </c>
      <c r="E150" s="23">
        <f>IF($A150="","",INDEX(tblTasks[Depend_de],ROW()-4))</f>
      </c>
      <c r="F150" s="23">
        <f>IF($A150="","",INDEX(tblTasks[Blocage],ROW()-4))</f>
      </c>
      <c r="G150" s="23">
        <f>IF($A150="","",INDEX(tblTasks[Niveau_criticite],ROW()-4))</f>
      </c>
      <c r="H150" s="23">
        <f>IF($A150="","",INDEX(tblTasks[Goulot],ROW()-4))</f>
      </c>
      <c r="I150" s="23">
        <f>IF($A150="","",IF(LOWER($F150)="oui","non",IF($E150="","oui",IFERROR(IF(LOWER(INDEX(tblTasks[Statut],MATCH($E150,tblTasks[ID],0)))="clos","oui","non"),"non"))))</f>
      </c>
      <c r="J150" s="25">
        <f>IF($A150="","",INDEX(tblTasks[Date_debut_prevue],ROW()-4))</f>
      </c>
      <c r="K150" s="25">
        <f>IF($A150="","",INDEX(tblTasks[Date_fin_prevue],ROW()-4))</f>
      </c>
      <c r="L150" s="23">
        <f>IF($A150="","",INDEX(tblTasks[Irreversibilite],ROW()-4))</f>
      </c>
      <c r="M150" s="26">
        <f>IF(OR($A150="",M$3=""),"",IF(AND($J150&lt;&gt;"",$K150&lt;&gt;"",$J150=$K150,$J150&gt;=M$3,$J150&lt;=IF(param_mode_affichage="mois",EOMONTH(M$3,0),M$3+6)),"◆",""))</f>
      </c>
      <c r="N150" s="26">
        <f>IF(OR($A150="",N$3=""),"",IF(AND($J150&lt;&gt;"",$K150&lt;&gt;"",$J150=$K150,$J150&gt;=N$3,$J150&lt;=IF(param_mode_affichage="mois",EOMONTH(N$3,0),N$3+6)),"◆",""))</f>
      </c>
      <c r="O150" s="26">
        <f>IF(OR($A150="",O$3=""),"",IF(AND($J150&lt;&gt;"",$K150&lt;&gt;"",$J150=$K150,$J150&gt;=O$3,$J150&lt;=IF(param_mode_affichage="mois",EOMONTH(O$3,0),O$3+6)),"◆",""))</f>
      </c>
      <c r="P150" s="26">
        <f>IF(OR($A150="",P$3=""),"",IF(AND($J150&lt;&gt;"",$K150&lt;&gt;"",$J150=$K150,$J150&gt;=P$3,$J150&lt;=IF(param_mode_affichage="mois",EOMONTH(P$3,0),P$3+6)),"◆",""))</f>
      </c>
      <c r="Q150" s="26">
        <f>IF(OR($A150="",Q$3=""),"",IF(AND($J150&lt;&gt;"",$K150&lt;&gt;"",$J150=$K150,$J150&gt;=Q$3,$J150&lt;=IF(param_mode_affichage="mois",EOMONTH(Q$3,0),Q$3+6)),"◆",""))</f>
      </c>
      <c r="R150" s="26">
        <f>IF(OR($A150="",R$3=""),"",IF(AND($J150&lt;&gt;"",$K150&lt;&gt;"",$J150=$K150,$J150&gt;=R$3,$J150&lt;=IF(param_mode_affichage="mois",EOMONTH(R$3,0),R$3+6)),"◆",""))</f>
      </c>
      <c r="S150" s="26">
        <f>IF(OR($A150="",S$3=""),"",IF(AND($J150&lt;&gt;"",$K150&lt;&gt;"",$J150=$K150,$J150&gt;=S$3,$J150&lt;=IF(param_mode_affichage="mois",EOMONTH(S$3,0),S$3+6)),"◆",""))</f>
      </c>
      <c r="T150" s="26">
        <f>IF(OR($A150="",T$3=""),"",IF(AND($J150&lt;&gt;"",$K150&lt;&gt;"",$J150=$K150,$J150&gt;=T$3,$J150&lt;=IF(param_mode_affichage="mois",EOMONTH(T$3,0),T$3+6)),"◆",""))</f>
      </c>
      <c r="U150" s="26">
        <f>IF(OR($A150="",U$3=""),"",IF(AND($J150&lt;&gt;"",$K150&lt;&gt;"",$J150=$K150,$J150&gt;=U$3,$J150&lt;=IF(param_mode_affichage="mois",EOMONTH(U$3,0),U$3+6)),"◆",""))</f>
      </c>
      <c r="V150" s="26">
        <f>IF(OR($A150="",V$3=""),"",IF(AND($J150&lt;&gt;"",$K150&lt;&gt;"",$J150=$K150,$J150&gt;=V$3,$J150&lt;=IF(param_mode_affichage="mois",EOMONTH(V$3,0),V$3+6)),"◆",""))</f>
      </c>
      <c r="W150" s="26">
        <f>IF(OR($A150="",W$3=""),"",IF(AND($J150&lt;&gt;"",$K150&lt;&gt;"",$J150=$K150,$J150&gt;=W$3,$J150&lt;=IF(param_mode_affichage="mois",EOMONTH(W$3,0),W$3+6)),"◆",""))</f>
      </c>
      <c r="X150" s="26">
        <f>IF(OR($A150="",X$3=""),"",IF(AND($J150&lt;&gt;"",$K150&lt;&gt;"",$J150=$K150,$J150&gt;=X$3,$J150&lt;=IF(param_mode_affichage="mois",EOMONTH(X$3,0),X$3+6)),"◆",""))</f>
      </c>
      <c r="Y150" s="26">
        <f>IF(OR($A150="",Y$3=""),"",IF(AND($J150&lt;&gt;"",$K150&lt;&gt;"",$J150=$K150,$J150&gt;=Y$3,$J150&lt;=IF(param_mode_affichage="mois",EOMONTH(Y$3,0),Y$3+6)),"◆",""))</f>
      </c>
      <c r="Z150" s="26">
        <f>IF(OR($A150="",Z$3=""),"",IF(AND($J150&lt;&gt;"",$K150&lt;&gt;"",$J150=$K150,$J150&gt;=Z$3,$J150&lt;=IF(param_mode_affichage="mois",EOMONTH(Z$3,0),Z$3+6)),"◆",""))</f>
      </c>
      <c r="AA150" s="26">
        <f>IF(OR($A150="",AA$3=""),"",IF(AND($J150&lt;&gt;"",$K150&lt;&gt;"",$J150=$K150,$J150&gt;=AA$3,$J150&lt;=IF(param_mode_affichage="mois",EOMONTH(AA$3,0),AA$3+6)),"◆",""))</f>
      </c>
      <c r="AB150" s="26">
        <f>IF(OR($A150="",AB$3=""),"",IF(AND($J150&lt;&gt;"",$K150&lt;&gt;"",$J150=$K150,$J150&gt;=AB$3,$J150&lt;=IF(param_mode_affichage="mois",EOMONTH(AB$3,0),AB$3+6)),"◆",""))</f>
      </c>
      <c r="AC150" s="26">
        <f>IF(OR($A150="",AC$3=""),"",IF(AND($J150&lt;&gt;"",$K150&lt;&gt;"",$J150=$K150,$J150&gt;=AC$3,$J150&lt;=IF(param_mode_affichage="mois",EOMONTH(AC$3,0),AC$3+6)),"◆",""))</f>
      </c>
      <c r="AD150" s="26">
        <f>IF(OR($A150="",AD$3=""),"",IF(AND($J150&lt;&gt;"",$K150&lt;&gt;"",$J150=$K150,$J150&gt;=AD$3,$J150&lt;=IF(param_mode_affichage="mois",EOMONTH(AD$3,0),AD$3+6)),"◆",""))</f>
      </c>
      <c r="AE150" s="26">
        <f>IF(OR($A150="",AE$3=""),"",IF(AND($J150&lt;&gt;"",$K150&lt;&gt;"",$J150=$K150,$J150&gt;=AE$3,$J150&lt;=IF(param_mode_affichage="mois",EOMONTH(AE$3,0),AE$3+6)),"◆",""))</f>
      </c>
      <c r="AF150" s="26">
        <f>IF(OR($A150="",AF$3=""),"",IF(AND($J150&lt;&gt;"",$K150&lt;&gt;"",$J150=$K150,$J150&gt;=AF$3,$J150&lt;=IF(param_mode_affichage="mois",EOMONTH(AF$3,0),AF$3+6)),"◆",""))</f>
      </c>
      <c r="AG150" s="26">
        <f>IF(OR($A150="",AG$3=""),"",IF(AND($J150&lt;&gt;"",$K150&lt;&gt;"",$J150=$K150,$J150&gt;=AG$3,$J150&lt;=IF(param_mode_affichage="mois",EOMONTH(AG$3,0),AG$3+6)),"◆",""))</f>
      </c>
      <c r="AH150" s="26">
        <f>IF(OR($A150="",AH$3=""),"",IF(AND($J150&lt;&gt;"",$K150&lt;&gt;"",$J150=$K150,$J150&gt;=AH$3,$J150&lt;=IF(param_mode_affichage="mois",EOMONTH(AH$3,0),AH$3+6)),"◆",""))</f>
      </c>
      <c r="AI150" s="26">
        <f>IF(OR($A150="",AI$3=""),"",IF(AND($J150&lt;&gt;"",$K150&lt;&gt;"",$J150=$K150,$J150&gt;=AI$3,$J150&lt;=IF(param_mode_affichage="mois",EOMONTH(AI$3,0),AI$3+6)),"◆",""))</f>
      </c>
      <c r="AJ150" s="26">
        <f>IF(OR($A150="",AJ$3=""),"",IF(AND($J150&lt;&gt;"",$K150&lt;&gt;"",$J150=$K150,$J150&gt;=AJ$3,$J150&lt;=IF(param_mode_affichage="mois",EOMONTH(AJ$3,0),AJ$3+6)),"◆",""))</f>
      </c>
      <c r="AK150" s="26">
        <f>IF(OR($A150="",AK$3=""),"",IF(AND($J150&lt;&gt;"",$K150&lt;&gt;"",$J150=$K150,$J150&gt;=AK$3,$J150&lt;=IF(param_mode_affichage="mois",EOMONTH(AK$3,0),AK$3+6)),"◆",""))</f>
      </c>
      <c r="AL150" s="26">
        <f>IF(OR($A150="",AL$3=""),"",IF(AND($J150&lt;&gt;"",$K150&lt;&gt;"",$J150=$K150,$J150&gt;=AL$3,$J150&lt;=IF(param_mode_affichage="mois",EOMONTH(AL$3,0),AL$3+6)),"◆",""))</f>
      </c>
      <c r="AM150" s="26">
        <f>IF(OR($A150="",AM$3=""),"",IF(AND($J150&lt;&gt;"",$K150&lt;&gt;"",$J150=$K150,$J150&gt;=AM$3,$J150&lt;=IF(param_mode_affichage="mois",EOMONTH(AM$3,0),AM$3+6)),"◆",""))</f>
      </c>
      <c r="AN150" s="26">
        <f>IF(OR($A150="",AN$3=""),"",IF(AND($J150&lt;&gt;"",$K150&lt;&gt;"",$J150=$K150,$J150&gt;=AN$3,$J150&lt;=IF(param_mode_affichage="mois",EOMONTH(AN$3,0),AN$3+6)),"◆",""))</f>
      </c>
      <c r="AO150" s="26">
        <f>IF(OR($A150="",AO$3=""),"",IF(AND($J150&lt;&gt;"",$K150&lt;&gt;"",$J150=$K150,$J150&gt;=AO$3,$J150&lt;=IF(param_mode_affichage="mois",EOMONTH(AO$3,0),AO$3+6)),"◆",""))</f>
      </c>
      <c r="AP150" s="26">
        <f>IF(OR($A150="",AP$3=""),"",IF(AND($J150&lt;&gt;"",$K150&lt;&gt;"",$J150=$K150,$J150&gt;=AP$3,$J150&lt;=IF(param_mode_affichage="mois",EOMONTH(AP$3,0),AP$3+6)),"◆",""))</f>
      </c>
      <c r="AQ150" s="26">
        <f>IF(OR($A150="",AQ$3=""),"",IF(AND($J150&lt;&gt;"",$K150&lt;&gt;"",$J150=$K150,$J150&gt;=AQ$3,$J150&lt;=IF(param_mode_affichage="mois",EOMONTH(AQ$3,0),AQ$3+6)),"◆",""))</f>
      </c>
      <c r="AR150" s="26">
        <f>IF(OR($A150="",AR$3=""),"",IF(AND($J150&lt;&gt;"",$K150&lt;&gt;"",$J150=$K150,$J150&gt;=AR$3,$J150&lt;=IF(param_mode_affichage="mois",EOMONTH(AR$3,0),AR$3+6)),"◆",""))</f>
      </c>
      <c r="AS150" s="26">
        <f>IF(OR($A150="",AS$3=""),"",IF(AND($J150&lt;&gt;"",$K150&lt;&gt;"",$J150=$K150,$J150&gt;=AS$3,$J150&lt;=IF(param_mode_affichage="mois",EOMONTH(AS$3,0),AS$3+6)),"◆",""))</f>
      </c>
      <c r="AT150" s="26">
        <f>IF(OR($A150="",AT$3=""),"",IF(AND($J150&lt;&gt;"",$K150&lt;&gt;"",$J150=$K150,$J150&gt;=AT$3,$J150&lt;=IF(param_mode_affichage="mois",EOMONTH(AT$3,0),AT$3+6)),"◆",""))</f>
      </c>
      <c r="AU150" s="26">
        <f>IF(OR($A150="",AU$3=""),"",IF(AND($J150&lt;&gt;"",$K150&lt;&gt;"",$J150=$K150,$J150&gt;=AU$3,$J150&lt;=IF(param_mode_affichage="mois",EOMONTH(AU$3,0),AU$3+6)),"◆",""))</f>
      </c>
      <c r="AV150" s="26">
        <f>IF(OR($A150="",AV$3=""),"",IF(AND($J150&lt;&gt;"",$K150&lt;&gt;"",$J150=$K150,$J150&gt;=AV$3,$J150&lt;=IF(param_mode_affichage="mois",EOMONTH(AV$3,0),AV$3+6)),"◆",""))</f>
      </c>
      <c r="AW150" s="26">
        <f>IF(OR($A150="",AW$3=""),"",IF(AND($J150&lt;&gt;"",$K150&lt;&gt;"",$J150=$K150,$J150&gt;=AW$3,$J150&lt;=IF(param_mode_affichage="mois",EOMONTH(AW$3,0),AW$3+6)),"◆",""))</f>
      </c>
      <c r="AX150" s="26">
        <f>IF(OR($A150="",AX$3=""),"",IF(AND($J150&lt;&gt;"",$K150&lt;&gt;"",$J150=$K150,$J150&gt;=AX$3,$J150&lt;=IF(param_mode_affichage="mois",EOMONTH(AX$3,0),AX$3+6)),"◆",""))</f>
      </c>
      <c r="AY150" s="26">
        <f>IF(OR($A150="",AY$3=""),"",IF(AND($J150&lt;&gt;"",$K150&lt;&gt;"",$J150=$K150,$J150&gt;=AY$3,$J150&lt;=IF(param_mode_affichage="mois",EOMONTH(AY$3,0),AY$3+6)),"◆",""))</f>
      </c>
      <c r="AZ150" s="26">
        <f>IF(OR($A150="",AZ$3=""),"",IF(AND($J150&lt;&gt;"",$K150&lt;&gt;"",$J150=$K150,$J150&gt;=AZ$3,$J150&lt;=IF(param_mode_affichage="mois",EOMONTH(AZ$3,0),AZ$3+6)),"◆",""))</f>
      </c>
      <c r="BA150" s="26">
        <f>IF(OR($A150="",BA$3=""),"",IF(AND($J150&lt;&gt;"",$K150&lt;&gt;"",$J150=$K150,$J150&gt;=BA$3,$J150&lt;=IF(param_mode_affichage="mois",EOMONTH(BA$3,0),BA$3+6)),"◆",""))</f>
      </c>
      <c r="BB150" s="26">
        <f>IF(OR($A150="",BB$3=""),"",IF(AND($J150&lt;&gt;"",$K150&lt;&gt;"",$J150=$K150,$J150&gt;=BB$3,$J150&lt;=IF(param_mode_affichage="mois",EOMONTH(BB$3,0),BB$3+6)),"◆",""))</f>
      </c>
      <c r="BC150" s="26">
        <f>IF(OR($A150="",BC$3=""),"",IF(AND($J150&lt;&gt;"",$K150&lt;&gt;"",$J150=$K150,$J150&gt;=BC$3,$J150&lt;=IF(param_mode_affichage="mois",EOMONTH(BC$3,0),BC$3+6)),"◆",""))</f>
      </c>
      <c r="BD150" s="26">
        <f>IF(OR($A150="",BD$3=""),"",IF(AND($J150&lt;&gt;"",$K150&lt;&gt;"",$J150=$K150,$J150&gt;=BD$3,$J150&lt;=IF(param_mode_affichage="mois",EOMONTH(BD$3,0),BD$3+6)),"◆",""))</f>
      </c>
      <c r="BE150" s="26">
        <f>IF(OR($A150="",BE$3=""),"",IF(AND($J150&lt;&gt;"",$K150&lt;&gt;"",$J150=$K150,$J150&gt;=BE$3,$J150&lt;=IF(param_mode_affichage="mois",EOMONTH(BE$3,0),BE$3+6)),"◆",""))</f>
      </c>
      <c r="BF150" s="26">
        <f>IF(OR($A150="",BF$3=""),"",IF(AND($J150&lt;&gt;"",$K150&lt;&gt;"",$J150=$K150,$J150&gt;=BF$3,$J150&lt;=IF(param_mode_affichage="mois",EOMONTH(BF$3,0),BF$3+6)),"◆",""))</f>
      </c>
      <c r="BG150" s="26">
        <f>IF(OR($A150="",BG$3=""),"",IF(AND($J150&lt;&gt;"",$K150&lt;&gt;"",$J150=$K150,$J150&gt;=BG$3,$J150&lt;=IF(param_mode_affichage="mois",EOMONTH(BG$3,0),BG$3+6)),"◆",""))</f>
      </c>
      <c r="BH150" s="26">
        <f>IF(OR($A150="",BH$3=""),"",IF(AND($J150&lt;&gt;"",$K150&lt;&gt;"",$J150=$K150,$J150&gt;=BH$3,$J150&lt;=IF(param_mode_affichage="mois",EOMONTH(BH$3,0),BH$3+6)),"◆",""))</f>
      </c>
      <c r="BI150" s="26">
        <f>IF(OR($A150="",BI$3=""),"",IF(AND($J150&lt;&gt;"",$K150&lt;&gt;"",$J150=$K150,$J150&gt;=BI$3,$J150&lt;=IF(param_mode_affichage="mois",EOMONTH(BI$3,0),BI$3+6)),"◆",""))</f>
      </c>
      <c r="BJ150" s="26">
        <f>IF(OR($A150="",BJ$3=""),"",IF(AND($J150&lt;&gt;"",$K150&lt;&gt;"",$J150=$K150,$J150&gt;=BJ$3,$J150&lt;=IF(param_mode_affichage="mois",EOMONTH(BJ$3,0),BJ$3+6)),"◆",""))</f>
      </c>
      <c r="BK150" s="26">
        <f>IF(OR($A150="",BK$3=""),"",IF(AND($J150&lt;&gt;"",$K150&lt;&gt;"",$J150=$K150,$J150&gt;=BK$3,$J150&lt;=IF(param_mode_affichage="mois",EOMONTH(BK$3,0),BK$3+6)),"◆",""))</f>
      </c>
      <c r="BL150" s="26">
        <f>IF(OR($A150="",BL$3=""),"",IF(AND($J150&lt;&gt;"",$K150&lt;&gt;"",$J150=$K150,$J150&gt;=BL$3,$J150&lt;=IF(param_mode_affichage="mois",EOMONTH(BL$3,0),BL$3+6)),"◆",""))</f>
      </c>
    </row>
    <row r="151" spans="1:64" x14ac:dyDescent="0.25">
      <c r="A151" s="23">
        <f>IFERROR(INDEX(tblTasks[ID],ROW()-4),"")</f>
      </c>
      <c r="B151" s="24">
        <f>IF($A151="","",INDEX(tblTasks[Sujet],ROW()-4))</f>
      </c>
      <c r="C151" s="23">
        <f>IF($A151="","",INDEX(tblTasks[Responsable],ROW()-4))</f>
      </c>
      <c r="D151" s="23">
        <f>IF($A151="","",INDEX(tblTasks[Statut],ROW()-4))</f>
      </c>
      <c r="E151" s="23">
        <f>IF($A151="","",INDEX(tblTasks[Depend_de],ROW()-4))</f>
      </c>
      <c r="F151" s="23">
        <f>IF($A151="","",INDEX(tblTasks[Blocage],ROW()-4))</f>
      </c>
      <c r="G151" s="23">
        <f>IF($A151="","",INDEX(tblTasks[Niveau_criticite],ROW()-4))</f>
      </c>
      <c r="H151" s="23">
        <f>IF($A151="","",INDEX(tblTasks[Goulot],ROW()-4))</f>
      </c>
      <c r="I151" s="23">
        <f>IF($A151="","",IF(LOWER($F151)="oui","non",IF($E151="","oui",IFERROR(IF(LOWER(INDEX(tblTasks[Statut],MATCH($E151,tblTasks[ID],0)))="clos","oui","non"),"non"))))</f>
      </c>
      <c r="J151" s="25">
        <f>IF($A151="","",INDEX(tblTasks[Date_debut_prevue],ROW()-4))</f>
      </c>
      <c r="K151" s="25">
        <f>IF($A151="","",INDEX(tblTasks[Date_fin_prevue],ROW()-4))</f>
      </c>
      <c r="L151" s="23">
        <f>IF($A151="","",INDEX(tblTasks[Irreversibilite],ROW()-4))</f>
      </c>
      <c r="M151" s="26">
        <f>IF(OR($A151="",M$3=""),"",IF(AND($J151&lt;&gt;"",$K151&lt;&gt;"",$J151=$K151,$J151&gt;=M$3,$J151&lt;=IF(param_mode_affichage="mois",EOMONTH(M$3,0),M$3+6)),"◆",""))</f>
      </c>
      <c r="N151" s="26">
        <f>IF(OR($A151="",N$3=""),"",IF(AND($J151&lt;&gt;"",$K151&lt;&gt;"",$J151=$K151,$J151&gt;=N$3,$J151&lt;=IF(param_mode_affichage="mois",EOMONTH(N$3,0),N$3+6)),"◆",""))</f>
      </c>
      <c r="O151" s="26">
        <f>IF(OR($A151="",O$3=""),"",IF(AND($J151&lt;&gt;"",$K151&lt;&gt;"",$J151=$K151,$J151&gt;=O$3,$J151&lt;=IF(param_mode_affichage="mois",EOMONTH(O$3,0),O$3+6)),"◆",""))</f>
      </c>
      <c r="P151" s="26">
        <f>IF(OR($A151="",P$3=""),"",IF(AND($J151&lt;&gt;"",$K151&lt;&gt;"",$J151=$K151,$J151&gt;=P$3,$J151&lt;=IF(param_mode_affichage="mois",EOMONTH(P$3,0),P$3+6)),"◆",""))</f>
      </c>
      <c r="Q151" s="26">
        <f>IF(OR($A151="",Q$3=""),"",IF(AND($J151&lt;&gt;"",$K151&lt;&gt;"",$J151=$K151,$J151&gt;=Q$3,$J151&lt;=IF(param_mode_affichage="mois",EOMONTH(Q$3,0),Q$3+6)),"◆",""))</f>
      </c>
      <c r="R151" s="26">
        <f>IF(OR($A151="",R$3=""),"",IF(AND($J151&lt;&gt;"",$K151&lt;&gt;"",$J151=$K151,$J151&gt;=R$3,$J151&lt;=IF(param_mode_affichage="mois",EOMONTH(R$3,0),R$3+6)),"◆",""))</f>
      </c>
      <c r="S151" s="26">
        <f>IF(OR($A151="",S$3=""),"",IF(AND($J151&lt;&gt;"",$K151&lt;&gt;"",$J151=$K151,$J151&gt;=S$3,$J151&lt;=IF(param_mode_affichage="mois",EOMONTH(S$3,0),S$3+6)),"◆",""))</f>
      </c>
      <c r="T151" s="26">
        <f>IF(OR($A151="",T$3=""),"",IF(AND($J151&lt;&gt;"",$K151&lt;&gt;"",$J151=$K151,$J151&gt;=T$3,$J151&lt;=IF(param_mode_affichage="mois",EOMONTH(T$3,0),T$3+6)),"◆",""))</f>
      </c>
      <c r="U151" s="26">
        <f>IF(OR($A151="",U$3=""),"",IF(AND($J151&lt;&gt;"",$K151&lt;&gt;"",$J151=$K151,$J151&gt;=U$3,$J151&lt;=IF(param_mode_affichage="mois",EOMONTH(U$3,0),U$3+6)),"◆",""))</f>
      </c>
      <c r="V151" s="26">
        <f>IF(OR($A151="",V$3=""),"",IF(AND($J151&lt;&gt;"",$K151&lt;&gt;"",$J151=$K151,$J151&gt;=V$3,$J151&lt;=IF(param_mode_affichage="mois",EOMONTH(V$3,0),V$3+6)),"◆",""))</f>
      </c>
      <c r="W151" s="26">
        <f>IF(OR($A151="",W$3=""),"",IF(AND($J151&lt;&gt;"",$K151&lt;&gt;"",$J151=$K151,$J151&gt;=W$3,$J151&lt;=IF(param_mode_affichage="mois",EOMONTH(W$3,0),W$3+6)),"◆",""))</f>
      </c>
      <c r="X151" s="26">
        <f>IF(OR($A151="",X$3=""),"",IF(AND($J151&lt;&gt;"",$K151&lt;&gt;"",$J151=$K151,$J151&gt;=X$3,$J151&lt;=IF(param_mode_affichage="mois",EOMONTH(X$3,0),X$3+6)),"◆",""))</f>
      </c>
      <c r="Y151" s="26">
        <f>IF(OR($A151="",Y$3=""),"",IF(AND($J151&lt;&gt;"",$K151&lt;&gt;"",$J151=$K151,$J151&gt;=Y$3,$J151&lt;=IF(param_mode_affichage="mois",EOMONTH(Y$3,0),Y$3+6)),"◆",""))</f>
      </c>
      <c r="Z151" s="26">
        <f>IF(OR($A151="",Z$3=""),"",IF(AND($J151&lt;&gt;"",$K151&lt;&gt;"",$J151=$K151,$J151&gt;=Z$3,$J151&lt;=IF(param_mode_affichage="mois",EOMONTH(Z$3,0),Z$3+6)),"◆",""))</f>
      </c>
      <c r="AA151" s="26">
        <f>IF(OR($A151="",AA$3=""),"",IF(AND($J151&lt;&gt;"",$K151&lt;&gt;"",$J151=$K151,$J151&gt;=AA$3,$J151&lt;=IF(param_mode_affichage="mois",EOMONTH(AA$3,0),AA$3+6)),"◆",""))</f>
      </c>
      <c r="AB151" s="26">
        <f>IF(OR($A151="",AB$3=""),"",IF(AND($J151&lt;&gt;"",$K151&lt;&gt;"",$J151=$K151,$J151&gt;=AB$3,$J151&lt;=IF(param_mode_affichage="mois",EOMONTH(AB$3,0),AB$3+6)),"◆",""))</f>
      </c>
      <c r="AC151" s="26">
        <f>IF(OR($A151="",AC$3=""),"",IF(AND($J151&lt;&gt;"",$K151&lt;&gt;"",$J151=$K151,$J151&gt;=AC$3,$J151&lt;=IF(param_mode_affichage="mois",EOMONTH(AC$3,0),AC$3+6)),"◆",""))</f>
      </c>
      <c r="AD151" s="26">
        <f>IF(OR($A151="",AD$3=""),"",IF(AND($J151&lt;&gt;"",$K151&lt;&gt;"",$J151=$K151,$J151&gt;=AD$3,$J151&lt;=IF(param_mode_affichage="mois",EOMONTH(AD$3,0),AD$3+6)),"◆",""))</f>
      </c>
      <c r="AE151" s="26">
        <f>IF(OR($A151="",AE$3=""),"",IF(AND($J151&lt;&gt;"",$K151&lt;&gt;"",$J151=$K151,$J151&gt;=AE$3,$J151&lt;=IF(param_mode_affichage="mois",EOMONTH(AE$3,0),AE$3+6)),"◆",""))</f>
      </c>
      <c r="AF151" s="26">
        <f>IF(OR($A151="",AF$3=""),"",IF(AND($J151&lt;&gt;"",$K151&lt;&gt;"",$J151=$K151,$J151&gt;=AF$3,$J151&lt;=IF(param_mode_affichage="mois",EOMONTH(AF$3,0),AF$3+6)),"◆",""))</f>
      </c>
      <c r="AG151" s="26">
        <f>IF(OR($A151="",AG$3=""),"",IF(AND($J151&lt;&gt;"",$K151&lt;&gt;"",$J151=$K151,$J151&gt;=AG$3,$J151&lt;=IF(param_mode_affichage="mois",EOMONTH(AG$3,0),AG$3+6)),"◆",""))</f>
      </c>
      <c r="AH151" s="26">
        <f>IF(OR($A151="",AH$3=""),"",IF(AND($J151&lt;&gt;"",$K151&lt;&gt;"",$J151=$K151,$J151&gt;=AH$3,$J151&lt;=IF(param_mode_affichage="mois",EOMONTH(AH$3,0),AH$3+6)),"◆",""))</f>
      </c>
      <c r="AI151" s="26">
        <f>IF(OR($A151="",AI$3=""),"",IF(AND($J151&lt;&gt;"",$K151&lt;&gt;"",$J151=$K151,$J151&gt;=AI$3,$J151&lt;=IF(param_mode_affichage="mois",EOMONTH(AI$3,0),AI$3+6)),"◆",""))</f>
      </c>
      <c r="AJ151" s="26">
        <f>IF(OR($A151="",AJ$3=""),"",IF(AND($J151&lt;&gt;"",$K151&lt;&gt;"",$J151=$K151,$J151&gt;=AJ$3,$J151&lt;=IF(param_mode_affichage="mois",EOMONTH(AJ$3,0),AJ$3+6)),"◆",""))</f>
      </c>
      <c r="AK151" s="26">
        <f>IF(OR($A151="",AK$3=""),"",IF(AND($J151&lt;&gt;"",$K151&lt;&gt;"",$J151=$K151,$J151&gt;=AK$3,$J151&lt;=IF(param_mode_affichage="mois",EOMONTH(AK$3,0),AK$3+6)),"◆",""))</f>
      </c>
      <c r="AL151" s="26">
        <f>IF(OR($A151="",AL$3=""),"",IF(AND($J151&lt;&gt;"",$K151&lt;&gt;"",$J151=$K151,$J151&gt;=AL$3,$J151&lt;=IF(param_mode_affichage="mois",EOMONTH(AL$3,0),AL$3+6)),"◆",""))</f>
      </c>
      <c r="AM151" s="26">
        <f>IF(OR($A151="",AM$3=""),"",IF(AND($J151&lt;&gt;"",$K151&lt;&gt;"",$J151=$K151,$J151&gt;=AM$3,$J151&lt;=IF(param_mode_affichage="mois",EOMONTH(AM$3,0),AM$3+6)),"◆",""))</f>
      </c>
      <c r="AN151" s="26">
        <f>IF(OR($A151="",AN$3=""),"",IF(AND($J151&lt;&gt;"",$K151&lt;&gt;"",$J151=$K151,$J151&gt;=AN$3,$J151&lt;=IF(param_mode_affichage="mois",EOMONTH(AN$3,0),AN$3+6)),"◆",""))</f>
      </c>
      <c r="AO151" s="26">
        <f>IF(OR($A151="",AO$3=""),"",IF(AND($J151&lt;&gt;"",$K151&lt;&gt;"",$J151=$K151,$J151&gt;=AO$3,$J151&lt;=IF(param_mode_affichage="mois",EOMONTH(AO$3,0),AO$3+6)),"◆",""))</f>
      </c>
      <c r="AP151" s="26">
        <f>IF(OR($A151="",AP$3=""),"",IF(AND($J151&lt;&gt;"",$K151&lt;&gt;"",$J151=$K151,$J151&gt;=AP$3,$J151&lt;=IF(param_mode_affichage="mois",EOMONTH(AP$3,0),AP$3+6)),"◆",""))</f>
      </c>
      <c r="AQ151" s="26">
        <f>IF(OR($A151="",AQ$3=""),"",IF(AND($J151&lt;&gt;"",$K151&lt;&gt;"",$J151=$K151,$J151&gt;=AQ$3,$J151&lt;=IF(param_mode_affichage="mois",EOMONTH(AQ$3,0),AQ$3+6)),"◆",""))</f>
      </c>
      <c r="AR151" s="26">
        <f>IF(OR($A151="",AR$3=""),"",IF(AND($J151&lt;&gt;"",$K151&lt;&gt;"",$J151=$K151,$J151&gt;=AR$3,$J151&lt;=IF(param_mode_affichage="mois",EOMONTH(AR$3,0),AR$3+6)),"◆",""))</f>
      </c>
      <c r="AS151" s="26">
        <f>IF(OR($A151="",AS$3=""),"",IF(AND($J151&lt;&gt;"",$K151&lt;&gt;"",$J151=$K151,$J151&gt;=AS$3,$J151&lt;=IF(param_mode_affichage="mois",EOMONTH(AS$3,0),AS$3+6)),"◆",""))</f>
      </c>
      <c r="AT151" s="26">
        <f>IF(OR($A151="",AT$3=""),"",IF(AND($J151&lt;&gt;"",$K151&lt;&gt;"",$J151=$K151,$J151&gt;=AT$3,$J151&lt;=IF(param_mode_affichage="mois",EOMONTH(AT$3,0),AT$3+6)),"◆",""))</f>
      </c>
      <c r="AU151" s="26">
        <f>IF(OR($A151="",AU$3=""),"",IF(AND($J151&lt;&gt;"",$K151&lt;&gt;"",$J151=$K151,$J151&gt;=AU$3,$J151&lt;=IF(param_mode_affichage="mois",EOMONTH(AU$3,0),AU$3+6)),"◆",""))</f>
      </c>
      <c r="AV151" s="26">
        <f>IF(OR($A151="",AV$3=""),"",IF(AND($J151&lt;&gt;"",$K151&lt;&gt;"",$J151=$K151,$J151&gt;=AV$3,$J151&lt;=IF(param_mode_affichage="mois",EOMONTH(AV$3,0),AV$3+6)),"◆",""))</f>
      </c>
      <c r="AW151" s="26">
        <f>IF(OR($A151="",AW$3=""),"",IF(AND($J151&lt;&gt;"",$K151&lt;&gt;"",$J151=$K151,$J151&gt;=AW$3,$J151&lt;=IF(param_mode_affichage="mois",EOMONTH(AW$3,0),AW$3+6)),"◆",""))</f>
      </c>
      <c r="AX151" s="26">
        <f>IF(OR($A151="",AX$3=""),"",IF(AND($J151&lt;&gt;"",$K151&lt;&gt;"",$J151=$K151,$J151&gt;=AX$3,$J151&lt;=IF(param_mode_affichage="mois",EOMONTH(AX$3,0),AX$3+6)),"◆",""))</f>
      </c>
      <c r="AY151" s="26">
        <f>IF(OR($A151="",AY$3=""),"",IF(AND($J151&lt;&gt;"",$K151&lt;&gt;"",$J151=$K151,$J151&gt;=AY$3,$J151&lt;=IF(param_mode_affichage="mois",EOMONTH(AY$3,0),AY$3+6)),"◆",""))</f>
      </c>
      <c r="AZ151" s="26">
        <f>IF(OR($A151="",AZ$3=""),"",IF(AND($J151&lt;&gt;"",$K151&lt;&gt;"",$J151=$K151,$J151&gt;=AZ$3,$J151&lt;=IF(param_mode_affichage="mois",EOMONTH(AZ$3,0),AZ$3+6)),"◆",""))</f>
      </c>
      <c r="BA151" s="26">
        <f>IF(OR($A151="",BA$3=""),"",IF(AND($J151&lt;&gt;"",$K151&lt;&gt;"",$J151=$K151,$J151&gt;=BA$3,$J151&lt;=IF(param_mode_affichage="mois",EOMONTH(BA$3,0),BA$3+6)),"◆",""))</f>
      </c>
      <c r="BB151" s="26">
        <f>IF(OR($A151="",BB$3=""),"",IF(AND($J151&lt;&gt;"",$K151&lt;&gt;"",$J151=$K151,$J151&gt;=BB$3,$J151&lt;=IF(param_mode_affichage="mois",EOMONTH(BB$3,0),BB$3+6)),"◆",""))</f>
      </c>
      <c r="BC151" s="26">
        <f>IF(OR($A151="",BC$3=""),"",IF(AND($J151&lt;&gt;"",$K151&lt;&gt;"",$J151=$K151,$J151&gt;=BC$3,$J151&lt;=IF(param_mode_affichage="mois",EOMONTH(BC$3,0),BC$3+6)),"◆",""))</f>
      </c>
      <c r="BD151" s="26">
        <f>IF(OR($A151="",BD$3=""),"",IF(AND($J151&lt;&gt;"",$K151&lt;&gt;"",$J151=$K151,$J151&gt;=BD$3,$J151&lt;=IF(param_mode_affichage="mois",EOMONTH(BD$3,0),BD$3+6)),"◆",""))</f>
      </c>
      <c r="BE151" s="26">
        <f>IF(OR($A151="",BE$3=""),"",IF(AND($J151&lt;&gt;"",$K151&lt;&gt;"",$J151=$K151,$J151&gt;=BE$3,$J151&lt;=IF(param_mode_affichage="mois",EOMONTH(BE$3,0),BE$3+6)),"◆",""))</f>
      </c>
      <c r="BF151" s="26">
        <f>IF(OR($A151="",BF$3=""),"",IF(AND($J151&lt;&gt;"",$K151&lt;&gt;"",$J151=$K151,$J151&gt;=BF$3,$J151&lt;=IF(param_mode_affichage="mois",EOMONTH(BF$3,0),BF$3+6)),"◆",""))</f>
      </c>
      <c r="BG151" s="26">
        <f>IF(OR($A151="",BG$3=""),"",IF(AND($J151&lt;&gt;"",$K151&lt;&gt;"",$J151=$K151,$J151&gt;=BG$3,$J151&lt;=IF(param_mode_affichage="mois",EOMONTH(BG$3,0),BG$3+6)),"◆",""))</f>
      </c>
      <c r="BH151" s="26">
        <f>IF(OR($A151="",BH$3=""),"",IF(AND($J151&lt;&gt;"",$K151&lt;&gt;"",$J151=$K151,$J151&gt;=BH$3,$J151&lt;=IF(param_mode_affichage="mois",EOMONTH(BH$3,0),BH$3+6)),"◆",""))</f>
      </c>
      <c r="BI151" s="26">
        <f>IF(OR($A151="",BI$3=""),"",IF(AND($J151&lt;&gt;"",$K151&lt;&gt;"",$J151=$K151,$J151&gt;=BI$3,$J151&lt;=IF(param_mode_affichage="mois",EOMONTH(BI$3,0),BI$3+6)),"◆",""))</f>
      </c>
      <c r="BJ151" s="26">
        <f>IF(OR($A151="",BJ$3=""),"",IF(AND($J151&lt;&gt;"",$K151&lt;&gt;"",$J151=$K151,$J151&gt;=BJ$3,$J151&lt;=IF(param_mode_affichage="mois",EOMONTH(BJ$3,0),BJ$3+6)),"◆",""))</f>
      </c>
      <c r="BK151" s="26">
        <f>IF(OR($A151="",BK$3=""),"",IF(AND($J151&lt;&gt;"",$K151&lt;&gt;"",$J151=$K151,$J151&gt;=BK$3,$J151&lt;=IF(param_mode_affichage="mois",EOMONTH(BK$3,0),BK$3+6)),"◆",""))</f>
      </c>
      <c r="BL151" s="26">
        <f>IF(OR($A151="",BL$3=""),"",IF(AND($J151&lt;&gt;"",$K151&lt;&gt;"",$J151=$K151,$J151&gt;=BL$3,$J151&lt;=IF(param_mode_affichage="mois",EOMONTH(BL$3,0),BL$3+6)),"◆",""))</f>
      </c>
    </row>
    <row r="152" spans="1:64" x14ac:dyDescent="0.25">
      <c r="A152" s="23">
        <f>IFERROR(INDEX(tblTasks[ID],ROW()-4),"")</f>
      </c>
      <c r="B152" s="24">
        <f>IF($A152="","",INDEX(tblTasks[Sujet],ROW()-4))</f>
      </c>
      <c r="C152" s="23">
        <f>IF($A152="","",INDEX(tblTasks[Responsable],ROW()-4))</f>
      </c>
      <c r="D152" s="23">
        <f>IF($A152="","",INDEX(tblTasks[Statut],ROW()-4))</f>
      </c>
      <c r="E152" s="23">
        <f>IF($A152="","",INDEX(tblTasks[Depend_de],ROW()-4))</f>
      </c>
      <c r="F152" s="23">
        <f>IF($A152="","",INDEX(tblTasks[Blocage],ROW()-4))</f>
      </c>
      <c r="G152" s="23">
        <f>IF($A152="","",INDEX(tblTasks[Niveau_criticite],ROW()-4))</f>
      </c>
      <c r="H152" s="23">
        <f>IF($A152="","",INDEX(tblTasks[Goulot],ROW()-4))</f>
      </c>
      <c r="I152" s="23">
        <f>IF($A152="","",IF(LOWER($F152)="oui","non",IF($E152="","oui",IFERROR(IF(LOWER(INDEX(tblTasks[Statut],MATCH($E152,tblTasks[ID],0)))="clos","oui","non"),"non"))))</f>
      </c>
      <c r="J152" s="25">
        <f>IF($A152="","",INDEX(tblTasks[Date_debut_prevue],ROW()-4))</f>
      </c>
      <c r="K152" s="25">
        <f>IF($A152="","",INDEX(tblTasks[Date_fin_prevue],ROW()-4))</f>
      </c>
      <c r="L152" s="23">
        <f>IF($A152="","",INDEX(tblTasks[Irreversibilite],ROW()-4))</f>
      </c>
      <c r="M152" s="26">
        <f>IF(OR($A152="",M$3=""),"",IF(AND($J152&lt;&gt;"",$K152&lt;&gt;"",$J152=$K152,$J152&gt;=M$3,$J152&lt;=IF(param_mode_affichage="mois",EOMONTH(M$3,0),M$3+6)),"◆",""))</f>
      </c>
      <c r="N152" s="26">
        <f>IF(OR($A152="",N$3=""),"",IF(AND($J152&lt;&gt;"",$K152&lt;&gt;"",$J152=$K152,$J152&gt;=N$3,$J152&lt;=IF(param_mode_affichage="mois",EOMONTH(N$3,0),N$3+6)),"◆",""))</f>
      </c>
      <c r="O152" s="26">
        <f>IF(OR($A152="",O$3=""),"",IF(AND($J152&lt;&gt;"",$K152&lt;&gt;"",$J152=$K152,$J152&gt;=O$3,$J152&lt;=IF(param_mode_affichage="mois",EOMONTH(O$3,0),O$3+6)),"◆",""))</f>
      </c>
      <c r="P152" s="26">
        <f>IF(OR($A152="",P$3=""),"",IF(AND($J152&lt;&gt;"",$K152&lt;&gt;"",$J152=$K152,$J152&gt;=P$3,$J152&lt;=IF(param_mode_affichage="mois",EOMONTH(P$3,0),P$3+6)),"◆",""))</f>
      </c>
      <c r="Q152" s="26">
        <f>IF(OR($A152="",Q$3=""),"",IF(AND($J152&lt;&gt;"",$K152&lt;&gt;"",$J152=$K152,$J152&gt;=Q$3,$J152&lt;=IF(param_mode_affichage="mois",EOMONTH(Q$3,0),Q$3+6)),"◆",""))</f>
      </c>
      <c r="R152" s="26">
        <f>IF(OR($A152="",R$3=""),"",IF(AND($J152&lt;&gt;"",$K152&lt;&gt;"",$J152=$K152,$J152&gt;=R$3,$J152&lt;=IF(param_mode_affichage="mois",EOMONTH(R$3,0),R$3+6)),"◆",""))</f>
      </c>
      <c r="S152" s="26">
        <f>IF(OR($A152="",S$3=""),"",IF(AND($J152&lt;&gt;"",$K152&lt;&gt;"",$J152=$K152,$J152&gt;=S$3,$J152&lt;=IF(param_mode_affichage="mois",EOMONTH(S$3,0),S$3+6)),"◆",""))</f>
      </c>
      <c r="T152" s="26">
        <f>IF(OR($A152="",T$3=""),"",IF(AND($J152&lt;&gt;"",$K152&lt;&gt;"",$J152=$K152,$J152&gt;=T$3,$J152&lt;=IF(param_mode_affichage="mois",EOMONTH(T$3,0),T$3+6)),"◆",""))</f>
      </c>
      <c r="U152" s="26">
        <f>IF(OR($A152="",U$3=""),"",IF(AND($J152&lt;&gt;"",$K152&lt;&gt;"",$J152=$K152,$J152&gt;=U$3,$J152&lt;=IF(param_mode_affichage="mois",EOMONTH(U$3,0),U$3+6)),"◆",""))</f>
      </c>
      <c r="V152" s="26">
        <f>IF(OR($A152="",V$3=""),"",IF(AND($J152&lt;&gt;"",$K152&lt;&gt;"",$J152=$K152,$J152&gt;=V$3,$J152&lt;=IF(param_mode_affichage="mois",EOMONTH(V$3,0),V$3+6)),"◆",""))</f>
      </c>
      <c r="W152" s="26">
        <f>IF(OR($A152="",W$3=""),"",IF(AND($J152&lt;&gt;"",$K152&lt;&gt;"",$J152=$K152,$J152&gt;=W$3,$J152&lt;=IF(param_mode_affichage="mois",EOMONTH(W$3,0),W$3+6)),"◆",""))</f>
      </c>
      <c r="X152" s="26">
        <f>IF(OR($A152="",X$3=""),"",IF(AND($J152&lt;&gt;"",$K152&lt;&gt;"",$J152=$K152,$J152&gt;=X$3,$J152&lt;=IF(param_mode_affichage="mois",EOMONTH(X$3,0),X$3+6)),"◆",""))</f>
      </c>
      <c r="Y152" s="26">
        <f>IF(OR($A152="",Y$3=""),"",IF(AND($J152&lt;&gt;"",$K152&lt;&gt;"",$J152=$K152,$J152&gt;=Y$3,$J152&lt;=IF(param_mode_affichage="mois",EOMONTH(Y$3,0),Y$3+6)),"◆",""))</f>
      </c>
      <c r="Z152" s="26">
        <f>IF(OR($A152="",Z$3=""),"",IF(AND($J152&lt;&gt;"",$K152&lt;&gt;"",$J152=$K152,$J152&gt;=Z$3,$J152&lt;=IF(param_mode_affichage="mois",EOMONTH(Z$3,0),Z$3+6)),"◆",""))</f>
      </c>
      <c r="AA152" s="26">
        <f>IF(OR($A152="",AA$3=""),"",IF(AND($J152&lt;&gt;"",$K152&lt;&gt;"",$J152=$K152,$J152&gt;=AA$3,$J152&lt;=IF(param_mode_affichage="mois",EOMONTH(AA$3,0),AA$3+6)),"◆",""))</f>
      </c>
      <c r="AB152" s="26">
        <f>IF(OR($A152="",AB$3=""),"",IF(AND($J152&lt;&gt;"",$K152&lt;&gt;"",$J152=$K152,$J152&gt;=AB$3,$J152&lt;=IF(param_mode_affichage="mois",EOMONTH(AB$3,0),AB$3+6)),"◆",""))</f>
      </c>
      <c r="AC152" s="26">
        <f>IF(OR($A152="",AC$3=""),"",IF(AND($J152&lt;&gt;"",$K152&lt;&gt;"",$J152=$K152,$J152&gt;=AC$3,$J152&lt;=IF(param_mode_affichage="mois",EOMONTH(AC$3,0),AC$3+6)),"◆",""))</f>
      </c>
      <c r="AD152" s="26">
        <f>IF(OR($A152="",AD$3=""),"",IF(AND($J152&lt;&gt;"",$K152&lt;&gt;"",$J152=$K152,$J152&gt;=AD$3,$J152&lt;=IF(param_mode_affichage="mois",EOMONTH(AD$3,0),AD$3+6)),"◆",""))</f>
      </c>
      <c r="AE152" s="26">
        <f>IF(OR($A152="",AE$3=""),"",IF(AND($J152&lt;&gt;"",$K152&lt;&gt;"",$J152=$K152,$J152&gt;=AE$3,$J152&lt;=IF(param_mode_affichage="mois",EOMONTH(AE$3,0),AE$3+6)),"◆",""))</f>
      </c>
      <c r="AF152" s="26">
        <f>IF(OR($A152="",AF$3=""),"",IF(AND($J152&lt;&gt;"",$K152&lt;&gt;"",$J152=$K152,$J152&gt;=AF$3,$J152&lt;=IF(param_mode_affichage="mois",EOMONTH(AF$3,0),AF$3+6)),"◆",""))</f>
      </c>
      <c r="AG152" s="26">
        <f>IF(OR($A152="",AG$3=""),"",IF(AND($J152&lt;&gt;"",$K152&lt;&gt;"",$J152=$K152,$J152&gt;=AG$3,$J152&lt;=IF(param_mode_affichage="mois",EOMONTH(AG$3,0),AG$3+6)),"◆",""))</f>
      </c>
      <c r="AH152" s="26">
        <f>IF(OR($A152="",AH$3=""),"",IF(AND($J152&lt;&gt;"",$K152&lt;&gt;"",$J152=$K152,$J152&gt;=AH$3,$J152&lt;=IF(param_mode_affichage="mois",EOMONTH(AH$3,0),AH$3+6)),"◆",""))</f>
      </c>
      <c r="AI152" s="26">
        <f>IF(OR($A152="",AI$3=""),"",IF(AND($J152&lt;&gt;"",$K152&lt;&gt;"",$J152=$K152,$J152&gt;=AI$3,$J152&lt;=IF(param_mode_affichage="mois",EOMONTH(AI$3,0),AI$3+6)),"◆",""))</f>
      </c>
      <c r="AJ152" s="26">
        <f>IF(OR($A152="",AJ$3=""),"",IF(AND($J152&lt;&gt;"",$K152&lt;&gt;"",$J152=$K152,$J152&gt;=AJ$3,$J152&lt;=IF(param_mode_affichage="mois",EOMONTH(AJ$3,0),AJ$3+6)),"◆",""))</f>
      </c>
      <c r="AK152" s="26">
        <f>IF(OR($A152="",AK$3=""),"",IF(AND($J152&lt;&gt;"",$K152&lt;&gt;"",$J152=$K152,$J152&gt;=AK$3,$J152&lt;=IF(param_mode_affichage="mois",EOMONTH(AK$3,0),AK$3+6)),"◆",""))</f>
      </c>
      <c r="AL152" s="26">
        <f>IF(OR($A152="",AL$3=""),"",IF(AND($J152&lt;&gt;"",$K152&lt;&gt;"",$J152=$K152,$J152&gt;=AL$3,$J152&lt;=IF(param_mode_affichage="mois",EOMONTH(AL$3,0),AL$3+6)),"◆",""))</f>
      </c>
      <c r="AM152" s="26">
        <f>IF(OR($A152="",AM$3=""),"",IF(AND($J152&lt;&gt;"",$K152&lt;&gt;"",$J152=$K152,$J152&gt;=AM$3,$J152&lt;=IF(param_mode_affichage="mois",EOMONTH(AM$3,0),AM$3+6)),"◆",""))</f>
      </c>
      <c r="AN152" s="26">
        <f>IF(OR($A152="",AN$3=""),"",IF(AND($J152&lt;&gt;"",$K152&lt;&gt;"",$J152=$K152,$J152&gt;=AN$3,$J152&lt;=IF(param_mode_affichage="mois",EOMONTH(AN$3,0),AN$3+6)),"◆",""))</f>
      </c>
      <c r="AO152" s="26">
        <f>IF(OR($A152="",AO$3=""),"",IF(AND($J152&lt;&gt;"",$K152&lt;&gt;"",$J152=$K152,$J152&gt;=AO$3,$J152&lt;=IF(param_mode_affichage="mois",EOMONTH(AO$3,0),AO$3+6)),"◆",""))</f>
      </c>
      <c r="AP152" s="26">
        <f>IF(OR($A152="",AP$3=""),"",IF(AND($J152&lt;&gt;"",$K152&lt;&gt;"",$J152=$K152,$J152&gt;=AP$3,$J152&lt;=IF(param_mode_affichage="mois",EOMONTH(AP$3,0),AP$3+6)),"◆",""))</f>
      </c>
      <c r="AQ152" s="26">
        <f>IF(OR($A152="",AQ$3=""),"",IF(AND($J152&lt;&gt;"",$K152&lt;&gt;"",$J152=$K152,$J152&gt;=AQ$3,$J152&lt;=IF(param_mode_affichage="mois",EOMONTH(AQ$3,0),AQ$3+6)),"◆",""))</f>
      </c>
      <c r="AR152" s="26">
        <f>IF(OR($A152="",AR$3=""),"",IF(AND($J152&lt;&gt;"",$K152&lt;&gt;"",$J152=$K152,$J152&gt;=AR$3,$J152&lt;=IF(param_mode_affichage="mois",EOMONTH(AR$3,0),AR$3+6)),"◆",""))</f>
      </c>
      <c r="AS152" s="26">
        <f>IF(OR($A152="",AS$3=""),"",IF(AND($J152&lt;&gt;"",$K152&lt;&gt;"",$J152=$K152,$J152&gt;=AS$3,$J152&lt;=IF(param_mode_affichage="mois",EOMONTH(AS$3,0),AS$3+6)),"◆",""))</f>
      </c>
      <c r="AT152" s="26">
        <f>IF(OR($A152="",AT$3=""),"",IF(AND($J152&lt;&gt;"",$K152&lt;&gt;"",$J152=$K152,$J152&gt;=AT$3,$J152&lt;=IF(param_mode_affichage="mois",EOMONTH(AT$3,0),AT$3+6)),"◆",""))</f>
      </c>
      <c r="AU152" s="26">
        <f>IF(OR($A152="",AU$3=""),"",IF(AND($J152&lt;&gt;"",$K152&lt;&gt;"",$J152=$K152,$J152&gt;=AU$3,$J152&lt;=IF(param_mode_affichage="mois",EOMONTH(AU$3,0),AU$3+6)),"◆",""))</f>
      </c>
      <c r="AV152" s="26">
        <f>IF(OR($A152="",AV$3=""),"",IF(AND($J152&lt;&gt;"",$K152&lt;&gt;"",$J152=$K152,$J152&gt;=AV$3,$J152&lt;=IF(param_mode_affichage="mois",EOMONTH(AV$3,0),AV$3+6)),"◆",""))</f>
      </c>
      <c r="AW152" s="26">
        <f>IF(OR($A152="",AW$3=""),"",IF(AND($J152&lt;&gt;"",$K152&lt;&gt;"",$J152=$K152,$J152&gt;=AW$3,$J152&lt;=IF(param_mode_affichage="mois",EOMONTH(AW$3,0),AW$3+6)),"◆",""))</f>
      </c>
      <c r="AX152" s="26">
        <f>IF(OR($A152="",AX$3=""),"",IF(AND($J152&lt;&gt;"",$K152&lt;&gt;"",$J152=$K152,$J152&gt;=AX$3,$J152&lt;=IF(param_mode_affichage="mois",EOMONTH(AX$3,0),AX$3+6)),"◆",""))</f>
      </c>
      <c r="AY152" s="26">
        <f>IF(OR($A152="",AY$3=""),"",IF(AND($J152&lt;&gt;"",$K152&lt;&gt;"",$J152=$K152,$J152&gt;=AY$3,$J152&lt;=IF(param_mode_affichage="mois",EOMONTH(AY$3,0),AY$3+6)),"◆",""))</f>
      </c>
      <c r="AZ152" s="26">
        <f>IF(OR($A152="",AZ$3=""),"",IF(AND($J152&lt;&gt;"",$K152&lt;&gt;"",$J152=$K152,$J152&gt;=AZ$3,$J152&lt;=IF(param_mode_affichage="mois",EOMONTH(AZ$3,0),AZ$3+6)),"◆",""))</f>
      </c>
      <c r="BA152" s="26">
        <f>IF(OR($A152="",BA$3=""),"",IF(AND($J152&lt;&gt;"",$K152&lt;&gt;"",$J152=$K152,$J152&gt;=BA$3,$J152&lt;=IF(param_mode_affichage="mois",EOMONTH(BA$3,0),BA$3+6)),"◆",""))</f>
      </c>
      <c r="BB152" s="26">
        <f>IF(OR($A152="",BB$3=""),"",IF(AND($J152&lt;&gt;"",$K152&lt;&gt;"",$J152=$K152,$J152&gt;=BB$3,$J152&lt;=IF(param_mode_affichage="mois",EOMONTH(BB$3,0),BB$3+6)),"◆",""))</f>
      </c>
      <c r="BC152" s="26">
        <f>IF(OR($A152="",BC$3=""),"",IF(AND($J152&lt;&gt;"",$K152&lt;&gt;"",$J152=$K152,$J152&gt;=BC$3,$J152&lt;=IF(param_mode_affichage="mois",EOMONTH(BC$3,0),BC$3+6)),"◆",""))</f>
      </c>
      <c r="BD152" s="26">
        <f>IF(OR($A152="",BD$3=""),"",IF(AND($J152&lt;&gt;"",$K152&lt;&gt;"",$J152=$K152,$J152&gt;=BD$3,$J152&lt;=IF(param_mode_affichage="mois",EOMONTH(BD$3,0),BD$3+6)),"◆",""))</f>
      </c>
      <c r="BE152" s="26">
        <f>IF(OR($A152="",BE$3=""),"",IF(AND($J152&lt;&gt;"",$K152&lt;&gt;"",$J152=$K152,$J152&gt;=BE$3,$J152&lt;=IF(param_mode_affichage="mois",EOMONTH(BE$3,0),BE$3+6)),"◆",""))</f>
      </c>
      <c r="BF152" s="26">
        <f>IF(OR($A152="",BF$3=""),"",IF(AND($J152&lt;&gt;"",$K152&lt;&gt;"",$J152=$K152,$J152&gt;=BF$3,$J152&lt;=IF(param_mode_affichage="mois",EOMONTH(BF$3,0),BF$3+6)),"◆",""))</f>
      </c>
      <c r="BG152" s="26">
        <f>IF(OR($A152="",BG$3=""),"",IF(AND($J152&lt;&gt;"",$K152&lt;&gt;"",$J152=$K152,$J152&gt;=BG$3,$J152&lt;=IF(param_mode_affichage="mois",EOMONTH(BG$3,0),BG$3+6)),"◆",""))</f>
      </c>
      <c r="BH152" s="26">
        <f>IF(OR($A152="",BH$3=""),"",IF(AND($J152&lt;&gt;"",$K152&lt;&gt;"",$J152=$K152,$J152&gt;=BH$3,$J152&lt;=IF(param_mode_affichage="mois",EOMONTH(BH$3,0),BH$3+6)),"◆",""))</f>
      </c>
      <c r="BI152" s="26">
        <f>IF(OR($A152="",BI$3=""),"",IF(AND($J152&lt;&gt;"",$K152&lt;&gt;"",$J152=$K152,$J152&gt;=BI$3,$J152&lt;=IF(param_mode_affichage="mois",EOMONTH(BI$3,0),BI$3+6)),"◆",""))</f>
      </c>
      <c r="BJ152" s="26">
        <f>IF(OR($A152="",BJ$3=""),"",IF(AND($J152&lt;&gt;"",$K152&lt;&gt;"",$J152=$K152,$J152&gt;=BJ$3,$J152&lt;=IF(param_mode_affichage="mois",EOMONTH(BJ$3,0),BJ$3+6)),"◆",""))</f>
      </c>
      <c r="BK152" s="26">
        <f>IF(OR($A152="",BK$3=""),"",IF(AND($J152&lt;&gt;"",$K152&lt;&gt;"",$J152=$K152,$J152&gt;=BK$3,$J152&lt;=IF(param_mode_affichage="mois",EOMONTH(BK$3,0),BK$3+6)),"◆",""))</f>
      </c>
      <c r="BL152" s="26">
        <f>IF(OR($A152="",BL$3=""),"",IF(AND($J152&lt;&gt;"",$K152&lt;&gt;"",$J152=$K152,$J152&gt;=BL$3,$J152&lt;=IF(param_mode_affichage="mois",EOMONTH(BL$3,0),BL$3+6)),"◆",""))</f>
      </c>
    </row>
    <row r="153" spans="1:64" x14ac:dyDescent="0.25">
      <c r="A153" s="23">
        <f>IFERROR(INDEX(tblTasks[ID],ROW()-4),"")</f>
      </c>
      <c r="B153" s="24">
        <f>IF($A153="","",INDEX(tblTasks[Sujet],ROW()-4))</f>
      </c>
      <c r="C153" s="23">
        <f>IF($A153="","",INDEX(tblTasks[Responsable],ROW()-4))</f>
      </c>
      <c r="D153" s="23">
        <f>IF($A153="","",INDEX(tblTasks[Statut],ROW()-4))</f>
      </c>
      <c r="E153" s="23">
        <f>IF($A153="","",INDEX(tblTasks[Depend_de],ROW()-4))</f>
      </c>
      <c r="F153" s="23">
        <f>IF($A153="","",INDEX(tblTasks[Blocage],ROW()-4))</f>
      </c>
      <c r="G153" s="23">
        <f>IF($A153="","",INDEX(tblTasks[Niveau_criticite],ROW()-4))</f>
      </c>
      <c r="H153" s="23">
        <f>IF($A153="","",INDEX(tblTasks[Goulot],ROW()-4))</f>
      </c>
      <c r="I153" s="23">
        <f>IF($A153="","",IF(LOWER($F153)="oui","non",IF($E153="","oui",IFERROR(IF(LOWER(INDEX(tblTasks[Statut],MATCH($E153,tblTasks[ID],0)))="clos","oui","non"),"non"))))</f>
      </c>
      <c r="J153" s="25">
        <f>IF($A153="","",INDEX(tblTasks[Date_debut_prevue],ROW()-4))</f>
      </c>
      <c r="K153" s="25">
        <f>IF($A153="","",INDEX(tblTasks[Date_fin_prevue],ROW()-4))</f>
      </c>
      <c r="L153" s="23">
        <f>IF($A153="","",INDEX(tblTasks[Irreversibilite],ROW()-4))</f>
      </c>
      <c r="M153" s="26">
        <f>IF(OR($A153="",M$3=""),"",IF(AND($J153&lt;&gt;"",$K153&lt;&gt;"",$J153=$K153,$J153&gt;=M$3,$J153&lt;=IF(param_mode_affichage="mois",EOMONTH(M$3,0),M$3+6)),"◆",""))</f>
      </c>
      <c r="N153" s="26">
        <f>IF(OR($A153="",N$3=""),"",IF(AND($J153&lt;&gt;"",$K153&lt;&gt;"",$J153=$K153,$J153&gt;=N$3,$J153&lt;=IF(param_mode_affichage="mois",EOMONTH(N$3,0),N$3+6)),"◆",""))</f>
      </c>
      <c r="O153" s="26">
        <f>IF(OR($A153="",O$3=""),"",IF(AND($J153&lt;&gt;"",$K153&lt;&gt;"",$J153=$K153,$J153&gt;=O$3,$J153&lt;=IF(param_mode_affichage="mois",EOMONTH(O$3,0),O$3+6)),"◆",""))</f>
      </c>
      <c r="P153" s="26">
        <f>IF(OR($A153="",P$3=""),"",IF(AND($J153&lt;&gt;"",$K153&lt;&gt;"",$J153=$K153,$J153&gt;=P$3,$J153&lt;=IF(param_mode_affichage="mois",EOMONTH(P$3,0),P$3+6)),"◆",""))</f>
      </c>
      <c r="Q153" s="26">
        <f>IF(OR($A153="",Q$3=""),"",IF(AND($J153&lt;&gt;"",$K153&lt;&gt;"",$J153=$K153,$J153&gt;=Q$3,$J153&lt;=IF(param_mode_affichage="mois",EOMONTH(Q$3,0),Q$3+6)),"◆",""))</f>
      </c>
      <c r="R153" s="26">
        <f>IF(OR($A153="",R$3=""),"",IF(AND($J153&lt;&gt;"",$K153&lt;&gt;"",$J153=$K153,$J153&gt;=R$3,$J153&lt;=IF(param_mode_affichage="mois",EOMONTH(R$3,0),R$3+6)),"◆",""))</f>
      </c>
      <c r="S153" s="26">
        <f>IF(OR($A153="",S$3=""),"",IF(AND($J153&lt;&gt;"",$K153&lt;&gt;"",$J153=$K153,$J153&gt;=S$3,$J153&lt;=IF(param_mode_affichage="mois",EOMONTH(S$3,0),S$3+6)),"◆",""))</f>
      </c>
      <c r="T153" s="26">
        <f>IF(OR($A153="",T$3=""),"",IF(AND($J153&lt;&gt;"",$K153&lt;&gt;"",$J153=$K153,$J153&gt;=T$3,$J153&lt;=IF(param_mode_affichage="mois",EOMONTH(T$3,0),T$3+6)),"◆",""))</f>
      </c>
      <c r="U153" s="26">
        <f>IF(OR($A153="",U$3=""),"",IF(AND($J153&lt;&gt;"",$K153&lt;&gt;"",$J153=$K153,$J153&gt;=U$3,$J153&lt;=IF(param_mode_affichage="mois",EOMONTH(U$3,0),U$3+6)),"◆",""))</f>
      </c>
      <c r="V153" s="26">
        <f>IF(OR($A153="",V$3=""),"",IF(AND($J153&lt;&gt;"",$K153&lt;&gt;"",$J153=$K153,$J153&gt;=V$3,$J153&lt;=IF(param_mode_affichage="mois",EOMONTH(V$3,0),V$3+6)),"◆",""))</f>
      </c>
      <c r="W153" s="26">
        <f>IF(OR($A153="",W$3=""),"",IF(AND($J153&lt;&gt;"",$K153&lt;&gt;"",$J153=$K153,$J153&gt;=W$3,$J153&lt;=IF(param_mode_affichage="mois",EOMONTH(W$3,0),W$3+6)),"◆",""))</f>
      </c>
      <c r="X153" s="26">
        <f>IF(OR($A153="",X$3=""),"",IF(AND($J153&lt;&gt;"",$K153&lt;&gt;"",$J153=$K153,$J153&gt;=X$3,$J153&lt;=IF(param_mode_affichage="mois",EOMONTH(X$3,0),X$3+6)),"◆",""))</f>
      </c>
      <c r="Y153" s="26">
        <f>IF(OR($A153="",Y$3=""),"",IF(AND($J153&lt;&gt;"",$K153&lt;&gt;"",$J153=$K153,$J153&gt;=Y$3,$J153&lt;=IF(param_mode_affichage="mois",EOMONTH(Y$3,0),Y$3+6)),"◆",""))</f>
      </c>
      <c r="Z153" s="26">
        <f>IF(OR($A153="",Z$3=""),"",IF(AND($J153&lt;&gt;"",$K153&lt;&gt;"",$J153=$K153,$J153&gt;=Z$3,$J153&lt;=IF(param_mode_affichage="mois",EOMONTH(Z$3,0),Z$3+6)),"◆",""))</f>
      </c>
      <c r="AA153" s="26">
        <f>IF(OR($A153="",AA$3=""),"",IF(AND($J153&lt;&gt;"",$K153&lt;&gt;"",$J153=$K153,$J153&gt;=AA$3,$J153&lt;=IF(param_mode_affichage="mois",EOMONTH(AA$3,0),AA$3+6)),"◆",""))</f>
      </c>
      <c r="AB153" s="26">
        <f>IF(OR($A153="",AB$3=""),"",IF(AND($J153&lt;&gt;"",$K153&lt;&gt;"",$J153=$K153,$J153&gt;=AB$3,$J153&lt;=IF(param_mode_affichage="mois",EOMONTH(AB$3,0),AB$3+6)),"◆",""))</f>
      </c>
      <c r="AC153" s="26">
        <f>IF(OR($A153="",AC$3=""),"",IF(AND($J153&lt;&gt;"",$K153&lt;&gt;"",$J153=$K153,$J153&gt;=AC$3,$J153&lt;=IF(param_mode_affichage="mois",EOMONTH(AC$3,0),AC$3+6)),"◆",""))</f>
      </c>
      <c r="AD153" s="26">
        <f>IF(OR($A153="",AD$3=""),"",IF(AND($J153&lt;&gt;"",$K153&lt;&gt;"",$J153=$K153,$J153&gt;=AD$3,$J153&lt;=IF(param_mode_affichage="mois",EOMONTH(AD$3,0),AD$3+6)),"◆",""))</f>
      </c>
      <c r="AE153" s="26">
        <f>IF(OR($A153="",AE$3=""),"",IF(AND($J153&lt;&gt;"",$K153&lt;&gt;"",$J153=$K153,$J153&gt;=AE$3,$J153&lt;=IF(param_mode_affichage="mois",EOMONTH(AE$3,0),AE$3+6)),"◆",""))</f>
      </c>
      <c r="AF153" s="26">
        <f>IF(OR($A153="",AF$3=""),"",IF(AND($J153&lt;&gt;"",$K153&lt;&gt;"",$J153=$K153,$J153&gt;=AF$3,$J153&lt;=IF(param_mode_affichage="mois",EOMONTH(AF$3,0),AF$3+6)),"◆",""))</f>
      </c>
      <c r="AG153" s="26">
        <f>IF(OR($A153="",AG$3=""),"",IF(AND($J153&lt;&gt;"",$K153&lt;&gt;"",$J153=$K153,$J153&gt;=AG$3,$J153&lt;=IF(param_mode_affichage="mois",EOMONTH(AG$3,0),AG$3+6)),"◆",""))</f>
      </c>
      <c r="AH153" s="26">
        <f>IF(OR($A153="",AH$3=""),"",IF(AND($J153&lt;&gt;"",$K153&lt;&gt;"",$J153=$K153,$J153&gt;=AH$3,$J153&lt;=IF(param_mode_affichage="mois",EOMONTH(AH$3,0),AH$3+6)),"◆",""))</f>
      </c>
      <c r="AI153" s="26">
        <f>IF(OR($A153="",AI$3=""),"",IF(AND($J153&lt;&gt;"",$K153&lt;&gt;"",$J153=$K153,$J153&gt;=AI$3,$J153&lt;=IF(param_mode_affichage="mois",EOMONTH(AI$3,0),AI$3+6)),"◆",""))</f>
      </c>
      <c r="AJ153" s="26">
        <f>IF(OR($A153="",AJ$3=""),"",IF(AND($J153&lt;&gt;"",$K153&lt;&gt;"",$J153=$K153,$J153&gt;=AJ$3,$J153&lt;=IF(param_mode_affichage="mois",EOMONTH(AJ$3,0),AJ$3+6)),"◆",""))</f>
      </c>
      <c r="AK153" s="26">
        <f>IF(OR($A153="",AK$3=""),"",IF(AND($J153&lt;&gt;"",$K153&lt;&gt;"",$J153=$K153,$J153&gt;=AK$3,$J153&lt;=IF(param_mode_affichage="mois",EOMONTH(AK$3,0),AK$3+6)),"◆",""))</f>
      </c>
      <c r="AL153" s="26">
        <f>IF(OR($A153="",AL$3=""),"",IF(AND($J153&lt;&gt;"",$K153&lt;&gt;"",$J153=$K153,$J153&gt;=AL$3,$J153&lt;=IF(param_mode_affichage="mois",EOMONTH(AL$3,0),AL$3+6)),"◆",""))</f>
      </c>
      <c r="AM153" s="26">
        <f>IF(OR($A153="",AM$3=""),"",IF(AND($J153&lt;&gt;"",$K153&lt;&gt;"",$J153=$K153,$J153&gt;=AM$3,$J153&lt;=IF(param_mode_affichage="mois",EOMONTH(AM$3,0),AM$3+6)),"◆",""))</f>
      </c>
      <c r="AN153" s="26">
        <f>IF(OR($A153="",AN$3=""),"",IF(AND($J153&lt;&gt;"",$K153&lt;&gt;"",$J153=$K153,$J153&gt;=AN$3,$J153&lt;=IF(param_mode_affichage="mois",EOMONTH(AN$3,0),AN$3+6)),"◆",""))</f>
      </c>
      <c r="AO153" s="26">
        <f>IF(OR($A153="",AO$3=""),"",IF(AND($J153&lt;&gt;"",$K153&lt;&gt;"",$J153=$K153,$J153&gt;=AO$3,$J153&lt;=IF(param_mode_affichage="mois",EOMONTH(AO$3,0),AO$3+6)),"◆",""))</f>
      </c>
      <c r="AP153" s="26">
        <f>IF(OR($A153="",AP$3=""),"",IF(AND($J153&lt;&gt;"",$K153&lt;&gt;"",$J153=$K153,$J153&gt;=AP$3,$J153&lt;=IF(param_mode_affichage="mois",EOMONTH(AP$3,0),AP$3+6)),"◆",""))</f>
      </c>
      <c r="AQ153" s="26">
        <f>IF(OR($A153="",AQ$3=""),"",IF(AND($J153&lt;&gt;"",$K153&lt;&gt;"",$J153=$K153,$J153&gt;=AQ$3,$J153&lt;=IF(param_mode_affichage="mois",EOMONTH(AQ$3,0),AQ$3+6)),"◆",""))</f>
      </c>
      <c r="AR153" s="26">
        <f>IF(OR($A153="",AR$3=""),"",IF(AND($J153&lt;&gt;"",$K153&lt;&gt;"",$J153=$K153,$J153&gt;=AR$3,$J153&lt;=IF(param_mode_affichage="mois",EOMONTH(AR$3,0),AR$3+6)),"◆",""))</f>
      </c>
      <c r="AS153" s="26">
        <f>IF(OR($A153="",AS$3=""),"",IF(AND($J153&lt;&gt;"",$K153&lt;&gt;"",$J153=$K153,$J153&gt;=AS$3,$J153&lt;=IF(param_mode_affichage="mois",EOMONTH(AS$3,0),AS$3+6)),"◆",""))</f>
      </c>
      <c r="AT153" s="26">
        <f>IF(OR($A153="",AT$3=""),"",IF(AND($J153&lt;&gt;"",$K153&lt;&gt;"",$J153=$K153,$J153&gt;=AT$3,$J153&lt;=IF(param_mode_affichage="mois",EOMONTH(AT$3,0),AT$3+6)),"◆",""))</f>
      </c>
      <c r="AU153" s="26">
        <f>IF(OR($A153="",AU$3=""),"",IF(AND($J153&lt;&gt;"",$K153&lt;&gt;"",$J153=$K153,$J153&gt;=AU$3,$J153&lt;=IF(param_mode_affichage="mois",EOMONTH(AU$3,0),AU$3+6)),"◆",""))</f>
      </c>
      <c r="AV153" s="26">
        <f>IF(OR($A153="",AV$3=""),"",IF(AND($J153&lt;&gt;"",$K153&lt;&gt;"",$J153=$K153,$J153&gt;=AV$3,$J153&lt;=IF(param_mode_affichage="mois",EOMONTH(AV$3,0),AV$3+6)),"◆",""))</f>
      </c>
      <c r="AW153" s="26">
        <f>IF(OR($A153="",AW$3=""),"",IF(AND($J153&lt;&gt;"",$K153&lt;&gt;"",$J153=$K153,$J153&gt;=AW$3,$J153&lt;=IF(param_mode_affichage="mois",EOMONTH(AW$3,0),AW$3+6)),"◆",""))</f>
      </c>
      <c r="AX153" s="26">
        <f>IF(OR($A153="",AX$3=""),"",IF(AND($J153&lt;&gt;"",$K153&lt;&gt;"",$J153=$K153,$J153&gt;=AX$3,$J153&lt;=IF(param_mode_affichage="mois",EOMONTH(AX$3,0),AX$3+6)),"◆",""))</f>
      </c>
      <c r="AY153" s="26">
        <f>IF(OR($A153="",AY$3=""),"",IF(AND($J153&lt;&gt;"",$K153&lt;&gt;"",$J153=$K153,$J153&gt;=AY$3,$J153&lt;=IF(param_mode_affichage="mois",EOMONTH(AY$3,0),AY$3+6)),"◆",""))</f>
      </c>
      <c r="AZ153" s="26">
        <f>IF(OR($A153="",AZ$3=""),"",IF(AND($J153&lt;&gt;"",$K153&lt;&gt;"",$J153=$K153,$J153&gt;=AZ$3,$J153&lt;=IF(param_mode_affichage="mois",EOMONTH(AZ$3,0),AZ$3+6)),"◆",""))</f>
      </c>
      <c r="BA153" s="26">
        <f>IF(OR($A153="",BA$3=""),"",IF(AND($J153&lt;&gt;"",$K153&lt;&gt;"",$J153=$K153,$J153&gt;=BA$3,$J153&lt;=IF(param_mode_affichage="mois",EOMONTH(BA$3,0),BA$3+6)),"◆",""))</f>
      </c>
      <c r="BB153" s="26">
        <f>IF(OR($A153="",BB$3=""),"",IF(AND($J153&lt;&gt;"",$K153&lt;&gt;"",$J153=$K153,$J153&gt;=BB$3,$J153&lt;=IF(param_mode_affichage="mois",EOMONTH(BB$3,0),BB$3+6)),"◆",""))</f>
      </c>
      <c r="BC153" s="26">
        <f>IF(OR($A153="",BC$3=""),"",IF(AND($J153&lt;&gt;"",$K153&lt;&gt;"",$J153=$K153,$J153&gt;=BC$3,$J153&lt;=IF(param_mode_affichage="mois",EOMONTH(BC$3,0),BC$3+6)),"◆",""))</f>
      </c>
      <c r="BD153" s="26">
        <f>IF(OR($A153="",BD$3=""),"",IF(AND($J153&lt;&gt;"",$K153&lt;&gt;"",$J153=$K153,$J153&gt;=BD$3,$J153&lt;=IF(param_mode_affichage="mois",EOMONTH(BD$3,0),BD$3+6)),"◆",""))</f>
      </c>
      <c r="BE153" s="26">
        <f>IF(OR($A153="",BE$3=""),"",IF(AND($J153&lt;&gt;"",$K153&lt;&gt;"",$J153=$K153,$J153&gt;=BE$3,$J153&lt;=IF(param_mode_affichage="mois",EOMONTH(BE$3,0),BE$3+6)),"◆",""))</f>
      </c>
      <c r="BF153" s="26">
        <f>IF(OR($A153="",BF$3=""),"",IF(AND($J153&lt;&gt;"",$K153&lt;&gt;"",$J153=$K153,$J153&gt;=BF$3,$J153&lt;=IF(param_mode_affichage="mois",EOMONTH(BF$3,0),BF$3+6)),"◆",""))</f>
      </c>
      <c r="BG153" s="26">
        <f>IF(OR($A153="",BG$3=""),"",IF(AND($J153&lt;&gt;"",$K153&lt;&gt;"",$J153=$K153,$J153&gt;=BG$3,$J153&lt;=IF(param_mode_affichage="mois",EOMONTH(BG$3,0),BG$3+6)),"◆",""))</f>
      </c>
      <c r="BH153" s="26">
        <f>IF(OR($A153="",BH$3=""),"",IF(AND($J153&lt;&gt;"",$K153&lt;&gt;"",$J153=$K153,$J153&gt;=BH$3,$J153&lt;=IF(param_mode_affichage="mois",EOMONTH(BH$3,0),BH$3+6)),"◆",""))</f>
      </c>
      <c r="BI153" s="26">
        <f>IF(OR($A153="",BI$3=""),"",IF(AND($J153&lt;&gt;"",$K153&lt;&gt;"",$J153=$K153,$J153&gt;=BI$3,$J153&lt;=IF(param_mode_affichage="mois",EOMONTH(BI$3,0),BI$3+6)),"◆",""))</f>
      </c>
      <c r="BJ153" s="26">
        <f>IF(OR($A153="",BJ$3=""),"",IF(AND($J153&lt;&gt;"",$K153&lt;&gt;"",$J153=$K153,$J153&gt;=BJ$3,$J153&lt;=IF(param_mode_affichage="mois",EOMONTH(BJ$3,0),BJ$3+6)),"◆",""))</f>
      </c>
      <c r="BK153" s="26">
        <f>IF(OR($A153="",BK$3=""),"",IF(AND($J153&lt;&gt;"",$K153&lt;&gt;"",$J153=$K153,$J153&gt;=BK$3,$J153&lt;=IF(param_mode_affichage="mois",EOMONTH(BK$3,0),BK$3+6)),"◆",""))</f>
      </c>
      <c r="BL153" s="26">
        <f>IF(OR($A153="",BL$3=""),"",IF(AND($J153&lt;&gt;"",$K153&lt;&gt;"",$J153=$K153,$J153&gt;=BL$3,$J153&lt;=IF(param_mode_affichage="mois",EOMONTH(BL$3,0),BL$3+6)),"◆",""))</f>
      </c>
    </row>
    <row r="154" spans="1:64" x14ac:dyDescent="0.25">
      <c r="A154" s="23">
        <f>IFERROR(INDEX(tblTasks[ID],ROW()-4),"")</f>
      </c>
      <c r="B154" s="24">
        <f>IF($A154="","",INDEX(tblTasks[Sujet],ROW()-4))</f>
      </c>
      <c r="C154" s="23">
        <f>IF($A154="","",INDEX(tblTasks[Responsable],ROW()-4))</f>
      </c>
      <c r="D154" s="23">
        <f>IF($A154="","",INDEX(tblTasks[Statut],ROW()-4))</f>
      </c>
      <c r="E154" s="23">
        <f>IF($A154="","",INDEX(tblTasks[Depend_de],ROW()-4))</f>
      </c>
      <c r="F154" s="23">
        <f>IF($A154="","",INDEX(tblTasks[Blocage],ROW()-4))</f>
      </c>
      <c r="G154" s="23">
        <f>IF($A154="","",INDEX(tblTasks[Niveau_criticite],ROW()-4))</f>
      </c>
      <c r="H154" s="23">
        <f>IF($A154="","",INDEX(tblTasks[Goulot],ROW()-4))</f>
      </c>
      <c r="I154" s="23">
        <f>IF($A154="","",IF(LOWER($F154)="oui","non",IF($E154="","oui",IFERROR(IF(LOWER(INDEX(tblTasks[Statut],MATCH($E154,tblTasks[ID],0)))="clos","oui","non"),"non"))))</f>
      </c>
      <c r="J154" s="25">
        <f>IF($A154="","",INDEX(tblTasks[Date_debut_prevue],ROW()-4))</f>
      </c>
      <c r="K154" s="25">
        <f>IF($A154="","",INDEX(tblTasks[Date_fin_prevue],ROW()-4))</f>
      </c>
      <c r="L154" s="23">
        <f>IF($A154="","",INDEX(tblTasks[Irreversibilite],ROW()-4))</f>
      </c>
      <c r="M154" s="26">
        <f>IF(OR($A154="",M$3=""),"",IF(AND($J154&lt;&gt;"",$K154&lt;&gt;"",$J154=$K154,$J154&gt;=M$3,$J154&lt;=IF(param_mode_affichage="mois",EOMONTH(M$3,0),M$3+6)),"◆",""))</f>
      </c>
      <c r="N154" s="26">
        <f>IF(OR($A154="",N$3=""),"",IF(AND($J154&lt;&gt;"",$K154&lt;&gt;"",$J154=$K154,$J154&gt;=N$3,$J154&lt;=IF(param_mode_affichage="mois",EOMONTH(N$3,0),N$3+6)),"◆",""))</f>
      </c>
      <c r="O154" s="26">
        <f>IF(OR($A154="",O$3=""),"",IF(AND($J154&lt;&gt;"",$K154&lt;&gt;"",$J154=$K154,$J154&gt;=O$3,$J154&lt;=IF(param_mode_affichage="mois",EOMONTH(O$3,0),O$3+6)),"◆",""))</f>
      </c>
      <c r="P154" s="26">
        <f>IF(OR($A154="",P$3=""),"",IF(AND($J154&lt;&gt;"",$K154&lt;&gt;"",$J154=$K154,$J154&gt;=P$3,$J154&lt;=IF(param_mode_affichage="mois",EOMONTH(P$3,0),P$3+6)),"◆",""))</f>
      </c>
      <c r="Q154" s="26">
        <f>IF(OR($A154="",Q$3=""),"",IF(AND($J154&lt;&gt;"",$K154&lt;&gt;"",$J154=$K154,$J154&gt;=Q$3,$J154&lt;=IF(param_mode_affichage="mois",EOMONTH(Q$3,0),Q$3+6)),"◆",""))</f>
      </c>
      <c r="R154" s="26">
        <f>IF(OR($A154="",R$3=""),"",IF(AND($J154&lt;&gt;"",$K154&lt;&gt;"",$J154=$K154,$J154&gt;=R$3,$J154&lt;=IF(param_mode_affichage="mois",EOMONTH(R$3,0),R$3+6)),"◆",""))</f>
      </c>
      <c r="S154" s="26">
        <f>IF(OR($A154="",S$3=""),"",IF(AND($J154&lt;&gt;"",$K154&lt;&gt;"",$J154=$K154,$J154&gt;=S$3,$J154&lt;=IF(param_mode_affichage="mois",EOMONTH(S$3,0),S$3+6)),"◆",""))</f>
      </c>
      <c r="T154" s="26">
        <f>IF(OR($A154="",T$3=""),"",IF(AND($J154&lt;&gt;"",$K154&lt;&gt;"",$J154=$K154,$J154&gt;=T$3,$J154&lt;=IF(param_mode_affichage="mois",EOMONTH(T$3,0),T$3+6)),"◆",""))</f>
      </c>
      <c r="U154" s="26">
        <f>IF(OR($A154="",U$3=""),"",IF(AND($J154&lt;&gt;"",$K154&lt;&gt;"",$J154=$K154,$J154&gt;=U$3,$J154&lt;=IF(param_mode_affichage="mois",EOMONTH(U$3,0),U$3+6)),"◆",""))</f>
      </c>
      <c r="V154" s="26">
        <f>IF(OR($A154="",V$3=""),"",IF(AND($J154&lt;&gt;"",$K154&lt;&gt;"",$J154=$K154,$J154&gt;=V$3,$J154&lt;=IF(param_mode_affichage="mois",EOMONTH(V$3,0),V$3+6)),"◆",""))</f>
      </c>
      <c r="W154" s="26">
        <f>IF(OR($A154="",W$3=""),"",IF(AND($J154&lt;&gt;"",$K154&lt;&gt;"",$J154=$K154,$J154&gt;=W$3,$J154&lt;=IF(param_mode_affichage="mois",EOMONTH(W$3,0),W$3+6)),"◆",""))</f>
      </c>
      <c r="X154" s="26">
        <f>IF(OR($A154="",X$3=""),"",IF(AND($J154&lt;&gt;"",$K154&lt;&gt;"",$J154=$K154,$J154&gt;=X$3,$J154&lt;=IF(param_mode_affichage="mois",EOMONTH(X$3,0),X$3+6)),"◆",""))</f>
      </c>
      <c r="Y154" s="26">
        <f>IF(OR($A154="",Y$3=""),"",IF(AND($J154&lt;&gt;"",$K154&lt;&gt;"",$J154=$K154,$J154&gt;=Y$3,$J154&lt;=IF(param_mode_affichage="mois",EOMONTH(Y$3,0),Y$3+6)),"◆",""))</f>
      </c>
      <c r="Z154" s="26">
        <f>IF(OR($A154="",Z$3=""),"",IF(AND($J154&lt;&gt;"",$K154&lt;&gt;"",$J154=$K154,$J154&gt;=Z$3,$J154&lt;=IF(param_mode_affichage="mois",EOMONTH(Z$3,0),Z$3+6)),"◆",""))</f>
      </c>
      <c r="AA154" s="26">
        <f>IF(OR($A154="",AA$3=""),"",IF(AND($J154&lt;&gt;"",$K154&lt;&gt;"",$J154=$K154,$J154&gt;=AA$3,$J154&lt;=IF(param_mode_affichage="mois",EOMONTH(AA$3,0),AA$3+6)),"◆",""))</f>
      </c>
      <c r="AB154" s="26">
        <f>IF(OR($A154="",AB$3=""),"",IF(AND($J154&lt;&gt;"",$K154&lt;&gt;"",$J154=$K154,$J154&gt;=AB$3,$J154&lt;=IF(param_mode_affichage="mois",EOMONTH(AB$3,0),AB$3+6)),"◆",""))</f>
      </c>
      <c r="AC154" s="26">
        <f>IF(OR($A154="",AC$3=""),"",IF(AND($J154&lt;&gt;"",$K154&lt;&gt;"",$J154=$K154,$J154&gt;=AC$3,$J154&lt;=IF(param_mode_affichage="mois",EOMONTH(AC$3,0),AC$3+6)),"◆",""))</f>
      </c>
      <c r="AD154" s="26">
        <f>IF(OR($A154="",AD$3=""),"",IF(AND($J154&lt;&gt;"",$K154&lt;&gt;"",$J154=$K154,$J154&gt;=AD$3,$J154&lt;=IF(param_mode_affichage="mois",EOMONTH(AD$3,0),AD$3+6)),"◆",""))</f>
      </c>
      <c r="AE154" s="26">
        <f>IF(OR($A154="",AE$3=""),"",IF(AND($J154&lt;&gt;"",$K154&lt;&gt;"",$J154=$K154,$J154&gt;=AE$3,$J154&lt;=IF(param_mode_affichage="mois",EOMONTH(AE$3,0),AE$3+6)),"◆",""))</f>
      </c>
      <c r="AF154" s="26">
        <f>IF(OR($A154="",AF$3=""),"",IF(AND($J154&lt;&gt;"",$K154&lt;&gt;"",$J154=$K154,$J154&gt;=AF$3,$J154&lt;=IF(param_mode_affichage="mois",EOMONTH(AF$3,0),AF$3+6)),"◆",""))</f>
      </c>
      <c r="AG154" s="26">
        <f>IF(OR($A154="",AG$3=""),"",IF(AND($J154&lt;&gt;"",$K154&lt;&gt;"",$J154=$K154,$J154&gt;=AG$3,$J154&lt;=IF(param_mode_affichage="mois",EOMONTH(AG$3,0),AG$3+6)),"◆",""))</f>
      </c>
      <c r="AH154" s="26">
        <f>IF(OR($A154="",AH$3=""),"",IF(AND($J154&lt;&gt;"",$K154&lt;&gt;"",$J154=$K154,$J154&gt;=AH$3,$J154&lt;=IF(param_mode_affichage="mois",EOMONTH(AH$3,0),AH$3+6)),"◆",""))</f>
      </c>
      <c r="AI154" s="26">
        <f>IF(OR($A154="",AI$3=""),"",IF(AND($J154&lt;&gt;"",$K154&lt;&gt;"",$J154=$K154,$J154&gt;=AI$3,$J154&lt;=IF(param_mode_affichage="mois",EOMONTH(AI$3,0),AI$3+6)),"◆",""))</f>
      </c>
      <c r="AJ154" s="26">
        <f>IF(OR($A154="",AJ$3=""),"",IF(AND($J154&lt;&gt;"",$K154&lt;&gt;"",$J154=$K154,$J154&gt;=AJ$3,$J154&lt;=IF(param_mode_affichage="mois",EOMONTH(AJ$3,0),AJ$3+6)),"◆",""))</f>
      </c>
      <c r="AK154" s="26">
        <f>IF(OR($A154="",AK$3=""),"",IF(AND($J154&lt;&gt;"",$K154&lt;&gt;"",$J154=$K154,$J154&gt;=AK$3,$J154&lt;=IF(param_mode_affichage="mois",EOMONTH(AK$3,0),AK$3+6)),"◆",""))</f>
      </c>
      <c r="AL154" s="26">
        <f>IF(OR($A154="",AL$3=""),"",IF(AND($J154&lt;&gt;"",$K154&lt;&gt;"",$J154=$K154,$J154&gt;=AL$3,$J154&lt;=IF(param_mode_affichage="mois",EOMONTH(AL$3,0),AL$3+6)),"◆",""))</f>
      </c>
      <c r="AM154" s="26">
        <f>IF(OR($A154="",AM$3=""),"",IF(AND($J154&lt;&gt;"",$K154&lt;&gt;"",$J154=$K154,$J154&gt;=AM$3,$J154&lt;=IF(param_mode_affichage="mois",EOMONTH(AM$3,0),AM$3+6)),"◆",""))</f>
      </c>
      <c r="AN154" s="26">
        <f>IF(OR($A154="",AN$3=""),"",IF(AND($J154&lt;&gt;"",$K154&lt;&gt;"",$J154=$K154,$J154&gt;=AN$3,$J154&lt;=IF(param_mode_affichage="mois",EOMONTH(AN$3,0),AN$3+6)),"◆",""))</f>
      </c>
      <c r="AO154" s="26">
        <f>IF(OR($A154="",AO$3=""),"",IF(AND($J154&lt;&gt;"",$K154&lt;&gt;"",$J154=$K154,$J154&gt;=AO$3,$J154&lt;=IF(param_mode_affichage="mois",EOMONTH(AO$3,0),AO$3+6)),"◆",""))</f>
      </c>
      <c r="AP154" s="26">
        <f>IF(OR($A154="",AP$3=""),"",IF(AND($J154&lt;&gt;"",$K154&lt;&gt;"",$J154=$K154,$J154&gt;=AP$3,$J154&lt;=IF(param_mode_affichage="mois",EOMONTH(AP$3,0),AP$3+6)),"◆",""))</f>
      </c>
      <c r="AQ154" s="26">
        <f>IF(OR($A154="",AQ$3=""),"",IF(AND($J154&lt;&gt;"",$K154&lt;&gt;"",$J154=$K154,$J154&gt;=AQ$3,$J154&lt;=IF(param_mode_affichage="mois",EOMONTH(AQ$3,0),AQ$3+6)),"◆",""))</f>
      </c>
      <c r="AR154" s="26">
        <f>IF(OR($A154="",AR$3=""),"",IF(AND($J154&lt;&gt;"",$K154&lt;&gt;"",$J154=$K154,$J154&gt;=AR$3,$J154&lt;=IF(param_mode_affichage="mois",EOMONTH(AR$3,0),AR$3+6)),"◆",""))</f>
      </c>
      <c r="AS154" s="26">
        <f>IF(OR($A154="",AS$3=""),"",IF(AND($J154&lt;&gt;"",$K154&lt;&gt;"",$J154=$K154,$J154&gt;=AS$3,$J154&lt;=IF(param_mode_affichage="mois",EOMONTH(AS$3,0),AS$3+6)),"◆",""))</f>
      </c>
      <c r="AT154" s="26">
        <f>IF(OR($A154="",AT$3=""),"",IF(AND($J154&lt;&gt;"",$K154&lt;&gt;"",$J154=$K154,$J154&gt;=AT$3,$J154&lt;=IF(param_mode_affichage="mois",EOMONTH(AT$3,0),AT$3+6)),"◆",""))</f>
      </c>
      <c r="AU154" s="26">
        <f>IF(OR($A154="",AU$3=""),"",IF(AND($J154&lt;&gt;"",$K154&lt;&gt;"",$J154=$K154,$J154&gt;=AU$3,$J154&lt;=IF(param_mode_affichage="mois",EOMONTH(AU$3,0),AU$3+6)),"◆",""))</f>
      </c>
      <c r="AV154" s="26">
        <f>IF(OR($A154="",AV$3=""),"",IF(AND($J154&lt;&gt;"",$K154&lt;&gt;"",$J154=$K154,$J154&gt;=AV$3,$J154&lt;=IF(param_mode_affichage="mois",EOMONTH(AV$3,0),AV$3+6)),"◆",""))</f>
      </c>
      <c r="AW154" s="26">
        <f>IF(OR($A154="",AW$3=""),"",IF(AND($J154&lt;&gt;"",$K154&lt;&gt;"",$J154=$K154,$J154&gt;=AW$3,$J154&lt;=IF(param_mode_affichage="mois",EOMONTH(AW$3,0),AW$3+6)),"◆",""))</f>
      </c>
      <c r="AX154" s="26">
        <f>IF(OR($A154="",AX$3=""),"",IF(AND($J154&lt;&gt;"",$K154&lt;&gt;"",$J154=$K154,$J154&gt;=AX$3,$J154&lt;=IF(param_mode_affichage="mois",EOMONTH(AX$3,0),AX$3+6)),"◆",""))</f>
      </c>
      <c r="AY154" s="26">
        <f>IF(OR($A154="",AY$3=""),"",IF(AND($J154&lt;&gt;"",$K154&lt;&gt;"",$J154=$K154,$J154&gt;=AY$3,$J154&lt;=IF(param_mode_affichage="mois",EOMONTH(AY$3,0),AY$3+6)),"◆",""))</f>
      </c>
      <c r="AZ154" s="26">
        <f>IF(OR($A154="",AZ$3=""),"",IF(AND($J154&lt;&gt;"",$K154&lt;&gt;"",$J154=$K154,$J154&gt;=AZ$3,$J154&lt;=IF(param_mode_affichage="mois",EOMONTH(AZ$3,0),AZ$3+6)),"◆",""))</f>
      </c>
      <c r="BA154" s="26">
        <f>IF(OR($A154="",BA$3=""),"",IF(AND($J154&lt;&gt;"",$K154&lt;&gt;"",$J154=$K154,$J154&gt;=BA$3,$J154&lt;=IF(param_mode_affichage="mois",EOMONTH(BA$3,0),BA$3+6)),"◆",""))</f>
      </c>
      <c r="BB154" s="26">
        <f>IF(OR($A154="",BB$3=""),"",IF(AND($J154&lt;&gt;"",$K154&lt;&gt;"",$J154=$K154,$J154&gt;=BB$3,$J154&lt;=IF(param_mode_affichage="mois",EOMONTH(BB$3,0),BB$3+6)),"◆",""))</f>
      </c>
      <c r="BC154" s="26">
        <f>IF(OR($A154="",BC$3=""),"",IF(AND($J154&lt;&gt;"",$K154&lt;&gt;"",$J154=$K154,$J154&gt;=BC$3,$J154&lt;=IF(param_mode_affichage="mois",EOMONTH(BC$3,0),BC$3+6)),"◆",""))</f>
      </c>
      <c r="BD154" s="26">
        <f>IF(OR($A154="",BD$3=""),"",IF(AND($J154&lt;&gt;"",$K154&lt;&gt;"",$J154=$K154,$J154&gt;=BD$3,$J154&lt;=IF(param_mode_affichage="mois",EOMONTH(BD$3,0),BD$3+6)),"◆",""))</f>
      </c>
      <c r="BE154" s="26">
        <f>IF(OR($A154="",BE$3=""),"",IF(AND($J154&lt;&gt;"",$K154&lt;&gt;"",$J154=$K154,$J154&gt;=BE$3,$J154&lt;=IF(param_mode_affichage="mois",EOMONTH(BE$3,0),BE$3+6)),"◆",""))</f>
      </c>
      <c r="BF154" s="26">
        <f>IF(OR($A154="",BF$3=""),"",IF(AND($J154&lt;&gt;"",$K154&lt;&gt;"",$J154=$K154,$J154&gt;=BF$3,$J154&lt;=IF(param_mode_affichage="mois",EOMONTH(BF$3,0),BF$3+6)),"◆",""))</f>
      </c>
      <c r="BG154" s="26">
        <f>IF(OR($A154="",BG$3=""),"",IF(AND($J154&lt;&gt;"",$K154&lt;&gt;"",$J154=$K154,$J154&gt;=BG$3,$J154&lt;=IF(param_mode_affichage="mois",EOMONTH(BG$3,0),BG$3+6)),"◆",""))</f>
      </c>
      <c r="BH154" s="26">
        <f>IF(OR($A154="",BH$3=""),"",IF(AND($J154&lt;&gt;"",$K154&lt;&gt;"",$J154=$K154,$J154&gt;=BH$3,$J154&lt;=IF(param_mode_affichage="mois",EOMONTH(BH$3,0),BH$3+6)),"◆",""))</f>
      </c>
      <c r="BI154" s="26">
        <f>IF(OR($A154="",BI$3=""),"",IF(AND($J154&lt;&gt;"",$K154&lt;&gt;"",$J154=$K154,$J154&gt;=BI$3,$J154&lt;=IF(param_mode_affichage="mois",EOMONTH(BI$3,0),BI$3+6)),"◆",""))</f>
      </c>
      <c r="BJ154" s="26">
        <f>IF(OR($A154="",BJ$3=""),"",IF(AND($J154&lt;&gt;"",$K154&lt;&gt;"",$J154=$K154,$J154&gt;=BJ$3,$J154&lt;=IF(param_mode_affichage="mois",EOMONTH(BJ$3,0),BJ$3+6)),"◆",""))</f>
      </c>
      <c r="BK154" s="26">
        <f>IF(OR($A154="",BK$3=""),"",IF(AND($J154&lt;&gt;"",$K154&lt;&gt;"",$J154=$K154,$J154&gt;=BK$3,$J154&lt;=IF(param_mode_affichage="mois",EOMONTH(BK$3,0),BK$3+6)),"◆",""))</f>
      </c>
      <c r="BL154" s="26">
        <f>IF(OR($A154="",BL$3=""),"",IF(AND($J154&lt;&gt;"",$K154&lt;&gt;"",$J154=$K154,$J154&gt;=BL$3,$J154&lt;=IF(param_mode_affichage="mois",EOMONTH(BL$3,0),BL$3+6)),"◆",""))</f>
      </c>
    </row>
    <row r="155" spans="1:64" x14ac:dyDescent="0.25">
      <c r="A155" s="23">
        <f>IFERROR(INDEX(tblTasks[ID],ROW()-4),"")</f>
      </c>
      <c r="B155" s="24">
        <f>IF($A155="","",INDEX(tblTasks[Sujet],ROW()-4))</f>
      </c>
      <c r="C155" s="23">
        <f>IF($A155="","",INDEX(tblTasks[Responsable],ROW()-4))</f>
      </c>
      <c r="D155" s="23">
        <f>IF($A155="","",INDEX(tblTasks[Statut],ROW()-4))</f>
      </c>
      <c r="E155" s="23">
        <f>IF($A155="","",INDEX(tblTasks[Depend_de],ROW()-4))</f>
      </c>
      <c r="F155" s="23">
        <f>IF($A155="","",INDEX(tblTasks[Blocage],ROW()-4))</f>
      </c>
      <c r="G155" s="23">
        <f>IF($A155="","",INDEX(tblTasks[Niveau_criticite],ROW()-4))</f>
      </c>
      <c r="H155" s="23">
        <f>IF($A155="","",INDEX(tblTasks[Goulot],ROW()-4))</f>
      </c>
      <c r="I155" s="23">
        <f>IF($A155="","",IF(LOWER($F155)="oui","non",IF($E155="","oui",IFERROR(IF(LOWER(INDEX(tblTasks[Statut],MATCH($E155,tblTasks[ID],0)))="clos","oui","non"),"non"))))</f>
      </c>
      <c r="J155" s="25">
        <f>IF($A155="","",INDEX(tblTasks[Date_debut_prevue],ROW()-4))</f>
      </c>
      <c r="K155" s="25">
        <f>IF($A155="","",INDEX(tblTasks[Date_fin_prevue],ROW()-4))</f>
      </c>
      <c r="L155" s="23">
        <f>IF($A155="","",INDEX(tblTasks[Irreversibilite],ROW()-4))</f>
      </c>
      <c r="M155" s="26">
        <f>IF(OR($A155="",M$3=""),"",IF(AND($J155&lt;&gt;"",$K155&lt;&gt;"",$J155=$K155,$J155&gt;=M$3,$J155&lt;=IF(param_mode_affichage="mois",EOMONTH(M$3,0),M$3+6)),"◆",""))</f>
      </c>
      <c r="N155" s="26">
        <f>IF(OR($A155="",N$3=""),"",IF(AND($J155&lt;&gt;"",$K155&lt;&gt;"",$J155=$K155,$J155&gt;=N$3,$J155&lt;=IF(param_mode_affichage="mois",EOMONTH(N$3,0),N$3+6)),"◆",""))</f>
      </c>
      <c r="O155" s="26">
        <f>IF(OR($A155="",O$3=""),"",IF(AND($J155&lt;&gt;"",$K155&lt;&gt;"",$J155=$K155,$J155&gt;=O$3,$J155&lt;=IF(param_mode_affichage="mois",EOMONTH(O$3,0),O$3+6)),"◆",""))</f>
      </c>
      <c r="P155" s="26">
        <f>IF(OR($A155="",P$3=""),"",IF(AND($J155&lt;&gt;"",$K155&lt;&gt;"",$J155=$K155,$J155&gt;=P$3,$J155&lt;=IF(param_mode_affichage="mois",EOMONTH(P$3,0),P$3+6)),"◆",""))</f>
      </c>
      <c r="Q155" s="26">
        <f>IF(OR($A155="",Q$3=""),"",IF(AND($J155&lt;&gt;"",$K155&lt;&gt;"",$J155=$K155,$J155&gt;=Q$3,$J155&lt;=IF(param_mode_affichage="mois",EOMONTH(Q$3,0),Q$3+6)),"◆",""))</f>
      </c>
      <c r="R155" s="26">
        <f>IF(OR($A155="",R$3=""),"",IF(AND($J155&lt;&gt;"",$K155&lt;&gt;"",$J155=$K155,$J155&gt;=R$3,$J155&lt;=IF(param_mode_affichage="mois",EOMONTH(R$3,0),R$3+6)),"◆",""))</f>
      </c>
      <c r="S155" s="26">
        <f>IF(OR($A155="",S$3=""),"",IF(AND($J155&lt;&gt;"",$K155&lt;&gt;"",$J155=$K155,$J155&gt;=S$3,$J155&lt;=IF(param_mode_affichage="mois",EOMONTH(S$3,0),S$3+6)),"◆",""))</f>
      </c>
      <c r="T155" s="26">
        <f>IF(OR($A155="",T$3=""),"",IF(AND($J155&lt;&gt;"",$K155&lt;&gt;"",$J155=$K155,$J155&gt;=T$3,$J155&lt;=IF(param_mode_affichage="mois",EOMONTH(T$3,0),T$3+6)),"◆",""))</f>
      </c>
      <c r="U155" s="26">
        <f>IF(OR($A155="",U$3=""),"",IF(AND($J155&lt;&gt;"",$K155&lt;&gt;"",$J155=$K155,$J155&gt;=U$3,$J155&lt;=IF(param_mode_affichage="mois",EOMONTH(U$3,0),U$3+6)),"◆",""))</f>
      </c>
      <c r="V155" s="26">
        <f>IF(OR($A155="",V$3=""),"",IF(AND($J155&lt;&gt;"",$K155&lt;&gt;"",$J155=$K155,$J155&gt;=V$3,$J155&lt;=IF(param_mode_affichage="mois",EOMONTH(V$3,0),V$3+6)),"◆",""))</f>
      </c>
      <c r="W155" s="26">
        <f>IF(OR($A155="",W$3=""),"",IF(AND($J155&lt;&gt;"",$K155&lt;&gt;"",$J155=$K155,$J155&gt;=W$3,$J155&lt;=IF(param_mode_affichage="mois",EOMONTH(W$3,0),W$3+6)),"◆",""))</f>
      </c>
      <c r="X155" s="26">
        <f>IF(OR($A155="",X$3=""),"",IF(AND($J155&lt;&gt;"",$K155&lt;&gt;"",$J155=$K155,$J155&gt;=X$3,$J155&lt;=IF(param_mode_affichage="mois",EOMONTH(X$3,0),X$3+6)),"◆",""))</f>
      </c>
      <c r="Y155" s="26">
        <f>IF(OR($A155="",Y$3=""),"",IF(AND($J155&lt;&gt;"",$K155&lt;&gt;"",$J155=$K155,$J155&gt;=Y$3,$J155&lt;=IF(param_mode_affichage="mois",EOMONTH(Y$3,0),Y$3+6)),"◆",""))</f>
      </c>
      <c r="Z155" s="26">
        <f>IF(OR($A155="",Z$3=""),"",IF(AND($J155&lt;&gt;"",$K155&lt;&gt;"",$J155=$K155,$J155&gt;=Z$3,$J155&lt;=IF(param_mode_affichage="mois",EOMONTH(Z$3,0),Z$3+6)),"◆",""))</f>
      </c>
      <c r="AA155" s="26">
        <f>IF(OR($A155="",AA$3=""),"",IF(AND($J155&lt;&gt;"",$K155&lt;&gt;"",$J155=$K155,$J155&gt;=AA$3,$J155&lt;=IF(param_mode_affichage="mois",EOMONTH(AA$3,0),AA$3+6)),"◆",""))</f>
      </c>
      <c r="AB155" s="26">
        <f>IF(OR($A155="",AB$3=""),"",IF(AND($J155&lt;&gt;"",$K155&lt;&gt;"",$J155=$K155,$J155&gt;=AB$3,$J155&lt;=IF(param_mode_affichage="mois",EOMONTH(AB$3,0),AB$3+6)),"◆",""))</f>
      </c>
      <c r="AC155" s="26">
        <f>IF(OR($A155="",AC$3=""),"",IF(AND($J155&lt;&gt;"",$K155&lt;&gt;"",$J155=$K155,$J155&gt;=AC$3,$J155&lt;=IF(param_mode_affichage="mois",EOMONTH(AC$3,0),AC$3+6)),"◆",""))</f>
      </c>
      <c r="AD155" s="26">
        <f>IF(OR($A155="",AD$3=""),"",IF(AND($J155&lt;&gt;"",$K155&lt;&gt;"",$J155=$K155,$J155&gt;=AD$3,$J155&lt;=IF(param_mode_affichage="mois",EOMONTH(AD$3,0),AD$3+6)),"◆",""))</f>
      </c>
      <c r="AE155" s="26">
        <f>IF(OR($A155="",AE$3=""),"",IF(AND($J155&lt;&gt;"",$K155&lt;&gt;"",$J155=$K155,$J155&gt;=AE$3,$J155&lt;=IF(param_mode_affichage="mois",EOMONTH(AE$3,0),AE$3+6)),"◆",""))</f>
      </c>
      <c r="AF155" s="26">
        <f>IF(OR($A155="",AF$3=""),"",IF(AND($J155&lt;&gt;"",$K155&lt;&gt;"",$J155=$K155,$J155&gt;=AF$3,$J155&lt;=IF(param_mode_affichage="mois",EOMONTH(AF$3,0),AF$3+6)),"◆",""))</f>
      </c>
      <c r="AG155" s="26">
        <f>IF(OR($A155="",AG$3=""),"",IF(AND($J155&lt;&gt;"",$K155&lt;&gt;"",$J155=$K155,$J155&gt;=AG$3,$J155&lt;=IF(param_mode_affichage="mois",EOMONTH(AG$3,0),AG$3+6)),"◆",""))</f>
      </c>
      <c r="AH155" s="26">
        <f>IF(OR($A155="",AH$3=""),"",IF(AND($J155&lt;&gt;"",$K155&lt;&gt;"",$J155=$K155,$J155&gt;=AH$3,$J155&lt;=IF(param_mode_affichage="mois",EOMONTH(AH$3,0),AH$3+6)),"◆",""))</f>
      </c>
      <c r="AI155" s="26">
        <f>IF(OR($A155="",AI$3=""),"",IF(AND($J155&lt;&gt;"",$K155&lt;&gt;"",$J155=$K155,$J155&gt;=AI$3,$J155&lt;=IF(param_mode_affichage="mois",EOMONTH(AI$3,0),AI$3+6)),"◆",""))</f>
      </c>
      <c r="AJ155" s="26">
        <f>IF(OR($A155="",AJ$3=""),"",IF(AND($J155&lt;&gt;"",$K155&lt;&gt;"",$J155=$K155,$J155&gt;=AJ$3,$J155&lt;=IF(param_mode_affichage="mois",EOMONTH(AJ$3,0),AJ$3+6)),"◆",""))</f>
      </c>
      <c r="AK155" s="26">
        <f>IF(OR($A155="",AK$3=""),"",IF(AND($J155&lt;&gt;"",$K155&lt;&gt;"",$J155=$K155,$J155&gt;=AK$3,$J155&lt;=IF(param_mode_affichage="mois",EOMONTH(AK$3,0),AK$3+6)),"◆",""))</f>
      </c>
      <c r="AL155" s="26">
        <f>IF(OR($A155="",AL$3=""),"",IF(AND($J155&lt;&gt;"",$K155&lt;&gt;"",$J155=$K155,$J155&gt;=AL$3,$J155&lt;=IF(param_mode_affichage="mois",EOMONTH(AL$3,0),AL$3+6)),"◆",""))</f>
      </c>
      <c r="AM155" s="26">
        <f>IF(OR($A155="",AM$3=""),"",IF(AND($J155&lt;&gt;"",$K155&lt;&gt;"",$J155=$K155,$J155&gt;=AM$3,$J155&lt;=IF(param_mode_affichage="mois",EOMONTH(AM$3,0),AM$3+6)),"◆",""))</f>
      </c>
      <c r="AN155" s="26">
        <f>IF(OR($A155="",AN$3=""),"",IF(AND($J155&lt;&gt;"",$K155&lt;&gt;"",$J155=$K155,$J155&gt;=AN$3,$J155&lt;=IF(param_mode_affichage="mois",EOMONTH(AN$3,0),AN$3+6)),"◆",""))</f>
      </c>
      <c r="AO155" s="26">
        <f>IF(OR($A155="",AO$3=""),"",IF(AND($J155&lt;&gt;"",$K155&lt;&gt;"",$J155=$K155,$J155&gt;=AO$3,$J155&lt;=IF(param_mode_affichage="mois",EOMONTH(AO$3,0),AO$3+6)),"◆",""))</f>
      </c>
      <c r="AP155" s="26">
        <f>IF(OR($A155="",AP$3=""),"",IF(AND($J155&lt;&gt;"",$K155&lt;&gt;"",$J155=$K155,$J155&gt;=AP$3,$J155&lt;=IF(param_mode_affichage="mois",EOMONTH(AP$3,0),AP$3+6)),"◆",""))</f>
      </c>
      <c r="AQ155" s="26">
        <f>IF(OR($A155="",AQ$3=""),"",IF(AND($J155&lt;&gt;"",$K155&lt;&gt;"",$J155=$K155,$J155&gt;=AQ$3,$J155&lt;=IF(param_mode_affichage="mois",EOMONTH(AQ$3,0),AQ$3+6)),"◆",""))</f>
      </c>
      <c r="AR155" s="26">
        <f>IF(OR($A155="",AR$3=""),"",IF(AND($J155&lt;&gt;"",$K155&lt;&gt;"",$J155=$K155,$J155&gt;=AR$3,$J155&lt;=IF(param_mode_affichage="mois",EOMONTH(AR$3,0),AR$3+6)),"◆",""))</f>
      </c>
      <c r="AS155" s="26">
        <f>IF(OR($A155="",AS$3=""),"",IF(AND($J155&lt;&gt;"",$K155&lt;&gt;"",$J155=$K155,$J155&gt;=AS$3,$J155&lt;=IF(param_mode_affichage="mois",EOMONTH(AS$3,0),AS$3+6)),"◆",""))</f>
      </c>
      <c r="AT155" s="26">
        <f>IF(OR($A155="",AT$3=""),"",IF(AND($J155&lt;&gt;"",$K155&lt;&gt;"",$J155=$K155,$J155&gt;=AT$3,$J155&lt;=IF(param_mode_affichage="mois",EOMONTH(AT$3,0),AT$3+6)),"◆",""))</f>
      </c>
      <c r="AU155" s="26">
        <f>IF(OR($A155="",AU$3=""),"",IF(AND($J155&lt;&gt;"",$K155&lt;&gt;"",$J155=$K155,$J155&gt;=AU$3,$J155&lt;=IF(param_mode_affichage="mois",EOMONTH(AU$3,0),AU$3+6)),"◆",""))</f>
      </c>
      <c r="AV155" s="26">
        <f>IF(OR($A155="",AV$3=""),"",IF(AND($J155&lt;&gt;"",$K155&lt;&gt;"",$J155=$K155,$J155&gt;=AV$3,$J155&lt;=IF(param_mode_affichage="mois",EOMONTH(AV$3,0),AV$3+6)),"◆",""))</f>
      </c>
      <c r="AW155" s="26">
        <f>IF(OR($A155="",AW$3=""),"",IF(AND($J155&lt;&gt;"",$K155&lt;&gt;"",$J155=$K155,$J155&gt;=AW$3,$J155&lt;=IF(param_mode_affichage="mois",EOMONTH(AW$3,0),AW$3+6)),"◆",""))</f>
      </c>
      <c r="AX155" s="26">
        <f>IF(OR($A155="",AX$3=""),"",IF(AND($J155&lt;&gt;"",$K155&lt;&gt;"",$J155=$K155,$J155&gt;=AX$3,$J155&lt;=IF(param_mode_affichage="mois",EOMONTH(AX$3,0),AX$3+6)),"◆",""))</f>
      </c>
      <c r="AY155" s="26">
        <f>IF(OR($A155="",AY$3=""),"",IF(AND($J155&lt;&gt;"",$K155&lt;&gt;"",$J155=$K155,$J155&gt;=AY$3,$J155&lt;=IF(param_mode_affichage="mois",EOMONTH(AY$3,0),AY$3+6)),"◆",""))</f>
      </c>
      <c r="AZ155" s="26">
        <f>IF(OR($A155="",AZ$3=""),"",IF(AND($J155&lt;&gt;"",$K155&lt;&gt;"",$J155=$K155,$J155&gt;=AZ$3,$J155&lt;=IF(param_mode_affichage="mois",EOMONTH(AZ$3,0),AZ$3+6)),"◆",""))</f>
      </c>
      <c r="BA155" s="26">
        <f>IF(OR($A155="",BA$3=""),"",IF(AND($J155&lt;&gt;"",$K155&lt;&gt;"",$J155=$K155,$J155&gt;=BA$3,$J155&lt;=IF(param_mode_affichage="mois",EOMONTH(BA$3,0),BA$3+6)),"◆",""))</f>
      </c>
      <c r="BB155" s="26">
        <f>IF(OR($A155="",BB$3=""),"",IF(AND($J155&lt;&gt;"",$K155&lt;&gt;"",$J155=$K155,$J155&gt;=BB$3,$J155&lt;=IF(param_mode_affichage="mois",EOMONTH(BB$3,0),BB$3+6)),"◆",""))</f>
      </c>
      <c r="BC155" s="26">
        <f>IF(OR($A155="",BC$3=""),"",IF(AND($J155&lt;&gt;"",$K155&lt;&gt;"",$J155=$K155,$J155&gt;=BC$3,$J155&lt;=IF(param_mode_affichage="mois",EOMONTH(BC$3,0),BC$3+6)),"◆",""))</f>
      </c>
      <c r="BD155" s="26">
        <f>IF(OR($A155="",BD$3=""),"",IF(AND($J155&lt;&gt;"",$K155&lt;&gt;"",$J155=$K155,$J155&gt;=BD$3,$J155&lt;=IF(param_mode_affichage="mois",EOMONTH(BD$3,0),BD$3+6)),"◆",""))</f>
      </c>
      <c r="BE155" s="26">
        <f>IF(OR($A155="",BE$3=""),"",IF(AND($J155&lt;&gt;"",$K155&lt;&gt;"",$J155=$K155,$J155&gt;=BE$3,$J155&lt;=IF(param_mode_affichage="mois",EOMONTH(BE$3,0),BE$3+6)),"◆",""))</f>
      </c>
      <c r="BF155" s="26">
        <f>IF(OR($A155="",BF$3=""),"",IF(AND($J155&lt;&gt;"",$K155&lt;&gt;"",$J155=$K155,$J155&gt;=BF$3,$J155&lt;=IF(param_mode_affichage="mois",EOMONTH(BF$3,0),BF$3+6)),"◆",""))</f>
      </c>
      <c r="BG155" s="26">
        <f>IF(OR($A155="",BG$3=""),"",IF(AND($J155&lt;&gt;"",$K155&lt;&gt;"",$J155=$K155,$J155&gt;=BG$3,$J155&lt;=IF(param_mode_affichage="mois",EOMONTH(BG$3,0),BG$3+6)),"◆",""))</f>
      </c>
      <c r="BH155" s="26">
        <f>IF(OR($A155="",BH$3=""),"",IF(AND($J155&lt;&gt;"",$K155&lt;&gt;"",$J155=$K155,$J155&gt;=BH$3,$J155&lt;=IF(param_mode_affichage="mois",EOMONTH(BH$3,0),BH$3+6)),"◆",""))</f>
      </c>
      <c r="BI155" s="26">
        <f>IF(OR($A155="",BI$3=""),"",IF(AND($J155&lt;&gt;"",$K155&lt;&gt;"",$J155=$K155,$J155&gt;=BI$3,$J155&lt;=IF(param_mode_affichage="mois",EOMONTH(BI$3,0),BI$3+6)),"◆",""))</f>
      </c>
      <c r="BJ155" s="26">
        <f>IF(OR($A155="",BJ$3=""),"",IF(AND($J155&lt;&gt;"",$K155&lt;&gt;"",$J155=$K155,$J155&gt;=BJ$3,$J155&lt;=IF(param_mode_affichage="mois",EOMONTH(BJ$3,0),BJ$3+6)),"◆",""))</f>
      </c>
      <c r="BK155" s="26">
        <f>IF(OR($A155="",BK$3=""),"",IF(AND($J155&lt;&gt;"",$K155&lt;&gt;"",$J155=$K155,$J155&gt;=BK$3,$J155&lt;=IF(param_mode_affichage="mois",EOMONTH(BK$3,0),BK$3+6)),"◆",""))</f>
      </c>
      <c r="BL155" s="26">
        <f>IF(OR($A155="",BL$3=""),"",IF(AND($J155&lt;&gt;"",$K155&lt;&gt;"",$J155=$K155,$J155&gt;=BL$3,$J155&lt;=IF(param_mode_affichage="mois",EOMONTH(BL$3,0),BL$3+6)),"◆",""))</f>
      </c>
    </row>
    <row r="156" spans="1:64" x14ac:dyDescent="0.25">
      <c r="A156" s="23">
        <f>IFERROR(INDEX(tblTasks[ID],ROW()-4),"")</f>
      </c>
      <c r="B156" s="24">
        <f>IF($A156="","",INDEX(tblTasks[Sujet],ROW()-4))</f>
      </c>
      <c r="C156" s="23">
        <f>IF($A156="","",INDEX(tblTasks[Responsable],ROW()-4))</f>
      </c>
      <c r="D156" s="23">
        <f>IF($A156="","",INDEX(tblTasks[Statut],ROW()-4))</f>
      </c>
      <c r="E156" s="23">
        <f>IF($A156="","",INDEX(tblTasks[Depend_de],ROW()-4))</f>
      </c>
      <c r="F156" s="23">
        <f>IF($A156="","",INDEX(tblTasks[Blocage],ROW()-4))</f>
      </c>
      <c r="G156" s="23">
        <f>IF($A156="","",INDEX(tblTasks[Niveau_criticite],ROW()-4))</f>
      </c>
      <c r="H156" s="23">
        <f>IF($A156="","",INDEX(tblTasks[Goulot],ROW()-4))</f>
      </c>
      <c r="I156" s="23">
        <f>IF($A156="","",IF(LOWER($F156)="oui","non",IF($E156="","oui",IFERROR(IF(LOWER(INDEX(tblTasks[Statut],MATCH($E156,tblTasks[ID],0)))="clos","oui","non"),"non"))))</f>
      </c>
      <c r="J156" s="25">
        <f>IF($A156="","",INDEX(tblTasks[Date_debut_prevue],ROW()-4))</f>
      </c>
      <c r="K156" s="25">
        <f>IF($A156="","",INDEX(tblTasks[Date_fin_prevue],ROW()-4))</f>
      </c>
      <c r="L156" s="23">
        <f>IF($A156="","",INDEX(tblTasks[Irreversibilite],ROW()-4))</f>
      </c>
      <c r="M156" s="26">
        <f>IF(OR($A156="",M$3=""),"",IF(AND($J156&lt;&gt;"",$K156&lt;&gt;"",$J156=$K156,$J156&gt;=M$3,$J156&lt;=IF(param_mode_affichage="mois",EOMONTH(M$3,0),M$3+6)),"◆",""))</f>
      </c>
      <c r="N156" s="26">
        <f>IF(OR($A156="",N$3=""),"",IF(AND($J156&lt;&gt;"",$K156&lt;&gt;"",$J156=$K156,$J156&gt;=N$3,$J156&lt;=IF(param_mode_affichage="mois",EOMONTH(N$3,0),N$3+6)),"◆",""))</f>
      </c>
      <c r="O156" s="26">
        <f>IF(OR($A156="",O$3=""),"",IF(AND($J156&lt;&gt;"",$K156&lt;&gt;"",$J156=$K156,$J156&gt;=O$3,$J156&lt;=IF(param_mode_affichage="mois",EOMONTH(O$3,0),O$3+6)),"◆",""))</f>
      </c>
      <c r="P156" s="26">
        <f>IF(OR($A156="",P$3=""),"",IF(AND($J156&lt;&gt;"",$K156&lt;&gt;"",$J156=$K156,$J156&gt;=P$3,$J156&lt;=IF(param_mode_affichage="mois",EOMONTH(P$3,0),P$3+6)),"◆",""))</f>
      </c>
      <c r="Q156" s="26">
        <f>IF(OR($A156="",Q$3=""),"",IF(AND($J156&lt;&gt;"",$K156&lt;&gt;"",$J156=$K156,$J156&gt;=Q$3,$J156&lt;=IF(param_mode_affichage="mois",EOMONTH(Q$3,0),Q$3+6)),"◆",""))</f>
      </c>
      <c r="R156" s="26">
        <f>IF(OR($A156="",R$3=""),"",IF(AND($J156&lt;&gt;"",$K156&lt;&gt;"",$J156=$K156,$J156&gt;=R$3,$J156&lt;=IF(param_mode_affichage="mois",EOMONTH(R$3,0),R$3+6)),"◆",""))</f>
      </c>
      <c r="S156" s="26">
        <f>IF(OR($A156="",S$3=""),"",IF(AND($J156&lt;&gt;"",$K156&lt;&gt;"",$J156=$K156,$J156&gt;=S$3,$J156&lt;=IF(param_mode_affichage="mois",EOMONTH(S$3,0),S$3+6)),"◆",""))</f>
      </c>
      <c r="T156" s="26">
        <f>IF(OR($A156="",T$3=""),"",IF(AND($J156&lt;&gt;"",$K156&lt;&gt;"",$J156=$K156,$J156&gt;=T$3,$J156&lt;=IF(param_mode_affichage="mois",EOMONTH(T$3,0),T$3+6)),"◆",""))</f>
      </c>
      <c r="U156" s="26">
        <f>IF(OR($A156="",U$3=""),"",IF(AND($J156&lt;&gt;"",$K156&lt;&gt;"",$J156=$K156,$J156&gt;=U$3,$J156&lt;=IF(param_mode_affichage="mois",EOMONTH(U$3,0),U$3+6)),"◆",""))</f>
      </c>
      <c r="V156" s="26">
        <f>IF(OR($A156="",V$3=""),"",IF(AND($J156&lt;&gt;"",$K156&lt;&gt;"",$J156=$K156,$J156&gt;=V$3,$J156&lt;=IF(param_mode_affichage="mois",EOMONTH(V$3,0),V$3+6)),"◆",""))</f>
      </c>
      <c r="W156" s="26">
        <f>IF(OR($A156="",W$3=""),"",IF(AND($J156&lt;&gt;"",$K156&lt;&gt;"",$J156=$K156,$J156&gt;=W$3,$J156&lt;=IF(param_mode_affichage="mois",EOMONTH(W$3,0),W$3+6)),"◆",""))</f>
      </c>
      <c r="X156" s="26">
        <f>IF(OR($A156="",X$3=""),"",IF(AND($J156&lt;&gt;"",$K156&lt;&gt;"",$J156=$K156,$J156&gt;=X$3,$J156&lt;=IF(param_mode_affichage="mois",EOMONTH(X$3,0),X$3+6)),"◆",""))</f>
      </c>
      <c r="Y156" s="26">
        <f>IF(OR($A156="",Y$3=""),"",IF(AND($J156&lt;&gt;"",$K156&lt;&gt;"",$J156=$K156,$J156&gt;=Y$3,$J156&lt;=IF(param_mode_affichage="mois",EOMONTH(Y$3,0),Y$3+6)),"◆",""))</f>
      </c>
      <c r="Z156" s="26">
        <f>IF(OR($A156="",Z$3=""),"",IF(AND($J156&lt;&gt;"",$K156&lt;&gt;"",$J156=$K156,$J156&gt;=Z$3,$J156&lt;=IF(param_mode_affichage="mois",EOMONTH(Z$3,0),Z$3+6)),"◆",""))</f>
      </c>
      <c r="AA156" s="26">
        <f>IF(OR($A156="",AA$3=""),"",IF(AND($J156&lt;&gt;"",$K156&lt;&gt;"",$J156=$K156,$J156&gt;=AA$3,$J156&lt;=IF(param_mode_affichage="mois",EOMONTH(AA$3,0),AA$3+6)),"◆",""))</f>
      </c>
      <c r="AB156" s="26">
        <f>IF(OR($A156="",AB$3=""),"",IF(AND($J156&lt;&gt;"",$K156&lt;&gt;"",$J156=$K156,$J156&gt;=AB$3,$J156&lt;=IF(param_mode_affichage="mois",EOMONTH(AB$3,0),AB$3+6)),"◆",""))</f>
      </c>
      <c r="AC156" s="26">
        <f>IF(OR($A156="",AC$3=""),"",IF(AND($J156&lt;&gt;"",$K156&lt;&gt;"",$J156=$K156,$J156&gt;=AC$3,$J156&lt;=IF(param_mode_affichage="mois",EOMONTH(AC$3,0),AC$3+6)),"◆",""))</f>
      </c>
      <c r="AD156" s="26">
        <f>IF(OR($A156="",AD$3=""),"",IF(AND($J156&lt;&gt;"",$K156&lt;&gt;"",$J156=$K156,$J156&gt;=AD$3,$J156&lt;=IF(param_mode_affichage="mois",EOMONTH(AD$3,0),AD$3+6)),"◆",""))</f>
      </c>
      <c r="AE156" s="26">
        <f>IF(OR($A156="",AE$3=""),"",IF(AND($J156&lt;&gt;"",$K156&lt;&gt;"",$J156=$K156,$J156&gt;=AE$3,$J156&lt;=IF(param_mode_affichage="mois",EOMONTH(AE$3,0),AE$3+6)),"◆",""))</f>
      </c>
      <c r="AF156" s="26">
        <f>IF(OR($A156="",AF$3=""),"",IF(AND($J156&lt;&gt;"",$K156&lt;&gt;"",$J156=$K156,$J156&gt;=AF$3,$J156&lt;=IF(param_mode_affichage="mois",EOMONTH(AF$3,0),AF$3+6)),"◆",""))</f>
      </c>
      <c r="AG156" s="26">
        <f>IF(OR($A156="",AG$3=""),"",IF(AND($J156&lt;&gt;"",$K156&lt;&gt;"",$J156=$K156,$J156&gt;=AG$3,$J156&lt;=IF(param_mode_affichage="mois",EOMONTH(AG$3,0),AG$3+6)),"◆",""))</f>
      </c>
      <c r="AH156" s="26">
        <f>IF(OR($A156="",AH$3=""),"",IF(AND($J156&lt;&gt;"",$K156&lt;&gt;"",$J156=$K156,$J156&gt;=AH$3,$J156&lt;=IF(param_mode_affichage="mois",EOMONTH(AH$3,0),AH$3+6)),"◆",""))</f>
      </c>
      <c r="AI156" s="26">
        <f>IF(OR($A156="",AI$3=""),"",IF(AND($J156&lt;&gt;"",$K156&lt;&gt;"",$J156=$K156,$J156&gt;=AI$3,$J156&lt;=IF(param_mode_affichage="mois",EOMONTH(AI$3,0),AI$3+6)),"◆",""))</f>
      </c>
      <c r="AJ156" s="26">
        <f>IF(OR($A156="",AJ$3=""),"",IF(AND($J156&lt;&gt;"",$K156&lt;&gt;"",$J156=$K156,$J156&gt;=AJ$3,$J156&lt;=IF(param_mode_affichage="mois",EOMONTH(AJ$3,0),AJ$3+6)),"◆",""))</f>
      </c>
      <c r="AK156" s="26">
        <f>IF(OR($A156="",AK$3=""),"",IF(AND($J156&lt;&gt;"",$K156&lt;&gt;"",$J156=$K156,$J156&gt;=AK$3,$J156&lt;=IF(param_mode_affichage="mois",EOMONTH(AK$3,0),AK$3+6)),"◆",""))</f>
      </c>
      <c r="AL156" s="26">
        <f>IF(OR($A156="",AL$3=""),"",IF(AND($J156&lt;&gt;"",$K156&lt;&gt;"",$J156=$K156,$J156&gt;=AL$3,$J156&lt;=IF(param_mode_affichage="mois",EOMONTH(AL$3,0),AL$3+6)),"◆",""))</f>
      </c>
      <c r="AM156" s="26">
        <f>IF(OR($A156="",AM$3=""),"",IF(AND($J156&lt;&gt;"",$K156&lt;&gt;"",$J156=$K156,$J156&gt;=AM$3,$J156&lt;=IF(param_mode_affichage="mois",EOMONTH(AM$3,0),AM$3+6)),"◆",""))</f>
      </c>
      <c r="AN156" s="26">
        <f>IF(OR($A156="",AN$3=""),"",IF(AND($J156&lt;&gt;"",$K156&lt;&gt;"",$J156=$K156,$J156&gt;=AN$3,$J156&lt;=IF(param_mode_affichage="mois",EOMONTH(AN$3,0),AN$3+6)),"◆",""))</f>
      </c>
      <c r="AO156" s="26">
        <f>IF(OR($A156="",AO$3=""),"",IF(AND($J156&lt;&gt;"",$K156&lt;&gt;"",$J156=$K156,$J156&gt;=AO$3,$J156&lt;=IF(param_mode_affichage="mois",EOMONTH(AO$3,0),AO$3+6)),"◆",""))</f>
      </c>
      <c r="AP156" s="26">
        <f>IF(OR($A156="",AP$3=""),"",IF(AND($J156&lt;&gt;"",$K156&lt;&gt;"",$J156=$K156,$J156&gt;=AP$3,$J156&lt;=IF(param_mode_affichage="mois",EOMONTH(AP$3,0),AP$3+6)),"◆",""))</f>
      </c>
      <c r="AQ156" s="26">
        <f>IF(OR($A156="",AQ$3=""),"",IF(AND($J156&lt;&gt;"",$K156&lt;&gt;"",$J156=$K156,$J156&gt;=AQ$3,$J156&lt;=IF(param_mode_affichage="mois",EOMONTH(AQ$3,0),AQ$3+6)),"◆",""))</f>
      </c>
      <c r="AR156" s="26">
        <f>IF(OR($A156="",AR$3=""),"",IF(AND($J156&lt;&gt;"",$K156&lt;&gt;"",$J156=$K156,$J156&gt;=AR$3,$J156&lt;=IF(param_mode_affichage="mois",EOMONTH(AR$3,0),AR$3+6)),"◆",""))</f>
      </c>
      <c r="AS156" s="26">
        <f>IF(OR($A156="",AS$3=""),"",IF(AND($J156&lt;&gt;"",$K156&lt;&gt;"",$J156=$K156,$J156&gt;=AS$3,$J156&lt;=IF(param_mode_affichage="mois",EOMONTH(AS$3,0),AS$3+6)),"◆",""))</f>
      </c>
      <c r="AT156" s="26">
        <f>IF(OR($A156="",AT$3=""),"",IF(AND($J156&lt;&gt;"",$K156&lt;&gt;"",$J156=$K156,$J156&gt;=AT$3,$J156&lt;=IF(param_mode_affichage="mois",EOMONTH(AT$3,0),AT$3+6)),"◆",""))</f>
      </c>
      <c r="AU156" s="26">
        <f>IF(OR($A156="",AU$3=""),"",IF(AND($J156&lt;&gt;"",$K156&lt;&gt;"",$J156=$K156,$J156&gt;=AU$3,$J156&lt;=IF(param_mode_affichage="mois",EOMONTH(AU$3,0),AU$3+6)),"◆",""))</f>
      </c>
      <c r="AV156" s="26">
        <f>IF(OR($A156="",AV$3=""),"",IF(AND($J156&lt;&gt;"",$K156&lt;&gt;"",$J156=$K156,$J156&gt;=AV$3,$J156&lt;=IF(param_mode_affichage="mois",EOMONTH(AV$3,0),AV$3+6)),"◆",""))</f>
      </c>
      <c r="AW156" s="26">
        <f>IF(OR($A156="",AW$3=""),"",IF(AND($J156&lt;&gt;"",$K156&lt;&gt;"",$J156=$K156,$J156&gt;=AW$3,$J156&lt;=IF(param_mode_affichage="mois",EOMONTH(AW$3,0),AW$3+6)),"◆",""))</f>
      </c>
      <c r="AX156" s="26">
        <f>IF(OR($A156="",AX$3=""),"",IF(AND($J156&lt;&gt;"",$K156&lt;&gt;"",$J156=$K156,$J156&gt;=AX$3,$J156&lt;=IF(param_mode_affichage="mois",EOMONTH(AX$3,0),AX$3+6)),"◆",""))</f>
      </c>
      <c r="AY156" s="26">
        <f>IF(OR($A156="",AY$3=""),"",IF(AND($J156&lt;&gt;"",$K156&lt;&gt;"",$J156=$K156,$J156&gt;=AY$3,$J156&lt;=IF(param_mode_affichage="mois",EOMONTH(AY$3,0),AY$3+6)),"◆",""))</f>
      </c>
      <c r="AZ156" s="26">
        <f>IF(OR($A156="",AZ$3=""),"",IF(AND($J156&lt;&gt;"",$K156&lt;&gt;"",$J156=$K156,$J156&gt;=AZ$3,$J156&lt;=IF(param_mode_affichage="mois",EOMONTH(AZ$3,0),AZ$3+6)),"◆",""))</f>
      </c>
      <c r="BA156" s="26">
        <f>IF(OR($A156="",BA$3=""),"",IF(AND($J156&lt;&gt;"",$K156&lt;&gt;"",$J156=$K156,$J156&gt;=BA$3,$J156&lt;=IF(param_mode_affichage="mois",EOMONTH(BA$3,0),BA$3+6)),"◆",""))</f>
      </c>
      <c r="BB156" s="26">
        <f>IF(OR($A156="",BB$3=""),"",IF(AND($J156&lt;&gt;"",$K156&lt;&gt;"",$J156=$K156,$J156&gt;=BB$3,$J156&lt;=IF(param_mode_affichage="mois",EOMONTH(BB$3,0),BB$3+6)),"◆",""))</f>
      </c>
      <c r="BC156" s="26">
        <f>IF(OR($A156="",BC$3=""),"",IF(AND($J156&lt;&gt;"",$K156&lt;&gt;"",$J156=$K156,$J156&gt;=BC$3,$J156&lt;=IF(param_mode_affichage="mois",EOMONTH(BC$3,0),BC$3+6)),"◆",""))</f>
      </c>
      <c r="BD156" s="26">
        <f>IF(OR($A156="",BD$3=""),"",IF(AND($J156&lt;&gt;"",$K156&lt;&gt;"",$J156=$K156,$J156&gt;=BD$3,$J156&lt;=IF(param_mode_affichage="mois",EOMONTH(BD$3,0),BD$3+6)),"◆",""))</f>
      </c>
      <c r="BE156" s="26">
        <f>IF(OR($A156="",BE$3=""),"",IF(AND($J156&lt;&gt;"",$K156&lt;&gt;"",$J156=$K156,$J156&gt;=BE$3,$J156&lt;=IF(param_mode_affichage="mois",EOMONTH(BE$3,0),BE$3+6)),"◆",""))</f>
      </c>
      <c r="BF156" s="26">
        <f>IF(OR($A156="",BF$3=""),"",IF(AND($J156&lt;&gt;"",$K156&lt;&gt;"",$J156=$K156,$J156&gt;=BF$3,$J156&lt;=IF(param_mode_affichage="mois",EOMONTH(BF$3,0),BF$3+6)),"◆",""))</f>
      </c>
      <c r="BG156" s="26">
        <f>IF(OR($A156="",BG$3=""),"",IF(AND($J156&lt;&gt;"",$K156&lt;&gt;"",$J156=$K156,$J156&gt;=BG$3,$J156&lt;=IF(param_mode_affichage="mois",EOMONTH(BG$3,0),BG$3+6)),"◆",""))</f>
      </c>
      <c r="BH156" s="26">
        <f>IF(OR($A156="",BH$3=""),"",IF(AND($J156&lt;&gt;"",$K156&lt;&gt;"",$J156=$K156,$J156&gt;=BH$3,$J156&lt;=IF(param_mode_affichage="mois",EOMONTH(BH$3,0),BH$3+6)),"◆",""))</f>
      </c>
      <c r="BI156" s="26">
        <f>IF(OR($A156="",BI$3=""),"",IF(AND($J156&lt;&gt;"",$K156&lt;&gt;"",$J156=$K156,$J156&gt;=BI$3,$J156&lt;=IF(param_mode_affichage="mois",EOMONTH(BI$3,0),BI$3+6)),"◆",""))</f>
      </c>
      <c r="BJ156" s="26">
        <f>IF(OR($A156="",BJ$3=""),"",IF(AND($J156&lt;&gt;"",$K156&lt;&gt;"",$J156=$K156,$J156&gt;=BJ$3,$J156&lt;=IF(param_mode_affichage="mois",EOMONTH(BJ$3,0),BJ$3+6)),"◆",""))</f>
      </c>
      <c r="BK156" s="26">
        <f>IF(OR($A156="",BK$3=""),"",IF(AND($J156&lt;&gt;"",$K156&lt;&gt;"",$J156=$K156,$J156&gt;=BK$3,$J156&lt;=IF(param_mode_affichage="mois",EOMONTH(BK$3,0),BK$3+6)),"◆",""))</f>
      </c>
      <c r="BL156" s="26">
        <f>IF(OR($A156="",BL$3=""),"",IF(AND($J156&lt;&gt;"",$K156&lt;&gt;"",$J156=$K156,$J156&gt;=BL$3,$J156&lt;=IF(param_mode_affichage="mois",EOMONTH(BL$3,0),BL$3+6)),"◆",""))</f>
      </c>
    </row>
    <row r="157" spans="1:64" x14ac:dyDescent="0.25">
      <c r="A157" s="23">
        <f>IFERROR(INDEX(tblTasks[ID],ROW()-4),"")</f>
      </c>
      <c r="B157" s="24">
        <f>IF($A157="","",INDEX(tblTasks[Sujet],ROW()-4))</f>
      </c>
      <c r="C157" s="23">
        <f>IF($A157="","",INDEX(tblTasks[Responsable],ROW()-4))</f>
      </c>
      <c r="D157" s="23">
        <f>IF($A157="","",INDEX(tblTasks[Statut],ROW()-4))</f>
      </c>
      <c r="E157" s="23">
        <f>IF($A157="","",INDEX(tblTasks[Depend_de],ROW()-4))</f>
      </c>
      <c r="F157" s="23">
        <f>IF($A157="","",INDEX(tblTasks[Blocage],ROW()-4))</f>
      </c>
      <c r="G157" s="23">
        <f>IF($A157="","",INDEX(tblTasks[Niveau_criticite],ROW()-4))</f>
      </c>
      <c r="H157" s="23">
        <f>IF($A157="","",INDEX(tblTasks[Goulot],ROW()-4))</f>
      </c>
      <c r="I157" s="23">
        <f>IF($A157="","",IF(LOWER($F157)="oui","non",IF($E157="","oui",IFERROR(IF(LOWER(INDEX(tblTasks[Statut],MATCH($E157,tblTasks[ID],0)))="clos","oui","non"),"non"))))</f>
      </c>
      <c r="J157" s="25">
        <f>IF($A157="","",INDEX(tblTasks[Date_debut_prevue],ROW()-4))</f>
      </c>
      <c r="K157" s="25">
        <f>IF($A157="","",INDEX(tblTasks[Date_fin_prevue],ROW()-4))</f>
      </c>
      <c r="L157" s="23">
        <f>IF($A157="","",INDEX(tblTasks[Irreversibilite],ROW()-4))</f>
      </c>
      <c r="M157" s="26">
        <f>IF(OR($A157="",M$3=""),"",IF(AND($J157&lt;&gt;"",$K157&lt;&gt;"",$J157=$K157,$J157&gt;=M$3,$J157&lt;=IF(param_mode_affichage="mois",EOMONTH(M$3,0),M$3+6)),"◆",""))</f>
      </c>
      <c r="N157" s="26">
        <f>IF(OR($A157="",N$3=""),"",IF(AND($J157&lt;&gt;"",$K157&lt;&gt;"",$J157=$K157,$J157&gt;=N$3,$J157&lt;=IF(param_mode_affichage="mois",EOMONTH(N$3,0),N$3+6)),"◆",""))</f>
      </c>
      <c r="O157" s="26">
        <f>IF(OR($A157="",O$3=""),"",IF(AND($J157&lt;&gt;"",$K157&lt;&gt;"",$J157=$K157,$J157&gt;=O$3,$J157&lt;=IF(param_mode_affichage="mois",EOMONTH(O$3,0),O$3+6)),"◆",""))</f>
      </c>
      <c r="P157" s="26">
        <f>IF(OR($A157="",P$3=""),"",IF(AND($J157&lt;&gt;"",$K157&lt;&gt;"",$J157=$K157,$J157&gt;=P$3,$J157&lt;=IF(param_mode_affichage="mois",EOMONTH(P$3,0),P$3+6)),"◆",""))</f>
      </c>
      <c r="Q157" s="26">
        <f>IF(OR($A157="",Q$3=""),"",IF(AND($J157&lt;&gt;"",$K157&lt;&gt;"",$J157=$K157,$J157&gt;=Q$3,$J157&lt;=IF(param_mode_affichage="mois",EOMONTH(Q$3,0),Q$3+6)),"◆",""))</f>
      </c>
      <c r="R157" s="26">
        <f>IF(OR($A157="",R$3=""),"",IF(AND($J157&lt;&gt;"",$K157&lt;&gt;"",$J157=$K157,$J157&gt;=R$3,$J157&lt;=IF(param_mode_affichage="mois",EOMONTH(R$3,0),R$3+6)),"◆",""))</f>
      </c>
      <c r="S157" s="26">
        <f>IF(OR($A157="",S$3=""),"",IF(AND($J157&lt;&gt;"",$K157&lt;&gt;"",$J157=$K157,$J157&gt;=S$3,$J157&lt;=IF(param_mode_affichage="mois",EOMONTH(S$3,0),S$3+6)),"◆",""))</f>
      </c>
      <c r="T157" s="26">
        <f>IF(OR($A157="",T$3=""),"",IF(AND($J157&lt;&gt;"",$K157&lt;&gt;"",$J157=$K157,$J157&gt;=T$3,$J157&lt;=IF(param_mode_affichage="mois",EOMONTH(T$3,0),T$3+6)),"◆",""))</f>
      </c>
      <c r="U157" s="26">
        <f>IF(OR($A157="",U$3=""),"",IF(AND($J157&lt;&gt;"",$K157&lt;&gt;"",$J157=$K157,$J157&gt;=U$3,$J157&lt;=IF(param_mode_affichage="mois",EOMONTH(U$3,0),U$3+6)),"◆",""))</f>
      </c>
      <c r="V157" s="26">
        <f>IF(OR($A157="",V$3=""),"",IF(AND($J157&lt;&gt;"",$K157&lt;&gt;"",$J157=$K157,$J157&gt;=V$3,$J157&lt;=IF(param_mode_affichage="mois",EOMONTH(V$3,0),V$3+6)),"◆",""))</f>
      </c>
      <c r="W157" s="26">
        <f>IF(OR($A157="",W$3=""),"",IF(AND($J157&lt;&gt;"",$K157&lt;&gt;"",$J157=$K157,$J157&gt;=W$3,$J157&lt;=IF(param_mode_affichage="mois",EOMONTH(W$3,0),W$3+6)),"◆",""))</f>
      </c>
      <c r="X157" s="26">
        <f>IF(OR($A157="",X$3=""),"",IF(AND($J157&lt;&gt;"",$K157&lt;&gt;"",$J157=$K157,$J157&gt;=X$3,$J157&lt;=IF(param_mode_affichage="mois",EOMONTH(X$3,0),X$3+6)),"◆",""))</f>
      </c>
      <c r="Y157" s="26">
        <f>IF(OR($A157="",Y$3=""),"",IF(AND($J157&lt;&gt;"",$K157&lt;&gt;"",$J157=$K157,$J157&gt;=Y$3,$J157&lt;=IF(param_mode_affichage="mois",EOMONTH(Y$3,0),Y$3+6)),"◆",""))</f>
      </c>
      <c r="Z157" s="26">
        <f>IF(OR($A157="",Z$3=""),"",IF(AND($J157&lt;&gt;"",$K157&lt;&gt;"",$J157=$K157,$J157&gt;=Z$3,$J157&lt;=IF(param_mode_affichage="mois",EOMONTH(Z$3,0),Z$3+6)),"◆",""))</f>
      </c>
      <c r="AA157" s="26">
        <f>IF(OR($A157="",AA$3=""),"",IF(AND($J157&lt;&gt;"",$K157&lt;&gt;"",$J157=$K157,$J157&gt;=AA$3,$J157&lt;=IF(param_mode_affichage="mois",EOMONTH(AA$3,0),AA$3+6)),"◆",""))</f>
      </c>
      <c r="AB157" s="26">
        <f>IF(OR($A157="",AB$3=""),"",IF(AND($J157&lt;&gt;"",$K157&lt;&gt;"",$J157=$K157,$J157&gt;=AB$3,$J157&lt;=IF(param_mode_affichage="mois",EOMONTH(AB$3,0),AB$3+6)),"◆",""))</f>
      </c>
      <c r="AC157" s="26">
        <f>IF(OR($A157="",AC$3=""),"",IF(AND($J157&lt;&gt;"",$K157&lt;&gt;"",$J157=$K157,$J157&gt;=AC$3,$J157&lt;=IF(param_mode_affichage="mois",EOMONTH(AC$3,0),AC$3+6)),"◆",""))</f>
      </c>
      <c r="AD157" s="26">
        <f>IF(OR($A157="",AD$3=""),"",IF(AND($J157&lt;&gt;"",$K157&lt;&gt;"",$J157=$K157,$J157&gt;=AD$3,$J157&lt;=IF(param_mode_affichage="mois",EOMONTH(AD$3,0),AD$3+6)),"◆",""))</f>
      </c>
      <c r="AE157" s="26">
        <f>IF(OR($A157="",AE$3=""),"",IF(AND($J157&lt;&gt;"",$K157&lt;&gt;"",$J157=$K157,$J157&gt;=AE$3,$J157&lt;=IF(param_mode_affichage="mois",EOMONTH(AE$3,0),AE$3+6)),"◆",""))</f>
      </c>
      <c r="AF157" s="26">
        <f>IF(OR($A157="",AF$3=""),"",IF(AND($J157&lt;&gt;"",$K157&lt;&gt;"",$J157=$K157,$J157&gt;=AF$3,$J157&lt;=IF(param_mode_affichage="mois",EOMONTH(AF$3,0),AF$3+6)),"◆",""))</f>
      </c>
      <c r="AG157" s="26">
        <f>IF(OR($A157="",AG$3=""),"",IF(AND($J157&lt;&gt;"",$K157&lt;&gt;"",$J157=$K157,$J157&gt;=AG$3,$J157&lt;=IF(param_mode_affichage="mois",EOMONTH(AG$3,0),AG$3+6)),"◆",""))</f>
      </c>
      <c r="AH157" s="26">
        <f>IF(OR($A157="",AH$3=""),"",IF(AND($J157&lt;&gt;"",$K157&lt;&gt;"",$J157=$K157,$J157&gt;=AH$3,$J157&lt;=IF(param_mode_affichage="mois",EOMONTH(AH$3,0),AH$3+6)),"◆",""))</f>
      </c>
      <c r="AI157" s="26">
        <f>IF(OR($A157="",AI$3=""),"",IF(AND($J157&lt;&gt;"",$K157&lt;&gt;"",$J157=$K157,$J157&gt;=AI$3,$J157&lt;=IF(param_mode_affichage="mois",EOMONTH(AI$3,0),AI$3+6)),"◆",""))</f>
      </c>
      <c r="AJ157" s="26">
        <f>IF(OR($A157="",AJ$3=""),"",IF(AND($J157&lt;&gt;"",$K157&lt;&gt;"",$J157=$K157,$J157&gt;=AJ$3,$J157&lt;=IF(param_mode_affichage="mois",EOMONTH(AJ$3,0),AJ$3+6)),"◆",""))</f>
      </c>
      <c r="AK157" s="26">
        <f>IF(OR($A157="",AK$3=""),"",IF(AND($J157&lt;&gt;"",$K157&lt;&gt;"",$J157=$K157,$J157&gt;=AK$3,$J157&lt;=IF(param_mode_affichage="mois",EOMONTH(AK$3,0),AK$3+6)),"◆",""))</f>
      </c>
      <c r="AL157" s="26">
        <f>IF(OR($A157="",AL$3=""),"",IF(AND($J157&lt;&gt;"",$K157&lt;&gt;"",$J157=$K157,$J157&gt;=AL$3,$J157&lt;=IF(param_mode_affichage="mois",EOMONTH(AL$3,0),AL$3+6)),"◆",""))</f>
      </c>
      <c r="AM157" s="26">
        <f>IF(OR($A157="",AM$3=""),"",IF(AND($J157&lt;&gt;"",$K157&lt;&gt;"",$J157=$K157,$J157&gt;=AM$3,$J157&lt;=IF(param_mode_affichage="mois",EOMONTH(AM$3,0),AM$3+6)),"◆",""))</f>
      </c>
      <c r="AN157" s="26">
        <f>IF(OR($A157="",AN$3=""),"",IF(AND($J157&lt;&gt;"",$K157&lt;&gt;"",$J157=$K157,$J157&gt;=AN$3,$J157&lt;=IF(param_mode_affichage="mois",EOMONTH(AN$3,0),AN$3+6)),"◆",""))</f>
      </c>
      <c r="AO157" s="26">
        <f>IF(OR($A157="",AO$3=""),"",IF(AND($J157&lt;&gt;"",$K157&lt;&gt;"",$J157=$K157,$J157&gt;=AO$3,$J157&lt;=IF(param_mode_affichage="mois",EOMONTH(AO$3,0),AO$3+6)),"◆",""))</f>
      </c>
      <c r="AP157" s="26">
        <f>IF(OR($A157="",AP$3=""),"",IF(AND($J157&lt;&gt;"",$K157&lt;&gt;"",$J157=$K157,$J157&gt;=AP$3,$J157&lt;=IF(param_mode_affichage="mois",EOMONTH(AP$3,0),AP$3+6)),"◆",""))</f>
      </c>
      <c r="AQ157" s="26">
        <f>IF(OR($A157="",AQ$3=""),"",IF(AND($J157&lt;&gt;"",$K157&lt;&gt;"",$J157=$K157,$J157&gt;=AQ$3,$J157&lt;=IF(param_mode_affichage="mois",EOMONTH(AQ$3,0),AQ$3+6)),"◆",""))</f>
      </c>
      <c r="AR157" s="26">
        <f>IF(OR($A157="",AR$3=""),"",IF(AND($J157&lt;&gt;"",$K157&lt;&gt;"",$J157=$K157,$J157&gt;=AR$3,$J157&lt;=IF(param_mode_affichage="mois",EOMONTH(AR$3,0),AR$3+6)),"◆",""))</f>
      </c>
      <c r="AS157" s="26">
        <f>IF(OR($A157="",AS$3=""),"",IF(AND($J157&lt;&gt;"",$K157&lt;&gt;"",$J157=$K157,$J157&gt;=AS$3,$J157&lt;=IF(param_mode_affichage="mois",EOMONTH(AS$3,0),AS$3+6)),"◆",""))</f>
      </c>
      <c r="AT157" s="26">
        <f>IF(OR($A157="",AT$3=""),"",IF(AND($J157&lt;&gt;"",$K157&lt;&gt;"",$J157=$K157,$J157&gt;=AT$3,$J157&lt;=IF(param_mode_affichage="mois",EOMONTH(AT$3,0),AT$3+6)),"◆",""))</f>
      </c>
      <c r="AU157" s="26">
        <f>IF(OR($A157="",AU$3=""),"",IF(AND($J157&lt;&gt;"",$K157&lt;&gt;"",$J157=$K157,$J157&gt;=AU$3,$J157&lt;=IF(param_mode_affichage="mois",EOMONTH(AU$3,0),AU$3+6)),"◆",""))</f>
      </c>
      <c r="AV157" s="26">
        <f>IF(OR($A157="",AV$3=""),"",IF(AND($J157&lt;&gt;"",$K157&lt;&gt;"",$J157=$K157,$J157&gt;=AV$3,$J157&lt;=IF(param_mode_affichage="mois",EOMONTH(AV$3,0),AV$3+6)),"◆",""))</f>
      </c>
      <c r="AW157" s="26">
        <f>IF(OR($A157="",AW$3=""),"",IF(AND($J157&lt;&gt;"",$K157&lt;&gt;"",$J157=$K157,$J157&gt;=AW$3,$J157&lt;=IF(param_mode_affichage="mois",EOMONTH(AW$3,0),AW$3+6)),"◆",""))</f>
      </c>
      <c r="AX157" s="26">
        <f>IF(OR($A157="",AX$3=""),"",IF(AND($J157&lt;&gt;"",$K157&lt;&gt;"",$J157=$K157,$J157&gt;=AX$3,$J157&lt;=IF(param_mode_affichage="mois",EOMONTH(AX$3,0),AX$3+6)),"◆",""))</f>
      </c>
      <c r="AY157" s="26">
        <f>IF(OR($A157="",AY$3=""),"",IF(AND($J157&lt;&gt;"",$K157&lt;&gt;"",$J157=$K157,$J157&gt;=AY$3,$J157&lt;=IF(param_mode_affichage="mois",EOMONTH(AY$3,0),AY$3+6)),"◆",""))</f>
      </c>
      <c r="AZ157" s="26">
        <f>IF(OR($A157="",AZ$3=""),"",IF(AND($J157&lt;&gt;"",$K157&lt;&gt;"",$J157=$K157,$J157&gt;=AZ$3,$J157&lt;=IF(param_mode_affichage="mois",EOMONTH(AZ$3,0),AZ$3+6)),"◆",""))</f>
      </c>
      <c r="BA157" s="26">
        <f>IF(OR($A157="",BA$3=""),"",IF(AND($J157&lt;&gt;"",$K157&lt;&gt;"",$J157=$K157,$J157&gt;=BA$3,$J157&lt;=IF(param_mode_affichage="mois",EOMONTH(BA$3,0),BA$3+6)),"◆",""))</f>
      </c>
      <c r="BB157" s="26">
        <f>IF(OR($A157="",BB$3=""),"",IF(AND($J157&lt;&gt;"",$K157&lt;&gt;"",$J157=$K157,$J157&gt;=BB$3,$J157&lt;=IF(param_mode_affichage="mois",EOMONTH(BB$3,0),BB$3+6)),"◆",""))</f>
      </c>
      <c r="BC157" s="26">
        <f>IF(OR($A157="",BC$3=""),"",IF(AND($J157&lt;&gt;"",$K157&lt;&gt;"",$J157=$K157,$J157&gt;=BC$3,$J157&lt;=IF(param_mode_affichage="mois",EOMONTH(BC$3,0),BC$3+6)),"◆",""))</f>
      </c>
      <c r="BD157" s="26">
        <f>IF(OR($A157="",BD$3=""),"",IF(AND($J157&lt;&gt;"",$K157&lt;&gt;"",$J157=$K157,$J157&gt;=BD$3,$J157&lt;=IF(param_mode_affichage="mois",EOMONTH(BD$3,0),BD$3+6)),"◆",""))</f>
      </c>
      <c r="BE157" s="26">
        <f>IF(OR($A157="",BE$3=""),"",IF(AND($J157&lt;&gt;"",$K157&lt;&gt;"",$J157=$K157,$J157&gt;=BE$3,$J157&lt;=IF(param_mode_affichage="mois",EOMONTH(BE$3,0),BE$3+6)),"◆",""))</f>
      </c>
      <c r="BF157" s="26">
        <f>IF(OR($A157="",BF$3=""),"",IF(AND($J157&lt;&gt;"",$K157&lt;&gt;"",$J157=$K157,$J157&gt;=BF$3,$J157&lt;=IF(param_mode_affichage="mois",EOMONTH(BF$3,0),BF$3+6)),"◆",""))</f>
      </c>
      <c r="BG157" s="26">
        <f>IF(OR($A157="",BG$3=""),"",IF(AND($J157&lt;&gt;"",$K157&lt;&gt;"",$J157=$K157,$J157&gt;=BG$3,$J157&lt;=IF(param_mode_affichage="mois",EOMONTH(BG$3,0),BG$3+6)),"◆",""))</f>
      </c>
      <c r="BH157" s="26">
        <f>IF(OR($A157="",BH$3=""),"",IF(AND($J157&lt;&gt;"",$K157&lt;&gt;"",$J157=$K157,$J157&gt;=BH$3,$J157&lt;=IF(param_mode_affichage="mois",EOMONTH(BH$3,0),BH$3+6)),"◆",""))</f>
      </c>
      <c r="BI157" s="26">
        <f>IF(OR($A157="",BI$3=""),"",IF(AND($J157&lt;&gt;"",$K157&lt;&gt;"",$J157=$K157,$J157&gt;=BI$3,$J157&lt;=IF(param_mode_affichage="mois",EOMONTH(BI$3,0),BI$3+6)),"◆",""))</f>
      </c>
      <c r="BJ157" s="26">
        <f>IF(OR($A157="",BJ$3=""),"",IF(AND($J157&lt;&gt;"",$K157&lt;&gt;"",$J157=$K157,$J157&gt;=BJ$3,$J157&lt;=IF(param_mode_affichage="mois",EOMONTH(BJ$3,0),BJ$3+6)),"◆",""))</f>
      </c>
      <c r="BK157" s="26">
        <f>IF(OR($A157="",BK$3=""),"",IF(AND($J157&lt;&gt;"",$K157&lt;&gt;"",$J157=$K157,$J157&gt;=BK$3,$J157&lt;=IF(param_mode_affichage="mois",EOMONTH(BK$3,0),BK$3+6)),"◆",""))</f>
      </c>
      <c r="BL157" s="26">
        <f>IF(OR($A157="",BL$3=""),"",IF(AND($J157&lt;&gt;"",$K157&lt;&gt;"",$J157=$K157,$J157&gt;=BL$3,$J157&lt;=IF(param_mode_affichage="mois",EOMONTH(BL$3,0),BL$3+6)),"◆",""))</f>
      </c>
    </row>
    <row r="158" spans="1:64" x14ac:dyDescent="0.25">
      <c r="A158" s="23">
        <f>IFERROR(INDEX(tblTasks[ID],ROW()-4),"")</f>
      </c>
      <c r="B158" s="24">
        <f>IF($A158="","",INDEX(tblTasks[Sujet],ROW()-4))</f>
      </c>
      <c r="C158" s="23">
        <f>IF($A158="","",INDEX(tblTasks[Responsable],ROW()-4))</f>
      </c>
      <c r="D158" s="23">
        <f>IF($A158="","",INDEX(tblTasks[Statut],ROW()-4))</f>
      </c>
      <c r="E158" s="23">
        <f>IF($A158="","",INDEX(tblTasks[Depend_de],ROW()-4))</f>
      </c>
      <c r="F158" s="23">
        <f>IF($A158="","",INDEX(tblTasks[Blocage],ROW()-4))</f>
      </c>
      <c r="G158" s="23">
        <f>IF($A158="","",INDEX(tblTasks[Niveau_criticite],ROW()-4))</f>
      </c>
      <c r="H158" s="23">
        <f>IF($A158="","",INDEX(tblTasks[Goulot],ROW()-4))</f>
      </c>
      <c r="I158" s="23">
        <f>IF($A158="","",IF(LOWER($F158)="oui","non",IF($E158="","oui",IFERROR(IF(LOWER(INDEX(tblTasks[Statut],MATCH($E158,tblTasks[ID],0)))="clos","oui","non"),"non"))))</f>
      </c>
      <c r="J158" s="25">
        <f>IF($A158="","",INDEX(tblTasks[Date_debut_prevue],ROW()-4))</f>
      </c>
      <c r="K158" s="25">
        <f>IF($A158="","",INDEX(tblTasks[Date_fin_prevue],ROW()-4))</f>
      </c>
      <c r="L158" s="23">
        <f>IF($A158="","",INDEX(tblTasks[Irreversibilite],ROW()-4))</f>
      </c>
      <c r="M158" s="26">
        <f>IF(OR($A158="",M$3=""),"",IF(AND($J158&lt;&gt;"",$K158&lt;&gt;"",$J158=$K158,$J158&gt;=M$3,$J158&lt;=IF(param_mode_affichage="mois",EOMONTH(M$3,0),M$3+6)),"◆",""))</f>
      </c>
      <c r="N158" s="26">
        <f>IF(OR($A158="",N$3=""),"",IF(AND($J158&lt;&gt;"",$K158&lt;&gt;"",$J158=$K158,$J158&gt;=N$3,$J158&lt;=IF(param_mode_affichage="mois",EOMONTH(N$3,0),N$3+6)),"◆",""))</f>
      </c>
      <c r="O158" s="26">
        <f>IF(OR($A158="",O$3=""),"",IF(AND($J158&lt;&gt;"",$K158&lt;&gt;"",$J158=$K158,$J158&gt;=O$3,$J158&lt;=IF(param_mode_affichage="mois",EOMONTH(O$3,0),O$3+6)),"◆",""))</f>
      </c>
      <c r="P158" s="26">
        <f>IF(OR($A158="",P$3=""),"",IF(AND($J158&lt;&gt;"",$K158&lt;&gt;"",$J158=$K158,$J158&gt;=P$3,$J158&lt;=IF(param_mode_affichage="mois",EOMONTH(P$3,0),P$3+6)),"◆",""))</f>
      </c>
      <c r="Q158" s="26">
        <f>IF(OR($A158="",Q$3=""),"",IF(AND($J158&lt;&gt;"",$K158&lt;&gt;"",$J158=$K158,$J158&gt;=Q$3,$J158&lt;=IF(param_mode_affichage="mois",EOMONTH(Q$3,0),Q$3+6)),"◆",""))</f>
      </c>
      <c r="R158" s="26">
        <f>IF(OR($A158="",R$3=""),"",IF(AND($J158&lt;&gt;"",$K158&lt;&gt;"",$J158=$K158,$J158&gt;=R$3,$J158&lt;=IF(param_mode_affichage="mois",EOMONTH(R$3,0),R$3+6)),"◆",""))</f>
      </c>
      <c r="S158" s="26">
        <f>IF(OR($A158="",S$3=""),"",IF(AND($J158&lt;&gt;"",$K158&lt;&gt;"",$J158=$K158,$J158&gt;=S$3,$J158&lt;=IF(param_mode_affichage="mois",EOMONTH(S$3,0),S$3+6)),"◆",""))</f>
      </c>
      <c r="T158" s="26">
        <f>IF(OR($A158="",T$3=""),"",IF(AND($J158&lt;&gt;"",$K158&lt;&gt;"",$J158=$K158,$J158&gt;=T$3,$J158&lt;=IF(param_mode_affichage="mois",EOMONTH(T$3,0),T$3+6)),"◆",""))</f>
      </c>
      <c r="U158" s="26">
        <f>IF(OR($A158="",U$3=""),"",IF(AND($J158&lt;&gt;"",$K158&lt;&gt;"",$J158=$K158,$J158&gt;=U$3,$J158&lt;=IF(param_mode_affichage="mois",EOMONTH(U$3,0),U$3+6)),"◆",""))</f>
      </c>
      <c r="V158" s="26">
        <f>IF(OR($A158="",V$3=""),"",IF(AND($J158&lt;&gt;"",$K158&lt;&gt;"",$J158=$K158,$J158&gt;=V$3,$J158&lt;=IF(param_mode_affichage="mois",EOMONTH(V$3,0),V$3+6)),"◆",""))</f>
      </c>
      <c r="W158" s="26">
        <f>IF(OR($A158="",W$3=""),"",IF(AND($J158&lt;&gt;"",$K158&lt;&gt;"",$J158=$K158,$J158&gt;=W$3,$J158&lt;=IF(param_mode_affichage="mois",EOMONTH(W$3,0),W$3+6)),"◆",""))</f>
      </c>
      <c r="X158" s="26">
        <f>IF(OR($A158="",X$3=""),"",IF(AND($J158&lt;&gt;"",$K158&lt;&gt;"",$J158=$K158,$J158&gt;=X$3,$J158&lt;=IF(param_mode_affichage="mois",EOMONTH(X$3,0),X$3+6)),"◆",""))</f>
      </c>
      <c r="Y158" s="26">
        <f>IF(OR($A158="",Y$3=""),"",IF(AND($J158&lt;&gt;"",$K158&lt;&gt;"",$J158=$K158,$J158&gt;=Y$3,$J158&lt;=IF(param_mode_affichage="mois",EOMONTH(Y$3,0),Y$3+6)),"◆",""))</f>
      </c>
      <c r="Z158" s="26">
        <f>IF(OR($A158="",Z$3=""),"",IF(AND($J158&lt;&gt;"",$K158&lt;&gt;"",$J158=$K158,$J158&gt;=Z$3,$J158&lt;=IF(param_mode_affichage="mois",EOMONTH(Z$3,0),Z$3+6)),"◆",""))</f>
      </c>
      <c r="AA158" s="26">
        <f>IF(OR($A158="",AA$3=""),"",IF(AND($J158&lt;&gt;"",$K158&lt;&gt;"",$J158=$K158,$J158&gt;=AA$3,$J158&lt;=IF(param_mode_affichage="mois",EOMONTH(AA$3,0),AA$3+6)),"◆",""))</f>
      </c>
      <c r="AB158" s="26">
        <f>IF(OR($A158="",AB$3=""),"",IF(AND($J158&lt;&gt;"",$K158&lt;&gt;"",$J158=$K158,$J158&gt;=AB$3,$J158&lt;=IF(param_mode_affichage="mois",EOMONTH(AB$3,0),AB$3+6)),"◆",""))</f>
      </c>
      <c r="AC158" s="26">
        <f>IF(OR($A158="",AC$3=""),"",IF(AND($J158&lt;&gt;"",$K158&lt;&gt;"",$J158=$K158,$J158&gt;=AC$3,$J158&lt;=IF(param_mode_affichage="mois",EOMONTH(AC$3,0),AC$3+6)),"◆",""))</f>
      </c>
      <c r="AD158" s="26">
        <f>IF(OR($A158="",AD$3=""),"",IF(AND($J158&lt;&gt;"",$K158&lt;&gt;"",$J158=$K158,$J158&gt;=AD$3,$J158&lt;=IF(param_mode_affichage="mois",EOMONTH(AD$3,0),AD$3+6)),"◆",""))</f>
      </c>
      <c r="AE158" s="26">
        <f>IF(OR($A158="",AE$3=""),"",IF(AND($J158&lt;&gt;"",$K158&lt;&gt;"",$J158=$K158,$J158&gt;=AE$3,$J158&lt;=IF(param_mode_affichage="mois",EOMONTH(AE$3,0),AE$3+6)),"◆",""))</f>
      </c>
      <c r="AF158" s="26">
        <f>IF(OR($A158="",AF$3=""),"",IF(AND($J158&lt;&gt;"",$K158&lt;&gt;"",$J158=$K158,$J158&gt;=AF$3,$J158&lt;=IF(param_mode_affichage="mois",EOMONTH(AF$3,0),AF$3+6)),"◆",""))</f>
      </c>
      <c r="AG158" s="26">
        <f>IF(OR($A158="",AG$3=""),"",IF(AND($J158&lt;&gt;"",$K158&lt;&gt;"",$J158=$K158,$J158&gt;=AG$3,$J158&lt;=IF(param_mode_affichage="mois",EOMONTH(AG$3,0),AG$3+6)),"◆",""))</f>
      </c>
      <c r="AH158" s="26">
        <f>IF(OR($A158="",AH$3=""),"",IF(AND($J158&lt;&gt;"",$K158&lt;&gt;"",$J158=$K158,$J158&gt;=AH$3,$J158&lt;=IF(param_mode_affichage="mois",EOMONTH(AH$3,0),AH$3+6)),"◆",""))</f>
      </c>
      <c r="AI158" s="26">
        <f>IF(OR($A158="",AI$3=""),"",IF(AND($J158&lt;&gt;"",$K158&lt;&gt;"",$J158=$K158,$J158&gt;=AI$3,$J158&lt;=IF(param_mode_affichage="mois",EOMONTH(AI$3,0),AI$3+6)),"◆",""))</f>
      </c>
      <c r="AJ158" s="26">
        <f>IF(OR($A158="",AJ$3=""),"",IF(AND($J158&lt;&gt;"",$K158&lt;&gt;"",$J158=$K158,$J158&gt;=AJ$3,$J158&lt;=IF(param_mode_affichage="mois",EOMONTH(AJ$3,0),AJ$3+6)),"◆",""))</f>
      </c>
      <c r="AK158" s="26">
        <f>IF(OR($A158="",AK$3=""),"",IF(AND($J158&lt;&gt;"",$K158&lt;&gt;"",$J158=$K158,$J158&gt;=AK$3,$J158&lt;=IF(param_mode_affichage="mois",EOMONTH(AK$3,0),AK$3+6)),"◆",""))</f>
      </c>
      <c r="AL158" s="26">
        <f>IF(OR($A158="",AL$3=""),"",IF(AND($J158&lt;&gt;"",$K158&lt;&gt;"",$J158=$K158,$J158&gt;=AL$3,$J158&lt;=IF(param_mode_affichage="mois",EOMONTH(AL$3,0),AL$3+6)),"◆",""))</f>
      </c>
      <c r="AM158" s="26">
        <f>IF(OR($A158="",AM$3=""),"",IF(AND($J158&lt;&gt;"",$K158&lt;&gt;"",$J158=$K158,$J158&gt;=AM$3,$J158&lt;=IF(param_mode_affichage="mois",EOMONTH(AM$3,0),AM$3+6)),"◆",""))</f>
      </c>
      <c r="AN158" s="26">
        <f>IF(OR($A158="",AN$3=""),"",IF(AND($J158&lt;&gt;"",$K158&lt;&gt;"",$J158=$K158,$J158&gt;=AN$3,$J158&lt;=IF(param_mode_affichage="mois",EOMONTH(AN$3,0),AN$3+6)),"◆",""))</f>
      </c>
      <c r="AO158" s="26">
        <f>IF(OR($A158="",AO$3=""),"",IF(AND($J158&lt;&gt;"",$K158&lt;&gt;"",$J158=$K158,$J158&gt;=AO$3,$J158&lt;=IF(param_mode_affichage="mois",EOMONTH(AO$3,0),AO$3+6)),"◆",""))</f>
      </c>
      <c r="AP158" s="26">
        <f>IF(OR($A158="",AP$3=""),"",IF(AND($J158&lt;&gt;"",$K158&lt;&gt;"",$J158=$K158,$J158&gt;=AP$3,$J158&lt;=IF(param_mode_affichage="mois",EOMONTH(AP$3,0),AP$3+6)),"◆",""))</f>
      </c>
      <c r="AQ158" s="26">
        <f>IF(OR($A158="",AQ$3=""),"",IF(AND($J158&lt;&gt;"",$K158&lt;&gt;"",$J158=$K158,$J158&gt;=AQ$3,$J158&lt;=IF(param_mode_affichage="mois",EOMONTH(AQ$3,0),AQ$3+6)),"◆",""))</f>
      </c>
      <c r="AR158" s="26">
        <f>IF(OR($A158="",AR$3=""),"",IF(AND($J158&lt;&gt;"",$K158&lt;&gt;"",$J158=$K158,$J158&gt;=AR$3,$J158&lt;=IF(param_mode_affichage="mois",EOMONTH(AR$3,0),AR$3+6)),"◆",""))</f>
      </c>
      <c r="AS158" s="26">
        <f>IF(OR($A158="",AS$3=""),"",IF(AND($J158&lt;&gt;"",$K158&lt;&gt;"",$J158=$K158,$J158&gt;=AS$3,$J158&lt;=IF(param_mode_affichage="mois",EOMONTH(AS$3,0),AS$3+6)),"◆",""))</f>
      </c>
      <c r="AT158" s="26">
        <f>IF(OR($A158="",AT$3=""),"",IF(AND($J158&lt;&gt;"",$K158&lt;&gt;"",$J158=$K158,$J158&gt;=AT$3,$J158&lt;=IF(param_mode_affichage="mois",EOMONTH(AT$3,0),AT$3+6)),"◆",""))</f>
      </c>
      <c r="AU158" s="26">
        <f>IF(OR($A158="",AU$3=""),"",IF(AND($J158&lt;&gt;"",$K158&lt;&gt;"",$J158=$K158,$J158&gt;=AU$3,$J158&lt;=IF(param_mode_affichage="mois",EOMONTH(AU$3,0),AU$3+6)),"◆",""))</f>
      </c>
      <c r="AV158" s="26">
        <f>IF(OR($A158="",AV$3=""),"",IF(AND($J158&lt;&gt;"",$K158&lt;&gt;"",$J158=$K158,$J158&gt;=AV$3,$J158&lt;=IF(param_mode_affichage="mois",EOMONTH(AV$3,0),AV$3+6)),"◆",""))</f>
      </c>
      <c r="AW158" s="26">
        <f>IF(OR($A158="",AW$3=""),"",IF(AND($J158&lt;&gt;"",$K158&lt;&gt;"",$J158=$K158,$J158&gt;=AW$3,$J158&lt;=IF(param_mode_affichage="mois",EOMONTH(AW$3,0),AW$3+6)),"◆",""))</f>
      </c>
      <c r="AX158" s="26">
        <f>IF(OR($A158="",AX$3=""),"",IF(AND($J158&lt;&gt;"",$K158&lt;&gt;"",$J158=$K158,$J158&gt;=AX$3,$J158&lt;=IF(param_mode_affichage="mois",EOMONTH(AX$3,0),AX$3+6)),"◆",""))</f>
      </c>
      <c r="AY158" s="26">
        <f>IF(OR($A158="",AY$3=""),"",IF(AND($J158&lt;&gt;"",$K158&lt;&gt;"",$J158=$K158,$J158&gt;=AY$3,$J158&lt;=IF(param_mode_affichage="mois",EOMONTH(AY$3,0),AY$3+6)),"◆",""))</f>
      </c>
      <c r="AZ158" s="26">
        <f>IF(OR($A158="",AZ$3=""),"",IF(AND($J158&lt;&gt;"",$K158&lt;&gt;"",$J158=$K158,$J158&gt;=AZ$3,$J158&lt;=IF(param_mode_affichage="mois",EOMONTH(AZ$3,0),AZ$3+6)),"◆",""))</f>
      </c>
      <c r="BA158" s="26">
        <f>IF(OR($A158="",BA$3=""),"",IF(AND($J158&lt;&gt;"",$K158&lt;&gt;"",$J158=$K158,$J158&gt;=BA$3,$J158&lt;=IF(param_mode_affichage="mois",EOMONTH(BA$3,0),BA$3+6)),"◆",""))</f>
      </c>
      <c r="BB158" s="26">
        <f>IF(OR($A158="",BB$3=""),"",IF(AND($J158&lt;&gt;"",$K158&lt;&gt;"",$J158=$K158,$J158&gt;=BB$3,$J158&lt;=IF(param_mode_affichage="mois",EOMONTH(BB$3,0),BB$3+6)),"◆",""))</f>
      </c>
      <c r="BC158" s="26">
        <f>IF(OR($A158="",BC$3=""),"",IF(AND($J158&lt;&gt;"",$K158&lt;&gt;"",$J158=$K158,$J158&gt;=BC$3,$J158&lt;=IF(param_mode_affichage="mois",EOMONTH(BC$3,0),BC$3+6)),"◆",""))</f>
      </c>
      <c r="BD158" s="26">
        <f>IF(OR($A158="",BD$3=""),"",IF(AND($J158&lt;&gt;"",$K158&lt;&gt;"",$J158=$K158,$J158&gt;=BD$3,$J158&lt;=IF(param_mode_affichage="mois",EOMONTH(BD$3,0),BD$3+6)),"◆",""))</f>
      </c>
      <c r="BE158" s="26">
        <f>IF(OR($A158="",BE$3=""),"",IF(AND($J158&lt;&gt;"",$K158&lt;&gt;"",$J158=$K158,$J158&gt;=BE$3,$J158&lt;=IF(param_mode_affichage="mois",EOMONTH(BE$3,0),BE$3+6)),"◆",""))</f>
      </c>
      <c r="BF158" s="26">
        <f>IF(OR($A158="",BF$3=""),"",IF(AND($J158&lt;&gt;"",$K158&lt;&gt;"",$J158=$K158,$J158&gt;=BF$3,$J158&lt;=IF(param_mode_affichage="mois",EOMONTH(BF$3,0),BF$3+6)),"◆",""))</f>
      </c>
      <c r="BG158" s="26">
        <f>IF(OR($A158="",BG$3=""),"",IF(AND($J158&lt;&gt;"",$K158&lt;&gt;"",$J158=$K158,$J158&gt;=BG$3,$J158&lt;=IF(param_mode_affichage="mois",EOMONTH(BG$3,0),BG$3+6)),"◆",""))</f>
      </c>
      <c r="BH158" s="26">
        <f>IF(OR($A158="",BH$3=""),"",IF(AND($J158&lt;&gt;"",$K158&lt;&gt;"",$J158=$K158,$J158&gt;=BH$3,$J158&lt;=IF(param_mode_affichage="mois",EOMONTH(BH$3,0),BH$3+6)),"◆",""))</f>
      </c>
      <c r="BI158" s="26">
        <f>IF(OR($A158="",BI$3=""),"",IF(AND($J158&lt;&gt;"",$K158&lt;&gt;"",$J158=$K158,$J158&gt;=BI$3,$J158&lt;=IF(param_mode_affichage="mois",EOMONTH(BI$3,0),BI$3+6)),"◆",""))</f>
      </c>
      <c r="BJ158" s="26">
        <f>IF(OR($A158="",BJ$3=""),"",IF(AND($J158&lt;&gt;"",$K158&lt;&gt;"",$J158=$K158,$J158&gt;=BJ$3,$J158&lt;=IF(param_mode_affichage="mois",EOMONTH(BJ$3,0),BJ$3+6)),"◆",""))</f>
      </c>
      <c r="BK158" s="26">
        <f>IF(OR($A158="",BK$3=""),"",IF(AND($J158&lt;&gt;"",$K158&lt;&gt;"",$J158=$K158,$J158&gt;=BK$3,$J158&lt;=IF(param_mode_affichage="mois",EOMONTH(BK$3,0),BK$3+6)),"◆",""))</f>
      </c>
      <c r="BL158" s="26">
        <f>IF(OR($A158="",BL$3=""),"",IF(AND($J158&lt;&gt;"",$K158&lt;&gt;"",$J158=$K158,$J158&gt;=BL$3,$J158&lt;=IF(param_mode_affichage="mois",EOMONTH(BL$3,0),BL$3+6)),"◆",""))</f>
      </c>
    </row>
    <row r="159" spans="1:64" x14ac:dyDescent="0.25">
      <c r="A159" s="23">
        <f>IFERROR(INDEX(tblTasks[ID],ROW()-4),"")</f>
      </c>
      <c r="B159" s="24">
        <f>IF($A159="","",INDEX(tblTasks[Sujet],ROW()-4))</f>
      </c>
      <c r="C159" s="23">
        <f>IF($A159="","",INDEX(tblTasks[Responsable],ROW()-4))</f>
      </c>
      <c r="D159" s="23">
        <f>IF($A159="","",INDEX(tblTasks[Statut],ROW()-4))</f>
      </c>
      <c r="E159" s="23">
        <f>IF($A159="","",INDEX(tblTasks[Depend_de],ROW()-4))</f>
      </c>
      <c r="F159" s="23">
        <f>IF($A159="","",INDEX(tblTasks[Blocage],ROW()-4))</f>
      </c>
      <c r="G159" s="23">
        <f>IF($A159="","",INDEX(tblTasks[Niveau_criticite],ROW()-4))</f>
      </c>
      <c r="H159" s="23">
        <f>IF($A159="","",INDEX(tblTasks[Goulot],ROW()-4))</f>
      </c>
      <c r="I159" s="23">
        <f>IF($A159="","",IF(LOWER($F159)="oui","non",IF($E159="","oui",IFERROR(IF(LOWER(INDEX(tblTasks[Statut],MATCH($E159,tblTasks[ID],0)))="clos","oui","non"),"non"))))</f>
      </c>
      <c r="J159" s="25">
        <f>IF($A159="","",INDEX(tblTasks[Date_debut_prevue],ROW()-4))</f>
      </c>
      <c r="K159" s="25">
        <f>IF($A159="","",INDEX(tblTasks[Date_fin_prevue],ROW()-4))</f>
      </c>
      <c r="L159" s="23">
        <f>IF($A159="","",INDEX(tblTasks[Irreversibilite],ROW()-4))</f>
      </c>
      <c r="M159" s="26">
        <f>IF(OR($A159="",M$3=""),"",IF(AND($J159&lt;&gt;"",$K159&lt;&gt;"",$J159=$K159,$J159&gt;=M$3,$J159&lt;=IF(param_mode_affichage="mois",EOMONTH(M$3,0),M$3+6)),"◆",""))</f>
      </c>
      <c r="N159" s="26">
        <f>IF(OR($A159="",N$3=""),"",IF(AND($J159&lt;&gt;"",$K159&lt;&gt;"",$J159=$K159,$J159&gt;=N$3,$J159&lt;=IF(param_mode_affichage="mois",EOMONTH(N$3,0),N$3+6)),"◆",""))</f>
      </c>
      <c r="O159" s="26">
        <f>IF(OR($A159="",O$3=""),"",IF(AND($J159&lt;&gt;"",$K159&lt;&gt;"",$J159=$K159,$J159&gt;=O$3,$J159&lt;=IF(param_mode_affichage="mois",EOMONTH(O$3,0),O$3+6)),"◆",""))</f>
      </c>
      <c r="P159" s="26">
        <f>IF(OR($A159="",P$3=""),"",IF(AND($J159&lt;&gt;"",$K159&lt;&gt;"",$J159=$K159,$J159&gt;=P$3,$J159&lt;=IF(param_mode_affichage="mois",EOMONTH(P$3,0),P$3+6)),"◆",""))</f>
      </c>
      <c r="Q159" s="26">
        <f>IF(OR($A159="",Q$3=""),"",IF(AND($J159&lt;&gt;"",$K159&lt;&gt;"",$J159=$K159,$J159&gt;=Q$3,$J159&lt;=IF(param_mode_affichage="mois",EOMONTH(Q$3,0),Q$3+6)),"◆",""))</f>
      </c>
      <c r="R159" s="26">
        <f>IF(OR($A159="",R$3=""),"",IF(AND($J159&lt;&gt;"",$K159&lt;&gt;"",$J159=$K159,$J159&gt;=R$3,$J159&lt;=IF(param_mode_affichage="mois",EOMONTH(R$3,0),R$3+6)),"◆",""))</f>
      </c>
      <c r="S159" s="26">
        <f>IF(OR($A159="",S$3=""),"",IF(AND($J159&lt;&gt;"",$K159&lt;&gt;"",$J159=$K159,$J159&gt;=S$3,$J159&lt;=IF(param_mode_affichage="mois",EOMONTH(S$3,0),S$3+6)),"◆",""))</f>
      </c>
      <c r="T159" s="26">
        <f>IF(OR($A159="",T$3=""),"",IF(AND($J159&lt;&gt;"",$K159&lt;&gt;"",$J159=$K159,$J159&gt;=T$3,$J159&lt;=IF(param_mode_affichage="mois",EOMONTH(T$3,0),T$3+6)),"◆",""))</f>
      </c>
      <c r="U159" s="26">
        <f>IF(OR($A159="",U$3=""),"",IF(AND($J159&lt;&gt;"",$K159&lt;&gt;"",$J159=$K159,$J159&gt;=U$3,$J159&lt;=IF(param_mode_affichage="mois",EOMONTH(U$3,0),U$3+6)),"◆",""))</f>
      </c>
      <c r="V159" s="26">
        <f>IF(OR($A159="",V$3=""),"",IF(AND($J159&lt;&gt;"",$K159&lt;&gt;"",$J159=$K159,$J159&gt;=V$3,$J159&lt;=IF(param_mode_affichage="mois",EOMONTH(V$3,0),V$3+6)),"◆",""))</f>
      </c>
      <c r="W159" s="26">
        <f>IF(OR($A159="",W$3=""),"",IF(AND($J159&lt;&gt;"",$K159&lt;&gt;"",$J159=$K159,$J159&gt;=W$3,$J159&lt;=IF(param_mode_affichage="mois",EOMONTH(W$3,0),W$3+6)),"◆",""))</f>
      </c>
      <c r="X159" s="26">
        <f>IF(OR($A159="",X$3=""),"",IF(AND($J159&lt;&gt;"",$K159&lt;&gt;"",$J159=$K159,$J159&gt;=X$3,$J159&lt;=IF(param_mode_affichage="mois",EOMONTH(X$3,0),X$3+6)),"◆",""))</f>
      </c>
      <c r="Y159" s="26">
        <f>IF(OR($A159="",Y$3=""),"",IF(AND($J159&lt;&gt;"",$K159&lt;&gt;"",$J159=$K159,$J159&gt;=Y$3,$J159&lt;=IF(param_mode_affichage="mois",EOMONTH(Y$3,0),Y$3+6)),"◆",""))</f>
      </c>
      <c r="Z159" s="26">
        <f>IF(OR($A159="",Z$3=""),"",IF(AND($J159&lt;&gt;"",$K159&lt;&gt;"",$J159=$K159,$J159&gt;=Z$3,$J159&lt;=IF(param_mode_affichage="mois",EOMONTH(Z$3,0),Z$3+6)),"◆",""))</f>
      </c>
      <c r="AA159" s="26">
        <f>IF(OR($A159="",AA$3=""),"",IF(AND($J159&lt;&gt;"",$K159&lt;&gt;"",$J159=$K159,$J159&gt;=AA$3,$J159&lt;=IF(param_mode_affichage="mois",EOMONTH(AA$3,0),AA$3+6)),"◆",""))</f>
      </c>
      <c r="AB159" s="26">
        <f>IF(OR($A159="",AB$3=""),"",IF(AND($J159&lt;&gt;"",$K159&lt;&gt;"",$J159=$K159,$J159&gt;=AB$3,$J159&lt;=IF(param_mode_affichage="mois",EOMONTH(AB$3,0),AB$3+6)),"◆",""))</f>
      </c>
      <c r="AC159" s="26">
        <f>IF(OR($A159="",AC$3=""),"",IF(AND($J159&lt;&gt;"",$K159&lt;&gt;"",$J159=$K159,$J159&gt;=AC$3,$J159&lt;=IF(param_mode_affichage="mois",EOMONTH(AC$3,0),AC$3+6)),"◆",""))</f>
      </c>
      <c r="AD159" s="26">
        <f>IF(OR($A159="",AD$3=""),"",IF(AND($J159&lt;&gt;"",$K159&lt;&gt;"",$J159=$K159,$J159&gt;=AD$3,$J159&lt;=IF(param_mode_affichage="mois",EOMONTH(AD$3,0),AD$3+6)),"◆",""))</f>
      </c>
      <c r="AE159" s="26">
        <f>IF(OR($A159="",AE$3=""),"",IF(AND($J159&lt;&gt;"",$K159&lt;&gt;"",$J159=$K159,$J159&gt;=AE$3,$J159&lt;=IF(param_mode_affichage="mois",EOMONTH(AE$3,0),AE$3+6)),"◆",""))</f>
      </c>
      <c r="AF159" s="26">
        <f>IF(OR($A159="",AF$3=""),"",IF(AND($J159&lt;&gt;"",$K159&lt;&gt;"",$J159=$K159,$J159&gt;=AF$3,$J159&lt;=IF(param_mode_affichage="mois",EOMONTH(AF$3,0),AF$3+6)),"◆",""))</f>
      </c>
      <c r="AG159" s="26">
        <f>IF(OR($A159="",AG$3=""),"",IF(AND($J159&lt;&gt;"",$K159&lt;&gt;"",$J159=$K159,$J159&gt;=AG$3,$J159&lt;=IF(param_mode_affichage="mois",EOMONTH(AG$3,0),AG$3+6)),"◆",""))</f>
      </c>
      <c r="AH159" s="26">
        <f>IF(OR($A159="",AH$3=""),"",IF(AND($J159&lt;&gt;"",$K159&lt;&gt;"",$J159=$K159,$J159&gt;=AH$3,$J159&lt;=IF(param_mode_affichage="mois",EOMONTH(AH$3,0),AH$3+6)),"◆",""))</f>
      </c>
      <c r="AI159" s="26">
        <f>IF(OR($A159="",AI$3=""),"",IF(AND($J159&lt;&gt;"",$K159&lt;&gt;"",$J159=$K159,$J159&gt;=AI$3,$J159&lt;=IF(param_mode_affichage="mois",EOMONTH(AI$3,0),AI$3+6)),"◆",""))</f>
      </c>
      <c r="AJ159" s="26">
        <f>IF(OR($A159="",AJ$3=""),"",IF(AND($J159&lt;&gt;"",$K159&lt;&gt;"",$J159=$K159,$J159&gt;=AJ$3,$J159&lt;=IF(param_mode_affichage="mois",EOMONTH(AJ$3,0),AJ$3+6)),"◆",""))</f>
      </c>
      <c r="AK159" s="26">
        <f>IF(OR($A159="",AK$3=""),"",IF(AND($J159&lt;&gt;"",$K159&lt;&gt;"",$J159=$K159,$J159&gt;=AK$3,$J159&lt;=IF(param_mode_affichage="mois",EOMONTH(AK$3,0),AK$3+6)),"◆",""))</f>
      </c>
      <c r="AL159" s="26">
        <f>IF(OR($A159="",AL$3=""),"",IF(AND($J159&lt;&gt;"",$K159&lt;&gt;"",$J159=$K159,$J159&gt;=AL$3,$J159&lt;=IF(param_mode_affichage="mois",EOMONTH(AL$3,0),AL$3+6)),"◆",""))</f>
      </c>
      <c r="AM159" s="26">
        <f>IF(OR($A159="",AM$3=""),"",IF(AND($J159&lt;&gt;"",$K159&lt;&gt;"",$J159=$K159,$J159&gt;=AM$3,$J159&lt;=IF(param_mode_affichage="mois",EOMONTH(AM$3,0),AM$3+6)),"◆",""))</f>
      </c>
      <c r="AN159" s="26">
        <f>IF(OR($A159="",AN$3=""),"",IF(AND($J159&lt;&gt;"",$K159&lt;&gt;"",$J159=$K159,$J159&gt;=AN$3,$J159&lt;=IF(param_mode_affichage="mois",EOMONTH(AN$3,0),AN$3+6)),"◆",""))</f>
      </c>
      <c r="AO159" s="26">
        <f>IF(OR($A159="",AO$3=""),"",IF(AND($J159&lt;&gt;"",$K159&lt;&gt;"",$J159=$K159,$J159&gt;=AO$3,$J159&lt;=IF(param_mode_affichage="mois",EOMONTH(AO$3,0),AO$3+6)),"◆",""))</f>
      </c>
      <c r="AP159" s="26">
        <f>IF(OR($A159="",AP$3=""),"",IF(AND($J159&lt;&gt;"",$K159&lt;&gt;"",$J159=$K159,$J159&gt;=AP$3,$J159&lt;=IF(param_mode_affichage="mois",EOMONTH(AP$3,0),AP$3+6)),"◆",""))</f>
      </c>
      <c r="AQ159" s="26">
        <f>IF(OR($A159="",AQ$3=""),"",IF(AND($J159&lt;&gt;"",$K159&lt;&gt;"",$J159=$K159,$J159&gt;=AQ$3,$J159&lt;=IF(param_mode_affichage="mois",EOMONTH(AQ$3,0),AQ$3+6)),"◆",""))</f>
      </c>
      <c r="AR159" s="26">
        <f>IF(OR($A159="",AR$3=""),"",IF(AND($J159&lt;&gt;"",$K159&lt;&gt;"",$J159=$K159,$J159&gt;=AR$3,$J159&lt;=IF(param_mode_affichage="mois",EOMONTH(AR$3,0),AR$3+6)),"◆",""))</f>
      </c>
      <c r="AS159" s="26">
        <f>IF(OR($A159="",AS$3=""),"",IF(AND($J159&lt;&gt;"",$K159&lt;&gt;"",$J159=$K159,$J159&gt;=AS$3,$J159&lt;=IF(param_mode_affichage="mois",EOMONTH(AS$3,0),AS$3+6)),"◆",""))</f>
      </c>
      <c r="AT159" s="26">
        <f>IF(OR($A159="",AT$3=""),"",IF(AND($J159&lt;&gt;"",$K159&lt;&gt;"",$J159=$K159,$J159&gt;=AT$3,$J159&lt;=IF(param_mode_affichage="mois",EOMONTH(AT$3,0),AT$3+6)),"◆",""))</f>
      </c>
      <c r="AU159" s="26">
        <f>IF(OR($A159="",AU$3=""),"",IF(AND($J159&lt;&gt;"",$K159&lt;&gt;"",$J159=$K159,$J159&gt;=AU$3,$J159&lt;=IF(param_mode_affichage="mois",EOMONTH(AU$3,0),AU$3+6)),"◆",""))</f>
      </c>
      <c r="AV159" s="26">
        <f>IF(OR($A159="",AV$3=""),"",IF(AND($J159&lt;&gt;"",$K159&lt;&gt;"",$J159=$K159,$J159&gt;=AV$3,$J159&lt;=IF(param_mode_affichage="mois",EOMONTH(AV$3,0),AV$3+6)),"◆",""))</f>
      </c>
      <c r="AW159" s="26">
        <f>IF(OR($A159="",AW$3=""),"",IF(AND($J159&lt;&gt;"",$K159&lt;&gt;"",$J159=$K159,$J159&gt;=AW$3,$J159&lt;=IF(param_mode_affichage="mois",EOMONTH(AW$3,0),AW$3+6)),"◆",""))</f>
      </c>
      <c r="AX159" s="26">
        <f>IF(OR($A159="",AX$3=""),"",IF(AND($J159&lt;&gt;"",$K159&lt;&gt;"",$J159=$K159,$J159&gt;=AX$3,$J159&lt;=IF(param_mode_affichage="mois",EOMONTH(AX$3,0),AX$3+6)),"◆",""))</f>
      </c>
      <c r="AY159" s="26">
        <f>IF(OR($A159="",AY$3=""),"",IF(AND($J159&lt;&gt;"",$K159&lt;&gt;"",$J159=$K159,$J159&gt;=AY$3,$J159&lt;=IF(param_mode_affichage="mois",EOMONTH(AY$3,0),AY$3+6)),"◆",""))</f>
      </c>
      <c r="AZ159" s="26">
        <f>IF(OR($A159="",AZ$3=""),"",IF(AND($J159&lt;&gt;"",$K159&lt;&gt;"",$J159=$K159,$J159&gt;=AZ$3,$J159&lt;=IF(param_mode_affichage="mois",EOMONTH(AZ$3,0),AZ$3+6)),"◆",""))</f>
      </c>
      <c r="BA159" s="26">
        <f>IF(OR($A159="",BA$3=""),"",IF(AND($J159&lt;&gt;"",$K159&lt;&gt;"",$J159=$K159,$J159&gt;=BA$3,$J159&lt;=IF(param_mode_affichage="mois",EOMONTH(BA$3,0),BA$3+6)),"◆",""))</f>
      </c>
      <c r="BB159" s="26">
        <f>IF(OR($A159="",BB$3=""),"",IF(AND($J159&lt;&gt;"",$K159&lt;&gt;"",$J159=$K159,$J159&gt;=BB$3,$J159&lt;=IF(param_mode_affichage="mois",EOMONTH(BB$3,0),BB$3+6)),"◆",""))</f>
      </c>
      <c r="BC159" s="26">
        <f>IF(OR($A159="",BC$3=""),"",IF(AND($J159&lt;&gt;"",$K159&lt;&gt;"",$J159=$K159,$J159&gt;=BC$3,$J159&lt;=IF(param_mode_affichage="mois",EOMONTH(BC$3,0),BC$3+6)),"◆",""))</f>
      </c>
      <c r="BD159" s="26">
        <f>IF(OR($A159="",BD$3=""),"",IF(AND($J159&lt;&gt;"",$K159&lt;&gt;"",$J159=$K159,$J159&gt;=BD$3,$J159&lt;=IF(param_mode_affichage="mois",EOMONTH(BD$3,0),BD$3+6)),"◆",""))</f>
      </c>
      <c r="BE159" s="26">
        <f>IF(OR($A159="",BE$3=""),"",IF(AND($J159&lt;&gt;"",$K159&lt;&gt;"",$J159=$K159,$J159&gt;=BE$3,$J159&lt;=IF(param_mode_affichage="mois",EOMONTH(BE$3,0),BE$3+6)),"◆",""))</f>
      </c>
      <c r="BF159" s="26">
        <f>IF(OR($A159="",BF$3=""),"",IF(AND($J159&lt;&gt;"",$K159&lt;&gt;"",$J159=$K159,$J159&gt;=BF$3,$J159&lt;=IF(param_mode_affichage="mois",EOMONTH(BF$3,0),BF$3+6)),"◆",""))</f>
      </c>
      <c r="BG159" s="26">
        <f>IF(OR($A159="",BG$3=""),"",IF(AND($J159&lt;&gt;"",$K159&lt;&gt;"",$J159=$K159,$J159&gt;=BG$3,$J159&lt;=IF(param_mode_affichage="mois",EOMONTH(BG$3,0),BG$3+6)),"◆",""))</f>
      </c>
      <c r="BH159" s="26">
        <f>IF(OR($A159="",BH$3=""),"",IF(AND($J159&lt;&gt;"",$K159&lt;&gt;"",$J159=$K159,$J159&gt;=BH$3,$J159&lt;=IF(param_mode_affichage="mois",EOMONTH(BH$3,0),BH$3+6)),"◆",""))</f>
      </c>
      <c r="BI159" s="26">
        <f>IF(OR($A159="",BI$3=""),"",IF(AND($J159&lt;&gt;"",$K159&lt;&gt;"",$J159=$K159,$J159&gt;=BI$3,$J159&lt;=IF(param_mode_affichage="mois",EOMONTH(BI$3,0),BI$3+6)),"◆",""))</f>
      </c>
      <c r="BJ159" s="26">
        <f>IF(OR($A159="",BJ$3=""),"",IF(AND($J159&lt;&gt;"",$K159&lt;&gt;"",$J159=$K159,$J159&gt;=BJ$3,$J159&lt;=IF(param_mode_affichage="mois",EOMONTH(BJ$3,0),BJ$3+6)),"◆",""))</f>
      </c>
      <c r="BK159" s="26">
        <f>IF(OR($A159="",BK$3=""),"",IF(AND($J159&lt;&gt;"",$K159&lt;&gt;"",$J159=$K159,$J159&gt;=BK$3,$J159&lt;=IF(param_mode_affichage="mois",EOMONTH(BK$3,0),BK$3+6)),"◆",""))</f>
      </c>
      <c r="BL159" s="26">
        <f>IF(OR($A159="",BL$3=""),"",IF(AND($J159&lt;&gt;"",$K159&lt;&gt;"",$J159=$K159,$J159&gt;=BL$3,$J159&lt;=IF(param_mode_affichage="mois",EOMONTH(BL$3,0),BL$3+6)),"◆",""))</f>
      </c>
    </row>
    <row r="160" spans="1:64" x14ac:dyDescent="0.25">
      <c r="A160" s="23">
        <f>IFERROR(INDEX(tblTasks[ID],ROW()-4),"")</f>
      </c>
      <c r="B160" s="24">
        <f>IF($A160="","",INDEX(tblTasks[Sujet],ROW()-4))</f>
      </c>
      <c r="C160" s="23">
        <f>IF($A160="","",INDEX(tblTasks[Responsable],ROW()-4))</f>
      </c>
      <c r="D160" s="23">
        <f>IF($A160="","",INDEX(tblTasks[Statut],ROW()-4))</f>
      </c>
      <c r="E160" s="23">
        <f>IF($A160="","",INDEX(tblTasks[Depend_de],ROW()-4))</f>
      </c>
      <c r="F160" s="23">
        <f>IF($A160="","",INDEX(tblTasks[Blocage],ROW()-4))</f>
      </c>
      <c r="G160" s="23">
        <f>IF($A160="","",INDEX(tblTasks[Niveau_criticite],ROW()-4))</f>
      </c>
      <c r="H160" s="23">
        <f>IF($A160="","",INDEX(tblTasks[Goulot],ROW()-4))</f>
      </c>
      <c r="I160" s="23">
        <f>IF($A160="","",IF(LOWER($F160)="oui","non",IF($E160="","oui",IFERROR(IF(LOWER(INDEX(tblTasks[Statut],MATCH($E160,tblTasks[ID],0)))="clos","oui","non"),"non"))))</f>
      </c>
      <c r="J160" s="25">
        <f>IF($A160="","",INDEX(tblTasks[Date_debut_prevue],ROW()-4))</f>
      </c>
      <c r="K160" s="25">
        <f>IF($A160="","",INDEX(tblTasks[Date_fin_prevue],ROW()-4))</f>
      </c>
      <c r="L160" s="23">
        <f>IF($A160="","",INDEX(tblTasks[Irreversibilite],ROW()-4))</f>
      </c>
      <c r="M160" s="26">
        <f>IF(OR($A160="",M$3=""),"",IF(AND($J160&lt;&gt;"",$K160&lt;&gt;"",$J160=$K160,$J160&gt;=M$3,$J160&lt;=IF(param_mode_affichage="mois",EOMONTH(M$3,0),M$3+6)),"◆",""))</f>
      </c>
      <c r="N160" s="26">
        <f>IF(OR($A160="",N$3=""),"",IF(AND($J160&lt;&gt;"",$K160&lt;&gt;"",$J160=$K160,$J160&gt;=N$3,$J160&lt;=IF(param_mode_affichage="mois",EOMONTH(N$3,0),N$3+6)),"◆",""))</f>
      </c>
      <c r="O160" s="26">
        <f>IF(OR($A160="",O$3=""),"",IF(AND($J160&lt;&gt;"",$K160&lt;&gt;"",$J160=$K160,$J160&gt;=O$3,$J160&lt;=IF(param_mode_affichage="mois",EOMONTH(O$3,0),O$3+6)),"◆",""))</f>
      </c>
      <c r="P160" s="26">
        <f>IF(OR($A160="",P$3=""),"",IF(AND($J160&lt;&gt;"",$K160&lt;&gt;"",$J160=$K160,$J160&gt;=P$3,$J160&lt;=IF(param_mode_affichage="mois",EOMONTH(P$3,0),P$3+6)),"◆",""))</f>
      </c>
      <c r="Q160" s="26">
        <f>IF(OR($A160="",Q$3=""),"",IF(AND($J160&lt;&gt;"",$K160&lt;&gt;"",$J160=$K160,$J160&gt;=Q$3,$J160&lt;=IF(param_mode_affichage="mois",EOMONTH(Q$3,0),Q$3+6)),"◆",""))</f>
      </c>
      <c r="R160" s="26">
        <f>IF(OR($A160="",R$3=""),"",IF(AND($J160&lt;&gt;"",$K160&lt;&gt;"",$J160=$K160,$J160&gt;=R$3,$J160&lt;=IF(param_mode_affichage="mois",EOMONTH(R$3,0),R$3+6)),"◆",""))</f>
      </c>
      <c r="S160" s="26">
        <f>IF(OR($A160="",S$3=""),"",IF(AND($J160&lt;&gt;"",$K160&lt;&gt;"",$J160=$K160,$J160&gt;=S$3,$J160&lt;=IF(param_mode_affichage="mois",EOMONTH(S$3,0),S$3+6)),"◆",""))</f>
      </c>
      <c r="T160" s="26">
        <f>IF(OR($A160="",T$3=""),"",IF(AND($J160&lt;&gt;"",$K160&lt;&gt;"",$J160=$K160,$J160&gt;=T$3,$J160&lt;=IF(param_mode_affichage="mois",EOMONTH(T$3,0),T$3+6)),"◆",""))</f>
      </c>
      <c r="U160" s="26">
        <f>IF(OR($A160="",U$3=""),"",IF(AND($J160&lt;&gt;"",$K160&lt;&gt;"",$J160=$K160,$J160&gt;=U$3,$J160&lt;=IF(param_mode_affichage="mois",EOMONTH(U$3,0),U$3+6)),"◆",""))</f>
      </c>
      <c r="V160" s="26">
        <f>IF(OR($A160="",V$3=""),"",IF(AND($J160&lt;&gt;"",$K160&lt;&gt;"",$J160=$K160,$J160&gt;=V$3,$J160&lt;=IF(param_mode_affichage="mois",EOMONTH(V$3,0),V$3+6)),"◆",""))</f>
      </c>
      <c r="W160" s="26">
        <f>IF(OR($A160="",W$3=""),"",IF(AND($J160&lt;&gt;"",$K160&lt;&gt;"",$J160=$K160,$J160&gt;=W$3,$J160&lt;=IF(param_mode_affichage="mois",EOMONTH(W$3,0),W$3+6)),"◆",""))</f>
      </c>
      <c r="X160" s="26">
        <f>IF(OR($A160="",X$3=""),"",IF(AND($J160&lt;&gt;"",$K160&lt;&gt;"",$J160=$K160,$J160&gt;=X$3,$J160&lt;=IF(param_mode_affichage="mois",EOMONTH(X$3,0),X$3+6)),"◆",""))</f>
      </c>
      <c r="Y160" s="26">
        <f>IF(OR($A160="",Y$3=""),"",IF(AND($J160&lt;&gt;"",$K160&lt;&gt;"",$J160=$K160,$J160&gt;=Y$3,$J160&lt;=IF(param_mode_affichage="mois",EOMONTH(Y$3,0),Y$3+6)),"◆",""))</f>
      </c>
      <c r="Z160" s="26">
        <f>IF(OR($A160="",Z$3=""),"",IF(AND($J160&lt;&gt;"",$K160&lt;&gt;"",$J160=$K160,$J160&gt;=Z$3,$J160&lt;=IF(param_mode_affichage="mois",EOMONTH(Z$3,0),Z$3+6)),"◆",""))</f>
      </c>
      <c r="AA160" s="26">
        <f>IF(OR($A160="",AA$3=""),"",IF(AND($J160&lt;&gt;"",$K160&lt;&gt;"",$J160=$K160,$J160&gt;=AA$3,$J160&lt;=IF(param_mode_affichage="mois",EOMONTH(AA$3,0),AA$3+6)),"◆",""))</f>
      </c>
      <c r="AB160" s="26">
        <f>IF(OR($A160="",AB$3=""),"",IF(AND($J160&lt;&gt;"",$K160&lt;&gt;"",$J160=$K160,$J160&gt;=AB$3,$J160&lt;=IF(param_mode_affichage="mois",EOMONTH(AB$3,0),AB$3+6)),"◆",""))</f>
      </c>
      <c r="AC160" s="26">
        <f>IF(OR($A160="",AC$3=""),"",IF(AND($J160&lt;&gt;"",$K160&lt;&gt;"",$J160=$K160,$J160&gt;=AC$3,$J160&lt;=IF(param_mode_affichage="mois",EOMONTH(AC$3,0),AC$3+6)),"◆",""))</f>
      </c>
      <c r="AD160" s="26">
        <f>IF(OR($A160="",AD$3=""),"",IF(AND($J160&lt;&gt;"",$K160&lt;&gt;"",$J160=$K160,$J160&gt;=AD$3,$J160&lt;=IF(param_mode_affichage="mois",EOMONTH(AD$3,0),AD$3+6)),"◆",""))</f>
      </c>
      <c r="AE160" s="26">
        <f>IF(OR($A160="",AE$3=""),"",IF(AND($J160&lt;&gt;"",$K160&lt;&gt;"",$J160=$K160,$J160&gt;=AE$3,$J160&lt;=IF(param_mode_affichage="mois",EOMONTH(AE$3,0),AE$3+6)),"◆",""))</f>
      </c>
      <c r="AF160" s="26">
        <f>IF(OR($A160="",AF$3=""),"",IF(AND($J160&lt;&gt;"",$K160&lt;&gt;"",$J160=$K160,$J160&gt;=AF$3,$J160&lt;=IF(param_mode_affichage="mois",EOMONTH(AF$3,0),AF$3+6)),"◆",""))</f>
      </c>
      <c r="AG160" s="26">
        <f>IF(OR($A160="",AG$3=""),"",IF(AND($J160&lt;&gt;"",$K160&lt;&gt;"",$J160=$K160,$J160&gt;=AG$3,$J160&lt;=IF(param_mode_affichage="mois",EOMONTH(AG$3,0),AG$3+6)),"◆",""))</f>
      </c>
      <c r="AH160" s="26">
        <f>IF(OR($A160="",AH$3=""),"",IF(AND($J160&lt;&gt;"",$K160&lt;&gt;"",$J160=$K160,$J160&gt;=AH$3,$J160&lt;=IF(param_mode_affichage="mois",EOMONTH(AH$3,0),AH$3+6)),"◆",""))</f>
      </c>
      <c r="AI160" s="26">
        <f>IF(OR($A160="",AI$3=""),"",IF(AND($J160&lt;&gt;"",$K160&lt;&gt;"",$J160=$K160,$J160&gt;=AI$3,$J160&lt;=IF(param_mode_affichage="mois",EOMONTH(AI$3,0),AI$3+6)),"◆",""))</f>
      </c>
      <c r="AJ160" s="26">
        <f>IF(OR($A160="",AJ$3=""),"",IF(AND($J160&lt;&gt;"",$K160&lt;&gt;"",$J160=$K160,$J160&gt;=AJ$3,$J160&lt;=IF(param_mode_affichage="mois",EOMONTH(AJ$3,0),AJ$3+6)),"◆",""))</f>
      </c>
      <c r="AK160" s="26">
        <f>IF(OR($A160="",AK$3=""),"",IF(AND($J160&lt;&gt;"",$K160&lt;&gt;"",$J160=$K160,$J160&gt;=AK$3,$J160&lt;=IF(param_mode_affichage="mois",EOMONTH(AK$3,0),AK$3+6)),"◆",""))</f>
      </c>
      <c r="AL160" s="26">
        <f>IF(OR($A160="",AL$3=""),"",IF(AND($J160&lt;&gt;"",$K160&lt;&gt;"",$J160=$K160,$J160&gt;=AL$3,$J160&lt;=IF(param_mode_affichage="mois",EOMONTH(AL$3,0),AL$3+6)),"◆",""))</f>
      </c>
      <c r="AM160" s="26">
        <f>IF(OR($A160="",AM$3=""),"",IF(AND($J160&lt;&gt;"",$K160&lt;&gt;"",$J160=$K160,$J160&gt;=AM$3,$J160&lt;=IF(param_mode_affichage="mois",EOMONTH(AM$3,0),AM$3+6)),"◆",""))</f>
      </c>
      <c r="AN160" s="26">
        <f>IF(OR($A160="",AN$3=""),"",IF(AND($J160&lt;&gt;"",$K160&lt;&gt;"",$J160=$K160,$J160&gt;=AN$3,$J160&lt;=IF(param_mode_affichage="mois",EOMONTH(AN$3,0),AN$3+6)),"◆",""))</f>
      </c>
      <c r="AO160" s="26">
        <f>IF(OR($A160="",AO$3=""),"",IF(AND($J160&lt;&gt;"",$K160&lt;&gt;"",$J160=$K160,$J160&gt;=AO$3,$J160&lt;=IF(param_mode_affichage="mois",EOMONTH(AO$3,0),AO$3+6)),"◆",""))</f>
      </c>
      <c r="AP160" s="26">
        <f>IF(OR($A160="",AP$3=""),"",IF(AND($J160&lt;&gt;"",$K160&lt;&gt;"",$J160=$K160,$J160&gt;=AP$3,$J160&lt;=IF(param_mode_affichage="mois",EOMONTH(AP$3,0),AP$3+6)),"◆",""))</f>
      </c>
      <c r="AQ160" s="26">
        <f>IF(OR($A160="",AQ$3=""),"",IF(AND($J160&lt;&gt;"",$K160&lt;&gt;"",$J160=$K160,$J160&gt;=AQ$3,$J160&lt;=IF(param_mode_affichage="mois",EOMONTH(AQ$3,0),AQ$3+6)),"◆",""))</f>
      </c>
      <c r="AR160" s="26">
        <f>IF(OR($A160="",AR$3=""),"",IF(AND($J160&lt;&gt;"",$K160&lt;&gt;"",$J160=$K160,$J160&gt;=AR$3,$J160&lt;=IF(param_mode_affichage="mois",EOMONTH(AR$3,0),AR$3+6)),"◆",""))</f>
      </c>
      <c r="AS160" s="26">
        <f>IF(OR($A160="",AS$3=""),"",IF(AND($J160&lt;&gt;"",$K160&lt;&gt;"",$J160=$K160,$J160&gt;=AS$3,$J160&lt;=IF(param_mode_affichage="mois",EOMONTH(AS$3,0),AS$3+6)),"◆",""))</f>
      </c>
      <c r="AT160" s="26">
        <f>IF(OR($A160="",AT$3=""),"",IF(AND($J160&lt;&gt;"",$K160&lt;&gt;"",$J160=$K160,$J160&gt;=AT$3,$J160&lt;=IF(param_mode_affichage="mois",EOMONTH(AT$3,0),AT$3+6)),"◆",""))</f>
      </c>
      <c r="AU160" s="26">
        <f>IF(OR($A160="",AU$3=""),"",IF(AND($J160&lt;&gt;"",$K160&lt;&gt;"",$J160=$K160,$J160&gt;=AU$3,$J160&lt;=IF(param_mode_affichage="mois",EOMONTH(AU$3,0),AU$3+6)),"◆",""))</f>
      </c>
      <c r="AV160" s="26">
        <f>IF(OR($A160="",AV$3=""),"",IF(AND($J160&lt;&gt;"",$K160&lt;&gt;"",$J160=$K160,$J160&gt;=AV$3,$J160&lt;=IF(param_mode_affichage="mois",EOMONTH(AV$3,0),AV$3+6)),"◆",""))</f>
      </c>
      <c r="AW160" s="26">
        <f>IF(OR($A160="",AW$3=""),"",IF(AND($J160&lt;&gt;"",$K160&lt;&gt;"",$J160=$K160,$J160&gt;=AW$3,$J160&lt;=IF(param_mode_affichage="mois",EOMONTH(AW$3,0),AW$3+6)),"◆",""))</f>
      </c>
      <c r="AX160" s="26">
        <f>IF(OR($A160="",AX$3=""),"",IF(AND($J160&lt;&gt;"",$K160&lt;&gt;"",$J160=$K160,$J160&gt;=AX$3,$J160&lt;=IF(param_mode_affichage="mois",EOMONTH(AX$3,0),AX$3+6)),"◆",""))</f>
      </c>
      <c r="AY160" s="26">
        <f>IF(OR($A160="",AY$3=""),"",IF(AND($J160&lt;&gt;"",$K160&lt;&gt;"",$J160=$K160,$J160&gt;=AY$3,$J160&lt;=IF(param_mode_affichage="mois",EOMONTH(AY$3,0),AY$3+6)),"◆",""))</f>
      </c>
      <c r="AZ160" s="26">
        <f>IF(OR($A160="",AZ$3=""),"",IF(AND($J160&lt;&gt;"",$K160&lt;&gt;"",$J160=$K160,$J160&gt;=AZ$3,$J160&lt;=IF(param_mode_affichage="mois",EOMONTH(AZ$3,0),AZ$3+6)),"◆",""))</f>
      </c>
      <c r="BA160" s="26">
        <f>IF(OR($A160="",BA$3=""),"",IF(AND($J160&lt;&gt;"",$K160&lt;&gt;"",$J160=$K160,$J160&gt;=BA$3,$J160&lt;=IF(param_mode_affichage="mois",EOMONTH(BA$3,0),BA$3+6)),"◆",""))</f>
      </c>
      <c r="BB160" s="26">
        <f>IF(OR($A160="",BB$3=""),"",IF(AND($J160&lt;&gt;"",$K160&lt;&gt;"",$J160=$K160,$J160&gt;=BB$3,$J160&lt;=IF(param_mode_affichage="mois",EOMONTH(BB$3,0),BB$3+6)),"◆",""))</f>
      </c>
      <c r="BC160" s="26">
        <f>IF(OR($A160="",BC$3=""),"",IF(AND($J160&lt;&gt;"",$K160&lt;&gt;"",$J160=$K160,$J160&gt;=BC$3,$J160&lt;=IF(param_mode_affichage="mois",EOMONTH(BC$3,0),BC$3+6)),"◆",""))</f>
      </c>
      <c r="BD160" s="26">
        <f>IF(OR($A160="",BD$3=""),"",IF(AND($J160&lt;&gt;"",$K160&lt;&gt;"",$J160=$K160,$J160&gt;=BD$3,$J160&lt;=IF(param_mode_affichage="mois",EOMONTH(BD$3,0),BD$3+6)),"◆",""))</f>
      </c>
      <c r="BE160" s="26">
        <f>IF(OR($A160="",BE$3=""),"",IF(AND($J160&lt;&gt;"",$K160&lt;&gt;"",$J160=$K160,$J160&gt;=BE$3,$J160&lt;=IF(param_mode_affichage="mois",EOMONTH(BE$3,0),BE$3+6)),"◆",""))</f>
      </c>
      <c r="BF160" s="26">
        <f>IF(OR($A160="",BF$3=""),"",IF(AND($J160&lt;&gt;"",$K160&lt;&gt;"",$J160=$K160,$J160&gt;=BF$3,$J160&lt;=IF(param_mode_affichage="mois",EOMONTH(BF$3,0),BF$3+6)),"◆",""))</f>
      </c>
      <c r="BG160" s="26">
        <f>IF(OR($A160="",BG$3=""),"",IF(AND($J160&lt;&gt;"",$K160&lt;&gt;"",$J160=$K160,$J160&gt;=BG$3,$J160&lt;=IF(param_mode_affichage="mois",EOMONTH(BG$3,0),BG$3+6)),"◆",""))</f>
      </c>
      <c r="BH160" s="26">
        <f>IF(OR($A160="",BH$3=""),"",IF(AND($J160&lt;&gt;"",$K160&lt;&gt;"",$J160=$K160,$J160&gt;=BH$3,$J160&lt;=IF(param_mode_affichage="mois",EOMONTH(BH$3,0),BH$3+6)),"◆",""))</f>
      </c>
      <c r="BI160" s="26">
        <f>IF(OR($A160="",BI$3=""),"",IF(AND($J160&lt;&gt;"",$K160&lt;&gt;"",$J160=$K160,$J160&gt;=BI$3,$J160&lt;=IF(param_mode_affichage="mois",EOMONTH(BI$3,0),BI$3+6)),"◆",""))</f>
      </c>
      <c r="BJ160" s="26">
        <f>IF(OR($A160="",BJ$3=""),"",IF(AND($J160&lt;&gt;"",$K160&lt;&gt;"",$J160=$K160,$J160&gt;=BJ$3,$J160&lt;=IF(param_mode_affichage="mois",EOMONTH(BJ$3,0),BJ$3+6)),"◆",""))</f>
      </c>
      <c r="BK160" s="26">
        <f>IF(OR($A160="",BK$3=""),"",IF(AND($J160&lt;&gt;"",$K160&lt;&gt;"",$J160=$K160,$J160&gt;=BK$3,$J160&lt;=IF(param_mode_affichage="mois",EOMONTH(BK$3,0),BK$3+6)),"◆",""))</f>
      </c>
      <c r="BL160" s="26">
        <f>IF(OR($A160="",BL$3=""),"",IF(AND($J160&lt;&gt;"",$K160&lt;&gt;"",$J160=$K160,$J160&gt;=BL$3,$J160&lt;=IF(param_mode_affichage="mois",EOMONTH(BL$3,0),BL$3+6)),"◆",""))</f>
      </c>
    </row>
    <row r="161" spans="1:64" x14ac:dyDescent="0.25">
      <c r="A161" s="23">
        <f>IFERROR(INDEX(tblTasks[ID],ROW()-4),"")</f>
      </c>
      <c r="B161" s="24">
        <f>IF($A161="","",INDEX(tblTasks[Sujet],ROW()-4))</f>
      </c>
      <c r="C161" s="23">
        <f>IF($A161="","",INDEX(tblTasks[Responsable],ROW()-4))</f>
      </c>
      <c r="D161" s="23">
        <f>IF($A161="","",INDEX(tblTasks[Statut],ROW()-4))</f>
      </c>
      <c r="E161" s="23">
        <f>IF($A161="","",INDEX(tblTasks[Depend_de],ROW()-4))</f>
      </c>
      <c r="F161" s="23">
        <f>IF($A161="","",INDEX(tblTasks[Blocage],ROW()-4))</f>
      </c>
      <c r="G161" s="23">
        <f>IF($A161="","",INDEX(tblTasks[Niveau_criticite],ROW()-4))</f>
      </c>
      <c r="H161" s="23">
        <f>IF($A161="","",INDEX(tblTasks[Goulot],ROW()-4))</f>
      </c>
      <c r="I161" s="23">
        <f>IF($A161="","",IF(LOWER($F161)="oui","non",IF($E161="","oui",IFERROR(IF(LOWER(INDEX(tblTasks[Statut],MATCH($E161,tblTasks[ID],0)))="clos","oui","non"),"non"))))</f>
      </c>
      <c r="J161" s="25">
        <f>IF($A161="","",INDEX(tblTasks[Date_debut_prevue],ROW()-4))</f>
      </c>
      <c r="K161" s="25">
        <f>IF($A161="","",INDEX(tblTasks[Date_fin_prevue],ROW()-4))</f>
      </c>
      <c r="L161" s="23">
        <f>IF($A161="","",INDEX(tblTasks[Irreversibilite],ROW()-4))</f>
      </c>
      <c r="M161" s="26">
        <f>IF(OR($A161="",M$3=""),"",IF(AND($J161&lt;&gt;"",$K161&lt;&gt;"",$J161=$K161,$J161&gt;=M$3,$J161&lt;=IF(param_mode_affichage="mois",EOMONTH(M$3,0),M$3+6)),"◆",""))</f>
      </c>
      <c r="N161" s="26">
        <f>IF(OR($A161="",N$3=""),"",IF(AND($J161&lt;&gt;"",$K161&lt;&gt;"",$J161=$K161,$J161&gt;=N$3,$J161&lt;=IF(param_mode_affichage="mois",EOMONTH(N$3,0),N$3+6)),"◆",""))</f>
      </c>
      <c r="O161" s="26">
        <f>IF(OR($A161="",O$3=""),"",IF(AND($J161&lt;&gt;"",$K161&lt;&gt;"",$J161=$K161,$J161&gt;=O$3,$J161&lt;=IF(param_mode_affichage="mois",EOMONTH(O$3,0),O$3+6)),"◆",""))</f>
      </c>
      <c r="P161" s="26">
        <f>IF(OR($A161="",P$3=""),"",IF(AND($J161&lt;&gt;"",$K161&lt;&gt;"",$J161=$K161,$J161&gt;=P$3,$J161&lt;=IF(param_mode_affichage="mois",EOMONTH(P$3,0),P$3+6)),"◆",""))</f>
      </c>
      <c r="Q161" s="26">
        <f>IF(OR($A161="",Q$3=""),"",IF(AND($J161&lt;&gt;"",$K161&lt;&gt;"",$J161=$K161,$J161&gt;=Q$3,$J161&lt;=IF(param_mode_affichage="mois",EOMONTH(Q$3,0),Q$3+6)),"◆",""))</f>
      </c>
      <c r="R161" s="26">
        <f>IF(OR($A161="",R$3=""),"",IF(AND($J161&lt;&gt;"",$K161&lt;&gt;"",$J161=$K161,$J161&gt;=R$3,$J161&lt;=IF(param_mode_affichage="mois",EOMONTH(R$3,0),R$3+6)),"◆",""))</f>
      </c>
      <c r="S161" s="26">
        <f>IF(OR($A161="",S$3=""),"",IF(AND($J161&lt;&gt;"",$K161&lt;&gt;"",$J161=$K161,$J161&gt;=S$3,$J161&lt;=IF(param_mode_affichage="mois",EOMONTH(S$3,0),S$3+6)),"◆",""))</f>
      </c>
      <c r="T161" s="26">
        <f>IF(OR($A161="",T$3=""),"",IF(AND($J161&lt;&gt;"",$K161&lt;&gt;"",$J161=$K161,$J161&gt;=T$3,$J161&lt;=IF(param_mode_affichage="mois",EOMONTH(T$3,0),T$3+6)),"◆",""))</f>
      </c>
      <c r="U161" s="26">
        <f>IF(OR($A161="",U$3=""),"",IF(AND($J161&lt;&gt;"",$K161&lt;&gt;"",$J161=$K161,$J161&gt;=U$3,$J161&lt;=IF(param_mode_affichage="mois",EOMONTH(U$3,0),U$3+6)),"◆",""))</f>
      </c>
      <c r="V161" s="26">
        <f>IF(OR($A161="",V$3=""),"",IF(AND($J161&lt;&gt;"",$K161&lt;&gt;"",$J161=$K161,$J161&gt;=V$3,$J161&lt;=IF(param_mode_affichage="mois",EOMONTH(V$3,0),V$3+6)),"◆",""))</f>
      </c>
      <c r="W161" s="26">
        <f>IF(OR($A161="",W$3=""),"",IF(AND($J161&lt;&gt;"",$K161&lt;&gt;"",$J161=$K161,$J161&gt;=W$3,$J161&lt;=IF(param_mode_affichage="mois",EOMONTH(W$3,0),W$3+6)),"◆",""))</f>
      </c>
      <c r="X161" s="26">
        <f>IF(OR($A161="",X$3=""),"",IF(AND($J161&lt;&gt;"",$K161&lt;&gt;"",$J161=$K161,$J161&gt;=X$3,$J161&lt;=IF(param_mode_affichage="mois",EOMONTH(X$3,0),X$3+6)),"◆",""))</f>
      </c>
      <c r="Y161" s="26">
        <f>IF(OR($A161="",Y$3=""),"",IF(AND($J161&lt;&gt;"",$K161&lt;&gt;"",$J161=$K161,$J161&gt;=Y$3,$J161&lt;=IF(param_mode_affichage="mois",EOMONTH(Y$3,0),Y$3+6)),"◆",""))</f>
      </c>
      <c r="Z161" s="26">
        <f>IF(OR($A161="",Z$3=""),"",IF(AND($J161&lt;&gt;"",$K161&lt;&gt;"",$J161=$K161,$J161&gt;=Z$3,$J161&lt;=IF(param_mode_affichage="mois",EOMONTH(Z$3,0),Z$3+6)),"◆",""))</f>
      </c>
      <c r="AA161" s="26">
        <f>IF(OR($A161="",AA$3=""),"",IF(AND($J161&lt;&gt;"",$K161&lt;&gt;"",$J161=$K161,$J161&gt;=AA$3,$J161&lt;=IF(param_mode_affichage="mois",EOMONTH(AA$3,0),AA$3+6)),"◆",""))</f>
      </c>
      <c r="AB161" s="26">
        <f>IF(OR($A161="",AB$3=""),"",IF(AND($J161&lt;&gt;"",$K161&lt;&gt;"",$J161=$K161,$J161&gt;=AB$3,$J161&lt;=IF(param_mode_affichage="mois",EOMONTH(AB$3,0),AB$3+6)),"◆",""))</f>
      </c>
      <c r="AC161" s="26">
        <f>IF(OR($A161="",AC$3=""),"",IF(AND($J161&lt;&gt;"",$K161&lt;&gt;"",$J161=$K161,$J161&gt;=AC$3,$J161&lt;=IF(param_mode_affichage="mois",EOMONTH(AC$3,0),AC$3+6)),"◆",""))</f>
      </c>
      <c r="AD161" s="26">
        <f>IF(OR($A161="",AD$3=""),"",IF(AND($J161&lt;&gt;"",$K161&lt;&gt;"",$J161=$K161,$J161&gt;=AD$3,$J161&lt;=IF(param_mode_affichage="mois",EOMONTH(AD$3,0),AD$3+6)),"◆",""))</f>
      </c>
      <c r="AE161" s="26">
        <f>IF(OR($A161="",AE$3=""),"",IF(AND($J161&lt;&gt;"",$K161&lt;&gt;"",$J161=$K161,$J161&gt;=AE$3,$J161&lt;=IF(param_mode_affichage="mois",EOMONTH(AE$3,0),AE$3+6)),"◆",""))</f>
      </c>
      <c r="AF161" s="26">
        <f>IF(OR($A161="",AF$3=""),"",IF(AND($J161&lt;&gt;"",$K161&lt;&gt;"",$J161=$K161,$J161&gt;=AF$3,$J161&lt;=IF(param_mode_affichage="mois",EOMONTH(AF$3,0),AF$3+6)),"◆",""))</f>
      </c>
      <c r="AG161" s="26">
        <f>IF(OR($A161="",AG$3=""),"",IF(AND($J161&lt;&gt;"",$K161&lt;&gt;"",$J161=$K161,$J161&gt;=AG$3,$J161&lt;=IF(param_mode_affichage="mois",EOMONTH(AG$3,0),AG$3+6)),"◆",""))</f>
      </c>
      <c r="AH161" s="26">
        <f>IF(OR($A161="",AH$3=""),"",IF(AND($J161&lt;&gt;"",$K161&lt;&gt;"",$J161=$K161,$J161&gt;=AH$3,$J161&lt;=IF(param_mode_affichage="mois",EOMONTH(AH$3,0),AH$3+6)),"◆",""))</f>
      </c>
      <c r="AI161" s="26">
        <f>IF(OR($A161="",AI$3=""),"",IF(AND($J161&lt;&gt;"",$K161&lt;&gt;"",$J161=$K161,$J161&gt;=AI$3,$J161&lt;=IF(param_mode_affichage="mois",EOMONTH(AI$3,0),AI$3+6)),"◆",""))</f>
      </c>
      <c r="AJ161" s="26">
        <f>IF(OR($A161="",AJ$3=""),"",IF(AND($J161&lt;&gt;"",$K161&lt;&gt;"",$J161=$K161,$J161&gt;=AJ$3,$J161&lt;=IF(param_mode_affichage="mois",EOMONTH(AJ$3,0),AJ$3+6)),"◆",""))</f>
      </c>
      <c r="AK161" s="26">
        <f>IF(OR($A161="",AK$3=""),"",IF(AND($J161&lt;&gt;"",$K161&lt;&gt;"",$J161=$K161,$J161&gt;=AK$3,$J161&lt;=IF(param_mode_affichage="mois",EOMONTH(AK$3,0),AK$3+6)),"◆",""))</f>
      </c>
      <c r="AL161" s="26">
        <f>IF(OR($A161="",AL$3=""),"",IF(AND($J161&lt;&gt;"",$K161&lt;&gt;"",$J161=$K161,$J161&gt;=AL$3,$J161&lt;=IF(param_mode_affichage="mois",EOMONTH(AL$3,0),AL$3+6)),"◆",""))</f>
      </c>
      <c r="AM161" s="26">
        <f>IF(OR($A161="",AM$3=""),"",IF(AND($J161&lt;&gt;"",$K161&lt;&gt;"",$J161=$K161,$J161&gt;=AM$3,$J161&lt;=IF(param_mode_affichage="mois",EOMONTH(AM$3,0),AM$3+6)),"◆",""))</f>
      </c>
      <c r="AN161" s="26">
        <f>IF(OR($A161="",AN$3=""),"",IF(AND($J161&lt;&gt;"",$K161&lt;&gt;"",$J161=$K161,$J161&gt;=AN$3,$J161&lt;=IF(param_mode_affichage="mois",EOMONTH(AN$3,0),AN$3+6)),"◆",""))</f>
      </c>
      <c r="AO161" s="26">
        <f>IF(OR($A161="",AO$3=""),"",IF(AND($J161&lt;&gt;"",$K161&lt;&gt;"",$J161=$K161,$J161&gt;=AO$3,$J161&lt;=IF(param_mode_affichage="mois",EOMONTH(AO$3,0),AO$3+6)),"◆",""))</f>
      </c>
      <c r="AP161" s="26">
        <f>IF(OR($A161="",AP$3=""),"",IF(AND($J161&lt;&gt;"",$K161&lt;&gt;"",$J161=$K161,$J161&gt;=AP$3,$J161&lt;=IF(param_mode_affichage="mois",EOMONTH(AP$3,0),AP$3+6)),"◆",""))</f>
      </c>
      <c r="AQ161" s="26">
        <f>IF(OR($A161="",AQ$3=""),"",IF(AND($J161&lt;&gt;"",$K161&lt;&gt;"",$J161=$K161,$J161&gt;=AQ$3,$J161&lt;=IF(param_mode_affichage="mois",EOMONTH(AQ$3,0),AQ$3+6)),"◆",""))</f>
      </c>
      <c r="AR161" s="26">
        <f>IF(OR($A161="",AR$3=""),"",IF(AND($J161&lt;&gt;"",$K161&lt;&gt;"",$J161=$K161,$J161&gt;=AR$3,$J161&lt;=IF(param_mode_affichage="mois",EOMONTH(AR$3,0),AR$3+6)),"◆",""))</f>
      </c>
      <c r="AS161" s="26">
        <f>IF(OR($A161="",AS$3=""),"",IF(AND($J161&lt;&gt;"",$K161&lt;&gt;"",$J161=$K161,$J161&gt;=AS$3,$J161&lt;=IF(param_mode_affichage="mois",EOMONTH(AS$3,0),AS$3+6)),"◆",""))</f>
      </c>
      <c r="AT161" s="26">
        <f>IF(OR($A161="",AT$3=""),"",IF(AND($J161&lt;&gt;"",$K161&lt;&gt;"",$J161=$K161,$J161&gt;=AT$3,$J161&lt;=IF(param_mode_affichage="mois",EOMONTH(AT$3,0),AT$3+6)),"◆",""))</f>
      </c>
      <c r="AU161" s="26">
        <f>IF(OR($A161="",AU$3=""),"",IF(AND($J161&lt;&gt;"",$K161&lt;&gt;"",$J161=$K161,$J161&gt;=AU$3,$J161&lt;=IF(param_mode_affichage="mois",EOMONTH(AU$3,0),AU$3+6)),"◆",""))</f>
      </c>
      <c r="AV161" s="26">
        <f>IF(OR($A161="",AV$3=""),"",IF(AND($J161&lt;&gt;"",$K161&lt;&gt;"",$J161=$K161,$J161&gt;=AV$3,$J161&lt;=IF(param_mode_affichage="mois",EOMONTH(AV$3,0),AV$3+6)),"◆",""))</f>
      </c>
      <c r="AW161" s="26">
        <f>IF(OR($A161="",AW$3=""),"",IF(AND($J161&lt;&gt;"",$K161&lt;&gt;"",$J161=$K161,$J161&gt;=AW$3,$J161&lt;=IF(param_mode_affichage="mois",EOMONTH(AW$3,0),AW$3+6)),"◆",""))</f>
      </c>
      <c r="AX161" s="26">
        <f>IF(OR($A161="",AX$3=""),"",IF(AND($J161&lt;&gt;"",$K161&lt;&gt;"",$J161=$K161,$J161&gt;=AX$3,$J161&lt;=IF(param_mode_affichage="mois",EOMONTH(AX$3,0),AX$3+6)),"◆",""))</f>
      </c>
      <c r="AY161" s="26">
        <f>IF(OR($A161="",AY$3=""),"",IF(AND($J161&lt;&gt;"",$K161&lt;&gt;"",$J161=$K161,$J161&gt;=AY$3,$J161&lt;=IF(param_mode_affichage="mois",EOMONTH(AY$3,0),AY$3+6)),"◆",""))</f>
      </c>
      <c r="AZ161" s="26">
        <f>IF(OR($A161="",AZ$3=""),"",IF(AND($J161&lt;&gt;"",$K161&lt;&gt;"",$J161=$K161,$J161&gt;=AZ$3,$J161&lt;=IF(param_mode_affichage="mois",EOMONTH(AZ$3,0),AZ$3+6)),"◆",""))</f>
      </c>
      <c r="BA161" s="26">
        <f>IF(OR($A161="",BA$3=""),"",IF(AND($J161&lt;&gt;"",$K161&lt;&gt;"",$J161=$K161,$J161&gt;=BA$3,$J161&lt;=IF(param_mode_affichage="mois",EOMONTH(BA$3,0),BA$3+6)),"◆",""))</f>
      </c>
      <c r="BB161" s="26">
        <f>IF(OR($A161="",BB$3=""),"",IF(AND($J161&lt;&gt;"",$K161&lt;&gt;"",$J161=$K161,$J161&gt;=BB$3,$J161&lt;=IF(param_mode_affichage="mois",EOMONTH(BB$3,0),BB$3+6)),"◆",""))</f>
      </c>
      <c r="BC161" s="26">
        <f>IF(OR($A161="",BC$3=""),"",IF(AND($J161&lt;&gt;"",$K161&lt;&gt;"",$J161=$K161,$J161&gt;=BC$3,$J161&lt;=IF(param_mode_affichage="mois",EOMONTH(BC$3,0),BC$3+6)),"◆",""))</f>
      </c>
      <c r="BD161" s="26">
        <f>IF(OR($A161="",BD$3=""),"",IF(AND($J161&lt;&gt;"",$K161&lt;&gt;"",$J161=$K161,$J161&gt;=BD$3,$J161&lt;=IF(param_mode_affichage="mois",EOMONTH(BD$3,0),BD$3+6)),"◆",""))</f>
      </c>
      <c r="BE161" s="26">
        <f>IF(OR($A161="",BE$3=""),"",IF(AND($J161&lt;&gt;"",$K161&lt;&gt;"",$J161=$K161,$J161&gt;=BE$3,$J161&lt;=IF(param_mode_affichage="mois",EOMONTH(BE$3,0),BE$3+6)),"◆",""))</f>
      </c>
      <c r="BF161" s="26">
        <f>IF(OR($A161="",BF$3=""),"",IF(AND($J161&lt;&gt;"",$K161&lt;&gt;"",$J161=$K161,$J161&gt;=BF$3,$J161&lt;=IF(param_mode_affichage="mois",EOMONTH(BF$3,0),BF$3+6)),"◆",""))</f>
      </c>
      <c r="BG161" s="26">
        <f>IF(OR($A161="",BG$3=""),"",IF(AND($J161&lt;&gt;"",$K161&lt;&gt;"",$J161=$K161,$J161&gt;=BG$3,$J161&lt;=IF(param_mode_affichage="mois",EOMONTH(BG$3,0),BG$3+6)),"◆",""))</f>
      </c>
      <c r="BH161" s="26">
        <f>IF(OR($A161="",BH$3=""),"",IF(AND($J161&lt;&gt;"",$K161&lt;&gt;"",$J161=$K161,$J161&gt;=BH$3,$J161&lt;=IF(param_mode_affichage="mois",EOMONTH(BH$3,0),BH$3+6)),"◆",""))</f>
      </c>
      <c r="BI161" s="26">
        <f>IF(OR($A161="",BI$3=""),"",IF(AND($J161&lt;&gt;"",$K161&lt;&gt;"",$J161=$K161,$J161&gt;=BI$3,$J161&lt;=IF(param_mode_affichage="mois",EOMONTH(BI$3,0),BI$3+6)),"◆",""))</f>
      </c>
      <c r="BJ161" s="26">
        <f>IF(OR($A161="",BJ$3=""),"",IF(AND($J161&lt;&gt;"",$K161&lt;&gt;"",$J161=$K161,$J161&gt;=BJ$3,$J161&lt;=IF(param_mode_affichage="mois",EOMONTH(BJ$3,0),BJ$3+6)),"◆",""))</f>
      </c>
      <c r="BK161" s="26">
        <f>IF(OR($A161="",BK$3=""),"",IF(AND($J161&lt;&gt;"",$K161&lt;&gt;"",$J161=$K161,$J161&gt;=BK$3,$J161&lt;=IF(param_mode_affichage="mois",EOMONTH(BK$3,0),BK$3+6)),"◆",""))</f>
      </c>
      <c r="BL161" s="26">
        <f>IF(OR($A161="",BL$3=""),"",IF(AND($J161&lt;&gt;"",$K161&lt;&gt;"",$J161=$K161,$J161&gt;=BL$3,$J161&lt;=IF(param_mode_affichage="mois",EOMONTH(BL$3,0),BL$3+6)),"◆",""))</f>
      </c>
    </row>
    <row r="162" spans="1:64" x14ac:dyDescent="0.25">
      <c r="A162" s="23">
        <f>IFERROR(INDEX(tblTasks[ID],ROW()-4),"")</f>
      </c>
      <c r="B162" s="24">
        <f>IF($A162="","",INDEX(tblTasks[Sujet],ROW()-4))</f>
      </c>
      <c r="C162" s="23">
        <f>IF($A162="","",INDEX(tblTasks[Responsable],ROW()-4))</f>
      </c>
      <c r="D162" s="23">
        <f>IF($A162="","",INDEX(tblTasks[Statut],ROW()-4))</f>
      </c>
      <c r="E162" s="23">
        <f>IF($A162="","",INDEX(tblTasks[Depend_de],ROW()-4))</f>
      </c>
      <c r="F162" s="23">
        <f>IF($A162="","",INDEX(tblTasks[Blocage],ROW()-4))</f>
      </c>
      <c r="G162" s="23">
        <f>IF($A162="","",INDEX(tblTasks[Niveau_criticite],ROW()-4))</f>
      </c>
      <c r="H162" s="23">
        <f>IF($A162="","",INDEX(tblTasks[Goulot],ROW()-4))</f>
      </c>
      <c r="I162" s="23">
        <f>IF($A162="","",IF(LOWER($F162)="oui","non",IF($E162="","oui",IFERROR(IF(LOWER(INDEX(tblTasks[Statut],MATCH($E162,tblTasks[ID],0)))="clos","oui","non"),"non"))))</f>
      </c>
      <c r="J162" s="25">
        <f>IF($A162="","",INDEX(tblTasks[Date_debut_prevue],ROW()-4))</f>
      </c>
      <c r="K162" s="25">
        <f>IF($A162="","",INDEX(tblTasks[Date_fin_prevue],ROW()-4))</f>
      </c>
      <c r="L162" s="23">
        <f>IF($A162="","",INDEX(tblTasks[Irreversibilite],ROW()-4))</f>
      </c>
      <c r="M162" s="26">
        <f>IF(OR($A162="",M$3=""),"",IF(AND($J162&lt;&gt;"",$K162&lt;&gt;"",$J162=$K162,$J162&gt;=M$3,$J162&lt;=IF(param_mode_affichage="mois",EOMONTH(M$3,0),M$3+6)),"◆",""))</f>
      </c>
      <c r="N162" s="26">
        <f>IF(OR($A162="",N$3=""),"",IF(AND($J162&lt;&gt;"",$K162&lt;&gt;"",$J162=$K162,$J162&gt;=N$3,$J162&lt;=IF(param_mode_affichage="mois",EOMONTH(N$3,0),N$3+6)),"◆",""))</f>
      </c>
      <c r="O162" s="26">
        <f>IF(OR($A162="",O$3=""),"",IF(AND($J162&lt;&gt;"",$K162&lt;&gt;"",$J162=$K162,$J162&gt;=O$3,$J162&lt;=IF(param_mode_affichage="mois",EOMONTH(O$3,0),O$3+6)),"◆",""))</f>
      </c>
      <c r="P162" s="26">
        <f>IF(OR($A162="",P$3=""),"",IF(AND($J162&lt;&gt;"",$K162&lt;&gt;"",$J162=$K162,$J162&gt;=P$3,$J162&lt;=IF(param_mode_affichage="mois",EOMONTH(P$3,0),P$3+6)),"◆",""))</f>
      </c>
      <c r="Q162" s="26">
        <f>IF(OR($A162="",Q$3=""),"",IF(AND($J162&lt;&gt;"",$K162&lt;&gt;"",$J162=$K162,$J162&gt;=Q$3,$J162&lt;=IF(param_mode_affichage="mois",EOMONTH(Q$3,0),Q$3+6)),"◆",""))</f>
      </c>
      <c r="R162" s="26">
        <f>IF(OR($A162="",R$3=""),"",IF(AND($J162&lt;&gt;"",$K162&lt;&gt;"",$J162=$K162,$J162&gt;=R$3,$J162&lt;=IF(param_mode_affichage="mois",EOMONTH(R$3,0),R$3+6)),"◆",""))</f>
      </c>
      <c r="S162" s="26">
        <f>IF(OR($A162="",S$3=""),"",IF(AND($J162&lt;&gt;"",$K162&lt;&gt;"",$J162=$K162,$J162&gt;=S$3,$J162&lt;=IF(param_mode_affichage="mois",EOMONTH(S$3,0),S$3+6)),"◆",""))</f>
      </c>
      <c r="T162" s="26">
        <f>IF(OR($A162="",T$3=""),"",IF(AND($J162&lt;&gt;"",$K162&lt;&gt;"",$J162=$K162,$J162&gt;=T$3,$J162&lt;=IF(param_mode_affichage="mois",EOMONTH(T$3,0),T$3+6)),"◆",""))</f>
      </c>
      <c r="U162" s="26">
        <f>IF(OR($A162="",U$3=""),"",IF(AND($J162&lt;&gt;"",$K162&lt;&gt;"",$J162=$K162,$J162&gt;=U$3,$J162&lt;=IF(param_mode_affichage="mois",EOMONTH(U$3,0),U$3+6)),"◆",""))</f>
      </c>
      <c r="V162" s="26">
        <f>IF(OR($A162="",V$3=""),"",IF(AND($J162&lt;&gt;"",$K162&lt;&gt;"",$J162=$K162,$J162&gt;=V$3,$J162&lt;=IF(param_mode_affichage="mois",EOMONTH(V$3,0),V$3+6)),"◆",""))</f>
      </c>
      <c r="W162" s="26">
        <f>IF(OR($A162="",W$3=""),"",IF(AND($J162&lt;&gt;"",$K162&lt;&gt;"",$J162=$K162,$J162&gt;=W$3,$J162&lt;=IF(param_mode_affichage="mois",EOMONTH(W$3,0),W$3+6)),"◆",""))</f>
      </c>
      <c r="X162" s="26">
        <f>IF(OR($A162="",X$3=""),"",IF(AND($J162&lt;&gt;"",$K162&lt;&gt;"",$J162=$K162,$J162&gt;=X$3,$J162&lt;=IF(param_mode_affichage="mois",EOMONTH(X$3,0),X$3+6)),"◆",""))</f>
      </c>
      <c r="Y162" s="26">
        <f>IF(OR($A162="",Y$3=""),"",IF(AND($J162&lt;&gt;"",$K162&lt;&gt;"",$J162=$K162,$J162&gt;=Y$3,$J162&lt;=IF(param_mode_affichage="mois",EOMONTH(Y$3,0),Y$3+6)),"◆",""))</f>
      </c>
      <c r="Z162" s="26">
        <f>IF(OR($A162="",Z$3=""),"",IF(AND($J162&lt;&gt;"",$K162&lt;&gt;"",$J162=$K162,$J162&gt;=Z$3,$J162&lt;=IF(param_mode_affichage="mois",EOMONTH(Z$3,0),Z$3+6)),"◆",""))</f>
      </c>
      <c r="AA162" s="26">
        <f>IF(OR($A162="",AA$3=""),"",IF(AND($J162&lt;&gt;"",$K162&lt;&gt;"",$J162=$K162,$J162&gt;=AA$3,$J162&lt;=IF(param_mode_affichage="mois",EOMONTH(AA$3,0),AA$3+6)),"◆",""))</f>
      </c>
      <c r="AB162" s="26">
        <f>IF(OR($A162="",AB$3=""),"",IF(AND($J162&lt;&gt;"",$K162&lt;&gt;"",$J162=$K162,$J162&gt;=AB$3,$J162&lt;=IF(param_mode_affichage="mois",EOMONTH(AB$3,0),AB$3+6)),"◆",""))</f>
      </c>
      <c r="AC162" s="26">
        <f>IF(OR($A162="",AC$3=""),"",IF(AND($J162&lt;&gt;"",$K162&lt;&gt;"",$J162=$K162,$J162&gt;=AC$3,$J162&lt;=IF(param_mode_affichage="mois",EOMONTH(AC$3,0),AC$3+6)),"◆",""))</f>
      </c>
      <c r="AD162" s="26">
        <f>IF(OR($A162="",AD$3=""),"",IF(AND($J162&lt;&gt;"",$K162&lt;&gt;"",$J162=$K162,$J162&gt;=AD$3,$J162&lt;=IF(param_mode_affichage="mois",EOMONTH(AD$3,0),AD$3+6)),"◆",""))</f>
      </c>
      <c r="AE162" s="26">
        <f>IF(OR($A162="",AE$3=""),"",IF(AND($J162&lt;&gt;"",$K162&lt;&gt;"",$J162=$K162,$J162&gt;=AE$3,$J162&lt;=IF(param_mode_affichage="mois",EOMONTH(AE$3,0),AE$3+6)),"◆",""))</f>
      </c>
      <c r="AF162" s="26">
        <f>IF(OR($A162="",AF$3=""),"",IF(AND($J162&lt;&gt;"",$K162&lt;&gt;"",$J162=$K162,$J162&gt;=AF$3,$J162&lt;=IF(param_mode_affichage="mois",EOMONTH(AF$3,0),AF$3+6)),"◆",""))</f>
      </c>
      <c r="AG162" s="26">
        <f>IF(OR($A162="",AG$3=""),"",IF(AND($J162&lt;&gt;"",$K162&lt;&gt;"",$J162=$K162,$J162&gt;=AG$3,$J162&lt;=IF(param_mode_affichage="mois",EOMONTH(AG$3,0),AG$3+6)),"◆",""))</f>
      </c>
      <c r="AH162" s="26">
        <f>IF(OR($A162="",AH$3=""),"",IF(AND($J162&lt;&gt;"",$K162&lt;&gt;"",$J162=$K162,$J162&gt;=AH$3,$J162&lt;=IF(param_mode_affichage="mois",EOMONTH(AH$3,0),AH$3+6)),"◆",""))</f>
      </c>
      <c r="AI162" s="26">
        <f>IF(OR($A162="",AI$3=""),"",IF(AND($J162&lt;&gt;"",$K162&lt;&gt;"",$J162=$K162,$J162&gt;=AI$3,$J162&lt;=IF(param_mode_affichage="mois",EOMONTH(AI$3,0),AI$3+6)),"◆",""))</f>
      </c>
      <c r="AJ162" s="26">
        <f>IF(OR($A162="",AJ$3=""),"",IF(AND($J162&lt;&gt;"",$K162&lt;&gt;"",$J162=$K162,$J162&gt;=AJ$3,$J162&lt;=IF(param_mode_affichage="mois",EOMONTH(AJ$3,0),AJ$3+6)),"◆",""))</f>
      </c>
      <c r="AK162" s="26">
        <f>IF(OR($A162="",AK$3=""),"",IF(AND($J162&lt;&gt;"",$K162&lt;&gt;"",$J162=$K162,$J162&gt;=AK$3,$J162&lt;=IF(param_mode_affichage="mois",EOMONTH(AK$3,0),AK$3+6)),"◆",""))</f>
      </c>
      <c r="AL162" s="26">
        <f>IF(OR($A162="",AL$3=""),"",IF(AND($J162&lt;&gt;"",$K162&lt;&gt;"",$J162=$K162,$J162&gt;=AL$3,$J162&lt;=IF(param_mode_affichage="mois",EOMONTH(AL$3,0),AL$3+6)),"◆",""))</f>
      </c>
      <c r="AM162" s="26">
        <f>IF(OR($A162="",AM$3=""),"",IF(AND($J162&lt;&gt;"",$K162&lt;&gt;"",$J162=$K162,$J162&gt;=AM$3,$J162&lt;=IF(param_mode_affichage="mois",EOMONTH(AM$3,0),AM$3+6)),"◆",""))</f>
      </c>
      <c r="AN162" s="26">
        <f>IF(OR($A162="",AN$3=""),"",IF(AND($J162&lt;&gt;"",$K162&lt;&gt;"",$J162=$K162,$J162&gt;=AN$3,$J162&lt;=IF(param_mode_affichage="mois",EOMONTH(AN$3,0),AN$3+6)),"◆",""))</f>
      </c>
      <c r="AO162" s="26">
        <f>IF(OR($A162="",AO$3=""),"",IF(AND($J162&lt;&gt;"",$K162&lt;&gt;"",$J162=$K162,$J162&gt;=AO$3,$J162&lt;=IF(param_mode_affichage="mois",EOMONTH(AO$3,0),AO$3+6)),"◆",""))</f>
      </c>
      <c r="AP162" s="26">
        <f>IF(OR($A162="",AP$3=""),"",IF(AND($J162&lt;&gt;"",$K162&lt;&gt;"",$J162=$K162,$J162&gt;=AP$3,$J162&lt;=IF(param_mode_affichage="mois",EOMONTH(AP$3,0),AP$3+6)),"◆",""))</f>
      </c>
      <c r="AQ162" s="26">
        <f>IF(OR($A162="",AQ$3=""),"",IF(AND($J162&lt;&gt;"",$K162&lt;&gt;"",$J162=$K162,$J162&gt;=AQ$3,$J162&lt;=IF(param_mode_affichage="mois",EOMONTH(AQ$3,0),AQ$3+6)),"◆",""))</f>
      </c>
      <c r="AR162" s="26">
        <f>IF(OR($A162="",AR$3=""),"",IF(AND($J162&lt;&gt;"",$K162&lt;&gt;"",$J162=$K162,$J162&gt;=AR$3,$J162&lt;=IF(param_mode_affichage="mois",EOMONTH(AR$3,0),AR$3+6)),"◆",""))</f>
      </c>
      <c r="AS162" s="26">
        <f>IF(OR($A162="",AS$3=""),"",IF(AND($J162&lt;&gt;"",$K162&lt;&gt;"",$J162=$K162,$J162&gt;=AS$3,$J162&lt;=IF(param_mode_affichage="mois",EOMONTH(AS$3,0),AS$3+6)),"◆",""))</f>
      </c>
      <c r="AT162" s="26">
        <f>IF(OR($A162="",AT$3=""),"",IF(AND($J162&lt;&gt;"",$K162&lt;&gt;"",$J162=$K162,$J162&gt;=AT$3,$J162&lt;=IF(param_mode_affichage="mois",EOMONTH(AT$3,0),AT$3+6)),"◆",""))</f>
      </c>
      <c r="AU162" s="26">
        <f>IF(OR($A162="",AU$3=""),"",IF(AND($J162&lt;&gt;"",$K162&lt;&gt;"",$J162=$K162,$J162&gt;=AU$3,$J162&lt;=IF(param_mode_affichage="mois",EOMONTH(AU$3,0),AU$3+6)),"◆",""))</f>
      </c>
      <c r="AV162" s="26">
        <f>IF(OR($A162="",AV$3=""),"",IF(AND($J162&lt;&gt;"",$K162&lt;&gt;"",$J162=$K162,$J162&gt;=AV$3,$J162&lt;=IF(param_mode_affichage="mois",EOMONTH(AV$3,0),AV$3+6)),"◆",""))</f>
      </c>
      <c r="AW162" s="26">
        <f>IF(OR($A162="",AW$3=""),"",IF(AND($J162&lt;&gt;"",$K162&lt;&gt;"",$J162=$K162,$J162&gt;=AW$3,$J162&lt;=IF(param_mode_affichage="mois",EOMONTH(AW$3,0),AW$3+6)),"◆",""))</f>
      </c>
      <c r="AX162" s="26">
        <f>IF(OR($A162="",AX$3=""),"",IF(AND($J162&lt;&gt;"",$K162&lt;&gt;"",$J162=$K162,$J162&gt;=AX$3,$J162&lt;=IF(param_mode_affichage="mois",EOMONTH(AX$3,0),AX$3+6)),"◆",""))</f>
      </c>
      <c r="AY162" s="26">
        <f>IF(OR($A162="",AY$3=""),"",IF(AND($J162&lt;&gt;"",$K162&lt;&gt;"",$J162=$K162,$J162&gt;=AY$3,$J162&lt;=IF(param_mode_affichage="mois",EOMONTH(AY$3,0),AY$3+6)),"◆",""))</f>
      </c>
      <c r="AZ162" s="26">
        <f>IF(OR($A162="",AZ$3=""),"",IF(AND($J162&lt;&gt;"",$K162&lt;&gt;"",$J162=$K162,$J162&gt;=AZ$3,$J162&lt;=IF(param_mode_affichage="mois",EOMONTH(AZ$3,0),AZ$3+6)),"◆",""))</f>
      </c>
      <c r="BA162" s="26">
        <f>IF(OR($A162="",BA$3=""),"",IF(AND($J162&lt;&gt;"",$K162&lt;&gt;"",$J162=$K162,$J162&gt;=BA$3,$J162&lt;=IF(param_mode_affichage="mois",EOMONTH(BA$3,0),BA$3+6)),"◆",""))</f>
      </c>
      <c r="BB162" s="26">
        <f>IF(OR($A162="",BB$3=""),"",IF(AND($J162&lt;&gt;"",$K162&lt;&gt;"",$J162=$K162,$J162&gt;=BB$3,$J162&lt;=IF(param_mode_affichage="mois",EOMONTH(BB$3,0),BB$3+6)),"◆",""))</f>
      </c>
      <c r="BC162" s="26">
        <f>IF(OR($A162="",BC$3=""),"",IF(AND($J162&lt;&gt;"",$K162&lt;&gt;"",$J162=$K162,$J162&gt;=BC$3,$J162&lt;=IF(param_mode_affichage="mois",EOMONTH(BC$3,0),BC$3+6)),"◆",""))</f>
      </c>
      <c r="BD162" s="26">
        <f>IF(OR($A162="",BD$3=""),"",IF(AND($J162&lt;&gt;"",$K162&lt;&gt;"",$J162=$K162,$J162&gt;=BD$3,$J162&lt;=IF(param_mode_affichage="mois",EOMONTH(BD$3,0),BD$3+6)),"◆",""))</f>
      </c>
      <c r="BE162" s="26">
        <f>IF(OR($A162="",BE$3=""),"",IF(AND($J162&lt;&gt;"",$K162&lt;&gt;"",$J162=$K162,$J162&gt;=BE$3,$J162&lt;=IF(param_mode_affichage="mois",EOMONTH(BE$3,0),BE$3+6)),"◆",""))</f>
      </c>
      <c r="BF162" s="26">
        <f>IF(OR($A162="",BF$3=""),"",IF(AND($J162&lt;&gt;"",$K162&lt;&gt;"",$J162=$K162,$J162&gt;=BF$3,$J162&lt;=IF(param_mode_affichage="mois",EOMONTH(BF$3,0),BF$3+6)),"◆",""))</f>
      </c>
      <c r="BG162" s="26">
        <f>IF(OR($A162="",BG$3=""),"",IF(AND($J162&lt;&gt;"",$K162&lt;&gt;"",$J162=$K162,$J162&gt;=BG$3,$J162&lt;=IF(param_mode_affichage="mois",EOMONTH(BG$3,0),BG$3+6)),"◆",""))</f>
      </c>
      <c r="BH162" s="26">
        <f>IF(OR($A162="",BH$3=""),"",IF(AND($J162&lt;&gt;"",$K162&lt;&gt;"",$J162=$K162,$J162&gt;=BH$3,$J162&lt;=IF(param_mode_affichage="mois",EOMONTH(BH$3,0),BH$3+6)),"◆",""))</f>
      </c>
      <c r="BI162" s="26">
        <f>IF(OR($A162="",BI$3=""),"",IF(AND($J162&lt;&gt;"",$K162&lt;&gt;"",$J162=$K162,$J162&gt;=BI$3,$J162&lt;=IF(param_mode_affichage="mois",EOMONTH(BI$3,0),BI$3+6)),"◆",""))</f>
      </c>
      <c r="BJ162" s="26">
        <f>IF(OR($A162="",BJ$3=""),"",IF(AND($J162&lt;&gt;"",$K162&lt;&gt;"",$J162=$K162,$J162&gt;=BJ$3,$J162&lt;=IF(param_mode_affichage="mois",EOMONTH(BJ$3,0),BJ$3+6)),"◆",""))</f>
      </c>
      <c r="BK162" s="26">
        <f>IF(OR($A162="",BK$3=""),"",IF(AND($J162&lt;&gt;"",$K162&lt;&gt;"",$J162=$K162,$J162&gt;=BK$3,$J162&lt;=IF(param_mode_affichage="mois",EOMONTH(BK$3,0),BK$3+6)),"◆",""))</f>
      </c>
      <c r="BL162" s="26">
        <f>IF(OR($A162="",BL$3=""),"",IF(AND($J162&lt;&gt;"",$K162&lt;&gt;"",$J162=$K162,$J162&gt;=BL$3,$J162&lt;=IF(param_mode_affichage="mois",EOMONTH(BL$3,0),BL$3+6)),"◆",""))</f>
      </c>
    </row>
    <row r="163" spans="1:64" x14ac:dyDescent="0.25">
      <c r="A163" s="23">
        <f>IFERROR(INDEX(tblTasks[ID],ROW()-4),"")</f>
      </c>
      <c r="B163" s="24">
        <f>IF($A163="","",INDEX(tblTasks[Sujet],ROW()-4))</f>
      </c>
      <c r="C163" s="23">
        <f>IF($A163="","",INDEX(tblTasks[Responsable],ROW()-4))</f>
      </c>
      <c r="D163" s="23">
        <f>IF($A163="","",INDEX(tblTasks[Statut],ROW()-4))</f>
      </c>
      <c r="E163" s="23">
        <f>IF($A163="","",INDEX(tblTasks[Depend_de],ROW()-4))</f>
      </c>
      <c r="F163" s="23">
        <f>IF($A163="","",INDEX(tblTasks[Blocage],ROW()-4))</f>
      </c>
      <c r="G163" s="23">
        <f>IF($A163="","",INDEX(tblTasks[Niveau_criticite],ROW()-4))</f>
      </c>
      <c r="H163" s="23">
        <f>IF($A163="","",INDEX(tblTasks[Goulot],ROW()-4))</f>
      </c>
      <c r="I163" s="23">
        <f>IF($A163="","",IF(LOWER($F163)="oui","non",IF($E163="","oui",IFERROR(IF(LOWER(INDEX(tblTasks[Statut],MATCH($E163,tblTasks[ID],0)))="clos","oui","non"),"non"))))</f>
      </c>
      <c r="J163" s="25">
        <f>IF($A163="","",INDEX(tblTasks[Date_debut_prevue],ROW()-4))</f>
      </c>
      <c r="K163" s="25">
        <f>IF($A163="","",INDEX(tblTasks[Date_fin_prevue],ROW()-4))</f>
      </c>
      <c r="L163" s="23">
        <f>IF($A163="","",INDEX(tblTasks[Irreversibilite],ROW()-4))</f>
      </c>
      <c r="M163" s="26">
        <f>IF(OR($A163="",M$3=""),"",IF(AND($J163&lt;&gt;"",$K163&lt;&gt;"",$J163=$K163,$J163&gt;=M$3,$J163&lt;=IF(param_mode_affichage="mois",EOMONTH(M$3,0),M$3+6)),"◆",""))</f>
      </c>
      <c r="N163" s="26">
        <f>IF(OR($A163="",N$3=""),"",IF(AND($J163&lt;&gt;"",$K163&lt;&gt;"",$J163=$K163,$J163&gt;=N$3,$J163&lt;=IF(param_mode_affichage="mois",EOMONTH(N$3,0),N$3+6)),"◆",""))</f>
      </c>
      <c r="O163" s="26">
        <f>IF(OR($A163="",O$3=""),"",IF(AND($J163&lt;&gt;"",$K163&lt;&gt;"",$J163=$K163,$J163&gt;=O$3,$J163&lt;=IF(param_mode_affichage="mois",EOMONTH(O$3,0),O$3+6)),"◆",""))</f>
      </c>
      <c r="P163" s="26">
        <f>IF(OR($A163="",P$3=""),"",IF(AND($J163&lt;&gt;"",$K163&lt;&gt;"",$J163=$K163,$J163&gt;=P$3,$J163&lt;=IF(param_mode_affichage="mois",EOMONTH(P$3,0),P$3+6)),"◆",""))</f>
      </c>
      <c r="Q163" s="26">
        <f>IF(OR($A163="",Q$3=""),"",IF(AND($J163&lt;&gt;"",$K163&lt;&gt;"",$J163=$K163,$J163&gt;=Q$3,$J163&lt;=IF(param_mode_affichage="mois",EOMONTH(Q$3,0),Q$3+6)),"◆",""))</f>
      </c>
      <c r="R163" s="26">
        <f>IF(OR($A163="",R$3=""),"",IF(AND($J163&lt;&gt;"",$K163&lt;&gt;"",$J163=$K163,$J163&gt;=R$3,$J163&lt;=IF(param_mode_affichage="mois",EOMONTH(R$3,0),R$3+6)),"◆",""))</f>
      </c>
      <c r="S163" s="26">
        <f>IF(OR($A163="",S$3=""),"",IF(AND($J163&lt;&gt;"",$K163&lt;&gt;"",$J163=$K163,$J163&gt;=S$3,$J163&lt;=IF(param_mode_affichage="mois",EOMONTH(S$3,0),S$3+6)),"◆",""))</f>
      </c>
      <c r="T163" s="26">
        <f>IF(OR($A163="",T$3=""),"",IF(AND($J163&lt;&gt;"",$K163&lt;&gt;"",$J163=$K163,$J163&gt;=T$3,$J163&lt;=IF(param_mode_affichage="mois",EOMONTH(T$3,0),T$3+6)),"◆",""))</f>
      </c>
      <c r="U163" s="26">
        <f>IF(OR($A163="",U$3=""),"",IF(AND($J163&lt;&gt;"",$K163&lt;&gt;"",$J163=$K163,$J163&gt;=U$3,$J163&lt;=IF(param_mode_affichage="mois",EOMONTH(U$3,0),U$3+6)),"◆",""))</f>
      </c>
      <c r="V163" s="26">
        <f>IF(OR($A163="",V$3=""),"",IF(AND($J163&lt;&gt;"",$K163&lt;&gt;"",$J163=$K163,$J163&gt;=V$3,$J163&lt;=IF(param_mode_affichage="mois",EOMONTH(V$3,0),V$3+6)),"◆",""))</f>
      </c>
      <c r="W163" s="26">
        <f>IF(OR($A163="",W$3=""),"",IF(AND($J163&lt;&gt;"",$K163&lt;&gt;"",$J163=$K163,$J163&gt;=W$3,$J163&lt;=IF(param_mode_affichage="mois",EOMONTH(W$3,0),W$3+6)),"◆",""))</f>
      </c>
      <c r="X163" s="26">
        <f>IF(OR($A163="",X$3=""),"",IF(AND($J163&lt;&gt;"",$K163&lt;&gt;"",$J163=$K163,$J163&gt;=X$3,$J163&lt;=IF(param_mode_affichage="mois",EOMONTH(X$3,0),X$3+6)),"◆",""))</f>
      </c>
      <c r="Y163" s="26">
        <f>IF(OR($A163="",Y$3=""),"",IF(AND($J163&lt;&gt;"",$K163&lt;&gt;"",$J163=$K163,$J163&gt;=Y$3,$J163&lt;=IF(param_mode_affichage="mois",EOMONTH(Y$3,0),Y$3+6)),"◆",""))</f>
      </c>
      <c r="Z163" s="26">
        <f>IF(OR($A163="",Z$3=""),"",IF(AND($J163&lt;&gt;"",$K163&lt;&gt;"",$J163=$K163,$J163&gt;=Z$3,$J163&lt;=IF(param_mode_affichage="mois",EOMONTH(Z$3,0),Z$3+6)),"◆",""))</f>
      </c>
      <c r="AA163" s="26">
        <f>IF(OR($A163="",AA$3=""),"",IF(AND($J163&lt;&gt;"",$K163&lt;&gt;"",$J163=$K163,$J163&gt;=AA$3,$J163&lt;=IF(param_mode_affichage="mois",EOMONTH(AA$3,0),AA$3+6)),"◆",""))</f>
      </c>
      <c r="AB163" s="26">
        <f>IF(OR($A163="",AB$3=""),"",IF(AND($J163&lt;&gt;"",$K163&lt;&gt;"",$J163=$K163,$J163&gt;=AB$3,$J163&lt;=IF(param_mode_affichage="mois",EOMONTH(AB$3,0),AB$3+6)),"◆",""))</f>
      </c>
      <c r="AC163" s="26">
        <f>IF(OR($A163="",AC$3=""),"",IF(AND($J163&lt;&gt;"",$K163&lt;&gt;"",$J163=$K163,$J163&gt;=AC$3,$J163&lt;=IF(param_mode_affichage="mois",EOMONTH(AC$3,0),AC$3+6)),"◆",""))</f>
      </c>
      <c r="AD163" s="26">
        <f>IF(OR($A163="",AD$3=""),"",IF(AND($J163&lt;&gt;"",$K163&lt;&gt;"",$J163=$K163,$J163&gt;=AD$3,$J163&lt;=IF(param_mode_affichage="mois",EOMONTH(AD$3,0),AD$3+6)),"◆",""))</f>
      </c>
      <c r="AE163" s="26">
        <f>IF(OR($A163="",AE$3=""),"",IF(AND($J163&lt;&gt;"",$K163&lt;&gt;"",$J163=$K163,$J163&gt;=AE$3,$J163&lt;=IF(param_mode_affichage="mois",EOMONTH(AE$3,0),AE$3+6)),"◆",""))</f>
      </c>
      <c r="AF163" s="26">
        <f>IF(OR($A163="",AF$3=""),"",IF(AND($J163&lt;&gt;"",$K163&lt;&gt;"",$J163=$K163,$J163&gt;=AF$3,$J163&lt;=IF(param_mode_affichage="mois",EOMONTH(AF$3,0),AF$3+6)),"◆",""))</f>
      </c>
      <c r="AG163" s="26">
        <f>IF(OR($A163="",AG$3=""),"",IF(AND($J163&lt;&gt;"",$K163&lt;&gt;"",$J163=$K163,$J163&gt;=AG$3,$J163&lt;=IF(param_mode_affichage="mois",EOMONTH(AG$3,0),AG$3+6)),"◆",""))</f>
      </c>
      <c r="AH163" s="26">
        <f>IF(OR($A163="",AH$3=""),"",IF(AND($J163&lt;&gt;"",$K163&lt;&gt;"",$J163=$K163,$J163&gt;=AH$3,$J163&lt;=IF(param_mode_affichage="mois",EOMONTH(AH$3,0),AH$3+6)),"◆",""))</f>
      </c>
      <c r="AI163" s="26">
        <f>IF(OR($A163="",AI$3=""),"",IF(AND($J163&lt;&gt;"",$K163&lt;&gt;"",$J163=$K163,$J163&gt;=AI$3,$J163&lt;=IF(param_mode_affichage="mois",EOMONTH(AI$3,0),AI$3+6)),"◆",""))</f>
      </c>
      <c r="AJ163" s="26">
        <f>IF(OR($A163="",AJ$3=""),"",IF(AND($J163&lt;&gt;"",$K163&lt;&gt;"",$J163=$K163,$J163&gt;=AJ$3,$J163&lt;=IF(param_mode_affichage="mois",EOMONTH(AJ$3,0),AJ$3+6)),"◆",""))</f>
      </c>
      <c r="AK163" s="26">
        <f>IF(OR($A163="",AK$3=""),"",IF(AND($J163&lt;&gt;"",$K163&lt;&gt;"",$J163=$K163,$J163&gt;=AK$3,$J163&lt;=IF(param_mode_affichage="mois",EOMONTH(AK$3,0),AK$3+6)),"◆",""))</f>
      </c>
      <c r="AL163" s="26">
        <f>IF(OR($A163="",AL$3=""),"",IF(AND($J163&lt;&gt;"",$K163&lt;&gt;"",$J163=$K163,$J163&gt;=AL$3,$J163&lt;=IF(param_mode_affichage="mois",EOMONTH(AL$3,0),AL$3+6)),"◆",""))</f>
      </c>
      <c r="AM163" s="26">
        <f>IF(OR($A163="",AM$3=""),"",IF(AND($J163&lt;&gt;"",$K163&lt;&gt;"",$J163=$K163,$J163&gt;=AM$3,$J163&lt;=IF(param_mode_affichage="mois",EOMONTH(AM$3,0),AM$3+6)),"◆",""))</f>
      </c>
      <c r="AN163" s="26">
        <f>IF(OR($A163="",AN$3=""),"",IF(AND($J163&lt;&gt;"",$K163&lt;&gt;"",$J163=$K163,$J163&gt;=AN$3,$J163&lt;=IF(param_mode_affichage="mois",EOMONTH(AN$3,0),AN$3+6)),"◆",""))</f>
      </c>
      <c r="AO163" s="26">
        <f>IF(OR($A163="",AO$3=""),"",IF(AND($J163&lt;&gt;"",$K163&lt;&gt;"",$J163=$K163,$J163&gt;=AO$3,$J163&lt;=IF(param_mode_affichage="mois",EOMONTH(AO$3,0),AO$3+6)),"◆",""))</f>
      </c>
      <c r="AP163" s="26">
        <f>IF(OR($A163="",AP$3=""),"",IF(AND($J163&lt;&gt;"",$K163&lt;&gt;"",$J163=$K163,$J163&gt;=AP$3,$J163&lt;=IF(param_mode_affichage="mois",EOMONTH(AP$3,0),AP$3+6)),"◆",""))</f>
      </c>
      <c r="AQ163" s="26">
        <f>IF(OR($A163="",AQ$3=""),"",IF(AND($J163&lt;&gt;"",$K163&lt;&gt;"",$J163=$K163,$J163&gt;=AQ$3,$J163&lt;=IF(param_mode_affichage="mois",EOMONTH(AQ$3,0),AQ$3+6)),"◆",""))</f>
      </c>
      <c r="AR163" s="26">
        <f>IF(OR($A163="",AR$3=""),"",IF(AND($J163&lt;&gt;"",$K163&lt;&gt;"",$J163=$K163,$J163&gt;=AR$3,$J163&lt;=IF(param_mode_affichage="mois",EOMONTH(AR$3,0),AR$3+6)),"◆",""))</f>
      </c>
      <c r="AS163" s="26">
        <f>IF(OR($A163="",AS$3=""),"",IF(AND($J163&lt;&gt;"",$K163&lt;&gt;"",$J163=$K163,$J163&gt;=AS$3,$J163&lt;=IF(param_mode_affichage="mois",EOMONTH(AS$3,0),AS$3+6)),"◆",""))</f>
      </c>
      <c r="AT163" s="26">
        <f>IF(OR($A163="",AT$3=""),"",IF(AND($J163&lt;&gt;"",$K163&lt;&gt;"",$J163=$K163,$J163&gt;=AT$3,$J163&lt;=IF(param_mode_affichage="mois",EOMONTH(AT$3,0),AT$3+6)),"◆",""))</f>
      </c>
      <c r="AU163" s="26">
        <f>IF(OR($A163="",AU$3=""),"",IF(AND($J163&lt;&gt;"",$K163&lt;&gt;"",$J163=$K163,$J163&gt;=AU$3,$J163&lt;=IF(param_mode_affichage="mois",EOMONTH(AU$3,0),AU$3+6)),"◆",""))</f>
      </c>
      <c r="AV163" s="26">
        <f>IF(OR($A163="",AV$3=""),"",IF(AND($J163&lt;&gt;"",$K163&lt;&gt;"",$J163=$K163,$J163&gt;=AV$3,$J163&lt;=IF(param_mode_affichage="mois",EOMONTH(AV$3,0),AV$3+6)),"◆",""))</f>
      </c>
      <c r="AW163" s="26">
        <f>IF(OR($A163="",AW$3=""),"",IF(AND($J163&lt;&gt;"",$K163&lt;&gt;"",$J163=$K163,$J163&gt;=AW$3,$J163&lt;=IF(param_mode_affichage="mois",EOMONTH(AW$3,0),AW$3+6)),"◆",""))</f>
      </c>
      <c r="AX163" s="26">
        <f>IF(OR($A163="",AX$3=""),"",IF(AND($J163&lt;&gt;"",$K163&lt;&gt;"",$J163=$K163,$J163&gt;=AX$3,$J163&lt;=IF(param_mode_affichage="mois",EOMONTH(AX$3,0),AX$3+6)),"◆",""))</f>
      </c>
      <c r="AY163" s="26">
        <f>IF(OR($A163="",AY$3=""),"",IF(AND($J163&lt;&gt;"",$K163&lt;&gt;"",$J163=$K163,$J163&gt;=AY$3,$J163&lt;=IF(param_mode_affichage="mois",EOMONTH(AY$3,0),AY$3+6)),"◆",""))</f>
      </c>
      <c r="AZ163" s="26">
        <f>IF(OR($A163="",AZ$3=""),"",IF(AND($J163&lt;&gt;"",$K163&lt;&gt;"",$J163=$K163,$J163&gt;=AZ$3,$J163&lt;=IF(param_mode_affichage="mois",EOMONTH(AZ$3,0),AZ$3+6)),"◆",""))</f>
      </c>
      <c r="BA163" s="26">
        <f>IF(OR($A163="",BA$3=""),"",IF(AND($J163&lt;&gt;"",$K163&lt;&gt;"",$J163=$K163,$J163&gt;=BA$3,$J163&lt;=IF(param_mode_affichage="mois",EOMONTH(BA$3,0),BA$3+6)),"◆",""))</f>
      </c>
      <c r="BB163" s="26">
        <f>IF(OR($A163="",BB$3=""),"",IF(AND($J163&lt;&gt;"",$K163&lt;&gt;"",$J163=$K163,$J163&gt;=BB$3,$J163&lt;=IF(param_mode_affichage="mois",EOMONTH(BB$3,0),BB$3+6)),"◆",""))</f>
      </c>
      <c r="BC163" s="26">
        <f>IF(OR($A163="",BC$3=""),"",IF(AND($J163&lt;&gt;"",$K163&lt;&gt;"",$J163=$K163,$J163&gt;=BC$3,$J163&lt;=IF(param_mode_affichage="mois",EOMONTH(BC$3,0),BC$3+6)),"◆",""))</f>
      </c>
      <c r="BD163" s="26">
        <f>IF(OR($A163="",BD$3=""),"",IF(AND($J163&lt;&gt;"",$K163&lt;&gt;"",$J163=$K163,$J163&gt;=BD$3,$J163&lt;=IF(param_mode_affichage="mois",EOMONTH(BD$3,0),BD$3+6)),"◆",""))</f>
      </c>
      <c r="BE163" s="26">
        <f>IF(OR($A163="",BE$3=""),"",IF(AND($J163&lt;&gt;"",$K163&lt;&gt;"",$J163=$K163,$J163&gt;=BE$3,$J163&lt;=IF(param_mode_affichage="mois",EOMONTH(BE$3,0),BE$3+6)),"◆",""))</f>
      </c>
      <c r="BF163" s="26">
        <f>IF(OR($A163="",BF$3=""),"",IF(AND($J163&lt;&gt;"",$K163&lt;&gt;"",$J163=$K163,$J163&gt;=BF$3,$J163&lt;=IF(param_mode_affichage="mois",EOMONTH(BF$3,0),BF$3+6)),"◆",""))</f>
      </c>
      <c r="BG163" s="26">
        <f>IF(OR($A163="",BG$3=""),"",IF(AND($J163&lt;&gt;"",$K163&lt;&gt;"",$J163=$K163,$J163&gt;=BG$3,$J163&lt;=IF(param_mode_affichage="mois",EOMONTH(BG$3,0),BG$3+6)),"◆",""))</f>
      </c>
      <c r="BH163" s="26">
        <f>IF(OR($A163="",BH$3=""),"",IF(AND($J163&lt;&gt;"",$K163&lt;&gt;"",$J163=$K163,$J163&gt;=BH$3,$J163&lt;=IF(param_mode_affichage="mois",EOMONTH(BH$3,0),BH$3+6)),"◆",""))</f>
      </c>
      <c r="BI163" s="26">
        <f>IF(OR($A163="",BI$3=""),"",IF(AND($J163&lt;&gt;"",$K163&lt;&gt;"",$J163=$K163,$J163&gt;=BI$3,$J163&lt;=IF(param_mode_affichage="mois",EOMONTH(BI$3,0),BI$3+6)),"◆",""))</f>
      </c>
      <c r="BJ163" s="26">
        <f>IF(OR($A163="",BJ$3=""),"",IF(AND($J163&lt;&gt;"",$K163&lt;&gt;"",$J163=$K163,$J163&gt;=BJ$3,$J163&lt;=IF(param_mode_affichage="mois",EOMONTH(BJ$3,0),BJ$3+6)),"◆",""))</f>
      </c>
      <c r="BK163" s="26">
        <f>IF(OR($A163="",BK$3=""),"",IF(AND($J163&lt;&gt;"",$K163&lt;&gt;"",$J163=$K163,$J163&gt;=BK$3,$J163&lt;=IF(param_mode_affichage="mois",EOMONTH(BK$3,0),BK$3+6)),"◆",""))</f>
      </c>
      <c r="BL163" s="26">
        <f>IF(OR($A163="",BL$3=""),"",IF(AND($J163&lt;&gt;"",$K163&lt;&gt;"",$J163=$K163,$J163&gt;=BL$3,$J163&lt;=IF(param_mode_affichage="mois",EOMONTH(BL$3,0),BL$3+6)),"◆",""))</f>
      </c>
    </row>
    <row r="164" spans="1:64" x14ac:dyDescent="0.25">
      <c r="A164" s="23">
        <f>IFERROR(INDEX(tblTasks[ID],ROW()-4),"")</f>
      </c>
      <c r="B164" s="24">
        <f>IF($A164="","",INDEX(tblTasks[Sujet],ROW()-4))</f>
      </c>
      <c r="C164" s="23">
        <f>IF($A164="","",INDEX(tblTasks[Responsable],ROW()-4))</f>
      </c>
      <c r="D164" s="23">
        <f>IF($A164="","",INDEX(tblTasks[Statut],ROW()-4))</f>
      </c>
      <c r="E164" s="23">
        <f>IF($A164="","",INDEX(tblTasks[Depend_de],ROW()-4))</f>
      </c>
      <c r="F164" s="23">
        <f>IF($A164="","",INDEX(tblTasks[Blocage],ROW()-4))</f>
      </c>
      <c r="G164" s="23">
        <f>IF($A164="","",INDEX(tblTasks[Niveau_criticite],ROW()-4))</f>
      </c>
      <c r="H164" s="23">
        <f>IF($A164="","",INDEX(tblTasks[Goulot],ROW()-4))</f>
      </c>
      <c r="I164" s="23">
        <f>IF($A164="","",IF(LOWER($F164)="oui","non",IF($E164="","oui",IFERROR(IF(LOWER(INDEX(tblTasks[Statut],MATCH($E164,tblTasks[ID],0)))="clos","oui","non"),"non"))))</f>
      </c>
      <c r="J164" s="25">
        <f>IF($A164="","",INDEX(tblTasks[Date_debut_prevue],ROW()-4))</f>
      </c>
      <c r="K164" s="25">
        <f>IF($A164="","",INDEX(tblTasks[Date_fin_prevue],ROW()-4))</f>
      </c>
      <c r="L164" s="23">
        <f>IF($A164="","",INDEX(tblTasks[Irreversibilite],ROW()-4))</f>
      </c>
      <c r="M164" s="26">
        <f>IF(OR($A164="",M$3=""),"",IF(AND($J164&lt;&gt;"",$K164&lt;&gt;"",$J164=$K164,$J164&gt;=M$3,$J164&lt;=IF(param_mode_affichage="mois",EOMONTH(M$3,0),M$3+6)),"◆",""))</f>
      </c>
      <c r="N164" s="26">
        <f>IF(OR($A164="",N$3=""),"",IF(AND($J164&lt;&gt;"",$K164&lt;&gt;"",$J164=$K164,$J164&gt;=N$3,$J164&lt;=IF(param_mode_affichage="mois",EOMONTH(N$3,0),N$3+6)),"◆",""))</f>
      </c>
      <c r="O164" s="26">
        <f>IF(OR($A164="",O$3=""),"",IF(AND($J164&lt;&gt;"",$K164&lt;&gt;"",$J164=$K164,$J164&gt;=O$3,$J164&lt;=IF(param_mode_affichage="mois",EOMONTH(O$3,0),O$3+6)),"◆",""))</f>
      </c>
      <c r="P164" s="26">
        <f>IF(OR($A164="",P$3=""),"",IF(AND($J164&lt;&gt;"",$K164&lt;&gt;"",$J164=$K164,$J164&gt;=P$3,$J164&lt;=IF(param_mode_affichage="mois",EOMONTH(P$3,0),P$3+6)),"◆",""))</f>
      </c>
      <c r="Q164" s="26">
        <f>IF(OR($A164="",Q$3=""),"",IF(AND($J164&lt;&gt;"",$K164&lt;&gt;"",$J164=$K164,$J164&gt;=Q$3,$J164&lt;=IF(param_mode_affichage="mois",EOMONTH(Q$3,0),Q$3+6)),"◆",""))</f>
      </c>
      <c r="R164" s="26">
        <f>IF(OR($A164="",R$3=""),"",IF(AND($J164&lt;&gt;"",$K164&lt;&gt;"",$J164=$K164,$J164&gt;=R$3,$J164&lt;=IF(param_mode_affichage="mois",EOMONTH(R$3,0),R$3+6)),"◆",""))</f>
      </c>
      <c r="S164" s="26">
        <f>IF(OR($A164="",S$3=""),"",IF(AND($J164&lt;&gt;"",$K164&lt;&gt;"",$J164=$K164,$J164&gt;=S$3,$J164&lt;=IF(param_mode_affichage="mois",EOMONTH(S$3,0),S$3+6)),"◆",""))</f>
      </c>
      <c r="T164" s="26">
        <f>IF(OR($A164="",T$3=""),"",IF(AND($J164&lt;&gt;"",$K164&lt;&gt;"",$J164=$K164,$J164&gt;=T$3,$J164&lt;=IF(param_mode_affichage="mois",EOMONTH(T$3,0),T$3+6)),"◆",""))</f>
      </c>
      <c r="U164" s="26">
        <f>IF(OR($A164="",U$3=""),"",IF(AND($J164&lt;&gt;"",$K164&lt;&gt;"",$J164=$K164,$J164&gt;=U$3,$J164&lt;=IF(param_mode_affichage="mois",EOMONTH(U$3,0),U$3+6)),"◆",""))</f>
      </c>
      <c r="V164" s="26">
        <f>IF(OR($A164="",V$3=""),"",IF(AND($J164&lt;&gt;"",$K164&lt;&gt;"",$J164=$K164,$J164&gt;=V$3,$J164&lt;=IF(param_mode_affichage="mois",EOMONTH(V$3,0),V$3+6)),"◆",""))</f>
      </c>
      <c r="W164" s="26">
        <f>IF(OR($A164="",W$3=""),"",IF(AND($J164&lt;&gt;"",$K164&lt;&gt;"",$J164=$K164,$J164&gt;=W$3,$J164&lt;=IF(param_mode_affichage="mois",EOMONTH(W$3,0),W$3+6)),"◆",""))</f>
      </c>
      <c r="X164" s="26">
        <f>IF(OR($A164="",X$3=""),"",IF(AND($J164&lt;&gt;"",$K164&lt;&gt;"",$J164=$K164,$J164&gt;=X$3,$J164&lt;=IF(param_mode_affichage="mois",EOMONTH(X$3,0),X$3+6)),"◆",""))</f>
      </c>
      <c r="Y164" s="26">
        <f>IF(OR($A164="",Y$3=""),"",IF(AND($J164&lt;&gt;"",$K164&lt;&gt;"",$J164=$K164,$J164&gt;=Y$3,$J164&lt;=IF(param_mode_affichage="mois",EOMONTH(Y$3,0),Y$3+6)),"◆",""))</f>
      </c>
      <c r="Z164" s="26">
        <f>IF(OR($A164="",Z$3=""),"",IF(AND($J164&lt;&gt;"",$K164&lt;&gt;"",$J164=$K164,$J164&gt;=Z$3,$J164&lt;=IF(param_mode_affichage="mois",EOMONTH(Z$3,0),Z$3+6)),"◆",""))</f>
      </c>
      <c r="AA164" s="26">
        <f>IF(OR($A164="",AA$3=""),"",IF(AND($J164&lt;&gt;"",$K164&lt;&gt;"",$J164=$K164,$J164&gt;=AA$3,$J164&lt;=IF(param_mode_affichage="mois",EOMONTH(AA$3,0),AA$3+6)),"◆",""))</f>
      </c>
      <c r="AB164" s="26">
        <f>IF(OR($A164="",AB$3=""),"",IF(AND($J164&lt;&gt;"",$K164&lt;&gt;"",$J164=$K164,$J164&gt;=AB$3,$J164&lt;=IF(param_mode_affichage="mois",EOMONTH(AB$3,0),AB$3+6)),"◆",""))</f>
      </c>
      <c r="AC164" s="26">
        <f>IF(OR($A164="",AC$3=""),"",IF(AND($J164&lt;&gt;"",$K164&lt;&gt;"",$J164=$K164,$J164&gt;=AC$3,$J164&lt;=IF(param_mode_affichage="mois",EOMONTH(AC$3,0),AC$3+6)),"◆",""))</f>
      </c>
      <c r="AD164" s="26">
        <f>IF(OR($A164="",AD$3=""),"",IF(AND($J164&lt;&gt;"",$K164&lt;&gt;"",$J164=$K164,$J164&gt;=AD$3,$J164&lt;=IF(param_mode_affichage="mois",EOMONTH(AD$3,0),AD$3+6)),"◆",""))</f>
      </c>
      <c r="AE164" s="26">
        <f>IF(OR($A164="",AE$3=""),"",IF(AND($J164&lt;&gt;"",$K164&lt;&gt;"",$J164=$K164,$J164&gt;=AE$3,$J164&lt;=IF(param_mode_affichage="mois",EOMONTH(AE$3,0),AE$3+6)),"◆",""))</f>
      </c>
      <c r="AF164" s="26">
        <f>IF(OR($A164="",AF$3=""),"",IF(AND($J164&lt;&gt;"",$K164&lt;&gt;"",$J164=$K164,$J164&gt;=AF$3,$J164&lt;=IF(param_mode_affichage="mois",EOMONTH(AF$3,0),AF$3+6)),"◆",""))</f>
      </c>
      <c r="AG164" s="26">
        <f>IF(OR($A164="",AG$3=""),"",IF(AND($J164&lt;&gt;"",$K164&lt;&gt;"",$J164=$K164,$J164&gt;=AG$3,$J164&lt;=IF(param_mode_affichage="mois",EOMONTH(AG$3,0),AG$3+6)),"◆",""))</f>
      </c>
      <c r="AH164" s="26">
        <f>IF(OR($A164="",AH$3=""),"",IF(AND($J164&lt;&gt;"",$K164&lt;&gt;"",$J164=$K164,$J164&gt;=AH$3,$J164&lt;=IF(param_mode_affichage="mois",EOMONTH(AH$3,0),AH$3+6)),"◆",""))</f>
      </c>
      <c r="AI164" s="26">
        <f>IF(OR($A164="",AI$3=""),"",IF(AND($J164&lt;&gt;"",$K164&lt;&gt;"",$J164=$K164,$J164&gt;=AI$3,$J164&lt;=IF(param_mode_affichage="mois",EOMONTH(AI$3,0),AI$3+6)),"◆",""))</f>
      </c>
      <c r="AJ164" s="26">
        <f>IF(OR($A164="",AJ$3=""),"",IF(AND($J164&lt;&gt;"",$K164&lt;&gt;"",$J164=$K164,$J164&gt;=AJ$3,$J164&lt;=IF(param_mode_affichage="mois",EOMONTH(AJ$3,0),AJ$3+6)),"◆",""))</f>
      </c>
      <c r="AK164" s="26">
        <f>IF(OR($A164="",AK$3=""),"",IF(AND($J164&lt;&gt;"",$K164&lt;&gt;"",$J164=$K164,$J164&gt;=AK$3,$J164&lt;=IF(param_mode_affichage="mois",EOMONTH(AK$3,0),AK$3+6)),"◆",""))</f>
      </c>
      <c r="AL164" s="26">
        <f>IF(OR($A164="",AL$3=""),"",IF(AND($J164&lt;&gt;"",$K164&lt;&gt;"",$J164=$K164,$J164&gt;=AL$3,$J164&lt;=IF(param_mode_affichage="mois",EOMONTH(AL$3,0),AL$3+6)),"◆",""))</f>
      </c>
      <c r="AM164" s="26">
        <f>IF(OR($A164="",AM$3=""),"",IF(AND($J164&lt;&gt;"",$K164&lt;&gt;"",$J164=$K164,$J164&gt;=AM$3,$J164&lt;=IF(param_mode_affichage="mois",EOMONTH(AM$3,0),AM$3+6)),"◆",""))</f>
      </c>
      <c r="AN164" s="26">
        <f>IF(OR($A164="",AN$3=""),"",IF(AND($J164&lt;&gt;"",$K164&lt;&gt;"",$J164=$K164,$J164&gt;=AN$3,$J164&lt;=IF(param_mode_affichage="mois",EOMONTH(AN$3,0),AN$3+6)),"◆",""))</f>
      </c>
      <c r="AO164" s="26">
        <f>IF(OR($A164="",AO$3=""),"",IF(AND($J164&lt;&gt;"",$K164&lt;&gt;"",$J164=$K164,$J164&gt;=AO$3,$J164&lt;=IF(param_mode_affichage="mois",EOMONTH(AO$3,0),AO$3+6)),"◆",""))</f>
      </c>
      <c r="AP164" s="26">
        <f>IF(OR($A164="",AP$3=""),"",IF(AND($J164&lt;&gt;"",$K164&lt;&gt;"",$J164=$K164,$J164&gt;=AP$3,$J164&lt;=IF(param_mode_affichage="mois",EOMONTH(AP$3,0),AP$3+6)),"◆",""))</f>
      </c>
      <c r="AQ164" s="26">
        <f>IF(OR($A164="",AQ$3=""),"",IF(AND($J164&lt;&gt;"",$K164&lt;&gt;"",$J164=$K164,$J164&gt;=AQ$3,$J164&lt;=IF(param_mode_affichage="mois",EOMONTH(AQ$3,0),AQ$3+6)),"◆",""))</f>
      </c>
      <c r="AR164" s="26">
        <f>IF(OR($A164="",AR$3=""),"",IF(AND($J164&lt;&gt;"",$K164&lt;&gt;"",$J164=$K164,$J164&gt;=AR$3,$J164&lt;=IF(param_mode_affichage="mois",EOMONTH(AR$3,0),AR$3+6)),"◆",""))</f>
      </c>
      <c r="AS164" s="26">
        <f>IF(OR($A164="",AS$3=""),"",IF(AND($J164&lt;&gt;"",$K164&lt;&gt;"",$J164=$K164,$J164&gt;=AS$3,$J164&lt;=IF(param_mode_affichage="mois",EOMONTH(AS$3,0),AS$3+6)),"◆",""))</f>
      </c>
      <c r="AT164" s="26">
        <f>IF(OR($A164="",AT$3=""),"",IF(AND($J164&lt;&gt;"",$K164&lt;&gt;"",$J164=$K164,$J164&gt;=AT$3,$J164&lt;=IF(param_mode_affichage="mois",EOMONTH(AT$3,0),AT$3+6)),"◆",""))</f>
      </c>
      <c r="AU164" s="26">
        <f>IF(OR($A164="",AU$3=""),"",IF(AND($J164&lt;&gt;"",$K164&lt;&gt;"",$J164=$K164,$J164&gt;=AU$3,$J164&lt;=IF(param_mode_affichage="mois",EOMONTH(AU$3,0),AU$3+6)),"◆",""))</f>
      </c>
      <c r="AV164" s="26">
        <f>IF(OR($A164="",AV$3=""),"",IF(AND($J164&lt;&gt;"",$K164&lt;&gt;"",$J164=$K164,$J164&gt;=AV$3,$J164&lt;=IF(param_mode_affichage="mois",EOMONTH(AV$3,0),AV$3+6)),"◆",""))</f>
      </c>
      <c r="AW164" s="26">
        <f>IF(OR($A164="",AW$3=""),"",IF(AND($J164&lt;&gt;"",$K164&lt;&gt;"",$J164=$K164,$J164&gt;=AW$3,$J164&lt;=IF(param_mode_affichage="mois",EOMONTH(AW$3,0),AW$3+6)),"◆",""))</f>
      </c>
      <c r="AX164" s="26">
        <f>IF(OR($A164="",AX$3=""),"",IF(AND($J164&lt;&gt;"",$K164&lt;&gt;"",$J164=$K164,$J164&gt;=AX$3,$J164&lt;=IF(param_mode_affichage="mois",EOMONTH(AX$3,0),AX$3+6)),"◆",""))</f>
      </c>
      <c r="AY164" s="26">
        <f>IF(OR($A164="",AY$3=""),"",IF(AND($J164&lt;&gt;"",$K164&lt;&gt;"",$J164=$K164,$J164&gt;=AY$3,$J164&lt;=IF(param_mode_affichage="mois",EOMONTH(AY$3,0),AY$3+6)),"◆",""))</f>
      </c>
      <c r="AZ164" s="26">
        <f>IF(OR($A164="",AZ$3=""),"",IF(AND($J164&lt;&gt;"",$K164&lt;&gt;"",$J164=$K164,$J164&gt;=AZ$3,$J164&lt;=IF(param_mode_affichage="mois",EOMONTH(AZ$3,0),AZ$3+6)),"◆",""))</f>
      </c>
      <c r="BA164" s="26">
        <f>IF(OR($A164="",BA$3=""),"",IF(AND($J164&lt;&gt;"",$K164&lt;&gt;"",$J164=$K164,$J164&gt;=BA$3,$J164&lt;=IF(param_mode_affichage="mois",EOMONTH(BA$3,0),BA$3+6)),"◆",""))</f>
      </c>
      <c r="BB164" s="26">
        <f>IF(OR($A164="",BB$3=""),"",IF(AND($J164&lt;&gt;"",$K164&lt;&gt;"",$J164=$K164,$J164&gt;=BB$3,$J164&lt;=IF(param_mode_affichage="mois",EOMONTH(BB$3,0),BB$3+6)),"◆",""))</f>
      </c>
      <c r="BC164" s="26">
        <f>IF(OR($A164="",BC$3=""),"",IF(AND($J164&lt;&gt;"",$K164&lt;&gt;"",$J164=$K164,$J164&gt;=BC$3,$J164&lt;=IF(param_mode_affichage="mois",EOMONTH(BC$3,0),BC$3+6)),"◆",""))</f>
      </c>
      <c r="BD164" s="26">
        <f>IF(OR($A164="",BD$3=""),"",IF(AND($J164&lt;&gt;"",$K164&lt;&gt;"",$J164=$K164,$J164&gt;=BD$3,$J164&lt;=IF(param_mode_affichage="mois",EOMONTH(BD$3,0),BD$3+6)),"◆",""))</f>
      </c>
      <c r="BE164" s="26">
        <f>IF(OR($A164="",BE$3=""),"",IF(AND($J164&lt;&gt;"",$K164&lt;&gt;"",$J164=$K164,$J164&gt;=BE$3,$J164&lt;=IF(param_mode_affichage="mois",EOMONTH(BE$3,0),BE$3+6)),"◆",""))</f>
      </c>
      <c r="BF164" s="26">
        <f>IF(OR($A164="",BF$3=""),"",IF(AND($J164&lt;&gt;"",$K164&lt;&gt;"",$J164=$K164,$J164&gt;=BF$3,$J164&lt;=IF(param_mode_affichage="mois",EOMONTH(BF$3,0),BF$3+6)),"◆",""))</f>
      </c>
      <c r="BG164" s="26">
        <f>IF(OR($A164="",BG$3=""),"",IF(AND($J164&lt;&gt;"",$K164&lt;&gt;"",$J164=$K164,$J164&gt;=BG$3,$J164&lt;=IF(param_mode_affichage="mois",EOMONTH(BG$3,0),BG$3+6)),"◆",""))</f>
      </c>
      <c r="BH164" s="26">
        <f>IF(OR($A164="",BH$3=""),"",IF(AND($J164&lt;&gt;"",$K164&lt;&gt;"",$J164=$K164,$J164&gt;=BH$3,$J164&lt;=IF(param_mode_affichage="mois",EOMONTH(BH$3,0),BH$3+6)),"◆",""))</f>
      </c>
      <c r="BI164" s="26">
        <f>IF(OR($A164="",BI$3=""),"",IF(AND($J164&lt;&gt;"",$K164&lt;&gt;"",$J164=$K164,$J164&gt;=BI$3,$J164&lt;=IF(param_mode_affichage="mois",EOMONTH(BI$3,0),BI$3+6)),"◆",""))</f>
      </c>
      <c r="BJ164" s="26">
        <f>IF(OR($A164="",BJ$3=""),"",IF(AND($J164&lt;&gt;"",$K164&lt;&gt;"",$J164=$K164,$J164&gt;=BJ$3,$J164&lt;=IF(param_mode_affichage="mois",EOMONTH(BJ$3,0),BJ$3+6)),"◆",""))</f>
      </c>
      <c r="BK164" s="26">
        <f>IF(OR($A164="",BK$3=""),"",IF(AND($J164&lt;&gt;"",$K164&lt;&gt;"",$J164=$K164,$J164&gt;=BK$3,$J164&lt;=IF(param_mode_affichage="mois",EOMONTH(BK$3,0),BK$3+6)),"◆",""))</f>
      </c>
      <c r="BL164" s="26">
        <f>IF(OR($A164="",BL$3=""),"",IF(AND($J164&lt;&gt;"",$K164&lt;&gt;"",$J164=$K164,$J164&gt;=BL$3,$J164&lt;=IF(param_mode_affichage="mois",EOMONTH(BL$3,0),BL$3+6)),"◆",""))</f>
      </c>
    </row>
    <row r="165" spans="1:64" x14ac:dyDescent="0.25">
      <c r="A165" s="23">
        <f>IFERROR(INDEX(tblTasks[ID],ROW()-4),"")</f>
      </c>
      <c r="B165" s="24">
        <f>IF($A165="","",INDEX(tblTasks[Sujet],ROW()-4))</f>
      </c>
      <c r="C165" s="23">
        <f>IF($A165="","",INDEX(tblTasks[Responsable],ROW()-4))</f>
      </c>
      <c r="D165" s="23">
        <f>IF($A165="","",INDEX(tblTasks[Statut],ROW()-4))</f>
      </c>
      <c r="E165" s="23">
        <f>IF($A165="","",INDEX(tblTasks[Depend_de],ROW()-4))</f>
      </c>
      <c r="F165" s="23">
        <f>IF($A165="","",INDEX(tblTasks[Blocage],ROW()-4))</f>
      </c>
      <c r="G165" s="23">
        <f>IF($A165="","",INDEX(tblTasks[Niveau_criticite],ROW()-4))</f>
      </c>
      <c r="H165" s="23">
        <f>IF($A165="","",INDEX(tblTasks[Goulot],ROW()-4))</f>
      </c>
      <c r="I165" s="23">
        <f>IF($A165="","",IF(LOWER($F165)="oui","non",IF($E165="","oui",IFERROR(IF(LOWER(INDEX(tblTasks[Statut],MATCH($E165,tblTasks[ID],0)))="clos","oui","non"),"non"))))</f>
      </c>
      <c r="J165" s="25">
        <f>IF($A165="","",INDEX(tblTasks[Date_debut_prevue],ROW()-4))</f>
      </c>
      <c r="K165" s="25">
        <f>IF($A165="","",INDEX(tblTasks[Date_fin_prevue],ROW()-4))</f>
      </c>
      <c r="L165" s="23">
        <f>IF($A165="","",INDEX(tblTasks[Irreversibilite],ROW()-4))</f>
      </c>
      <c r="M165" s="26">
        <f>IF(OR($A165="",M$3=""),"",IF(AND($J165&lt;&gt;"",$K165&lt;&gt;"",$J165=$K165,$J165&gt;=M$3,$J165&lt;=IF(param_mode_affichage="mois",EOMONTH(M$3,0),M$3+6)),"◆",""))</f>
      </c>
      <c r="N165" s="26">
        <f>IF(OR($A165="",N$3=""),"",IF(AND($J165&lt;&gt;"",$K165&lt;&gt;"",$J165=$K165,$J165&gt;=N$3,$J165&lt;=IF(param_mode_affichage="mois",EOMONTH(N$3,0),N$3+6)),"◆",""))</f>
      </c>
      <c r="O165" s="26">
        <f>IF(OR($A165="",O$3=""),"",IF(AND($J165&lt;&gt;"",$K165&lt;&gt;"",$J165=$K165,$J165&gt;=O$3,$J165&lt;=IF(param_mode_affichage="mois",EOMONTH(O$3,0),O$3+6)),"◆",""))</f>
      </c>
      <c r="P165" s="26">
        <f>IF(OR($A165="",P$3=""),"",IF(AND($J165&lt;&gt;"",$K165&lt;&gt;"",$J165=$K165,$J165&gt;=P$3,$J165&lt;=IF(param_mode_affichage="mois",EOMONTH(P$3,0),P$3+6)),"◆",""))</f>
      </c>
      <c r="Q165" s="26">
        <f>IF(OR($A165="",Q$3=""),"",IF(AND($J165&lt;&gt;"",$K165&lt;&gt;"",$J165=$K165,$J165&gt;=Q$3,$J165&lt;=IF(param_mode_affichage="mois",EOMONTH(Q$3,0),Q$3+6)),"◆",""))</f>
      </c>
      <c r="R165" s="26">
        <f>IF(OR($A165="",R$3=""),"",IF(AND($J165&lt;&gt;"",$K165&lt;&gt;"",$J165=$K165,$J165&gt;=R$3,$J165&lt;=IF(param_mode_affichage="mois",EOMONTH(R$3,0),R$3+6)),"◆",""))</f>
      </c>
      <c r="S165" s="26">
        <f>IF(OR($A165="",S$3=""),"",IF(AND($J165&lt;&gt;"",$K165&lt;&gt;"",$J165=$K165,$J165&gt;=S$3,$J165&lt;=IF(param_mode_affichage="mois",EOMONTH(S$3,0),S$3+6)),"◆",""))</f>
      </c>
      <c r="T165" s="26">
        <f>IF(OR($A165="",T$3=""),"",IF(AND($J165&lt;&gt;"",$K165&lt;&gt;"",$J165=$K165,$J165&gt;=T$3,$J165&lt;=IF(param_mode_affichage="mois",EOMONTH(T$3,0),T$3+6)),"◆",""))</f>
      </c>
      <c r="U165" s="26">
        <f>IF(OR($A165="",U$3=""),"",IF(AND($J165&lt;&gt;"",$K165&lt;&gt;"",$J165=$K165,$J165&gt;=U$3,$J165&lt;=IF(param_mode_affichage="mois",EOMONTH(U$3,0),U$3+6)),"◆",""))</f>
      </c>
      <c r="V165" s="26">
        <f>IF(OR($A165="",V$3=""),"",IF(AND($J165&lt;&gt;"",$K165&lt;&gt;"",$J165=$K165,$J165&gt;=V$3,$J165&lt;=IF(param_mode_affichage="mois",EOMONTH(V$3,0),V$3+6)),"◆",""))</f>
      </c>
      <c r="W165" s="26">
        <f>IF(OR($A165="",W$3=""),"",IF(AND($J165&lt;&gt;"",$K165&lt;&gt;"",$J165=$K165,$J165&gt;=W$3,$J165&lt;=IF(param_mode_affichage="mois",EOMONTH(W$3,0),W$3+6)),"◆",""))</f>
      </c>
      <c r="X165" s="26">
        <f>IF(OR($A165="",X$3=""),"",IF(AND($J165&lt;&gt;"",$K165&lt;&gt;"",$J165=$K165,$J165&gt;=X$3,$J165&lt;=IF(param_mode_affichage="mois",EOMONTH(X$3,0),X$3+6)),"◆",""))</f>
      </c>
      <c r="Y165" s="26">
        <f>IF(OR($A165="",Y$3=""),"",IF(AND($J165&lt;&gt;"",$K165&lt;&gt;"",$J165=$K165,$J165&gt;=Y$3,$J165&lt;=IF(param_mode_affichage="mois",EOMONTH(Y$3,0),Y$3+6)),"◆",""))</f>
      </c>
      <c r="Z165" s="26">
        <f>IF(OR($A165="",Z$3=""),"",IF(AND($J165&lt;&gt;"",$K165&lt;&gt;"",$J165=$K165,$J165&gt;=Z$3,$J165&lt;=IF(param_mode_affichage="mois",EOMONTH(Z$3,0),Z$3+6)),"◆",""))</f>
      </c>
      <c r="AA165" s="26">
        <f>IF(OR($A165="",AA$3=""),"",IF(AND($J165&lt;&gt;"",$K165&lt;&gt;"",$J165=$K165,$J165&gt;=AA$3,$J165&lt;=IF(param_mode_affichage="mois",EOMONTH(AA$3,0),AA$3+6)),"◆",""))</f>
      </c>
      <c r="AB165" s="26">
        <f>IF(OR($A165="",AB$3=""),"",IF(AND($J165&lt;&gt;"",$K165&lt;&gt;"",$J165=$K165,$J165&gt;=AB$3,$J165&lt;=IF(param_mode_affichage="mois",EOMONTH(AB$3,0),AB$3+6)),"◆",""))</f>
      </c>
      <c r="AC165" s="26">
        <f>IF(OR($A165="",AC$3=""),"",IF(AND($J165&lt;&gt;"",$K165&lt;&gt;"",$J165=$K165,$J165&gt;=AC$3,$J165&lt;=IF(param_mode_affichage="mois",EOMONTH(AC$3,0),AC$3+6)),"◆",""))</f>
      </c>
      <c r="AD165" s="26">
        <f>IF(OR($A165="",AD$3=""),"",IF(AND($J165&lt;&gt;"",$K165&lt;&gt;"",$J165=$K165,$J165&gt;=AD$3,$J165&lt;=IF(param_mode_affichage="mois",EOMONTH(AD$3,0),AD$3+6)),"◆",""))</f>
      </c>
      <c r="AE165" s="26">
        <f>IF(OR($A165="",AE$3=""),"",IF(AND($J165&lt;&gt;"",$K165&lt;&gt;"",$J165=$K165,$J165&gt;=AE$3,$J165&lt;=IF(param_mode_affichage="mois",EOMONTH(AE$3,0),AE$3+6)),"◆",""))</f>
      </c>
      <c r="AF165" s="26">
        <f>IF(OR($A165="",AF$3=""),"",IF(AND($J165&lt;&gt;"",$K165&lt;&gt;"",$J165=$K165,$J165&gt;=AF$3,$J165&lt;=IF(param_mode_affichage="mois",EOMONTH(AF$3,0),AF$3+6)),"◆",""))</f>
      </c>
      <c r="AG165" s="26">
        <f>IF(OR($A165="",AG$3=""),"",IF(AND($J165&lt;&gt;"",$K165&lt;&gt;"",$J165=$K165,$J165&gt;=AG$3,$J165&lt;=IF(param_mode_affichage="mois",EOMONTH(AG$3,0),AG$3+6)),"◆",""))</f>
      </c>
      <c r="AH165" s="26">
        <f>IF(OR($A165="",AH$3=""),"",IF(AND($J165&lt;&gt;"",$K165&lt;&gt;"",$J165=$K165,$J165&gt;=AH$3,$J165&lt;=IF(param_mode_affichage="mois",EOMONTH(AH$3,0),AH$3+6)),"◆",""))</f>
      </c>
      <c r="AI165" s="26">
        <f>IF(OR($A165="",AI$3=""),"",IF(AND($J165&lt;&gt;"",$K165&lt;&gt;"",$J165=$K165,$J165&gt;=AI$3,$J165&lt;=IF(param_mode_affichage="mois",EOMONTH(AI$3,0),AI$3+6)),"◆",""))</f>
      </c>
      <c r="AJ165" s="26">
        <f>IF(OR($A165="",AJ$3=""),"",IF(AND($J165&lt;&gt;"",$K165&lt;&gt;"",$J165=$K165,$J165&gt;=AJ$3,$J165&lt;=IF(param_mode_affichage="mois",EOMONTH(AJ$3,0),AJ$3+6)),"◆",""))</f>
      </c>
      <c r="AK165" s="26">
        <f>IF(OR($A165="",AK$3=""),"",IF(AND($J165&lt;&gt;"",$K165&lt;&gt;"",$J165=$K165,$J165&gt;=AK$3,$J165&lt;=IF(param_mode_affichage="mois",EOMONTH(AK$3,0),AK$3+6)),"◆",""))</f>
      </c>
      <c r="AL165" s="26">
        <f>IF(OR($A165="",AL$3=""),"",IF(AND($J165&lt;&gt;"",$K165&lt;&gt;"",$J165=$K165,$J165&gt;=AL$3,$J165&lt;=IF(param_mode_affichage="mois",EOMONTH(AL$3,0),AL$3+6)),"◆",""))</f>
      </c>
      <c r="AM165" s="26">
        <f>IF(OR($A165="",AM$3=""),"",IF(AND($J165&lt;&gt;"",$K165&lt;&gt;"",$J165=$K165,$J165&gt;=AM$3,$J165&lt;=IF(param_mode_affichage="mois",EOMONTH(AM$3,0),AM$3+6)),"◆",""))</f>
      </c>
      <c r="AN165" s="26">
        <f>IF(OR($A165="",AN$3=""),"",IF(AND($J165&lt;&gt;"",$K165&lt;&gt;"",$J165=$K165,$J165&gt;=AN$3,$J165&lt;=IF(param_mode_affichage="mois",EOMONTH(AN$3,0),AN$3+6)),"◆",""))</f>
      </c>
      <c r="AO165" s="26">
        <f>IF(OR($A165="",AO$3=""),"",IF(AND($J165&lt;&gt;"",$K165&lt;&gt;"",$J165=$K165,$J165&gt;=AO$3,$J165&lt;=IF(param_mode_affichage="mois",EOMONTH(AO$3,0),AO$3+6)),"◆",""))</f>
      </c>
      <c r="AP165" s="26">
        <f>IF(OR($A165="",AP$3=""),"",IF(AND($J165&lt;&gt;"",$K165&lt;&gt;"",$J165=$K165,$J165&gt;=AP$3,$J165&lt;=IF(param_mode_affichage="mois",EOMONTH(AP$3,0),AP$3+6)),"◆",""))</f>
      </c>
      <c r="AQ165" s="26">
        <f>IF(OR($A165="",AQ$3=""),"",IF(AND($J165&lt;&gt;"",$K165&lt;&gt;"",$J165=$K165,$J165&gt;=AQ$3,$J165&lt;=IF(param_mode_affichage="mois",EOMONTH(AQ$3,0),AQ$3+6)),"◆",""))</f>
      </c>
      <c r="AR165" s="26">
        <f>IF(OR($A165="",AR$3=""),"",IF(AND($J165&lt;&gt;"",$K165&lt;&gt;"",$J165=$K165,$J165&gt;=AR$3,$J165&lt;=IF(param_mode_affichage="mois",EOMONTH(AR$3,0),AR$3+6)),"◆",""))</f>
      </c>
      <c r="AS165" s="26">
        <f>IF(OR($A165="",AS$3=""),"",IF(AND($J165&lt;&gt;"",$K165&lt;&gt;"",$J165=$K165,$J165&gt;=AS$3,$J165&lt;=IF(param_mode_affichage="mois",EOMONTH(AS$3,0),AS$3+6)),"◆",""))</f>
      </c>
      <c r="AT165" s="26">
        <f>IF(OR($A165="",AT$3=""),"",IF(AND($J165&lt;&gt;"",$K165&lt;&gt;"",$J165=$K165,$J165&gt;=AT$3,$J165&lt;=IF(param_mode_affichage="mois",EOMONTH(AT$3,0),AT$3+6)),"◆",""))</f>
      </c>
      <c r="AU165" s="26">
        <f>IF(OR($A165="",AU$3=""),"",IF(AND($J165&lt;&gt;"",$K165&lt;&gt;"",$J165=$K165,$J165&gt;=AU$3,$J165&lt;=IF(param_mode_affichage="mois",EOMONTH(AU$3,0),AU$3+6)),"◆",""))</f>
      </c>
      <c r="AV165" s="26">
        <f>IF(OR($A165="",AV$3=""),"",IF(AND($J165&lt;&gt;"",$K165&lt;&gt;"",$J165=$K165,$J165&gt;=AV$3,$J165&lt;=IF(param_mode_affichage="mois",EOMONTH(AV$3,0),AV$3+6)),"◆",""))</f>
      </c>
      <c r="AW165" s="26">
        <f>IF(OR($A165="",AW$3=""),"",IF(AND($J165&lt;&gt;"",$K165&lt;&gt;"",$J165=$K165,$J165&gt;=AW$3,$J165&lt;=IF(param_mode_affichage="mois",EOMONTH(AW$3,0),AW$3+6)),"◆",""))</f>
      </c>
      <c r="AX165" s="26">
        <f>IF(OR($A165="",AX$3=""),"",IF(AND($J165&lt;&gt;"",$K165&lt;&gt;"",$J165=$K165,$J165&gt;=AX$3,$J165&lt;=IF(param_mode_affichage="mois",EOMONTH(AX$3,0),AX$3+6)),"◆",""))</f>
      </c>
      <c r="AY165" s="26">
        <f>IF(OR($A165="",AY$3=""),"",IF(AND($J165&lt;&gt;"",$K165&lt;&gt;"",$J165=$K165,$J165&gt;=AY$3,$J165&lt;=IF(param_mode_affichage="mois",EOMONTH(AY$3,0),AY$3+6)),"◆",""))</f>
      </c>
      <c r="AZ165" s="26">
        <f>IF(OR($A165="",AZ$3=""),"",IF(AND($J165&lt;&gt;"",$K165&lt;&gt;"",$J165=$K165,$J165&gt;=AZ$3,$J165&lt;=IF(param_mode_affichage="mois",EOMONTH(AZ$3,0),AZ$3+6)),"◆",""))</f>
      </c>
      <c r="BA165" s="26">
        <f>IF(OR($A165="",BA$3=""),"",IF(AND($J165&lt;&gt;"",$K165&lt;&gt;"",$J165=$K165,$J165&gt;=BA$3,$J165&lt;=IF(param_mode_affichage="mois",EOMONTH(BA$3,0),BA$3+6)),"◆",""))</f>
      </c>
      <c r="BB165" s="26">
        <f>IF(OR($A165="",BB$3=""),"",IF(AND($J165&lt;&gt;"",$K165&lt;&gt;"",$J165=$K165,$J165&gt;=BB$3,$J165&lt;=IF(param_mode_affichage="mois",EOMONTH(BB$3,0),BB$3+6)),"◆",""))</f>
      </c>
      <c r="BC165" s="26">
        <f>IF(OR($A165="",BC$3=""),"",IF(AND($J165&lt;&gt;"",$K165&lt;&gt;"",$J165=$K165,$J165&gt;=BC$3,$J165&lt;=IF(param_mode_affichage="mois",EOMONTH(BC$3,0),BC$3+6)),"◆",""))</f>
      </c>
      <c r="BD165" s="26">
        <f>IF(OR($A165="",BD$3=""),"",IF(AND($J165&lt;&gt;"",$K165&lt;&gt;"",$J165=$K165,$J165&gt;=BD$3,$J165&lt;=IF(param_mode_affichage="mois",EOMONTH(BD$3,0),BD$3+6)),"◆",""))</f>
      </c>
      <c r="BE165" s="26">
        <f>IF(OR($A165="",BE$3=""),"",IF(AND($J165&lt;&gt;"",$K165&lt;&gt;"",$J165=$K165,$J165&gt;=BE$3,$J165&lt;=IF(param_mode_affichage="mois",EOMONTH(BE$3,0),BE$3+6)),"◆",""))</f>
      </c>
      <c r="BF165" s="26">
        <f>IF(OR($A165="",BF$3=""),"",IF(AND($J165&lt;&gt;"",$K165&lt;&gt;"",$J165=$K165,$J165&gt;=BF$3,$J165&lt;=IF(param_mode_affichage="mois",EOMONTH(BF$3,0),BF$3+6)),"◆",""))</f>
      </c>
      <c r="BG165" s="26">
        <f>IF(OR($A165="",BG$3=""),"",IF(AND($J165&lt;&gt;"",$K165&lt;&gt;"",$J165=$K165,$J165&gt;=BG$3,$J165&lt;=IF(param_mode_affichage="mois",EOMONTH(BG$3,0),BG$3+6)),"◆",""))</f>
      </c>
      <c r="BH165" s="26">
        <f>IF(OR($A165="",BH$3=""),"",IF(AND($J165&lt;&gt;"",$K165&lt;&gt;"",$J165=$K165,$J165&gt;=BH$3,$J165&lt;=IF(param_mode_affichage="mois",EOMONTH(BH$3,0),BH$3+6)),"◆",""))</f>
      </c>
      <c r="BI165" s="26">
        <f>IF(OR($A165="",BI$3=""),"",IF(AND($J165&lt;&gt;"",$K165&lt;&gt;"",$J165=$K165,$J165&gt;=BI$3,$J165&lt;=IF(param_mode_affichage="mois",EOMONTH(BI$3,0),BI$3+6)),"◆",""))</f>
      </c>
      <c r="BJ165" s="26">
        <f>IF(OR($A165="",BJ$3=""),"",IF(AND($J165&lt;&gt;"",$K165&lt;&gt;"",$J165=$K165,$J165&gt;=BJ$3,$J165&lt;=IF(param_mode_affichage="mois",EOMONTH(BJ$3,0),BJ$3+6)),"◆",""))</f>
      </c>
      <c r="BK165" s="26">
        <f>IF(OR($A165="",BK$3=""),"",IF(AND($J165&lt;&gt;"",$K165&lt;&gt;"",$J165=$K165,$J165&gt;=BK$3,$J165&lt;=IF(param_mode_affichage="mois",EOMONTH(BK$3,0),BK$3+6)),"◆",""))</f>
      </c>
      <c r="BL165" s="26">
        <f>IF(OR($A165="",BL$3=""),"",IF(AND($J165&lt;&gt;"",$K165&lt;&gt;"",$J165=$K165,$J165&gt;=BL$3,$J165&lt;=IF(param_mode_affichage="mois",EOMONTH(BL$3,0),BL$3+6)),"◆",""))</f>
      </c>
    </row>
    <row r="166" spans="1:64" x14ac:dyDescent="0.25">
      <c r="A166" s="23">
        <f>IFERROR(INDEX(tblTasks[ID],ROW()-4),"")</f>
      </c>
      <c r="B166" s="24">
        <f>IF($A166="","",INDEX(tblTasks[Sujet],ROW()-4))</f>
      </c>
      <c r="C166" s="23">
        <f>IF($A166="","",INDEX(tblTasks[Responsable],ROW()-4))</f>
      </c>
      <c r="D166" s="23">
        <f>IF($A166="","",INDEX(tblTasks[Statut],ROW()-4))</f>
      </c>
      <c r="E166" s="23">
        <f>IF($A166="","",INDEX(tblTasks[Depend_de],ROW()-4))</f>
      </c>
      <c r="F166" s="23">
        <f>IF($A166="","",INDEX(tblTasks[Blocage],ROW()-4))</f>
      </c>
      <c r="G166" s="23">
        <f>IF($A166="","",INDEX(tblTasks[Niveau_criticite],ROW()-4))</f>
      </c>
      <c r="H166" s="23">
        <f>IF($A166="","",INDEX(tblTasks[Goulot],ROW()-4))</f>
      </c>
      <c r="I166" s="23">
        <f>IF($A166="","",IF(LOWER($F166)="oui","non",IF($E166="","oui",IFERROR(IF(LOWER(INDEX(tblTasks[Statut],MATCH($E166,tblTasks[ID],0)))="clos","oui","non"),"non"))))</f>
      </c>
      <c r="J166" s="25">
        <f>IF($A166="","",INDEX(tblTasks[Date_debut_prevue],ROW()-4))</f>
      </c>
      <c r="K166" s="25">
        <f>IF($A166="","",INDEX(tblTasks[Date_fin_prevue],ROW()-4))</f>
      </c>
      <c r="L166" s="23">
        <f>IF($A166="","",INDEX(tblTasks[Irreversibilite],ROW()-4))</f>
      </c>
      <c r="M166" s="26">
        <f>IF(OR($A166="",M$3=""),"",IF(AND($J166&lt;&gt;"",$K166&lt;&gt;"",$J166=$K166,$J166&gt;=M$3,$J166&lt;=IF(param_mode_affichage="mois",EOMONTH(M$3,0),M$3+6)),"◆",""))</f>
      </c>
      <c r="N166" s="26">
        <f>IF(OR($A166="",N$3=""),"",IF(AND($J166&lt;&gt;"",$K166&lt;&gt;"",$J166=$K166,$J166&gt;=N$3,$J166&lt;=IF(param_mode_affichage="mois",EOMONTH(N$3,0),N$3+6)),"◆",""))</f>
      </c>
      <c r="O166" s="26">
        <f>IF(OR($A166="",O$3=""),"",IF(AND($J166&lt;&gt;"",$K166&lt;&gt;"",$J166=$K166,$J166&gt;=O$3,$J166&lt;=IF(param_mode_affichage="mois",EOMONTH(O$3,0),O$3+6)),"◆",""))</f>
      </c>
      <c r="P166" s="26">
        <f>IF(OR($A166="",P$3=""),"",IF(AND($J166&lt;&gt;"",$K166&lt;&gt;"",$J166=$K166,$J166&gt;=P$3,$J166&lt;=IF(param_mode_affichage="mois",EOMONTH(P$3,0),P$3+6)),"◆",""))</f>
      </c>
      <c r="Q166" s="26">
        <f>IF(OR($A166="",Q$3=""),"",IF(AND($J166&lt;&gt;"",$K166&lt;&gt;"",$J166=$K166,$J166&gt;=Q$3,$J166&lt;=IF(param_mode_affichage="mois",EOMONTH(Q$3,0),Q$3+6)),"◆",""))</f>
      </c>
      <c r="R166" s="26">
        <f>IF(OR($A166="",R$3=""),"",IF(AND($J166&lt;&gt;"",$K166&lt;&gt;"",$J166=$K166,$J166&gt;=R$3,$J166&lt;=IF(param_mode_affichage="mois",EOMONTH(R$3,0),R$3+6)),"◆",""))</f>
      </c>
      <c r="S166" s="26">
        <f>IF(OR($A166="",S$3=""),"",IF(AND($J166&lt;&gt;"",$K166&lt;&gt;"",$J166=$K166,$J166&gt;=S$3,$J166&lt;=IF(param_mode_affichage="mois",EOMONTH(S$3,0),S$3+6)),"◆",""))</f>
      </c>
      <c r="T166" s="26">
        <f>IF(OR($A166="",T$3=""),"",IF(AND($J166&lt;&gt;"",$K166&lt;&gt;"",$J166=$K166,$J166&gt;=T$3,$J166&lt;=IF(param_mode_affichage="mois",EOMONTH(T$3,0),T$3+6)),"◆",""))</f>
      </c>
      <c r="U166" s="26">
        <f>IF(OR($A166="",U$3=""),"",IF(AND($J166&lt;&gt;"",$K166&lt;&gt;"",$J166=$K166,$J166&gt;=U$3,$J166&lt;=IF(param_mode_affichage="mois",EOMONTH(U$3,0),U$3+6)),"◆",""))</f>
      </c>
      <c r="V166" s="26">
        <f>IF(OR($A166="",V$3=""),"",IF(AND($J166&lt;&gt;"",$K166&lt;&gt;"",$J166=$K166,$J166&gt;=V$3,$J166&lt;=IF(param_mode_affichage="mois",EOMONTH(V$3,0),V$3+6)),"◆",""))</f>
      </c>
      <c r="W166" s="26">
        <f>IF(OR($A166="",W$3=""),"",IF(AND($J166&lt;&gt;"",$K166&lt;&gt;"",$J166=$K166,$J166&gt;=W$3,$J166&lt;=IF(param_mode_affichage="mois",EOMONTH(W$3,0),W$3+6)),"◆",""))</f>
      </c>
      <c r="X166" s="26">
        <f>IF(OR($A166="",X$3=""),"",IF(AND($J166&lt;&gt;"",$K166&lt;&gt;"",$J166=$K166,$J166&gt;=X$3,$J166&lt;=IF(param_mode_affichage="mois",EOMONTH(X$3,0),X$3+6)),"◆",""))</f>
      </c>
      <c r="Y166" s="26">
        <f>IF(OR($A166="",Y$3=""),"",IF(AND($J166&lt;&gt;"",$K166&lt;&gt;"",$J166=$K166,$J166&gt;=Y$3,$J166&lt;=IF(param_mode_affichage="mois",EOMONTH(Y$3,0),Y$3+6)),"◆",""))</f>
      </c>
      <c r="Z166" s="26">
        <f>IF(OR($A166="",Z$3=""),"",IF(AND($J166&lt;&gt;"",$K166&lt;&gt;"",$J166=$K166,$J166&gt;=Z$3,$J166&lt;=IF(param_mode_affichage="mois",EOMONTH(Z$3,0),Z$3+6)),"◆",""))</f>
      </c>
      <c r="AA166" s="26">
        <f>IF(OR($A166="",AA$3=""),"",IF(AND($J166&lt;&gt;"",$K166&lt;&gt;"",$J166=$K166,$J166&gt;=AA$3,$J166&lt;=IF(param_mode_affichage="mois",EOMONTH(AA$3,0),AA$3+6)),"◆",""))</f>
      </c>
      <c r="AB166" s="26">
        <f>IF(OR($A166="",AB$3=""),"",IF(AND($J166&lt;&gt;"",$K166&lt;&gt;"",$J166=$K166,$J166&gt;=AB$3,$J166&lt;=IF(param_mode_affichage="mois",EOMONTH(AB$3,0),AB$3+6)),"◆",""))</f>
      </c>
      <c r="AC166" s="26">
        <f>IF(OR($A166="",AC$3=""),"",IF(AND($J166&lt;&gt;"",$K166&lt;&gt;"",$J166=$K166,$J166&gt;=AC$3,$J166&lt;=IF(param_mode_affichage="mois",EOMONTH(AC$3,0),AC$3+6)),"◆",""))</f>
      </c>
      <c r="AD166" s="26">
        <f>IF(OR($A166="",AD$3=""),"",IF(AND($J166&lt;&gt;"",$K166&lt;&gt;"",$J166=$K166,$J166&gt;=AD$3,$J166&lt;=IF(param_mode_affichage="mois",EOMONTH(AD$3,0),AD$3+6)),"◆",""))</f>
      </c>
      <c r="AE166" s="26">
        <f>IF(OR($A166="",AE$3=""),"",IF(AND($J166&lt;&gt;"",$K166&lt;&gt;"",$J166=$K166,$J166&gt;=AE$3,$J166&lt;=IF(param_mode_affichage="mois",EOMONTH(AE$3,0),AE$3+6)),"◆",""))</f>
      </c>
      <c r="AF166" s="26">
        <f>IF(OR($A166="",AF$3=""),"",IF(AND($J166&lt;&gt;"",$K166&lt;&gt;"",$J166=$K166,$J166&gt;=AF$3,$J166&lt;=IF(param_mode_affichage="mois",EOMONTH(AF$3,0),AF$3+6)),"◆",""))</f>
      </c>
      <c r="AG166" s="26">
        <f>IF(OR($A166="",AG$3=""),"",IF(AND($J166&lt;&gt;"",$K166&lt;&gt;"",$J166=$K166,$J166&gt;=AG$3,$J166&lt;=IF(param_mode_affichage="mois",EOMONTH(AG$3,0),AG$3+6)),"◆",""))</f>
      </c>
      <c r="AH166" s="26">
        <f>IF(OR($A166="",AH$3=""),"",IF(AND($J166&lt;&gt;"",$K166&lt;&gt;"",$J166=$K166,$J166&gt;=AH$3,$J166&lt;=IF(param_mode_affichage="mois",EOMONTH(AH$3,0),AH$3+6)),"◆",""))</f>
      </c>
      <c r="AI166" s="26">
        <f>IF(OR($A166="",AI$3=""),"",IF(AND($J166&lt;&gt;"",$K166&lt;&gt;"",$J166=$K166,$J166&gt;=AI$3,$J166&lt;=IF(param_mode_affichage="mois",EOMONTH(AI$3,0),AI$3+6)),"◆",""))</f>
      </c>
      <c r="AJ166" s="26">
        <f>IF(OR($A166="",AJ$3=""),"",IF(AND($J166&lt;&gt;"",$K166&lt;&gt;"",$J166=$K166,$J166&gt;=AJ$3,$J166&lt;=IF(param_mode_affichage="mois",EOMONTH(AJ$3,0),AJ$3+6)),"◆",""))</f>
      </c>
      <c r="AK166" s="26">
        <f>IF(OR($A166="",AK$3=""),"",IF(AND($J166&lt;&gt;"",$K166&lt;&gt;"",$J166=$K166,$J166&gt;=AK$3,$J166&lt;=IF(param_mode_affichage="mois",EOMONTH(AK$3,0),AK$3+6)),"◆",""))</f>
      </c>
      <c r="AL166" s="26">
        <f>IF(OR($A166="",AL$3=""),"",IF(AND($J166&lt;&gt;"",$K166&lt;&gt;"",$J166=$K166,$J166&gt;=AL$3,$J166&lt;=IF(param_mode_affichage="mois",EOMONTH(AL$3,0),AL$3+6)),"◆",""))</f>
      </c>
      <c r="AM166" s="26">
        <f>IF(OR($A166="",AM$3=""),"",IF(AND($J166&lt;&gt;"",$K166&lt;&gt;"",$J166=$K166,$J166&gt;=AM$3,$J166&lt;=IF(param_mode_affichage="mois",EOMONTH(AM$3,0),AM$3+6)),"◆",""))</f>
      </c>
      <c r="AN166" s="26">
        <f>IF(OR($A166="",AN$3=""),"",IF(AND($J166&lt;&gt;"",$K166&lt;&gt;"",$J166=$K166,$J166&gt;=AN$3,$J166&lt;=IF(param_mode_affichage="mois",EOMONTH(AN$3,0),AN$3+6)),"◆",""))</f>
      </c>
      <c r="AO166" s="26">
        <f>IF(OR($A166="",AO$3=""),"",IF(AND($J166&lt;&gt;"",$K166&lt;&gt;"",$J166=$K166,$J166&gt;=AO$3,$J166&lt;=IF(param_mode_affichage="mois",EOMONTH(AO$3,0),AO$3+6)),"◆",""))</f>
      </c>
      <c r="AP166" s="26">
        <f>IF(OR($A166="",AP$3=""),"",IF(AND($J166&lt;&gt;"",$K166&lt;&gt;"",$J166=$K166,$J166&gt;=AP$3,$J166&lt;=IF(param_mode_affichage="mois",EOMONTH(AP$3,0),AP$3+6)),"◆",""))</f>
      </c>
      <c r="AQ166" s="26">
        <f>IF(OR($A166="",AQ$3=""),"",IF(AND($J166&lt;&gt;"",$K166&lt;&gt;"",$J166=$K166,$J166&gt;=AQ$3,$J166&lt;=IF(param_mode_affichage="mois",EOMONTH(AQ$3,0),AQ$3+6)),"◆",""))</f>
      </c>
      <c r="AR166" s="26">
        <f>IF(OR($A166="",AR$3=""),"",IF(AND($J166&lt;&gt;"",$K166&lt;&gt;"",$J166=$K166,$J166&gt;=AR$3,$J166&lt;=IF(param_mode_affichage="mois",EOMONTH(AR$3,0),AR$3+6)),"◆",""))</f>
      </c>
      <c r="AS166" s="26">
        <f>IF(OR($A166="",AS$3=""),"",IF(AND($J166&lt;&gt;"",$K166&lt;&gt;"",$J166=$K166,$J166&gt;=AS$3,$J166&lt;=IF(param_mode_affichage="mois",EOMONTH(AS$3,0),AS$3+6)),"◆",""))</f>
      </c>
      <c r="AT166" s="26">
        <f>IF(OR($A166="",AT$3=""),"",IF(AND($J166&lt;&gt;"",$K166&lt;&gt;"",$J166=$K166,$J166&gt;=AT$3,$J166&lt;=IF(param_mode_affichage="mois",EOMONTH(AT$3,0),AT$3+6)),"◆",""))</f>
      </c>
      <c r="AU166" s="26">
        <f>IF(OR($A166="",AU$3=""),"",IF(AND($J166&lt;&gt;"",$K166&lt;&gt;"",$J166=$K166,$J166&gt;=AU$3,$J166&lt;=IF(param_mode_affichage="mois",EOMONTH(AU$3,0),AU$3+6)),"◆",""))</f>
      </c>
      <c r="AV166" s="26">
        <f>IF(OR($A166="",AV$3=""),"",IF(AND($J166&lt;&gt;"",$K166&lt;&gt;"",$J166=$K166,$J166&gt;=AV$3,$J166&lt;=IF(param_mode_affichage="mois",EOMONTH(AV$3,0),AV$3+6)),"◆",""))</f>
      </c>
      <c r="AW166" s="26">
        <f>IF(OR($A166="",AW$3=""),"",IF(AND($J166&lt;&gt;"",$K166&lt;&gt;"",$J166=$K166,$J166&gt;=AW$3,$J166&lt;=IF(param_mode_affichage="mois",EOMONTH(AW$3,0),AW$3+6)),"◆",""))</f>
      </c>
      <c r="AX166" s="26">
        <f>IF(OR($A166="",AX$3=""),"",IF(AND($J166&lt;&gt;"",$K166&lt;&gt;"",$J166=$K166,$J166&gt;=AX$3,$J166&lt;=IF(param_mode_affichage="mois",EOMONTH(AX$3,0),AX$3+6)),"◆",""))</f>
      </c>
      <c r="AY166" s="26">
        <f>IF(OR($A166="",AY$3=""),"",IF(AND($J166&lt;&gt;"",$K166&lt;&gt;"",$J166=$K166,$J166&gt;=AY$3,$J166&lt;=IF(param_mode_affichage="mois",EOMONTH(AY$3,0),AY$3+6)),"◆",""))</f>
      </c>
      <c r="AZ166" s="26">
        <f>IF(OR($A166="",AZ$3=""),"",IF(AND($J166&lt;&gt;"",$K166&lt;&gt;"",$J166=$K166,$J166&gt;=AZ$3,$J166&lt;=IF(param_mode_affichage="mois",EOMONTH(AZ$3,0),AZ$3+6)),"◆",""))</f>
      </c>
      <c r="BA166" s="26">
        <f>IF(OR($A166="",BA$3=""),"",IF(AND($J166&lt;&gt;"",$K166&lt;&gt;"",$J166=$K166,$J166&gt;=BA$3,$J166&lt;=IF(param_mode_affichage="mois",EOMONTH(BA$3,0),BA$3+6)),"◆",""))</f>
      </c>
      <c r="BB166" s="26">
        <f>IF(OR($A166="",BB$3=""),"",IF(AND($J166&lt;&gt;"",$K166&lt;&gt;"",$J166=$K166,$J166&gt;=BB$3,$J166&lt;=IF(param_mode_affichage="mois",EOMONTH(BB$3,0),BB$3+6)),"◆",""))</f>
      </c>
      <c r="BC166" s="26">
        <f>IF(OR($A166="",BC$3=""),"",IF(AND($J166&lt;&gt;"",$K166&lt;&gt;"",$J166=$K166,$J166&gt;=BC$3,$J166&lt;=IF(param_mode_affichage="mois",EOMONTH(BC$3,0),BC$3+6)),"◆",""))</f>
      </c>
      <c r="BD166" s="26">
        <f>IF(OR($A166="",BD$3=""),"",IF(AND($J166&lt;&gt;"",$K166&lt;&gt;"",$J166=$K166,$J166&gt;=BD$3,$J166&lt;=IF(param_mode_affichage="mois",EOMONTH(BD$3,0),BD$3+6)),"◆",""))</f>
      </c>
      <c r="BE166" s="26">
        <f>IF(OR($A166="",BE$3=""),"",IF(AND($J166&lt;&gt;"",$K166&lt;&gt;"",$J166=$K166,$J166&gt;=BE$3,$J166&lt;=IF(param_mode_affichage="mois",EOMONTH(BE$3,0),BE$3+6)),"◆",""))</f>
      </c>
      <c r="BF166" s="26">
        <f>IF(OR($A166="",BF$3=""),"",IF(AND($J166&lt;&gt;"",$K166&lt;&gt;"",$J166=$K166,$J166&gt;=BF$3,$J166&lt;=IF(param_mode_affichage="mois",EOMONTH(BF$3,0),BF$3+6)),"◆",""))</f>
      </c>
      <c r="BG166" s="26">
        <f>IF(OR($A166="",BG$3=""),"",IF(AND($J166&lt;&gt;"",$K166&lt;&gt;"",$J166=$K166,$J166&gt;=BG$3,$J166&lt;=IF(param_mode_affichage="mois",EOMONTH(BG$3,0),BG$3+6)),"◆",""))</f>
      </c>
      <c r="BH166" s="26">
        <f>IF(OR($A166="",BH$3=""),"",IF(AND($J166&lt;&gt;"",$K166&lt;&gt;"",$J166=$K166,$J166&gt;=BH$3,$J166&lt;=IF(param_mode_affichage="mois",EOMONTH(BH$3,0),BH$3+6)),"◆",""))</f>
      </c>
      <c r="BI166" s="26">
        <f>IF(OR($A166="",BI$3=""),"",IF(AND($J166&lt;&gt;"",$K166&lt;&gt;"",$J166=$K166,$J166&gt;=BI$3,$J166&lt;=IF(param_mode_affichage="mois",EOMONTH(BI$3,0),BI$3+6)),"◆",""))</f>
      </c>
      <c r="BJ166" s="26">
        <f>IF(OR($A166="",BJ$3=""),"",IF(AND($J166&lt;&gt;"",$K166&lt;&gt;"",$J166=$K166,$J166&gt;=BJ$3,$J166&lt;=IF(param_mode_affichage="mois",EOMONTH(BJ$3,0),BJ$3+6)),"◆",""))</f>
      </c>
      <c r="BK166" s="26">
        <f>IF(OR($A166="",BK$3=""),"",IF(AND($J166&lt;&gt;"",$K166&lt;&gt;"",$J166=$K166,$J166&gt;=BK$3,$J166&lt;=IF(param_mode_affichage="mois",EOMONTH(BK$3,0),BK$3+6)),"◆",""))</f>
      </c>
      <c r="BL166" s="26">
        <f>IF(OR($A166="",BL$3=""),"",IF(AND($J166&lt;&gt;"",$K166&lt;&gt;"",$J166=$K166,$J166&gt;=BL$3,$J166&lt;=IF(param_mode_affichage="mois",EOMONTH(BL$3,0),BL$3+6)),"◆",""))</f>
      </c>
    </row>
    <row r="167" spans="1:64" x14ac:dyDescent="0.25">
      <c r="A167" s="23">
        <f>IFERROR(INDEX(tblTasks[ID],ROW()-4),"")</f>
      </c>
      <c r="B167" s="24">
        <f>IF($A167="","",INDEX(tblTasks[Sujet],ROW()-4))</f>
      </c>
      <c r="C167" s="23">
        <f>IF($A167="","",INDEX(tblTasks[Responsable],ROW()-4))</f>
      </c>
      <c r="D167" s="23">
        <f>IF($A167="","",INDEX(tblTasks[Statut],ROW()-4))</f>
      </c>
      <c r="E167" s="23">
        <f>IF($A167="","",INDEX(tblTasks[Depend_de],ROW()-4))</f>
      </c>
      <c r="F167" s="23">
        <f>IF($A167="","",INDEX(tblTasks[Blocage],ROW()-4))</f>
      </c>
      <c r="G167" s="23">
        <f>IF($A167="","",INDEX(tblTasks[Niveau_criticite],ROW()-4))</f>
      </c>
      <c r="H167" s="23">
        <f>IF($A167="","",INDEX(tblTasks[Goulot],ROW()-4))</f>
      </c>
      <c r="I167" s="23">
        <f>IF($A167="","",IF(LOWER($F167)="oui","non",IF($E167="","oui",IFERROR(IF(LOWER(INDEX(tblTasks[Statut],MATCH($E167,tblTasks[ID],0)))="clos","oui","non"),"non"))))</f>
      </c>
      <c r="J167" s="25">
        <f>IF($A167="","",INDEX(tblTasks[Date_debut_prevue],ROW()-4))</f>
      </c>
      <c r="K167" s="25">
        <f>IF($A167="","",INDEX(tblTasks[Date_fin_prevue],ROW()-4))</f>
      </c>
      <c r="L167" s="23">
        <f>IF($A167="","",INDEX(tblTasks[Irreversibilite],ROW()-4))</f>
      </c>
      <c r="M167" s="26">
        <f>IF(OR($A167="",M$3=""),"",IF(AND($J167&lt;&gt;"",$K167&lt;&gt;"",$J167=$K167,$J167&gt;=M$3,$J167&lt;=IF(param_mode_affichage="mois",EOMONTH(M$3,0),M$3+6)),"◆",""))</f>
      </c>
      <c r="N167" s="26">
        <f>IF(OR($A167="",N$3=""),"",IF(AND($J167&lt;&gt;"",$K167&lt;&gt;"",$J167=$K167,$J167&gt;=N$3,$J167&lt;=IF(param_mode_affichage="mois",EOMONTH(N$3,0),N$3+6)),"◆",""))</f>
      </c>
      <c r="O167" s="26">
        <f>IF(OR($A167="",O$3=""),"",IF(AND($J167&lt;&gt;"",$K167&lt;&gt;"",$J167=$K167,$J167&gt;=O$3,$J167&lt;=IF(param_mode_affichage="mois",EOMONTH(O$3,0),O$3+6)),"◆",""))</f>
      </c>
      <c r="P167" s="26">
        <f>IF(OR($A167="",P$3=""),"",IF(AND($J167&lt;&gt;"",$K167&lt;&gt;"",$J167=$K167,$J167&gt;=P$3,$J167&lt;=IF(param_mode_affichage="mois",EOMONTH(P$3,0),P$3+6)),"◆",""))</f>
      </c>
      <c r="Q167" s="26">
        <f>IF(OR($A167="",Q$3=""),"",IF(AND($J167&lt;&gt;"",$K167&lt;&gt;"",$J167=$K167,$J167&gt;=Q$3,$J167&lt;=IF(param_mode_affichage="mois",EOMONTH(Q$3,0),Q$3+6)),"◆",""))</f>
      </c>
      <c r="R167" s="26">
        <f>IF(OR($A167="",R$3=""),"",IF(AND($J167&lt;&gt;"",$K167&lt;&gt;"",$J167=$K167,$J167&gt;=R$3,$J167&lt;=IF(param_mode_affichage="mois",EOMONTH(R$3,0),R$3+6)),"◆",""))</f>
      </c>
      <c r="S167" s="26">
        <f>IF(OR($A167="",S$3=""),"",IF(AND($J167&lt;&gt;"",$K167&lt;&gt;"",$J167=$K167,$J167&gt;=S$3,$J167&lt;=IF(param_mode_affichage="mois",EOMONTH(S$3,0),S$3+6)),"◆",""))</f>
      </c>
      <c r="T167" s="26">
        <f>IF(OR($A167="",T$3=""),"",IF(AND($J167&lt;&gt;"",$K167&lt;&gt;"",$J167=$K167,$J167&gt;=T$3,$J167&lt;=IF(param_mode_affichage="mois",EOMONTH(T$3,0),T$3+6)),"◆",""))</f>
      </c>
      <c r="U167" s="26">
        <f>IF(OR($A167="",U$3=""),"",IF(AND($J167&lt;&gt;"",$K167&lt;&gt;"",$J167=$K167,$J167&gt;=U$3,$J167&lt;=IF(param_mode_affichage="mois",EOMONTH(U$3,0),U$3+6)),"◆",""))</f>
      </c>
      <c r="V167" s="26">
        <f>IF(OR($A167="",V$3=""),"",IF(AND($J167&lt;&gt;"",$K167&lt;&gt;"",$J167=$K167,$J167&gt;=V$3,$J167&lt;=IF(param_mode_affichage="mois",EOMONTH(V$3,0),V$3+6)),"◆",""))</f>
      </c>
      <c r="W167" s="26">
        <f>IF(OR($A167="",W$3=""),"",IF(AND($J167&lt;&gt;"",$K167&lt;&gt;"",$J167=$K167,$J167&gt;=W$3,$J167&lt;=IF(param_mode_affichage="mois",EOMONTH(W$3,0),W$3+6)),"◆",""))</f>
      </c>
      <c r="X167" s="26">
        <f>IF(OR($A167="",X$3=""),"",IF(AND($J167&lt;&gt;"",$K167&lt;&gt;"",$J167=$K167,$J167&gt;=X$3,$J167&lt;=IF(param_mode_affichage="mois",EOMONTH(X$3,0),X$3+6)),"◆",""))</f>
      </c>
      <c r="Y167" s="26">
        <f>IF(OR($A167="",Y$3=""),"",IF(AND($J167&lt;&gt;"",$K167&lt;&gt;"",$J167=$K167,$J167&gt;=Y$3,$J167&lt;=IF(param_mode_affichage="mois",EOMONTH(Y$3,0),Y$3+6)),"◆",""))</f>
      </c>
      <c r="Z167" s="26">
        <f>IF(OR($A167="",Z$3=""),"",IF(AND($J167&lt;&gt;"",$K167&lt;&gt;"",$J167=$K167,$J167&gt;=Z$3,$J167&lt;=IF(param_mode_affichage="mois",EOMONTH(Z$3,0),Z$3+6)),"◆",""))</f>
      </c>
      <c r="AA167" s="26">
        <f>IF(OR($A167="",AA$3=""),"",IF(AND($J167&lt;&gt;"",$K167&lt;&gt;"",$J167=$K167,$J167&gt;=AA$3,$J167&lt;=IF(param_mode_affichage="mois",EOMONTH(AA$3,0),AA$3+6)),"◆",""))</f>
      </c>
      <c r="AB167" s="26">
        <f>IF(OR($A167="",AB$3=""),"",IF(AND($J167&lt;&gt;"",$K167&lt;&gt;"",$J167=$K167,$J167&gt;=AB$3,$J167&lt;=IF(param_mode_affichage="mois",EOMONTH(AB$3,0),AB$3+6)),"◆",""))</f>
      </c>
      <c r="AC167" s="26">
        <f>IF(OR($A167="",AC$3=""),"",IF(AND($J167&lt;&gt;"",$K167&lt;&gt;"",$J167=$K167,$J167&gt;=AC$3,$J167&lt;=IF(param_mode_affichage="mois",EOMONTH(AC$3,0),AC$3+6)),"◆",""))</f>
      </c>
      <c r="AD167" s="26">
        <f>IF(OR($A167="",AD$3=""),"",IF(AND($J167&lt;&gt;"",$K167&lt;&gt;"",$J167=$K167,$J167&gt;=AD$3,$J167&lt;=IF(param_mode_affichage="mois",EOMONTH(AD$3,0),AD$3+6)),"◆",""))</f>
      </c>
      <c r="AE167" s="26">
        <f>IF(OR($A167="",AE$3=""),"",IF(AND($J167&lt;&gt;"",$K167&lt;&gt;"",$J167=$K167,$J167&gt;=AE$3,$J167&lt;=IF(param_mode_affichage="mois",EOMONTH(AE$3,0),AE$3+6)),"◆",""))</f>
      </c>
      <c r="AF167" s="26">
        <f>IF(OR($A167="",AF$3=""),"",IF(AND($J167&lt;&gt;"",$K167&lt;&gt;"",$J167=$K167,$J167&gt;=AF$3,$J167&lt;=IF(param_mode_affichage="mois",EOMONTH(AF$3,0),AF$3+6)),"◆",""))</f>
      </c>
      <c r="AG167" s="26">
        <f>IF(OR($A167="",AG$3=""),"",IF(AND($J167&lt;&gt;"",$K167&lt;&gt;"",$J167=$K167,$J167&gt;=AG$3,$J167&lt;=IF(param_mode_affichage="mois",EOMONTH(AG$3,0),AG$3+6)),"◆",""))</f>
      </c>
      <c r="AH167" s="26">
        <f>IF(OR($A167="",AH$3=""),"",IF(AND($J167&lt;&gt;"",$K167&lt;&gt;"",$J167=$K167,$J167&gt;=AH$3,$J167&lt;=IF(param_mode_affichage="mois",EOMONTH(AH$3,0),AH$3+6)),"◆",""))</f>
      </c>
      <c r="AI167" s="26">
        <f>IF(OR($A167="",AI$3=""),"",IF(AND($J167&lt;&gt;"",$K167&lt;&gt;"",$J167=$K167,$J167&gt;=AI$3,$J167&lt;=IF(param_mode_affichage="mois",EOMONTH(AI$3,0),AI$3+6)),"◆",""))</f>
      </c>
      <c r="AJ167" s="26">
        <f>IF(OR($A167="",AJ$3=""),"",IF(AND($J167&lt;&gt;"",$K167&lt;&gt;"",$J167=$K167,$J167&gt;=AJ$3,$J167&lt;=IF(param_mode_affichage="mois",EOMONTH(AJ$3,0),AJ$3+6)),"◆",""))</f>
      </c>
      <c r="AK167" s="26">
        <f>IF(OR($A167="",AK$3=""),"",IF(AND($J167&lt;&gt;"",$K167&lt;&gt;"",$J167=$K167,$J167&gt;=AK$3,$J167&lt;=IF(param_mode_affichage="mois",EOMONTH(AK$3,0),AK$3+6)),"◆",""))</f>
      </c>
      <c r="AL167" s="26">
        <f>IF(OR($A167="",AL$3=""),"",IF(AND($J167&lt;&gt;"",$K167&lt;&gt;"",$J167=$K167,$J167&gt;=AL$3,$J167&lt;=IF(param_mode_affichage="mois",EOMONTH(AL$3,0),AL$3+6)),"◆",""))</f>
      </c>
      <c r="AM167" s="26">
        <f>IF(OR($A167="",AM$3=""),"",IF(AND($J167&lt;&gt;"",$K167&lt;&gt;"",$J167=$K167,$J167&gt;=AM$3,$J167&lt;=IF(param_mode_affichage="mois",EOMONTH(AM$3,0),AM$3+6)),"◆",""))</f>
      </c>
      <c r="AN167" s="26">
        <f>IF(OR($A167="",AN$3=""),"",IF(AND($J167&lt;&gt;"",$K167&lt;&gt;"",$J167=$K167,$J167&gt;=AN$3,$J167&lt;=IF(param_mode_affichage="mois",EOMONTH(AN$3,0),AN$3+6)),"◆",""))</f>
      </c>
      <c r="AO167" s="26">
        <f>IF(OR($A167="",AO$3=""),"",IF(AND($J167&lt;&gt;"",$K167&lt;&gt;"",$J167=$K167,$J167&gt;=AO$3,$J167&lt;=IF(param_mode_affichage="mois",EOMONTH(AO$3,0),AO$3+6)),"◆",""))</f>
      </c>
      <c r="AP167" s="26">
        <f>IF(OR($A167="",AP$3=""),"",IF(AND($J167&lt;&gt;"",$K167&lt;&gt;"",$J167=$K167,$J167&gt;=AP$3,$J167&lt;=IF(param_mode_affichage="mois",EOMONTH(AP$3,0),AP$3+6)),"◆",""))</f>
      </c>
      <c r="AQ167" s="26">
        <f>IF(OR($A167="",AQ$3=""),"",IF(AND($J167&lt;&gt;"",$K167&lt;&gt;"",$J167=$K167,$J167&gt;=AQ$3,$J167&lt;=IF(param_mode_affichage="mois",EOMONTH(AQ$3,0),AQ$3+6)),"◆",""))</f>
      </c>
      <c r="AR167" s="26">
        <f>IF(OR($A167="",AR$3=""),"",IF(AND($J167&lt;&gt;"",$K167&lt;&gt;"",$J167=$K167,$J167&gt;=AR$3,$J167&lt;=IF(param_mode_affichage="mois",EOMONTH(AR$3,0),AR$3+6)),"◆",""))</f>
      </c>
      <c r="AS167" s="26">
        <f>IF(OR($A167="",AS$3=""),"",IF(AND($J167&lt;&gt;"",$K167&lt;&gt;"",$J167=$K167,$J167&gt;=AS$3,$J167&lt;=IF(param_mode_affichage="mois",EOMONTH(AS$3,0),AS$3+6)),"◆",""))</f>
      </c>
      <c r="AT167" s="26">
        <f>IF(OR($A167="",AT$3=""),"",IF(AND($J167&lt;&gt;"",$K167&lt;&gt;"",$J167=$K167,$J167&gt;=AT$3,$J167&lt;=IF(param_mode_affichage="mois",EOMONTH(AT$3,0),AT$3+6)),"◆",""))</f>
      </c>
      <c r="AU167" s="26">
        <f>IF(OR($A167="",AU$3=""),"",IF(AND($J167&lt;&gt;"",$K167&lt;&gt;"",$J167=$K167,$J167&gt;=AU$3,$J167&lt;=IF(param_mode_affichage="mois",EOMONTH(AU$3,0),AU$3+6)),"◆",""))</f>
      </c>
      <c r="AV167" s="26">
        <f>IF(OR($A167="",AV$3=""),"",IF(AND($J167&lt;&gt;"",$K167&lt;&gt;"",$J167=$K167,$J167&gt;=AV$3,$J167&lt;=IF(param_mode_affichage="mois",EOMONTH(AV$3,0),AV$3+6)),"◆",""))</f>
      </c>
      <c r="AW167" s="26">
        <f>IF(OR($A167="",AW$3=""),"",IF(AND($J167&lt;&gt;"",$K167&lt;&gt;"",$J167=$K167,$J167&gt;=AW$3,$J167&lt;=IF(param_mode_affichage="mois",EOMONTH(AW$3,0),AW$3+6)),"◆",""))</f>
      </c>
      <c r="AX167" s="26">
        <f>IF(OR($A167="",AX$3=""),"",IF(AND($J167&lt;&gt;"",$K167&lt;&gt;"",$J167=$K167,$J167&gt;=AX$3,$J167&lt;=IF(param_mode_affichage="mois",EOMONTH(AX$3,0),AX$3+6)),"◆",""))</f>
      </c>
      <c r="AY167" s="26">
        <f>IF(OR($A167="",AY$3=""),"",IF(AND($J167&lt;&gt;"",$K167&lt;&gt;"",$J167=$K167,$J167&gt;=AY$3,$J167&lt;=IF(param_mode_affichage="mois",EOMONTH(AY$3,0),AY$3+6)),"◆",""))</f>
      </c>
      <c r="AZ167" s="26">
        <f>IF(OR($A167="",AZ$3=""),"",IF(AND($J167&lt;&gt;"",$K167&lt;&gt;"",$J167=$K167,$J167&gt;=AZ$3,$J167&lt;=IF(param_mode_affichage="mois",EOMONTH(AZ$3,0),AZ$3+6)),"◆",""))</f>
      </c>
      <c r="BA167" s="26">
        <f>IF(OR($A167="",BA$3=""),"",IF(AND($J167&lt;&gt;"",$K167&lt;&gt;"",$J167=$K167,$J167&gt;=BA$3,$J167&lt;=IF(param_mode_affichage="mois",EOMONTH(BA$3,0),BA$3+6)),"◆",""))</f>
      </c>
      <c r="BB167" s="26">
        <f>IF(OR($A167="",BB$3=""),"",IF(AND($J167&lt;&gt;"",$K167&lt;&gt;"",$J167=$K167,$J167&gt;=BB$3,$J167&lt;=IF(param_mode_affichage="mois",EOMONTH(BB$3,0),BB$3+6)),"◆",""))</f>
      </c>
      <c r="BC167" s="26">
        <f>IF(OR($A167="",BC$3=""),"",IF(AND($J167&lt;&gt;"",$K167&lt;&gt;"",$J167=$K167,$J167&gt;=BC$3,$J167&lt;=IF(param_mode_affichage="mois",EOMONTH(BC$3,0),BC$3+6)),"◆",""))</f>
      </c>
      <c r="BD167" s="26">
        <f>IF(OR($A167="",BD$3=""),"",IF(AND($J167&lt;&gt;"",$K167&lt;&gt;"",$J167=$K167,$J167&gt;=BD$3,$J167&lt;=IF(param_mode_affichage="mois",EOMONTH(BD$3,0),BD$3+6)),"◆",""))</f>
      </c>
      <c r="BE167" s="26">
        <f>IF(OR($A167="",BE$3=""),"",IF(AND($J167&lt;&gt;"",$K167&lt;&gt;"",$J167=$K167,$J167&gt;=BE$3,$J167&lt;=IF(param_mode_affichage="mois",EOMONTH(BE$3,0),BE$3+6)),"◆",""))</f>
      </c>
      <c r="BF167" s="26">
        <f>IF(OR($A167="",BF$3=""),"",IF(AND($J167&lt;&gt;"",$K167&lt;&gt;"",$J167=$K167,$J167&gt;=BF$3,$J167&lt;=IF(param_mode_affichage="mois",EOMONTH(BF$3,0),BF$3+6)),"◆",""))</f>
      </c>
      <c r="BG167" s="26">
        <f>IF(OR($A167="",BG$3=""),"",IF(AND($J167&lt;&gt;"",$K167&lt;&gt;"",$J167=$K167,$J167&gt;=BG$3,$J167&lt;=IF(param_mode_affichage="mois",EOMONTH(BG$3,0),BG$3+6)),"◆",""))</f>
      </c>
      <c r="BH167" s="26">
        <f>IF(OR($A167="",BH$3=""),"",IF(AND($J167&lt;&gt;"",$K167&lt;&gt;"",$J167=$K167,$J167&gt;=BH$3,$J167&lt;=IF(param_mode_affichage="mois",EOMONTH(BH$3,0),BH$3+6)),"◆",""))</f>
      </c>
      <c r="BI167" s="26">
        <f>IF(OR($A167="",BI$3=""),"",IF(AND($J167&lt;&gt;"",$K167&lt;&gt;"",$J167=$K167,$J167&gt;=BI$3,$J167&lt;=IF(param_mode_affichage="mois",EOMONTH(BI$3,0),BI$3+6)),"◆",""))</f>
      </c>
      <c r="BJ167" s="26">
        <f>IF(OR($A167="",BJ$3=""),"",IF(AND($J167&lt;&gt;"",$K167&lt;&gt;"",$J167=$K167,$J167&gt;=BJ$3,$J167&lt;=IF(param_mode_affichage="mois",EOMONTH(BJ$3,0),BJ$3+6)),"◆",""))</f>
      </c>
      <c r="BK167" s="26">
        <f>IF(OR($A167="",BK$3=""),"",IF(AND($J167&lt;&gt;"",$K167&lt;&gt;"",$J167=$K167,$J167&gt;=BK$3,$J167&lt;=IF(param_mode_affichage="mois",EOMONTH(BK$3,0),BK$3+6)),"◆",""))</f>
      </c>
      <c r="BL167" s="26">
        <f>IF(OR($A167="",BL$3=""),"",IF(AND($J167&lt;&gt;"",$K167&lt;&gt;"",$J167=$K167,$J167&gt;=BL$3,$J167&lt;=IF(param_mode_affichage="mois",EOMONTH(BL$3,0),BL$3+6)),"◆",""))</f>
      </c>
    </row>
    <row r="168" spans="1:64" x14ac:dyDescent="0.25">
      <c r="A168" s="23">
        <f>IFERROR(INDEX(tblTasks[ID],ROW()-4),"")</f>
      </c>
      <c r="B168" s="24">
        <f>IF($A168="","",INDEX(tblTasks[Sujet],ROW()-4))</f>
      </c>
      <c r="C168" s="23">
        <f>IF($A168="","",INDEX(tblTasks[Responsable],ROW()-4))</f>
      </c>
      <c r="D168" s="23">
        <f>IF($A168="","",INDEX(tblTasks[Statut],ROW()-4))</f>
      </c>
      <c r="E168" s="23">
        <f>IF($A168="","",INDEX(tblTasks[Depend_de],ROW()-4))</f>
      </c>
      <c r="F168" s="23">
        <f>IF($A168="","",INDEX(tblTasks[Blocage],ROW()-4))</f>
      </c>
      <c r="G168" s="23">
        <f>IF($A168="","",INDEX(tblTasks[Niveau_criticite],ROW()-4))</f>
      </c>
      <c r="H168" s="23">
        <f>IF($A168="","",INDEX(tblTasks[Goulot],ROW()-4))</f>
      </c>
      <c r="I168" s="23">
        <f>IF($A168="","",IF(LOWER($F168)="oui","non",IF($E168="","oui",IFERROR(IF(LOWER(INDEX(tblTasks[Statut],MATCH($E168,tblTasks[ID],0)))="clos","oui","non"),"non"))))</f>
      </c>
      <c r="J168" s="25">
        <f>IF($A168="","",INDEX(tblTasks[Date_debut_prevue],ROW()-4))</f>
      </c>
      <c r="K168" s="25">
        <f>IF($A168="","",INDEX(tblTasks[Date_fin_prevue],ROW()-4))</f>
      </c>
      <c r="L168" s="23">
        <f>IF($A168="","",INDEX(tblTasks[Irreversibilite],ROW()-4))</f>
      </c>
      <c r="M168" s="26">
        <f>IF(OR($A168="",M$3=""),"",IF(AND($J168&lt;&gt;"",$K168&lt;&gt;"",$J168=$K168,$J168&gt;=M$3,$J168&lt;=IF(param_mode_affichage="mois",EOMONTH(M$3,0),M$3+6)),"◆",""))</f>
      </c>
      <c r="N168" s="26">
        <f>IF(OR($A168="",N$3=""),"",IF(AND($J168&lt;&gt;"",$K168&lt;&gt;"",$J168=$K168,$J168&gt;=N$3,$J168&lt;=IF(param_mode_affichage="mois",EOMONTH(N$3,0),N$3+6)),"◆",""))</f>
      </c>
      <c r="O168" s="26">
        <f>IF(OR($A168="",O$3=""),"",IF(AND($J168&lt;&gt;"",$K168&lt;&gt;"",$J168=$K168,$J168&gt;=O$3,$J168&lt;=IF(param_mode_affichage="mois",EOMONTH(O$3,0),O$3+6)),"◆",""))</f>
      </c>
      <c r="P168" s="26">
        <f>IF(OR($A168="",P$3=""),"",IF(AND($J168&lt;&gt;"",$K168&lt;&gt;"",$J168=$K168,$J168&gt;=P$3,$J168&lt;=IF(param_mode_affichage="mois",EOMONTH(P$3,0),P$3+6)),"◆",""))</f>
      </c>
      <c r="Q168" s="26">
        <f>IF(OR($A168="",Q$3=""),"",IF(AND($J168&lt;&gt;"",$K168&lt;&gt;"",$J168=$K168,$J168&gt;=Q$3,$J168&lt;=IF(param_mode_affichage="mois",EOMONTH(Q$3,0),Q$3+6)),"◆",""))</f>
      </c>
      <c r="R168" s="26">
        <f>IF(OR($A168="",R$3=""),"",IF(AND($J168&lt;&gt;"",$K168&lt;&gt;"",$J168=$K168,$J168&gt;=R$3,$J168&lt;=IF(param_mode_affichage="mois",EOMONTH(R$3,0),R$3+6)),"◆",""))</f>
      </c>
      <c r="S168" s="26">
        <f>IF(OR($A168="",S$3=""),"",IF(AND($J168&lt;&gt;"",$K168&lt;&gt;"",$J168=$K168,$J168&gt;=S$3,$J168&lt;=IF(param_mode_affichage="mois",EOMONTH(S$3,0),S$3+6)),"◆",""))</f>
      </c>
      <c r="T168" s="26">
        <f>IF(OR($A168="",T$3=""),"",IF(AND($J168&lt;&gt;"",$K168&lt;&gt;"",$J168=$K168,$J168&gt;=T$3,$J168&lt;=IF(param_mode_affichage="mois",EOMONTH(T$3,0),T$3+6)),"◆",""))</f>
      </c>
      <c r="U168" s="26">
        <f>IF(OR($A168="",U$3=""),"",IF(AND($J168&lt;&gt;"",$K168&lt;&gt;"",$J168=$K168,$J168&gt;=U$3,$J168&lt;=IF(param_mode_affichage="mois",EOMONTH(U$3,0),U$3+6)),"◆",""))</f>
      </c>
      <c r="V168" s="26">
        <f>IF(OR($A168="",V$3=""),"",IF(AND($J168&lt;&gt;"",$K168&lt;&gt;"",$J168=$K168,$J168&gt;=V$3,$J168&lt;=IF(param_mode_affichage="mois",EOMONTH(V$3,0),V$3+6)),"◆",""))</f>
      </c>
      <c r="W168" s="26">
        <f>IF(OR($A168="",W$3=""),"",IF(AND($J168&lt;&gt;"",$K168&lt;&gt;"",$J168=$K168,$J168&gt;=W$3,$J168&lt;=IF(param_mode_affichage="mois",EOMONTH(W$3,0),W$3+6)),"◆",""))</f>
      </c>
      <c r="X168" s="26">
        <f>IF(OR($A168="",X$3=""),"",IF(AND($J168&lt;&gt;"",$K168&lt;&gt;"",$J168=$K168,$J168&gt;=X$3,$J168&lt;=IF(param_mode_affichage="mois",EOMONTH(X$3,0),X$3+6)),"◆",""))</f>
      </c>
      <c r="Y168" s="26">
        <f>IF(OR($A168="",Y$3=""),"",IF(AND($J168&lt;&gt;"",$K168&lt;&gt;"",$J168=$K168,$J168&gt;=Y$3,$J168&lt;=IF(param_mode_affichage="mois",EOMONTH(Y$3,0),Y$3+6)),"◆",""))</f>
      </c>
      <c r="Z168" s="26">
        <f>IF(OR($A168="",Z$3=""),"",IF(AND($J168&lt;&gt;"",$K168&lt;&gt;"",$J168=$K168,$J168&gt;=Z$3,$J168&lt;=IF(param_mode_affichage="mois",EOMONTH(Z$3,0),Z$3+6)),"◆",""))</f>
      </c>
      <c r="AA168" s="26">
        <f>IF(OR($A168="",AA$3=""),"",IF(AND($J168&lt;&gt;"",$K168&lt;&gt;"",$J168=$K168,$J168&gt;=AA$3,$J168&lt;=IF(param_mode_affichage="mois",EOMONTH(AA$3,0),AA$3+6)),"◆",""))</f>
      </c>
      <c r="AB168" s="26">
        <f>IF(OR($A168="",AB$3=""),"",IF(AND($J168&lt;&gt;"",$K168&lt;&gt;"",$J168=$K168,$J168&gt;=AB$3,$J168&lt;=IF(param_mode_affichage="mois",EOMONTH(AB$3,0),AB$3+6)),"◆",""))</f>
      </c>
      <c r="AC168" s="26">
        <f>IF(OR($A168="",AC$3=""),"",IF(AND($J168&lt;&gt;"",$K168&lt;&gt;"",$J168=$K168,$J168&gt;=AC$3,$J168&lt;=IF(param_mode_affichage="mois",EOMONTH(AC$3,0),AC$3+6)),"◆",""))</f>
      </c>
      <c r="AD168" s="26">
        <f>IF(OR($A168="",AD$3=""),"",IF(AND($J168&lt;&gt;"",$K168&lt;&gt;"",$J168=$K168,$J168&gt;=AD$3,$J168&lt;=IF(param_mode_affichage="mois",EOMONTH(AD$3,0),AD$3+6)),"◆",""))</f>
      </c>
      <c r="AE168" s="26">
        <f>IF(OR($A168="",AE$3=""),"",IF(AND($J168&lt;&gt;"",$K168&lt;&gt;"",$J168=$K168,$J168&gt;=AE$3,$J168&lt;=IF(param_mode_affichage="mois",EOMONTH(AE$3,0),AE$3+6)),"◆",""))</f>
      </c>
      <c r="AF168" s="26">
        <f>IF(OR($A168="",AF$3=""),"",IF(AND($J168&lt;&gt;"",$K168&lt;&gt;"",$J168=$K168,$J168&gt;=AF$3,$J168&lt;=IF(param_mode_affichage="mois",EOMONTH(AF$3,0),AF$3+6)),"◆",""))</f>
      </c>
      <c r="AG168" s="26">
        <f>IF(OR($A168="",AG$3=""),"",IF(AND($J168&lt;&gt;"",$K168&lt;&gt;"",$J168=$K168,$J168&gt;=AG$3,$J168&lt;=IF(param_mode_affichage="mois",EOMONTH(AG$3,0),AG$3+6)),"◆",""))</f>
      </c>
      <c r="AH168" s="26">
        <f>IF(OR($A168="",AH$3=""),"",IF(AND($J168&lt;&gt;"",$K168&lt;&gt;"",$J168=$K168,$J168&gt;=AH$3,$J168&lt;=IF(param_mode_affichage="mois",EOMONTH(AH$3,0),AH$3+6)),"◆",""))</f>
      </c>
      <c r="AI168" s="26">
        <f>IF(OR($A168="",AI$3=""),"",IF(AND($J168&lt;&gt;"",$K168&lt;&gt;"",$J168=$K168,$J168&gt;=AI$3,$J168&lt;=IF(param_mode_affichage="mois",EOMONTH(AI$3,0),AI$3+6)),"◆",""))</f>
      </c>
      <c r="AJ168" s="26">
        <f>IF(OR($A168="",AJ$3=""),"",IF(AND($J168&lt;&gt;"",$K168&lt;&gt;"",$J168=$K168,$J168&gt;=AJ$3,$J168&lt;=IF(param_mode_affichage="mois",EOMONTH(AJ$3,0),AJ$3+6)),"◆",""))</f>
      </c>
      <c r="AK168" s="26">
        <f>IF(OR($A168="",AK$3=""),"",IF(AND($J168&lt;&gt;"",$K168&lt;&gt;"",$J168=$K168,$J168&gt;=AK$3,$J168&lt;=IF(param_mode_affichage="mois",EOMONTH(AK$3,0),AK$3+6)),"◆",""))</f>
      </c>
      <c r="AL168" s="26">
        <f>IF(OR($A168="",AL$3=""),"",IF(AND($J168&lt;&gt;"",$K168&lt;&gt;"",$J168=$K168,$J168&gt;=AL$3,$J168&lt;=IF(param_mode_affichage="mois",EOMONTH(AL$3,0),AL$3+6)),"◆",""))</f>
      </c>
      <c r="AM168" s="26">
        <f>IF(OR($A168="",AM$3=""),"",IF(AND($J168&lt;&gt;"",$K168&lt;&gt;"",$J168=$K168,$J168&gt;=AM$3,$J168&lt;=IF(param_mode_affichage="mois",EOMONTH(AM$3,0),AM$3+6)),"◆",""))</f>
      </c>
      <c r="AN168" s="26">
        <f>IF(OR($A168="",AN$3=""),"",IF(AND($J168&lt;&gt;"",$K168&lt;&gt;"",$J168=$K168,$J168&gt;=AN$3,$J168&lt;=IF(param_mode_affichage="mois",EOMONTH(AN$3,0),AN$3+6)),"◆",""))</f>
      </c>
      <c r="AO168" s="26">
        <f>IF(OR($A168="",AO$3=""),"",IF(AND($J168&lt;&gt;"",$K168&lt;&gt;"",$J168=$K168,$J168&gt;=AO$3,$J168&lt;=IF(param_mode_affichage="mois",EOMONTH(AO$3,0),AO$3+6)),"◆",""))</f>
      </c>
      <c r="AP168" s="26">
        <f>IF(OR($A168="",AP$3=""),"",IF(AND($J168&lt;&gt;"",$K168&lt;&gt;"",$J168=$K168,$J168&gt;=AP$3,$J168&lt;=IF(param_mode_affichage="mois",EOMONTH(AP$3,0),AP$3+6)),"◆",""))</f>
      </c>
      <c r="AQ168" s="26">
        <f>IF(OR($A168="",AQ$3=""),"",IF(AND($J168&lt;&gt;"",$K168&lt;&gt;"",$J168=$K168,$J168&gt;=AQ$3,$J168&lt;=IF(param_mode_affichage="mois",EOMONTH(AQ$3,0),AQ$3+6)),"◆",""))</f>
      </c>
      <c r="AR168" s="26">
        <f>IF(OR($A168="",AR$3=""),"",IF(AND($J168&lt;&gt;"",$K168&lt;&gt;"",$J168=$K168,$J168&gt;=AR$3,$J168&lt;=IF(param_mode_affichage="mois",EOMONTH(AR$3,0),AR$3+6)),"◆",""))</f>
      </c>
      <c r="AS168" s="26">
        <f>IF(OR($A168="",AS$3=""),"",IF(AND($J168&lt;&gt;"",$K168&lt;&gt;"",$J168=$K168,$J168&gt;=AS$3,$J168&lt;=IF(param_mode_affichage="mois",EOMONTH(AS$3,0),AS$3+6)),"◆",""))</f>
      </c>
      <c r="AT168" s="26">
        <f>IF(OR($A168="",AT$3=""),"",IF(AND($J168&lt;&gt;"",$K168&lt;&gt;"",$J168=$K168,$J168&gt;=AT$3,$J168&lt;=IF(param_mode_affichage="mois",EOMONTH(AT$3,0),AT$3+6)),"◆",""))</f>
      </c>
      <c r="AU168" s="26">
        <f>IF(OR($A168="",AU$3=""),"",IF(AND($J168&lt;&gt;"",$K168&lt;&gt;"",$J168=$K168,$J168&gt;=AU$3,$J168&lt;=IF(param_mode_affichage="mois",EOMONTH(AU$3,0),AU$3+6)),"◆",""))</f>
      </c>
      <c r="AV168" s="26">
        <f>IF(OR($A168="",AV$3=""),"",IF(AND($J168&lt;&gt;"",$K168&lt;&gt;"",$J168=$K168,$J168&gt;=AV$3,$J168&lt;=IF(param_mode_affichage="mois",EOMONTH(AV$3,0),AV$3+6)),"◆",""))</f>
      </c>
      <c r="AW168" s="26">
        <f>IF(OR($A168="",AW$3=""),"",IF(AND($J168&lt;&gt;"",$K168&lt;&gt;"",$J168=$K168,$J168&gt;=AW$3,$J168&lt;=IF(param_mode_affichage="mois",EOMONTH(AW$3,0),AW$3+6)),"◆",""))</f>
      </c>
      <c r="AX168" s="26">
        <f>IF(OR($A168="",AX$3=""),"",IF(AND($J168&lt;&gt;"",$K168&lt;&gt;"",$J168=$K168,$J168&gt;=AX$3,$J168&lt;=IF(param_mode_affichage="mois",EOMONTH(AX$3,0),AX$3+6)),"◆",""))</f>
      </c>
      <c r="AY168" s="26">
        <f>IF(OR($A168="",AY$3=""),"",IF(AND($J168&lt;&gt;"",$K168&lt;&gt;"",$J168=$K168,$J168&gt;=AY$3,$J168&lt;=IF(param_mode_affichage="mois",EOMONTH(AY$3,0),AY$3+6)),"◆",""))</f>
      </c>
      <c r="AZ168" s="26">
        <f>IF(OR($A168="",AZ$3=""),"",IF(AND($J168&lt;&gt;"",$K168&lt;&gt;"",$J168=$K168,$J168&gt;=AZ$3,$J168&lt;=IF(param_mode_affichage="mois",EOMONTH(AZ$3,0),AZ$3+6)),"◆",""))</f>
      </c>
      <c r="BA168" s="26">
        <f>IF(OR($A168="",BA$3=""),"",IF(AND($J168&lt;&gt;"",$K168&lt;&gt;"",$J168=$K168,$J168&gt;=BA$3,$J168&lt;=IF(param_mode_affichage="mois",EOMONTH(BA$3,0),BA$3+6)),"◆",""))</f>
      </c>
      <c r="BB168" s="26">
        <f>IF(OR($A168="",BB$3=""),"",IF(AND($J168&lt;&gt;"",$K168&lt;&gt;"",$J168=$K168,$J168&gt;=BB$3,$J168&lt;=IF(param_mode_affichage="mois",EOMONTH(BB$3,0),BB$3+6)),"◆",""))</f>
      </c>
      <c r="BC168" s="26">
        <f>IF(OR($A168="",BC$3=""),"",IF(AND($J168&lt;&gt;"",$K168&lt;&gt;"",$J168=$K168,$J168&gt;=BC$3,$J168&lt;=IF(param_mode_affichage="mois",EOMONTH(BC$3,0),BC$3+6)),"◆",""))</f>
      </c>
      <c r="BD168" s="26">
        <f>IF(OR($A168="",BD$3=""),"",IF(AND($J168&lt;&gt;"",$K168&lt;&gt;"",$J168=$K168,$J168&gt;=BD$3,$J168&lt;=IF(param_mode_affichage="mois",EOMONTH(BD$3,0),BD$3+6)),"◆",""))</f>
      </c>
      <c r="BE168" s="26">
        <f>IF(OR($A168="",BE$3=""),"",IF(AND($J168&lt;&gt;"",$K168&lt;&gt;"",$J168=$K168,$J168&gt;=BE$3,$J168&lt;=IF(param_mode_affichage="mois",EOMONTH(BE$3,0),BE$3+6)),"◆",""))</f>
      </c>
      <c r="BF168" s="26">
        <f>IF(OR($A168="",BF$3=""),"",IF(AND($J168&lt;&gt;"",$K168&lt;&gt;"",$J168=$K168,$J168&gt;=BF$3,$J168&lt;=IF(param_mode_affichage="mois",EOMONTH(BF$3,0),BF$3+6)),"◆",""))</f>
      </c>
      <c r="BG168" s="26">
        <f>IF(OR($A168="",BG$3=""),"",IF(AND($J168&lt;&gt;"",$K168&lt;&gt;"",$J168=$K168,$J168&gt;=BG$3,$J168&lt;=IF(param_mode_affichage="mois",EOMONTH(BG$3,0),BG$3+6)),"◆",""))</f>
      </c>
      <c r="BH168" s="26">
        <f>IF(OR($A168="",BH$3=""),"",IF(AND($J168&lt;&gt;"",$K168&lt;&gt;"",$J168=$K168,$J168&gt;=BH$3,$J168&lt;=IF(param_mode_affichage="mois",EOMONTH(BH$3,0),BH$3+6)),"◆",""))</f>
      </c>
      <c r="BI168" s="26">
        <f>IF(OR($A168="",BI$3=""),"",IF(AND($J168&lt;&gt;"",$K168&lt;&gt;"",$J168=$K168,$J168&gt;=BI$3,$J168&lt;=IF(param_mode_affichage="mois",EOMONTH(BI$3,0),BI$3+6)),"◆",""))</f>
      </c>
      <c r="BJ168" s="26">
        <f>IF(OR($A168="",BJ$3=""),"",IF(AND($J168&lt;&gt;"",$K168&lt;&gt;"",$J168=$K168,$J168&gt;=BJ$3,$J168&lt;=IF(param_mode_affichage="mois",EOMONTH(BJ$3,0),BJ$3+6)),"◆",""))</f>
      </c>
      <c r="BK168" s="26">
        <f>IF(OR($A168="",BK$3=""),"",IF(AND($J168&lt;&gt;"",$K168&lt;&gt;"",$J168=$K168,$J168&gt;=BK$3,$J168&lt;=IF(param_mode_affichage="mois",EOMONTH(BK$3,0),BK$3+6)),"◆",""))</f>
      </c>
      <c r="BL168" s="26">
        <f>IF(OR($A168="",BL$3=""),"",IF(AND($J168&lt;&gt;"",$K168&lt;&gt;"",$J168=$K168,$J168&gt;=BL$3,$J168&lt;=IF(param_mode_affichage="mois",EOMONTH(BL$3,0),BL$3+6)),"◆",""))</f>
      </c>
    </row>
    <row r="169" spans="1:64" x14ac:dyDescent="0.25">
      <c r="A169" s="23">
        <f>IFERROR(INDEX(tblTasks[ID],ROW()-4),"")</f>
      </c>
      <c r="B169" s="24">
        <f>IF($A169="","",INDEX(tblTasks[Sujet],ROW()-4))</f>
      </c>
      <c r="C169" s="23">
        <f>IF($A169="","",INDEX(tblTasks[Responsable],ROW()-4))</f>
      </c>
      <c r="D169" s="23">
        <f>IF($A169="","",INDEX(tblTasks[Statut],ROW()-4))</f>
      </c>
      <c r="E169" s="23">
        <f>IF($A169="","",INDEX(tblTasks[Depend_de],ROW()-4))</f>
      </c>
      <c r="F169" s="23">
        <f>IF($A169="","",INDEX(tblTasks[Blocage],ROW()-4))</f>
      </c>
      <c r="G169" s="23">
        <f>IF($A169="","",INDEX(tblTasks[Niveau_criticite],ROW()-4))</f>
      </c>
      <c r="H169" s="23">
        <f>IF($A169="","",INDEX(tblTasks[Goulot],ROW()-4))</f>
      </c>
      <c r="I169" s="23">
        <f>IF($A169="","",IF(LOWER($F169)="oui","non",IF($E169="","oui",IFERROR(IF(LOWER(INDEX(tblTasks[Statut],MATCH($E169,tblTasks[ID],0)))="clos","oui","non"),"non"))))</f>
      </c>
      <c r="J169" s="25">
        <f>IF($A169="","",INDEX(tblTasks[Date_debut_prevue],ROW()-4))</f>
      </c>
      <c r="K169" s="25">
        <f>IF($A169="","",INDEX(tblTasks[Date_fin_prevue],ROW()-4))</f>
      </c>
      <c r="L169" s="23">
        <f>IF($A169="","",INDEX(tblTasks[Irreversibilite],ROW()-4))</f>
      </c>
      <c r="M169" s="26">
        <f>IF(OR($A169="",M$3=""),"",IF(AND($J169&lt;&gt;"",$K169&lt;&gt;"",$J169=$K169,$J169&gt;=M$3,$J169&lt;=IF(param_mode_affichage="mois",EOMONTH(M$3,0),M$3+6)),"◆",""))</f>
      </c>
      <c r="N169" s="26">
        <f>IF(OR($A169="",N$3=""),"",IF(AND($J169&lt;&gt;"",$K169&lt;&gt;"",$J169=$K169,$J169&gt;=N$3,$J169&lt;=IF(param_mode_affichage="mois",EOMONTH(N$3,0),N$3+6)),"◆",""))</f>
      </c>
      <c r="O169" s="26">
        <f>IF(OR($A169="",O$3=""),"",IF(AND($J169&lt;&gt;"",$K169&lt;&gt;"",$J169=$K169,$J169&gt;=O$3,$J169&lt;=IF(param_mode_affichage="mois",EOMONTH(O$3,0),O$3+6)),"◆",""))</f>
      </c>
      <c r="P169" s="26">
        <f>IF(OR($A169="",P$3=""),"",IF(AND($J169&lt;&gt;"",$K169&lt;&gt;"",$J169=$K169,$J169&gt;=P$3,$J169&lt;=IF(param_mode_affichage="mois",EOMONTH(P$3,0),P$3+6)),"◆",""))</f>
      </c>
      <c r="Q169" s="26">
        <f>IF(OR($A169="",Q$3=""),"",IF(AND($J169&lt;&gt;"",$K169&lt;&gt;"",$J169=$K169,$J169&gt;=Q$3,$J169&lt;=IF(param_mode_affichage="mois",EOMONTH(Q$3,0),Q$3+6)),"◆",""))</f>
      </c>
      <c r="R169" s="26">
        <f>IF(OR($A169="",R$3=""),"",IF(AND($J169&lt;&gt;"",$K169&lt;&gt;"",$J169=$K169,$J169&gt;=R$3,$J169&lt;=IF(param_mode_affichage="mois",EOMONTH(R$3,0),R$3+6)),"◆",""))</f>
      </c>
      <c r="S169" s="26">
        <f>IF(OR($A169="",S$3=""),"",IF(AND($J169&lt;&gt;"",$K169&lt;&gt;"",$J169=$K169,$J169&gt;=S$3,$J169&lt;=IF(param_mode_affichage="mois",EOMONTH(S$3,0),S$3+6)),"◆",""))</f>
      </c>
      <c r="T169" s="26">
        <f>IF(OR($A169="",T$3=""),"",IF(AND($J169&lt;&gt;"",$K169&lt;&gt;"",$J169=$K169,$J169&gt;=T$3,$J169&lt;=IF(param_mode_affichage="mois",EOMONTH(T$3,0),T$3+6)),"◆",""))</f>
      </c>
      <c r="U169" s="26">
        <f>IF(OR($A169="",U$3=""),"",IF(AND($J169&lt;&gt;"",$K169&lt;&gt;"",$J169=$K169,$J169&gt;=U$3,$J169&lt;=IF(param_mode_affichage="mois",EOMONTH(U$3,0),U$3+6)),"◆",""))</f>
      </c>
      <c r="V169" s="26">
        <f>IF(OR($A169="",V$3=""),"",IF(AND($J169&lt;&gt;"",$K169&lt;&gt;"",$J169=$K169,$J169&gt;=V$3,$J169&lt;=IF(param_mode_affichage="mois",EOMONTH(V$3,0),V$3+6)),"◆",""))</f>
      </c>
      <c r="W169" s="26">
        <f>IF(OR($A169="",W$3=""),"",IF(AND($J169&lt;&gt;"",$K169&lt;&gt;"",$J169=$K169,$J169&gt;=W$3,$J169&lt;=IF(param_mode_affichage="mois",EOMONTH(W$3,0),W$3+6)),"◆",""))</f>
      </c>
      <c r="X169" s="26">
        <f>IF(OR($A169="",X$3=""),"",IF(AND($J169&lt;&gt;"",$K169&lt;&gt;"",$J169=$K169,$J169&gt;=X$3,$J169&lt;=IF(param_mode_affichage="mois",EOMONTH(X$3,0),X$3+6)),"◆",""))</f>
      </c>
      <c r="Y169" s="26">
        <f>IF(OR($A169="",Y$3=""),"",IF(AND($J169&lt;&gt;"",$K169&lt;&gt;"",$J169=$K169,$J169&gt;=Y$3,$J169&lt;=IF(param_mode_affichage="mois",EOMONTH(Y$3,0),Y$3+6)),"◆",""))</f>
      </c>
      <c r="Z169" s="26">
        <f>IF(OR($A169="",Z$3=""),"",IF(AND($J169&lt;&gt;"",$K169&lt;&gt;"",$J169=$K169,$J169&gt;=Z$3,$J169&lt;=IF(param_mode_affichage="mois",EOMONTH(Z$3,0),Z$3+6)),"◆",""))</f>
      </c>
      <c r="AA169" s="26">
        <f>IF(OR($A169="",AA$3=""),"",IF(AND($J169&lt;&gt;"",$K169&lt;&gt;"",$J169=$K169,$J169&gt;=AA$3,$J169&lt;=IF(param_mode_affichage="mois",EOMONTH(AA$3,0),AA$3+6)),"◆",""))</f>
      </c>
      <c r="AB169" s="26">
        <f>IF(OR($A169="",AB$3=""),"",IF(AND($J169&lt;&gt;"",$K169&lt;&gt;"",$J169=$K169,$J169&gt;=AB$3,$J169&lt;=IF(param_mode_affichage="mois",EOMONTH(AB$3,0),AB$3+6)),"◆",""))</f>
      </c>
      <c r="AC169" s="26">
        <f>IF(OR($A169="",AC$3=""),"",IF(AND($J169&lt;&gt;"",$K169&lt;&gt;"",$J169=$K169,$J169&gt;=AC$3,$J169&lt;=IF(param_mode_affichage="mois",EOMONTH(AC$3,0),AC$3+6)),"◆",""))</f>
      </c>
      <c r="AD169" s="26">
        <f>IF(OR($A169="",AD$3=""),"",IF(AND($J169&lt;&gt;"",$K169&lt;&gt;"",$J169=$K169,$J169&gt;=AD$3,$J169&lt;=IF(param_mode_affichage="mois",EOMONTH(AD$3,0),AD$3+6)),"◆",""))</f>
      </c>
      <c r="AE169" s="26">
        <f>IF(OR($A169="",AE$3=""),"",IF(AND($J169&lt;&gt;"",$K169&lt;&gt;"",$J169=$K169,$J169&gt;=AE$3,$J169&lt;=IF(param_mode_affichage="mois",EOMONTH(AE$3,0),AE$3+6)),"◆",""))</f>
      </c>
      <c r="AF169" s="26">
        <f>IF(OR($A169="",AF$3=""),"",IF(AND($J169&lt;&gt;"",$K169&lt;&gt;"",$J169=$K169,$J169&gt;=AF$3,$J169&lt;=IF(param_mode_affichage="mois",EOMONTH(AF$3,0),AF$3+6)),"◆",""))</f>
      </c>
      <c r="AG169" s="26">
        <f>IF(OR($A169="",AG$3=""),"",IF(AND($J169&lt;&gt;"",$K169&lt;&gt;"",$J169=$K169,$J169&gt;=AG$3,$J169&lt;=IF(param_mode_affichage="mois",EOMONTH(AG$3,0),AG$3+6)),"◆",""))</f>
      </c>
      <c r="AH169" s="26">
        <f>IF(OR($A169="",AH$3=""),"",IF(AND($J169&lt;&gt;"",$K169&lt;&gt;"",$J169=$K169,$J169&gt;=AH$3,$J169&lt;=IF(param_mode_affichage="mois",EOMONTH(AH$3,0),AH$3+6)),"◆",""))</f>
      </c>
      <c r="AI169" s="26">
        <f>IF(OR($A169="",AI$3=""),"",IF(AND($J169&lt;&gt;"",$K169&lt;&gt;"",$J169=$K169,$J169&gt;=AI$3,$J169&lt;=IF(param_mode_affichage="mois",EOMONTH(AI$3,0),AI$3+6)),"◆",""))</f>
      </c>
      <c r="AJ169" s="26">
        <f>IF(OR($A169="",AJ$3=""),"",IF(AND($J169&lt;&gt;"",$K169&lt;&gt;"",$J169=$K169,$J169&gt;=AJ$3,$J169&lt;=IF(param_mode_affichage="mois",EOMONTH(AJ$3,0),AJ$3+6)),"◆",""))</f>
      </c>
      <c r="AK169" s="26">
        <f>IF(OR($A169="",AK$3=""),"",IF(AND($J169&lt;&gt;"",$K169&lt;&gt;"",$J169=$K169,$J169&gt;=AK$3,$J169&lt;=IF(param_mode_affichage="mois",EOMONTH(AK$3,0),AK$3+6)),"◆",""))</f>
      </c>
      <c r="AL169" s="26">
        <f>IF(OR($A169="",AL$3=""),"",IF(AND($J169&lt;&gt;"",$K169&lt;&gt;"",$J169=$K169,$J169&gt;=AL$3,$J169&lt;=IF(param_mode_affichage="mois",EOMONTH(AL$3,0),AL$3+6)),"◆",""))</f>
      </c>
      <c r="AM169" s="26">
        <f>IF(OR($A169="",AM$3=""),"",IF(AND($J169&lt;&gt;"",$K169&lt;&gt;"",$J169=$K169,$J169&gt;=AM$3,$J169&lt;=IF(param_mode_affichage="mois",EOMONTH(AM$3,0),AM$3+6)),"◆",""))</f>
      </c>
      <c r="AN169" s="26">
        <f>IF(OR($A169="",AN$3=""),"",IF(AND($J169&lt;&gt;"",$K169&lt;&gt;"",$J169=$K169,$J169&gt;=AN$3,$J169&lt;=IF(param_mode_affichage="mois",EOMONTH(AN$3,0),AN$3+6)),"◆",""))</f>
      </c>
      <c r="AO169" s="26">
        <f>IF(OR($A169="",AO$3=""),"",IF(AND($J169&lt;&gt;"",$K169&lt;&gt;"",$J169=$K169,$J169&gt;=AO$3,$J169&lt;=IF(param_mode_affichage="mois",EOMONTH(AO$3,0),AO$3+6)),"◆",""))</f>
      </c>
      <c r="AP169" s="26">
        <f>IF(OR($A169="",AP$3=""),"",IF(AND($J169&lt;&gt;"",$K169&lt;&gt;"",$J169=$K169,$J169&gt;=AP$3,$J169&lt;=IF(param_mode_affichage="mois",EOMONTH(AP$3,0),AP$3+6)),"◆",""))</f>
      </c>
      <c r="AQ169" s="26">
        <f>IF(OR($A169="",AQ$3=""),"",IF(AND($J169&lt;&gt;"",$K169&lt;&gt;"",$J169=$K169,$J169&gt;=AQ$3,$J169&lt;=IF(param_mode_affichage="mois",EOMONTH(AQ$3,0),AQ$3+6)),"◆",""))</f>
      </c>
      <c r="AR169" s="26">
        <f>IF(OR($A169="",AR$3=""),"",IF(AND($J169&lt;&gt;"",$K169&lt;&gt;"",$J169=$K169,$J169&gt;=AR$3,$J169&lt;=IF(param_mode_affichage="mois",EOMONTH(AR$3,0),AR$3+6)),"◆",""))</f>
      </c>
      <c r="AS169" s="26">
        <f>IF(OR($A169="",AS$3=""),"",IF(AND($J169&lt;&gt;"",$K169&lt;&gt;"",$J169=$K169,$J169&gt;=AS$3,$J169&lt;=IF(param_mode_affichage="mois",EOMONTH(AS$3,0),AS$3+6)),"◆",""))</f>
      </c>
      <c r="AT169" s="26">
        <f>IF(OR($A169="",AT$3=""),"",IF(AND($J169&lt;&gt;"",$K169&lt;&gt;"",$J169=$K169,$J169&gt;=AT$3,$J169&lt;=IF(param_mode_affichage="mois",EOMONTH(AT$3,0),AT$3+6)),"◆",""))</f>
      </c>
      <c r="AU169" s="26">
        <f>IF(OR($A169="",AU$3=""),"",IF(AND($J169&lt;&gt;"",$K169&lt;&gt;"",$J169=$K169,$J169&gt;=AU$3,$J169&lt;=IF(param_mode_affichage="mois",EOMONTH(AU$3,0),AU$3+6)),"◆",""))</f>
      </c>
      <c r="AV169" s="26">
        <f>IF(OR($A169="",AV$3=""),"",IF(AND($J169&lt;&gt;"",$K169&lt;&gt;"",$J169=$K169,$J169&gt;=AV$3,$J169&lt;=IF(param_mode_affichage="mois",EOMONTH(AV$3,0),AV$3+6)),"◆",""))</f>
      </c>
      <c r="AW169" s="26">
        <f>IF(OR($A169="",AW$3=""),"",IF(AND($J169&lt;&gt;"",$K169&lt;&gt;"",$J169=$K169,$J169&gt;=AW$3,$J169&lt;=IF(param_mode_affichage="mois",EOMONTH(AW$3,0),AW$3+6)),"◆",""))</f>
      </c>
      <c r="AX169" s="26">
        <f>IF(OR($A169="",AX$3=""),"",IF(AND($J169&lt;&gt;"",$K169&lt;&gt;"",$J169=$K169,$J169&gt;=AX$3,$J169&lt;=IF(param_mode_affichage="mois",EOMONTH(AX$3,0),AX$3+6)),"◆",""))</f>
      </c>
      <c r="AY169" s="26">
        <f>IF(OR($A169="",AY$3=""),"",IF(AND($J169&lt;&gt;"",$K169&lt;&gt;"",$J169=$K169,$J169&gt;=AY$3,$J169&lt;=IF(param_mode_affichage="mois",EOMONTH(AY$3,0),AY$3+6)),"◆",""))</f>
      </c>
      <c r="AZ169" s="26">
        <f>IF(OR($A169="",AZ$3=""),"",IF(AND($J169&lt;&gt;"",$K169&lt;&gt;"",$J169=$K169,$J169&gt;=AZ$3,$J169&lt;=IF(param_mode_affichage="mois",EOMONTH(AZ$3,0),AZ$3+6)),"◆",""))</f>
      </c>
      <c r="BA169" s="26">
        <f>IF(OR($A169="",BA$3=""),"",IF(AND($J169&lt;&gt;"",$K169&lt;&gt;"",$J169=$K169,$J169&gt;=BA$3,$J169&lt;=IF(param_mode_affichage="mois",EOMONTH(BA$3,0),BA$3+6)),"◆",""))</f>
      </c>
      <c r="BB169" s="26">
        <f>IF(OR($A169="",BB$3=""),"",IF(AND($J169&lt;&gt;"",$K169&lt;&gt;"",$J169=$K169,$J169&gt;=BB$3,$J169&lt;=IF(param_mode_affichage="mois",EOMONTH(BB$3,0),BB$3+6)),"◆",""))</f>
      </c>
      <c r="BC169" s="26">
        <f>IF(OR($A169="",BC$3=""),"",IF(AND($J169&lt;&gt;"",$K169&lt;&gt;"",$J169=$K169,$J169&gt;=BC$3,$J169&lt;=IF(param_mode_affichage="mois",EOMONTH(BC$3,0),BC$3+6)),"◆",""))</f>
      </c>
      <c r="BD169" s="26">
        <f>IF(OR($A169="",BD$3=""),"",IF(AND($J169&lt;&gt;"",$K169&lt;&gt;"",$J169=$K169,$J169&gt;=BD$3,$J169&lt;=IF(param_mode_affichage="mois",EOMONTH(BD$3,0),BD$3+6)),"◆",""))</f>
      </c>
      <c r="BE169" s="26">
        <f>IF(OR($A169="",BE$3=""),"",IF(AND($J169&lt;&gt;"",$K169&lt;&gt;"",$J169=$K169,$J169&gt;=BE$3,$J169&lt;=IF(param_mode_affichage="mois",EOMONTH(BE$3,0),BE$3+6)),"◆",""))</f>
      </c>
      <c r="BF169" s="26">
        <f>IF(OR($A169="",BF$3=""),"",IF(AND($J169&lt;&gt;"",$K169&lt;&gt;"",$J169=$K169,$J169&gt;=BF$3,$J169&lt;=IF(param_mode_affichage="mois",EOMONTH(BF$3,0),BF$3+6)),"◆",""))</f>
      </c>
      <c r="BG169" s="26">
        <f>IF(OR($A169="",BG$3=""),"",IF(AND($J169&lt;&gt;"",$K169&lt;&gt;"",$J169=$K169,$J169&gt;=BG$3,$J169&lt;=IF(param_mode_affichage="mois",EOMONTH(BG$3,0),BG$3+6)),"◆",""))</f>
      </c>
      <c r="BH169" s="26">
        <f>IF(OR($A169="",BH$3=""),"",IF(AND($J169&lt;&gt;"",$K169&lt;&gt;"",$J169=$K169,$J169&gt;=BH$3,$J169&lt;=IF(param_mode_affichage="mois",EOMONTH(BH$3,0),BH$3+6)),"◆",""))</f>
      </c>
      <c r="BI169" s="26">
        <f>IF(OR($A169="",BI$3=""),"",IF(AND($J169&lt;&gt;"",$K169&lt;&gt;"",$J169=$K169,$J169&gt;=BI$3,$J169&lt;=IF(param_mode_affichage="mois",EOMONTH(BI$3,0),BI$3+6)),"◆",""))</f>
      </c>
      <c r="BJ169" s="26">
        <f>IF(OR($A169="",BJ$3=""),"",IF(AND($J169&lt;&gt;"",$K169&lt;&gt;"",$J169=$K169,$J169&gt;=BJ$3,$J169&lt;=IF(param_mode_affichage="mois",EOMONTH(BJ$3,0),BJ$3+6)),"◆",""))</f>
      </c>
      <c r="BK169" s="26">
        <f>IF(OR($A169="",BK$3=""),"",IF(AND($J169&lt;&gt;"",$K169&lt;&gt;"",$J169=$K169,$J169&gt;=BK$3,$J169&lt;=IF(param_mode_affichage="mois",EOMONTH(BK$3,0),BK$3+6)),"◆",""))</f>
      </c>
      <c r="BL169" s="26">
        <f>IF(OR($A169="",BL$3=""),"",IF(AND($J169&lt;&gt;"",$K169&lt;&gt;"",$J169=$K169,$J169&gt;=BL$3,$J169&lt;=IF(param_mode_affichage="mois",EOMONTH(BL$3,0),BL$3+6)),"◆",""))</f>
      </c>
    </row>
    <row r="170" spans="1:64" x14ac:dyDescent="0.25">
      <c r="A170" s="23">
        <f>IFERROR(INDEX(tblTasks[ID],ROW()-4),"")</f>
      </c>
      <c r="B170" s="24">
        <f>IF($A170="","",INDEX(tblTasks[Sujet],ROW()-4))</f>
      </c>
      <c r="C170" s="23">
        <f>IF($A170="","",INDEX(tblTasks[Responsable],ROW()-4))</f>
      </c>
      <c r="D170" s="23">
        <f>IF($A170="","",INDEX(tblTasks[Statut],ROW()-4))</f>
      </c>
      <c r="E170" s="23">
        <f>IF($A170="","",INDEX(tblTasks[Depend_de],ROW()-4))</f>
      </c>
      <c r="F170" s="23">
        <f>IF($A170="","",INDEX(tblTasks[Blocage],ROW()-4))</f>
      </c>
      <c r="G170" s="23">
        <f>IF($A170="","",INDEX(tblTasks[Niveau_criticite],ROW()-4))</f>
      </c>
      <c r="H170" s="23">
        <f>IF($A170="","",INDEX(tblTasks[Goulot],ROW()-4))</f>
      </c>
      <c r="I170" s="23">
        <f>IF($A170="","",IF(LOWER($F170)="oui","non",IF($E170="","oui",IFERROR(IF(LOWER(INDEX(tblTasks[Statut],MATCH($E170,tblTasks[ID],0)))="clos","oui","non"),"non"))))</f>
      </c>
      <c r="J170" s="25">
        <f>IF($A170="","",INDEX(tblTasks[Date_debut_prevue],ROW()-4))</f>
      </c>
      <c r="K170" s="25">
        <f>IF($A170="","",INDEX(tblTasks[Date_fin_prevue],ROW()-4))</f>
      </c>
      <c r="L170" s="23">
        <f>IF($A170="","",INDEX(tblTasks[Irreversibilite],ROW()-4))</f>
      </c>
      <c r="M170" s="26">
        <f>IF(OR($A170="",M$3=""),"",IF(AND($J170&lt;&gt;"",$K170&lt;&gt;"",$J170=$K170,$J170&gt;=M$3,$J170&lt;=IF(param_mode_affichage="mois",EOMONTH(M$3,0),M$3+6)),"◆",""))</f>
      </c>
      <c r="N170" s="26">
        <f>IF(OR($A170="",N$3=""),"",IF(AND($J170&lt;&gt;"",$K170&lt;&gt;"",$J170=$K170,$J170&gt;=N$3,$J170&lt;=IF(param_mode_affichage="mois",EOMONTH(N$3,0),N$3+6)),"◆",""))</f>
      </c>
      <c r="O170" s="26">
        <f>IF(OR($A170="",O$3=""),"",IF(AND($J170&lt;&gt;"",$K170&lt;&gt;"",$J170=$K170,$J170&gt;=O$3,$J170&lt;=IF(param_mode_affichage="mois",EOMONTH(O$3,0),O$3+6)),"◆",""))</f>
      </c>
      <c r="P170" s="26">
        <f>IF(OR($A170="",P$3=""),"",IF(AND($J170&lt;&gt;"",$K170&lt;&gt;"",$J170=$K170,$J170&gt;=P$3,$J170&lt;=IF(param_mode_affichage="mois",EOMONTH(P$3,0),P$3+6)),"◆",""))</f>
      </c>
      <c r="Q170" s="26">
        <f>IF(OR($A170="",Q$3=""),"",IF(AND($J170&lt;&gt;"",$K170&lt;&gt;"",$J170=$K170,$J170&gt;=Q$3,$J170&lt;=IF(param_mode_affichage="mois",EOMONTH(Q$3,0),Q$3+6)),"◆",""))</f>
      </c>
      <c r="R170" s="26">
        <f>IF(OR($A170="",R$3=""),"",IF(AND($J170&lt;&gt;"",$K170&lt;&gt;"",$J170=$K170,$J170&gt;=R$3,$J170&lt;=IF(param_mode_affichage="mois",EOMONTH(R$3,0),R$3+6)),"◆",""))</f>
      </c>
      <c r="S170" s="26">
        <f>IF(OR($A170="",S$3=""),"",IF(AND($J170&lt;&gt;"",$K170&lt;&gt;"",$J170=$K170,$J170&gt;=S$3,$J170&lt;=IF(param_mode_affichage="mois",EOMONTH(S$3,0),S$3+6)),"◆",""))</f>
      </c>
      <c r="T170" s="26">
        <f>IF(OR($A170="",T$3=""),"",IF(AND($J170&lt;&gt;"",$K170&lt;&gt;"",$J170=$K170,$J170&gt;=T$3,$J170&lt;=IF(param_mode_affichage="mois",EOMONTH(T$3,0),T$3+6)),"◆",""))</f>
      </c>
      <c r="U170" s="26">
        <f>IF(OR($A170="",U$3=""),"",IF(AND($J170&lt;&gt;"",$K170&lt;&gt;"",$J170=$K170,$J170&gt;=U$3,$J170&lt;=IF(param_mode_affichage="mois",EOMONTH(U$3,0),U$3+6)),"◆",""))</f>
      </c>
      <c r="V170" s="26">
        <f>IF(OR($A170="",V$3=""),"",IF(AND($J170&lt;&gt;"",$K170&lt;&gt;"",$J170=$K170,$J170&gt;=V$3,$J170&lt;=IF(param_mode_affichage="mois",EOMONTH(V$3,0),V$3+6)),"◆",""))</f>
      </c>
      <c r="W170" s="26">
        <f>IF(OR($A170="",W$3=""),"",IF(AND($J170&lt;&gt;"",$K170&lt;&gt;"",$J170=$K170,$J170&gt;=W$3,$J170&lt;=IF(param_mode_affichage="mois",EOMONTH(W$3,0),W$3+6)),"◆",""))</f>
      </c>
      <c r="X170" s="26">
        <f>IF(OR($A170="",X$3=""),"",IF(AND($J170&lt;&gt;"",$K170&lt;&gt;"",$J170=$K170,$J170&gt;=X$3,$J170&lt;=IF(param_mode_affichage="mois",EOMONTH(X$3,0),X$3+6)),"◆",""))</f>
      </c>
      <c r="Y170" s="26">
        <f>IF(OR($A170="",Y$3=""),"",IF(AND($J170&lt;&gt;"",$K170&lt;&gt;"",$J170=$K170,$J170&gt;=Y$3,$J170&lt;=IF(param_mode_affichage="mois",EOMONTH(Y$3,0),Y$3+6)),"◆",""))</f>
      </c>
      <c r="Z170" s="26">
        <f>IF(OR($A170="",Z$3=""),"",IF(AND($J170&lt;&gt;"",$K170&lt;&gt;"",$J170=$K170,$J170&gt;=Z$3,$J170&lt;=IF(param_mode_affichage="mois",EOMONTH(Z$3,0),Z$3+6)),"◆",""))</f>
      </c>
      <c r="AA170" s="26">
        <f>IF(OR($A170="",AA$3=""),"",IF(AND($J170&lt;&gt;"",$K170&lt;&gt;"",$J170=$K170,$J170&gt;=AA$3,$J170&lt;=IF(param_mode_affichage="mois",EOMONTH(AA$3,0),AA$3+6)),"◆",""))</f>
      </c>
      <c r="AB170" s="26">
        <f>IF(OR($A170="",AB$3=""),"",IF(AND($J170&lt;&gt;"",$K170&lt;&gt;"",$J170=$K170,$J170&gt;=AB$3,$J170&lt;=IF(param_mode_affichage="mois",EOMONTH(AB$3,0),AB$3+6)),"◆",""))</f>
      </c>
      <c r="AC170" s="26">
        <f>IF(OR($A170="",AC$3=""),"",IF(AND($J170&lt;&gt;"",$K170&lt;&gt;"",$J170=$K170,$J170&gt;=AC$3,$J170&lt;=IF(param_mode_affichage="mois",EOMONTH(AC$3,0),AC$3+6)),"◆",""))</f>
      </c>
      <c r="AD170" s="26">
        <f>IF(OR($A170="",AD$3=""),"",IF(AND($J170&lt;&gt;"",$K170&lt;&gt;"",$J170=$K170,$J170&gt;=AD$3,$J170&lt;=IF(param_mode_affichage="mois",EOMONTH(AD$3,0),AD$3+6)),"◆",""))</f>
      </c>
      <c r="AE170" s="26">
        <f>IF(OR($A170="",AE$3=""),"",IF(AND($J170&lt;&gt;"",$K170&lt;&gt;"",$J170=$K170,$J170&gt;=AE$3,$J170&lt;=IF(param_mode_affichage="mois",EOMONTH(AE$3,0),AE$3+6)),"◆",""))</f>
      </c>
      <c r="AF170" s="26">
        <f>IF(OR($A170="",AF$3=""),"",IF(AND($J170&lt;&gt;"",$K170&lt;&gt;"",$J170=$K170,$J170&gt;=AF$3,$J170&lt;=IF(param_mode_affichage="mois",EOMONTH(AF$3,0),AF$3+6)),"◆",""))</f>
      </c>
      <c r="AG170" s="26">
        <f>IF(OR($A170="",AG$3=""),"",IF(AND($J170&lt;&gt;"",$K170&lt;&gt;"",$J170=$K170,$J170&gt;=AG$3,$J170&lt;=IF(param_mode_affichage="mois",EOMONTH(AG$3,0),AG$3+6)),"◆",""))</f>
      </c>
      <c r="AH170" s="26">
        <f>IF(OR($A170="",AH$3=""),"",IF(AND($J170&lt;&gt;"",$K170&lt;&gt;"",$J170=$K170,$J170&gt;=AH$3,$J170&lt;=IF(param_mode_affichage="mois",EOMONTH(AH$3,0),AH$3+6)),"◆",""))</f>
      </c>
      <c r="AI170" s="26">
        <f>IF(OR($A170="",AI$3=""),"",IF(AND($J170&lt;&gt;"",$K170&lt;&gt;"",$J170=$K170,$J170&gt;=AI$3,$J170&lt;=IF(param_mode_affichage="mois",EOMONTH(AI$3,0),AI$3+6)),"◆",""))</f>
      </c>
      <c r="AJ170" s="26">
        <f>IF(OR($A170="",AJ$3=""),"",IF(AND($J170&lt;&gt;"",$K170&lt;&gt;"",$J170=$K170,$J170&gt;=AJ$3,$J170&lt;=IF(param_mode_affichage="mois",EOMONTH(AJ$3,0),AJ$3+6)),"◆",""))</f>
      </c>
      <c r="AK170" s="26">
        <f>IF(OR($A170="",AK$3=""),"",IF(AND($J170&lt;&gt;"",$K170&lt;&gt;"",$J170=$K170,$J170&gt;=AK$3,$J170&lt;=IF(param_mode_affichage="mois",EOMONTH(AK$3,0),AK$3+6)),"◆",""))</f>
      </c>
      <c r="AL170" s="26">
        <f>IF(OR($A170="",AL$3=""),"",IF(AND($J170&lt;&gt;"",$K170&lt;&gt;"",$J170=$K170,$J170&gt;=AL$3,$J170&lt;=IF(param_mode_affichage="mois",EOMONTH(AL$3,0),AL$3+6)),"◆",""))</f>
      </c>
      <c r="AM170" s="26">
        <f>IF(OR($A170="",AM$3=""),"",IF(AND($J170&lt;&gt;"",$K170&lt;&gt;"",$J170=$K170,$J170&gt;=AM$3,$J170&lt;=IF(param_mode_affichage="mois",EOMONTH(AM$3,0),AM$3+6)),"◆",""))</f>
      </c>
      <c r="AN170" s="26">
        <f>IF(OR($A170="",AN$3=""),"",IF(AND($J170&lt;&gt;"",$K170&lt;&gt;"",$J170=$K170,$J170&gt;=AN$3,$J170&lt;=IF(param_mode_affichage="mois",EOMONTH(AN$3,0),AN$3+6)),"◆",""))</f>
      </c>
      <c r="AO170" s="26">
        <f>IF(OR($A170="",AO$3=""),"",IF(AND($J170&lt;&gt;"",$K170&lt;&gt;"",$J170=$K170,$J170&gt;=AO$3,$J170&lt;=IF(param_mode_affichage="mois",EOMONTH(AO$3,0),AO$3+6)),"◆",""))</f>
      </c>
      <c r="AP170" s="26">
        <f>IF(OR($A170="",AP$3=""),"",IF(AND($J170&lt;&gt;"",$K170&lt;&gt;"",$J170=$K170,$J170&gt;=AP$3,$J170&lt;=IF(param_mode_affichage="mois",EOMONTH(AP$3,0),AP$3+6)),"◆",""))</f>
      </c>
      <c r="AQ170" s="26">
        <f>IF(OR($A170="",AQ$3=""),"",IF(AND($J170&lt;&gt;"",$K170&lt;&gt;"",$J170=$K170,$J170&gt;=AQ$3,$J170&lt;=IF(param_mode_affichage="mois",EOMONTH(AQ$3,0),AQ$3+6)),"◆",""))</f>
      </c>
      <c r="AR170" s="26">
        <f>IF(OR($A170="",AR$3=""),"",IF(AND($J170&lt;&gt;"",$K170&lt;&gt;"",$J170=$K170,$J170&gt;=AR$3,$J170&lt;=IF(param_mode_affichage="mois",EOMONTH(AR$3,0),AR$3+6)),"◆",""))</f>
      </c>
      <c r="AS170" s="26">
        <f>IF(OR($A170="",AS$3=""),"",IF(AND($J170&lt;&gt;"",$K170&lt;&gt;"",$J170=$K170,$J170&gt;=AS$3,$J170&lt;=IF(param_mode_affichage="mois",EOMONTH(AS$3,0),AS$3+6)),"◆",""))</f>
      </c>
      <c r="AT170" s="26">
        <f>IF(OR($A170="",AT$3=""),"",IF(AND($J170&lt;&gt;"",$K170&lt;&gt;"",$J170=$K170,$J170&gt;=AT$3,$J170&lt;=IF(param_mode_affichage="mois",EOMONTH(AT$3,0),AT$3+6)),"◆",""))</f>
      </c>
      <c r="AU170" s="26">
        <f>IF(OR($A170="",AU$3=""),"",IF(AND($J170&lt;&gt;"",$K170&lt;&gt;"",$J170=$K170,$J170&gt;=AU$3,$J170&lt;=IF(param_mode_affichage="mois",EOMONTH(AU$3,0),AU$3+6)),"◆",""))</f>
      </c>
      <c r="AV170" s="26">
        <f>IF(OR($A170="",AV$3=""),"",IF(AND($J170&lt;&gt;"",$K170&lt;&gt;"",$J170=$K170,$J170&gt;=AV$3,$J170&lt;=IF(param_mode_affichage="mois",EOMONTH(AV$3,0),AV$3+6)),"◆",""))</f>
      </c>
      <c r="AW170" s="26">
        <f>IF(OR($A170="",AW$3=""),"",IF(AND($J170&lt;&gt;"",$K170&lt;&gt;"",$J170=$K170,$J170&gt;=AW$3,$J170&lt;=IF(param_mode_affichage="mois",EOMONTH(AW$3,0),AW$3+6)),"◆",""))</f>
      </c>
      <c r="AX170" s="26">
        <f>IF(OR($A170="",AX$3=""),"",IF(AND($J170&lt;&gt;"",$K170&lt;&gt;"",$J170=$K170,$J170&gt;=AX$3,$J170&lt;=IF(param_mode_affichage="mois",EOMONTH(AX$3,0),AX$3+6)),"◆",""))</f>
      </c>
      <c r="AY170" s="26">
        <f>IF(OR($A170="",AY$3=""),"",IF(AND($J170&lt;&gt;"",$K170&lt;&gt;"",$J170=$K170,$J170&gt;=AY$3,$J170&lt;=IF(param_mode_affichage="mois",EOMONTH(AY$3,0),AY$3+6)),"◆",""))</f>
      </c>
      <c r="AZ170" s="26">
        <f>IF(OR($A170="",AZ$3=""),"",IF(AND($J170&lt;&gt;"",$K170&lt;&gt;"",$J170=$K170,$J170&gt;=AZ$3,$J170&lt;=IF(param_mode_affichage="mois",EOMONTH(AZ$3,0),AZ$3+6)),"◆",""))</f>
      </c>
      <c r="BA170" s="26">
        <f>IF(OR($A170="",BA$3=""),"",IF(AND($J170&lt;&gt;"",$K170&lt;&gt;"",$J170=$K170,$J170&gt;=BA$3,$J170&lt;=IF(param_mode_affichage="mois",EOMONTH(BA$3,0),BA$3+6)),"◆",""))</f>
      </c>
      <c r="BB170" s="26">
        <f>IF(OR($A170="",BB$3=""),"",IF(AND($J170&lt;&gt;"",$K170&lt;&gt;"",$J170=$K170,$J170&gt;=BB$3,$J170&lt;=IF(param_mode_affichage="mois",EOMONTH(BB$3,0),BB$3+6)),"◆",""))</f>
      </c>
      <c r="BC170" s="26">
        <f>IF(OR($A170="",BC$3=""),"",IF(AND($J170&lt;&gt;"",$K170&lt;&gt;"",$J170=$K170,$J170&gt;=BC$3,$J170&lt;=IF(param_mode_affichage="mois",EOMONTH(BC$3,0),BC$3+6)),"◆",""))</f>
      </c>
      <c r="BD170" s="26">
        <f>IF(OR($A170="",BD$3=""),"",IF(AND($J170&lt;&gt;"",$K170&lt;&gt;"",$J170=$K170,$J170&gt;=BD$3,$J170&lt;=IF(param_mode_affichage="mois",EOMONTH(BD$3,0),BD$3+6)),"◆",""))</f>
      </c>
      <c r="BE170" s="26">
        <f>IF(OR($A170="",BE$3=""),"",IF(AND($J170&lt;&gt;"",$K170&lt;&gt;"",$J170=$K170,$J170&gt;=BE$3,$J170&lt;=IF(param_mode_affichage="mois",EOMONTH(BE$3,0),BE$3+6)),"◆",""))</f>
      </c>
      <c r="BF170" s="26">
        <f>IF(OR($A170="",BF$3=""),"",IF(AND($J170&lt;&gt;"",$K170&lt;&gt;"",$J170=$K170,$J170&gt;=BF$3,$J170&lt;=IF(param_mode_affichage="mois",EOMONTH(BF$3,0),BF$3+6)),"◆",""))</f>
      </c>
      <c r="BG170" s="26">
        <f>IF(OR($A170="",BG$3=""),"",IF(AND($J170&lt;&gt;"",$K170&lt;&gt;"",$J170=$K170,$J170&gt;=BG$3,$J170&lt;=IF(param_mode_affichage="mois",EOMONTH(BG$3,0),BG$3+6)),"◆",""))</f>
      </c>
      <c r="BH170" s="26">
        <f>IF(OR($A170="",BH$3=""),"",IF(AND($J170&lt;&gt;"",$K170&lt;&gt;"",$J170=$K170,$J170&gt;=BH$3,$J170&lt;=IF(param_mode_affichage="mois",EOMONTH(BH$3,0),BH$3+6)),"◆",""))</f>
      </c>
      <c r="BI170" s="26">
        <f>IF(OR($A170="",BI$3=""),"",IF(AND($J170&lt;&gt;"",$K170&lt;&gt;"",$J170=$K170,$J170&gt;=BI$3,$J170&lt;=IF(param_mode_affichage="mois",EOMONTH(BI$3,0),BI$3+6)),"◆",""))</f>
      </c>
      <c r="BJ170" s="26">
        <f>IF(OR($A170="",BJ$3=""),"",IF(AND($J170&lt;&gt;"",$K170&lt;&gt;"",$J170=$K170,$J170&gt;=BJ$3,$J170&lt;=IF(param_mode_affichage="mois",EOMONTH(BJ$3,0),BJ$3+6)),"◆",""))</f>
      </c>
      <c r="BK170" s="26">
        <f>IF(OR($A170="",BK$3=""),"",IF(AND($J170&lt;&gt;"",$K170&lt;&gt;"",$J170=$K170,$J170&gt;=BK$3,$J170&lt;=IF(param_mode_affichage="mois",EOMONTH(BK$3,0),BK$3+6)),"◆",""))</f>
      </c>
      <c r="BL170" s="26">
        <f>IF(OR($A170="",BL$3=""),"",IF(AND($J170&lt;&gt;"",$K170&lt;&gt;"",$J170=$K170,$J170&gt;=BL$3,$J170&lt;=IF(param_mode_affichage="mois",EOMONTH(BL$3,0),BL$3+6)),"◆",""))</f>
      </c>
    </row>
    <row r="171" spans="1:64" x14ac:dyDescent="0.25">
      <c r="A171" s="23">
        <f>IFERROR(INDEX(tblTasks[ID],ROW()-4),"")</f>
      </c>
      <c r="B171" s="24">
        <f>IF($A171="","",INDEX(tblTasks[Sujet],ROW()-4))</f>
      </c>
      <c r="C171" s="23">
        <f>IF($A171="","",INDEX(tblTasks[Responsable],ROW()-4))</f>
      </c>
      <c r="D171" s="23">
        <f>IF($A171="","",INDEX(tblTasks[Statut],ROW()-4))</f>
      </c>
      <c r="E171" s="23">
        <f>IF($A171="","",INDEX(tblTasks[Depend_de],ROW()-4))</f>
      </c>
      <c r="F171" s="23">
        <f>IF($A171="","",INDEX(tblTasks[Blocage],ROW()-4))</f>
      </c>
      <c r="G171" s="23">
        <f>IF($A171="","",INDEX(tblTasks[Niveau_criticite],ROW()-4))</f>
      </c>
      <c r="H171" s="23">
        <f>IF($A171="","",INDEX(tblTasks[Goulot],ROW()-4))</f>
      </c>
      <c r="I171" s="23">
        <f>IF($A171="","",IF(LOWER($F171)="oui","non",IF($E171="","oui",IFERROR(IF(LOWER(INDEX(tblTasks[Statut],MATCH($E171,tblTasks[ID],0)))="clos","oui","non"),"non"))))</f>
      </c>
      <c r="J171" s="25">
        <f>IF($A171="","",INDEX(tblTasks[Date_debut_prevue],ROW()-4))</f>
      </c>
      <c r="K171" s="25">
        <f>IF($A171="","",INDEX(tblTasks[Date_fin_prevue],ROW()-4))</f>
      </c>
      <c r="L171" s="23">
        <f>IF($A171="","",INDEX(tblTasks[Irreversibilite],ROW()-4))</f>
      </c>
      <c r="M171" s="26">
        <f>IF(OR($A171="",M$3=""),"",IF(AND($J171&lt;&gt;"",$K171&lt;&gt;"",$J171=$K171,$J171&gt;=M$3,$J171&lt;=IF(param_mode_affichage="mois",EOMONTH(M$3,0),M$3+6)),"◆",""))</f>
      </c>
      <c r="N171" s="26">
        <f>IF(OR($A171="",N$3=""),"",IF(AND($J171&lt;&gt;"",$K171&lt;&gt;"",$J171=$K171,$J171&gt;=N$3,$J171&lt;=IF(param_mode_affichage="mois",EOMONTH(N$3,0),N$3+6)),"◆",""))</f>
      </c>
      <c r="O171" s="26">
        <f>IF(OR($A171="",O$3=""),"",IF(AND($J171&lt;&gt;"",$K171&lt;&gt;"",$J171=$K171,$J171&gt;=O$3,$J171&lt;=IF(param_mode_affichage="mois",EOMONTH(O$3,0),O$3+6)),"◆",""))</f>
      </c>
      <c r="P171" s="26">
        <f>IF(OR($A171="",P$3=""),"",IF(AND($J171&lt;&gt;"",$K171&lt;&gt;"",$J171=$K171,$J171&gt;=P$3,$J171&lt;=IF(param_mode_affichage="mois",EOMONTH(P$3,0),P$3+6)),"◆",""))</f>
      </c>
      <c r="Q171" s="26">
        <f>IF(OR($A171="",Q$3=""),"",IF(AND($J171&lt;&gt;"",$K171&lt;&gt;"",$J171=$K171,$J171&gt;=Q$3,$J171&lt;=IF(param_mode_affichage="mois",EOMONTH(Q$3,0),Q$3+6)),"◆",""))</f>
      </c>
      <c r="R171" s="26">
        <f>IF(OR($A171="",R$3=""),"",IF(AND($J171&lt;&gt;"",$K171&lt;&gt;"",$J171=$K171,$J171&gt;=R$3,$J171&lt;=IF(param_mode_affichage="mois",EOMONTH(R$3,0),R$3+6)),"◆",""))</f>
      </c>
      <c r="S171" s="26">
        <f>IF(OR($A171="",S$3=""),"",IF(AND($J171&lt;&gt;"",$K171&lt;&gt;"",$J171=$K171,$J171&gt;=S$3,$J171&lt;=IF(param_mode_affichage="mois",EOMONTH(S$3,0),S$3+6)),"◆",""))</f>
      </c>
      <c r="T171" s="26">
        <f>IF(OR($A171="",T$3=""),"",IF(AND($J171&lt;&gt;"",$K171&lt;&gt;"",$J171=$K171,$J171&gt;=T$3,$J171&lt;=IF(param_mode_affichage="mois",EOMONTH(T$3,0),T$3+6)),"◆",""))</f>
      </c>
      <c r="U171" s="26">
        <f>IF(OR($A171="",U$3=""),"",IF(AND($J171&lt;&gt;"",$K171&lt;&gt;"",$J171=$K171,$J171&gt;=U$3,$J171&lt;=IF(param_mode_affichage="mois",EOMONTH(U$3,0),U$3+6)),"◆",""))</f>
      </c>
      <c r="V171" s="26">
        <f>IF(OR($A171="",V$3=""),"",IF(AND($J171&lt;&gt;"",$K171&lt;&gt;"",$J171=$K171,$J171&gt;=V$3,$J171&lt;=IF(param_mode_affichage="mois",EOMONTH(V$3,0),V$3+6)),"◆",""))</f>
      </c>
      <c r="W171" s="26">
        <f>IF(OR($A171="",W$3=""),"",IF(AND($J171&lt;&gt;"",$K171&lt;&gt;"",$J171=$K171,$J171&gt;=W$3,$J171&lt;=IF(param_mode_affichage="mois",EOMONTH(W$3,0),W$3+6)),"◆",""))</f>
      </c>
      <c r="X171" s="26">
        <f>IF(OR($A171="",X$3=""),"",IF(AND($J171&lt;&gt;"",$K171&lt;&gt;"",$J171=$K171,$J171&gt;=X$3,$J171&lt;=IF(param_mode_affichage="mois",EOMONTH(X$3,0),X$3+6)),"◆",""))</f>
      </c>
      <c r="Y171" s="26">
        <f>IF(OR($A171="",Y$3=""),"",IF(AND($J171&lt;&gt;"",$K171&lt;&gt;"",$J171=$K171,$J171&gt;=Y$3,$J171&lt;=IF(param_mode_affichage="mois",EOMONTH(Y$3,0),Y$3+6)),"◆",""))</f>
      </c>
      <c r="Z171" s="26">
        <f>IF(OR($A171="",Z$3=""),"",IF(AND($J171&lt;&gt;"",$K171&lt;&gt;"",$J171=$K171,$J171&gt;=Z$3,$J171&lt;=IF(param_mode_affichage="mois",EOMONTH(Z$3,0),Z$3+6)),"◆",""))</f>
      </c>
      <c r="AA171" s="26">
        <f>IF(OR($A171="",AA$3=""),"",IF(AND($J171&lt;&gt;"",$K171&lt;&gt;"",$J171=$K171,$J171&gt;=AA$3,$J171&lt;=IF(param_mode_affichage="mois",EOMONTH(AA$3,0),AA$3+6)),"◆",""))</f>
      </c>
      <c r="AB171" s="26">
        <f>IF(OR($A171="",AB$3=""),"",IF(AND($J171&lt;&gt;"",$K171&lt;&gt;"",$J171=$K171,$J171&gt;=AB$3,$J171&lt;=IF(param_mode_affichage="mois",EOMONTH(AB$3,0),AB$3+6)),"◆",""))</f>
      </c>
      <c r="AC171" s="26">
        <f>IF(OR($A171="",AC$3=""),"",IF(AND($J171&lt;&gt;"",$K171&lt;&gt;"",$J171=$K171,$J171&gt;=AC$3,$J171&lt;=IF(param_mode_affichage="mois",EOMONTH(AC$3,0),AC$3+6)),"◆",""))</f>
      </c>
      <c r="AD171" s="26">
        <f>IF(OR($A171="",AD$3=""),"",IF(AND($J171&lt;&gt;"",$K171&lt;&gt;"",$J171=$K171,$J171&gt;=AD$3,$J171&lt;=IF(param_mode_affichage="mois",EOMONTH(AD$3,0),AD$3+6)),"◆",""))</f>
      </c>
      <c r="AE171" s="26">
        <f>IF(OR($A171="",AE$3=""),"",IF(AND($J171&lt;&gt;"",$K171&lt;&gt;"",$J171=$K171,$J171&gt;=AE$3,$J171&lt;=IF(param_mode_affichage="mois",EOMONTH(AE$3,0),AE$3+6)),"◆",""))</f>
      </c>
      <c r="AF171" s="26">
        <f>IF(OR($A171="",AF$3=""),"",IF(AND($J171&lt;&gt;"",$K171&lt;&gt;"",$J171=$K171,$J171&gt;=AF$3,$J171&lt;=IF(param_mode_affichage="mois",EOMONTH(AF$3,0),AF$3+6)),"◆",""))</f>
      </c>
      <c r="AG171" s="26">
        <f>IF(OR($A171="",AG$3=""),"",IF(AND($J171&lt;&gt;"",$K171&lt;&gt;"",$J171=$K171,$J171&gt;=AG$3,$J171&lt;=IF(param_mode_affichage="mois",EOMONTH(AG$3,0),AG$3+6)),"◆",""))</f>
      </c>
      <c r="AH171" s="26">
        <f>IF(OR($A171="",AH$3=""),"",IF(AND($J171&lt;&gt;"",$K171&lt;&gt;"",$J171=$K171,$J171&gt;=AH$3,$J171&lt;=IF(param_mode_affichage="mois",EOMONTH(AH$3,0),AH$3+6)),"◆",""))</f>
      </c>
      <c r="AI171" s="26">
        <f>IF(OR($A171="",AI$3=""),"",IF(AND($J171&lt;&gt;"",$K171&lt;&gt;"",$J171=$K171,$J171&gt;=AI$3,$J171&lt;=IF(param_mode_affichage="mois",EOMONTH(AI$3,0),AI$3+6)),"◆",""))</f>
      </c>
      <c r="AJ171" s="26">
        <f>IF(OR($A171="",AJ$3=""),"",IF(AND($J171&lt;&gt;"",$K171&lt;&gt;"",$J171=$K171,$J171&gt;=AJ$3,$J171&lt;=IF(param_mode_affichage="mois",EOMONTH(AJ$3,0),AJ$3+6)),"◆",""))</f>
      </c>
      <c r="AK171" s="26">
        <f>IF(OR($A171="",AK$3=""),"",IF(AND($J171&lt;&gt;"",$K171&lt;&gt;"",$J171=$K171,$J171&gt;=AK$3,$J171&lt;=IF(param_mode_affichage="mois",EOMONTH(AK$3,0),AK$3+6)),"◆",""))</f>
      </c>
      <c r="AL171" s="26">
        <f>IF(OR($A171="",AL$3=""),"",IF(AND($J171&lt;&gt;"",$K171&lt;&gt;"",$J171=$K171,$J171&gt;=AL$3,$J171&lt;=IF(param_mode_affichage="mois",EOMONTH(AL$3,0),AL$3+6)),"◆",""))</f>
      </c>
      <c r="AM171" s="26">
        <f>IF(OR($A171="",AM$3=""),"",IF(AND($J171&lt;&gt;"",$K171&lt;&gt;"",$J171=$K171,$J171&gt;=AM$3,$J171&lt;=IF(param_mode_affichage="mois",EOMONTH(AM$3,0),AM$3+6)),"◆",""))</f>
      </c>
      <c r="AN171" s="26">
        <f>IF(OR($A171="",AN$3=""),"",IF(AND($J171&lt;&gt;"",$K171&lt;&gt;"",$J171=$K171,$J171&gt;=AN$3,$J171&lt;=IF(param_mode_affichage="mois",EOMONTH(AN$3,0),AN$3+6)),"◆",""))</f>
      </c>
      <c r="AO171" s="26">
        <f>IF(OR($A171="",AO$3=""),"",IF(AND($J171&lt;&gt;"",$K171&lt;&gt;"",$J171=$K171,$J171&gt;=AO$3,$J171&lt;=IF(param_mode_affichage="mois",EOMONTH(AO$3,0),AO$3+6)),"◆",""))</f>
      </c>
      <c r="AP171" s="26">
        <f>IF(OR($A171="",AP$3=""),"",IF(AND($J171&lt;&gt;"",$K171&lt;&gt;"",$J171=$K171,$J171&gt;=AP$3,$J171&lt;=IF(param_mode_affichage="mois",EOMONTH(AP$3,0),AP$3+6)),"◆",""))</f>
      </c>
      <c r="AQ171" s="26">
        <f>IF(OR($A171="",AQ$3=""),"",IF(AND($J171&lt;&gt;"",$K171&lt;&gt;"",$J171=$K171,$J171&gt;=AQ$3,$J171&lt;=IF(param_mode_affichage="mois",EOMONTH(AQ$3,0),AQ$3+6)),"◆",""))</f>
      </c>
      <c r="AR171" s="26">
        <f>IF(OR($A171="",AR$3=""),"",IF(AND($J171&lt;&gt;"",$K171&lt;&gt;"",$J171=$K171,$J171&gt;=AR$3,$J171&lt;=IF(param_mode_affichage="mois",EOMONTH(AR$3,0),AR$3+6)),"◆",""))</f>
      </c>
      <c r="AS171" s="26">
        <f>IF(OR($A171="",AS$3=""),"",IF(AND($J171&lt;&gt;"",$K171&lt;&gt;"",$J171=$K171,$J171&gt;=AS$3,$J171&lt;=IF(param_mode_affichage="mois",EOMONTH(AS$3,0),AS$3+6)),"◆",""))</f>
      </c>
      <c r="AT171" s="26">
        <f>IF(OR($A171="",AT$3=""),"",IF(AND($J171&lt;&gt;"",$K171&lt;&gt;"",$J171=$K171,$J171&gt;=AT$3,$J171&lt;=IF(param_mode_affichage="mois",EOMONTH(AT$3,0),AT$3+6)),"◆",""))</f>
      </c>
      <c r="AU171" s="26">
        <f>IF(OR($A171="",AU$3=""),"",IF(AND($J171&lt;&gt;"",$K171&lt;&gt;"",$J171=$K171,$J171&gt;=AU$3,$J171&lt;=IF(param_mode_affichage="mois",EOMONTH(AU$3,0),AU$3+6)),"◆",""))</f>
      </c>
      <c r="AV171" s="26">
        <f>IF(OR($A171="",AV$3=""),"",IF(AND($J171&lt;&gt;"",$K171&lt;&gt;"",$J171=$K171,$J171&gt;=AV$3,$J171&lt;=IF(param_mode_affichage="mois",EOMONTH(AV$3,0),AV$3+6)),"◆",""))</f>
      </c>
      <c r="AW171" s="26">
        <f>IF(OR($A171="",AW$3=""),"",IF(AND($J171&lt;&gt;"",$K171&lt;&gt;"",$J171=$K171,$J171&gt;=AW$3,$J171&lt;=IF(param_mode_affichage="mois",EOMONTH(AW$3,0),AW$3+6)),"◆",""))</f>
      </c>
      <c r="AX171" s="26">
        <f>IF(OR($A171="",AX$3=""),"",IF(AND($J171&lt;&gt;"",$K171&lt;&gt;"",$J171=$K171,$J171&gt;=AX$3,$J171&lt;=IF(param_mode_affichage="mois",EOMONTH(AX$3,0),AX$3+6)),"◆",""))</f>
      </c>
      <c r="AY171" s="26">
        <f>IF(OR($A171="",AY$3=""),"",IF(AND($J171&lt;&gt;"",$K171&lt;&gt;"",$J171=$K171,$J171&gt;=AY$3,$J171&lt;=IF(param_mode_affichage="mois",EOMONTH(AY$3,0),AY$3+6)),"◆",""))</f>
      </c>
      <c r="AZ171" s="26">
        <f>IF(OR($A171="",AZ$3=""),"",IF(AND($J171&lt;&gt;"",$K171&lt;&gt;"",$J171=$K171,$J171&gt;=AZ$3,$J171&lt;=IF(param_mode_affichage="mois",EOMONTH(AZ$3,0),AZ$3+6)),"◆",""))</f>
      </c>
      <c r="BA171" s="26">
        <f>IF(OR($A171="",BA$3=""),"",IF(AND($J171&lt;&gt;"",$K171&lt;&gt;"",$J171=$K171,$J171&gt;=BA$3,$J171&lt;=IF(param_mode_affichage="mois",EOMONTH(BA$3,0),BA$3+6)),"◆",""))</f>
      </c>
      <c r="BB171" s="26">
        <f>IF(OR($A171="",BB$3=""),"",IF(AND($J171&lt;&gt;"",$K171&lt;&gt;"",$J171=$K171,$J171&gt;=BB$3,$J171&lt;=IF(param_mode_affichage="mois",EOMONTH(BB$3,0),BB$3+6)),"◆",""))</f>
      </c>
      <c r="BC171" s="26">
        <f>IF(OR($A171="",BC$3=""),"",IF(AND($J171&lt;&gt;"",$K171&lt;&gt;"",$J171=$K171,$J171&gt;=BC$3,$J171&lt;=IF(param_mode_affichage="mois",EOMONTH(BC$3,0),BC$3+6)),"◆",""))</f>
      </c>
      <c r="BD171" s="26">
        <f>IF(OR($A171="",BD$3=""),"",IF(AND($J171&lt;&gt;"",$K171&lt;&gt;"",$J171=$K171,$J171&gt;=BD$3,$J171&lt;=IF(param_mode_affichage="mois",EOMONTH(BD$3,0),BD$3+6)),"◆",""))</f>
      </c>
      <c r="BE171" s="26">
        <f>IF(OR($A171="",BE$3=""),"",IF(AND($J171&lt;&gt;"",$K171&lt;&gt;"",$J171=$K171,$J171&gt;=BE$3,$J171&lt;=IF(param_mode_affichage="mois",EOMONTH(BE$3,0),BE$3+6)),"◆",""))</f>
      </c>
      <c r="BF171" s="26">
        <f>IF(OR($A171="",BF$3=""),"",IF(AND($J171&lt;&gt;"",$K171&lt;&gt;"",$J171=$K171,$J171&gt;=BF$3,$J171&lt;=IF(param_mode_affichage="mois",EOMONTH(BF$3,0),BF$3+6)),"◆",""))</f>
      </c>
      <c r="BG171" s="26">
        <f>IF(OR($A171="",BG$3=""),"",IF(AND($J171&lt;&gt;"",$K171&lt;&gt;"",$J171=$K171,$J171&gt;=BG$3,$J171&lt;=IF(param_mode_affichage="mois",EOMONTH(BG$3,0),BG$3+6)),"◆",""))</f>
      </c>
      <c r="BH171" s="26">
        <f>IF(OR($A171="",BH$3=""),"",IF(AND($J171&lt;&gt;"",$K171&lt;&gt;"",$J171=$K171,$J171&gt;=BH$3,$J171&lt;=IF(param_mode_affichage="mois",EOMONTH(BH$3,0),BH$3+6)),"◆",""))</f>
      </c>
      <c r="BI171" s="26">
        <f>IF(OR($A171="",BI$3=""),"",IF(AND($J171&lt;&gt;"",$K171&lt;&gt;"",$J171=$K171,$J171&gt;=BI$3,$J171&lt;=IF(param_mode_affichage="mois",EOMONTH(BI$3,0),BI$3+6)),"◆",""))</f>
      </c>
      <c r="BJ171" s="26">
        <f>IF(OR($A171="",BJ$3=""),"",IF(AND($J171&lt;&gt;"",$K171&lt;&gt;"",$J171=$K171,$J171&gt;=BJ$3,$J171&lt;=IF(param_mode_affichage="mois",EOMONTH(BJ$3,0),BJ$3+6)),"◆",""))</f>
      </c>
      <c r="BK171" s="26">
        <f>IF(OR($A171="",BK$3=""),"",IF(AND($J171&lt;&gt;"",$K171&lt;&gt;"",$J171=$K171,$J171&gt;=BK$3,$J171&lt;=IF(param_mode_affichage="mois",EOMONTH(BK$3,0),BK$3+6)),"◆",""))</f>
      </c>
      <c r="BL171" s="26">
        <f>IF(OR($A171="",BL$3=""),"",IF(AND($J171&lt;&gt;"",$K171&lt;&gt;"",$J171=$K171,$J171&gt;=BL$3,$J171&lt;=IF(param_mode_affichage="mois",EOMONTH(BL$3,0),BL$3+6)),"◆",""))</f>
      </c>
    </row>
    <row r="172" spans="1:64" x14ac:dyDescent="0.25">
      <c r="A172" s="23">
        <f>IFERROR(INDEX(tblTasks[ID],ROW()-4),"")</f>
      </c>
      <c r="B172" s="24">
        <f>IF($A172="","",INDEX(tblTasks[Sujet],ROW()-4))</f>
      </c>
      <c r="C172" s="23">
        <f>IF($A172="","",INDEX(tblTasks[Responsable],ROW()-4))</f>
      </c>
      <c r="D172" s="23">
        <f>IF($A172="","",INDEX(tblTasks[Statut],ROW()-4))</f>
      </c>
      <c r="E172" s="23">
        <f>IF($A172="","",INDEX(tblTasks[Depend_de],ROW()-4))</f>
      </c>
      <c r="F172" s="23">
        <f>IF($A172="","",INDEX(tblTasks[Blocage],ROW()-4))</f>
      </c>
      <c r="G172" s="23">
        <f>IF($A172="","",INDEX(tblTasks[Niveau_criticite],ROW()-4))</f>
      </c>
      <c r="H172" s="23">
        <f>IF($A172="","",INDEX(tblTasks[Goulot],ROW()-4))</f>
      </c>
      <c r="I172" s="23">
        <f>IF($A172="","",IF(LOWER($F172)="oui","non",IF($E172="","oui",IFERROR(IF(LOWER(INDEX(tblTasks[Statut],MATCH($E172,tblTasks[ID],0)))="clos","oui","non"),"non"))))</f>
      </c>
      <c r="J172" s="25">
        <f>IF($A172="","",INDEX(tblTasks[Date_debut_prevue],ROW()-4))</f>
      </c>
      <c r="K172" s="25">
        <f>IF($A172="","",INDEX(tblTasks[Date_fin_prevue],ROW()-4))</f>
      </c>
      <c r="L172" s="23">
        <f>IF($A172="","",INDEX(tblTasks[Irreversibilite],ROW()-4))</f>
      </c>
      <c r="M172" s="26">
        <f>IF(OR($A172="",M$3=""),"",IF(AND($J172&lt;&gt;"",$K172&lt;&gt;"",$J172=$K172,$J172&gt;=M$3,$J172&lt;=IF(param_mode_affichage="mois",EOMONTH(M$3,0),M$3+6)),"◆",""))</f>
      </c>
      <c r="N172" s="26">
        <f>IF(OR($A172="",N$3=""),"",IF(AND($J172&lt;&gt;"",$K172&lt;&gt;"",$J172=$K172,$J172&gt;=N$3,$J172&lt;=IF(param_mode_affichage="mois",EOMONTH(N$3,0),N$3+6)),"◆",""))</f>
      </c>
      <c r="O172" s="26">
        <f>IF(OR($A172="",O$3=""),"",IF(AND($J172&lt;&gt;"",$K172&lt;&gt;"",$J172=$K172,$J172&gt;=O$3,$J172&lt;=IF(param_mode_affichage="mois",EOMONTH(O$3,0),O$3+6)),"◆",""))</f>
      </c>
      <c r="P172" s="26">
        <f>IF(OR($A172="",P$3=""),"",IF(AND($J172&lt;&gt;"",$K172&lt;&gt;"",$J172=$K172,$J172&gt;=P$3,$J172&lt;=IF(param_mode_affichage="mois",EOMONTH(P$3,0),P$3+6)),"◆",""))</f>
      </c>
      <c r="Q172" s="26">
        <f>IF(OR($A172="",Q$3=""),"",IF(AND($J172&lt;&gt;"",$K172&lt;&gt;"",$J172=$K172,$J172&gt;=Q$3,$J172&lt;=IF(param_mode_affichage="mois",EOMONTH(Q$3,0),Q$3+6)),"◆",""))</f>
      </c>
      <c r="R172" s="26">
        <f>IF(OR($A172="",R$3=""),"",IF(AND($J172&lt;&gt;"",$K172&lt;&gt;"",$J172=$K172,$J172&gt;=R$3,$J172&lt;=IF(param_mode_affichage="mois",EOMONTH(R$3,0),R$3+6)),"◆",""))</f>
      </c>
      <c r="S172" s="26">
        <f>IF(OR($A172="",S$3=""),"",IF(AND($J172&lt;&gt;"",$K172&lt;&gt;"",$J172=$K172,$J172&gt;=S$3,$J172&lt;=IF(param_mode_affichage="mois",EOMONTH(S$3,0),S$3+6)),"◆",""))</f>
      </c>
      <c r="T172" s="26">
        <f>IF(OR($A172="",T$3=""),"",IF(AND($J172&lt;&gt;"",$K172&lt;&gt;"",$J172=$K172,$J172&gt;=T$3,$J172&lt;=IF(param_mode_affichage="mois",EOMONTH(T$3,0),T$3+6)),"◆",""))</f>
      </c>
      <c r="U172" s="26">
        <f>IF(OR($A172="",U$3=""),"",IF(AND($J172&lt;&gt;"",$K172&lt;&gt;"",$J172=$K172,$J172&gt;=U$3,$J172&lt;=IF(param_mode_affichage="mois",EOMONTH(U$3,0),U$3+6)),"◆",""))</f>
      </c>
      <c r="V172" s="26">
        <f>IF(OR($A172="",V$3=""),"",IF(AND($J172&lt;&gt;"",$K172&lt;&gt;"",$J172=$K172,$J172&gt;=V$3,$J172&lt;=IF(param_mode_affichage="mois",EOMONTH(V$3,0),V$3+6)),"◆",""))</f>
      </c>
      <c r="W172" s="26">
        <f>IF(OR($A172="",W$3=""),"",IF(AND($J172&lt;&gt;"",$K172&lt;&gt;"",$J172=$K172,$J172&gt;=W$3,$J172&lt;=IF(param_mode_affichage="mois",EOMONTH(W$3,0),W$3+6)),"◆",""))</f>
      </c>
      <c r="X172" s="26">
        <f>IF(OR($A172="",X$3=""),"",IF(AND($J172&lt;&gt;"",$K172&lt;&gt;"",$J172=$K172,$J172&gt;=X$3,$J172&lt;=IF(param_mode_affichage="mois",EOMONTH(X$3,0),X$3+6)),"◆",""))</f>
      </c>
      <c r="Y172" s="26">
        <f>IF(OR($A172="",Y$3=""),"",IF(AND($J172&lt;&gt;"",$K172&lt;&gt;"",$J172=$K172,$J172&gt;=Y$3,$J172&lt;=IF(param_mode_affichage="mois",EOMONTH(Y$3,0),Y$3+6)),"◆",""))</f>
      </c>
      <c r="Z172" s="26">
        <f>IF(OR($A172="",Z$3=""),"",IF(AND($J172&lt;&gt;"",$K172&lt;&gt;"",$J172=$K172,$J172&gt;=Z$3,$J172&lt;=IF(param_mode_affichage="mois",EOMONTH(Z$3,0),Z$3+6)),"◆",""))</f>
      </c>
      <c r="AA172" s="26">
        <f>IF(OR($A172="",AA$3=""),"",IF(AND($J172&lt;&gt;"",$K172&lt;&gt;"",$J172=$K172,$J172&gt;=AA$3,$J172&lt;=IF(param_mode_affichage="mois",EOMONTH(AA$3,0),AA$3+6)),"◆",""))</f>
      </c>
      <c r="AB172" s="26">
        <f>IF(OR($A172="",AB$3=""),"",IF(AND($J172&lt;&gt;"",$K172&lt;&gt;"",$J172=$K172,$J172&gt;=AB$3,$J172&lt;=IF(param_mode_affichage="mois",EOMONTH(AB$3,0),AB$3+6)),"◆",""))</f>
      </c>
      <c r="AC172" s="26">
        <f>IF(OR($A172="",AC$3=""),"",IF(AND($J172&lt;&gt;"",$K172&lt;&gt;"",$J172=$K172,$J172&gt;=AC$3,$J172&lt;=IF(param_mode_affichage="mois",EOMONTH(AC$3,0),AC$3+6)),"◆",""))</f>
      </c>
      <c r="AD172" s="26">
        <f>IF(OR($A172="",AD$3=""),"",IF(AND($J172&lt;&gt;"",$K172&lt;&gt;"",$J172=$K172,$J172&gt;=AD$3,$J172&lt;=IF(param_mode_affichage="mois",EOMONTH(AD$3,0),AD$3+6)),"◆",""))</f>
      </c>
      <c r="AE172" s="26">
        <f>IF(OR($A172="",AE$3=""),"",IF(AND($J172&lt;&gt;"",$K172&lt;&gt;"",$J172=$K172,$J172&gt;=AE$3,$J172&lt;=IF(param_mode_affichage="mois",EOMONTH(AE$3,0),AE$3+6)),"◆",""))</f>
      </c>
      <c r="AF172" s="26">
        <f>IF(OR($A172="",AF$3=""),"",IF(AND($J172&lt;&gt;"",$K172&lt;&gt;"",$J172=$K172,$J172&gt;=AF$3,$J172&lt;=IF(param_mode_affichage="mois",EOMONTH(AF$3,0),AF$3+6)),"◆",""))</f>
      </c>
      <c r="AG172" s="26">
        <f>IF(OR($A172="",AG$3=""),"",IF(AND($J172&lt;&gt;"",$K172&lt;&gt;"",$J172=$K172,$J172&gt;=AG$3,$J172&lt;=IF(param_mode_affichage="mois",EOMONTH(AG$3,0),AG$3+6)),"◆",""))</f>
      </c>
      <c r="AH172" s="26">
        <f>IF(OR($A172="",AH$3=""),"",IF(AND($J172&lt;&gt;"",$K172&lt;&gt;"",$J172=$K172,$J172&gt;=AH$3,$J172&lt;=IF(param_mode_affichage="mois",EOMONTH(AH$3,0),AH$3+6)),"◆",""))</f>
      </c>
      <c r="AI172" s="26">
        <f>IF(OR($A172="",AI$3=""),"",IF(AND($J172&lt;&gt;"",$K172&lt;&gt;"",$J172=$K172,$J172&gt;=AI$3,$J172&lt;=IF(param_mode_affichage="mois",EOMONTH(AI$3,0),AI$3+6)),"◆",""))</f>
      </c>
      <c r="AJ172" s="26">
        <f>IF(OR($A172="",AJ$3=""),"",IF(AND($J172&lt;&gt;"",$K172&lt;&gt;"",$J172=$K172,$J172&gt;=AJ$3,$J172&lt;=IF(param_mode_affichage="mois",EOMONTH(AJ$3,0),AJ$3+6)),"◆",""))</f>
      </c>
      <c r="AK172" s="26">
        <f>IF(OR($A172="",AK$3=""),"",IF(AND($J172&lt;&gt;"",$K172&lt;&gt;"",$J172=$K172,$J172&gt;=AK$3,$J172&lt;=IF(param_mode_affichage="mois",EOMONTH(AK$3,0),AK$3+6)),"◆",""))</f>
      </c>
      <c r="AL172" s="26">
        <f>IF(OR($A172="",AL$3=""),"",IF(AND($J172&lt;&gt;"",$K172&lt;&gt;"",$J172=$K172,$J172&gt;=AL$3,$J172&lt;=IF(param_mode_affichage="mois",EOMONTH(AL$3,0),AL$3+6)),"◆",""))</f>
      </c>
      <c r="AM172" s="26">
        <f>IF(OR($A172="",AM$3=""),"",IF(AND($J172&lt;&gt;"",$K172&lt;&gt;"",$J172=$K172,$J172&gt;=AM$3,$J172&lt;=IF(param_mode_affichage="mois",EOMONTH(AM$3,0),AM$3+6)),"◆",""))</f>
      </c>
      <c r="AN172" s="26">
        <f>IF(OR($A172="",AN$3=""),"",IF(AND($J172&lt;&gt;"",$K172&lt;&gt;"",$J172=$K172,$J172&gt;=AN$3,$J172&lt;=IF(param_mode_affichage="mois",EOMONTH(AN$3,0),AN$3+6)),"◆",""))</f>
      </c>
      <c r="AO172" s="26">
        <f>IF(OR($A172="",AO$3=""),"",IF(AND($J172&lt;&gt;"",$K172&lt;&gt;"",$J172=$K172,$J172&gt;=AO$3,$J172&lt;=IF(param_mode_affichage="mois",EOMONTH(AO$3,0),AO$3+6)),"◆",""))</f>
      </c>
      <c r="AP172" s="26">
        <f>IF(OR($A172="",AP$3=""),"",IF(AND($J172&lt;&gt;"",$K172&lt;&gt;"",$J172=$K172,$J172&gt;=AP$3,$J172&lt;=IF(param_mode_affichage="mois",EOMONTH(AP$3,0),AP$3+6)),"◆",""))</f>
      </c>
      <c r="AQ172" s="26">
        <f>IF(OR($A172="",AQ$3=""),"",IF(AND($J172&lt;&gt;"",$K172&lt;&gt;"",$J172=$K172,$J172&gt;=AQ$3,$J172&lt;=IF(param_mode_affichage="mois",EOMONTH(AQ$3,0),AQ$3+6)),"◆",""))</f>
      </c>
      <c r="AR172" s="26">
        <f>IF(OR($A172="",AR$3=""),"",IF(AND($J172&lt;&gt;"",$K172&lt;&gt;"",$J172=$K172,$J172&gt;=AR$3,$J172&lt;=IF(param_mode_affichage="mois",EOMONTH(AR$3,0),AR$3+6)),"◆",""))</f>
      </c>
      <c r="AS172" s="26">
        <f>IF(OR($A172="",AS$3=""),"",IF(AND($J172&lt;&gt;"",$K172&lt;&gt;"",$J172=$K172,$J172&gt;=AS$3,$J172&lt;=IF(param_mode_affichage="mois",EOMONTH(AS$3,0),AS$3+6)),"◆",""))</f>
      </c>
      <c r="AT172" s="26">
        <f>IF(OR($A172="",AT$3=""),"",IF(AND($J172&lt;&gt;"",$K172&lt;&gt;"",$J172=$K172,$J172&gt;=AT$3,$J172&lt;=IF(param_mode_affichage="mois",EOMONTH(AT$3,0),AT$3+6)),"◆",""))</f>
      </c>
      <c r="AU172" s="26">
        <f>IF(OR($A172="",AU$3=""),"",IF(AND($J172&lt;&gt;"",$K172&lt;&gt;"",$J172=$K172,$J172&gt;=AU$3,$J172&lt;=IF(param_mode_affichage="mois",EOMONTH(AU$3,0),AU$3+6)),"◆",""))</f>
      </c>
      <c r="AV172" s="26">
        <f>IF(OR($A172="",AV$3=""),"",IF(AND($J172&lt;&gt;"",$K172&lt;&gt;"",$J172=$K172,$J172&gt;=AV$3,$J172&lt;=IF(param_mode_affichage="mois",EOMONTH(AV$3,0),AV$3+6)),"◆",""))</f>
      </c>
      <c r="AW172" s="26">
        <f>IF(OR($A172="",AW$3=""),"",IF(AND($J172&lt;&gt;"",$K172&lt;&gt;"",$J172=$K172,$J172&gt;=AW$3,$J172&lt;=IF(param_mode_affichage="mois",EOMONTH(AW$3,0),AW$3+6)),"◆",""))</f>
      </c>
      <c r="AX172" s="26">
        <f>IF(OR($A172="",AX$3=""),"",IF(AND($J172&lt;&gt;"",$K172&lt;&gt;"",$J172=$K172,$J172&gt;=AX$3,$J172&lt;=IF(param_mode_affichage="mois",EOMONTH(AX$3,0),AX$3+6)),"◆",""))</f>
      </c>
      <c r="AY172" s="26">
        <f>IF(OR($A172="",AY$3=""),"",IF(AND($J172&lt;&gt;"",$K172&lt;&gt;"",$J172=$K172,$J172&gt;=AY$3,$J172&lt;=IF(param_mode_affichage="mois",EOMONTH(AY$3,0),AY$3+6)),"◆",""))</f>
      </c>
      <c r="AZ172" s="26">
        <f>IF(OR($A172="",AZ$3=""),"",IF(AND($J172&lt;&gt;"",$K172&lt;&gt;"",$J172=$K172,$J172&gt;=AZ$3,$J172&lt;=IF(param_mode_affichage="mois",EOMONTH(AZ$3,0),AZ$3+6)),"◆",""))</f>
      </c>
      <c r="BA172" s="26">
        <f>IF(OR($A172="",BA$3=""),"",IF(AND($J172&lt;&gt;"",$K172&lt;&gt;"",$J172=$K172,$J172&gt;=BA$3,$J172&lt;=IF(param_mode_affichage="mois",EOMONTH(BA$3,0),BA$3+6)),"◆",""))</f>
      </c>
      <c r="BB172" s="26">
        <f>IF(OR($A172="",BB$3=""),"",IF(AND($J172&lt;&gt;"",$K172&lt;&gt;"",$J172=$K172,$J172&gt;=BB$3,$J172&lt;=IF(param_mode_affichage="mois",EOMONTH(BB$3,0),BB$3+6)),"◆",""))</f>
      </c>
      <c r="BC172" s="26">
        <f>IF(OR($A172="",BC$3=""),"",IF(AND($J172&lt;&gt;"",$K172&lt;&gt;"",$J172=$K172,$J172&gt;=BC$3,$J172&lt;=IF(param_mode_affichage="mois",EOMONTH(BC$3,0),BC$3+6)),"◆",""))</f>
      </c>
      <c r="BD172" s="26">
        <f>IF(OR($A172="",BD$3=""),"",IF(AND($J172&lt;&gt;"",$K172&lt;&gt;"",$J172=$K172,$J172&gt;=BD$3,$J172&lt;=IF(param_mode_affichage="mois",EOMONTH(BD$3,0),BD$3+6)),"◆",""))</f>
      </c>
      <c r="BE172" s="26">
        <f>IF(OR($A172="",BE$3=""),"",IF(AND($J172&lt;&gt;"",$K172&lt;&gt;"",$J172=$K172,$J172&gt;=BE$3,$J172&lt;=IF(param_mode_affichage="mois",EOMONTH(BE$3,0),BE$3+6)),"◆",""))</f>
      </c>
      <c r="BF172" s="26">
        <f>IF(OR($A172="",BF$3=""),"",IF(AND($J172&lt;&gt;"",$K172&lt;&gt;"",$J172=$K172,$J172&gt;=BF$3,$J172&lt;=IF(param_mode_affichage="mois",EOMONTH(BF$3,0),BF$3+6)),"◆",""))</f>
      </c>
      <c r="BG172" s="26">
        <f>IF(OR($A172="",BG$3=""),"",IF(AND($J172&lt;&gt;"",$K172&lt;&gt;"",$J172=$K172,$J172&gt;=BG$3,$J172&lt;=IF(param_mode_affichage="mois",EOMONTH(BG$3,0),BG$3+6)),"◆",""))</f>
      </c>
      <c r="BH172" s="26">
        <f>IF(OR($A172="",BH$3=""),"",IF(AND($J172&lt;&gt;"",$K172&lt;&gt;"",$J172=$K172,$J172&gt;=BH$3,$J172&lt;=IF(param_mode_affichage="mois",EOMONTH(BH$3,0),BH$3+6)),"◆",""))</f>
      </c>
      <c r="BI172" s="26">
        <f>IF(OR($A172="",BI$3=""),"",IF(AND($J172&lt;&gt;"",$K172&lt;&gt;"",$J172=$K172,$J172&gt;=BI$3,$J172&lt;=IF(param_mode_affichage="mois",EOMONTH(BI$3,0),BI$3+6)),"◆",""))</f>
      </c>
      <c r="BJ172" s="26">
        <f>IF(OR($A172="",BJ$3=""),"",IF(AND($J172&lt;&gt;"",$K172&lt;&gt;"",$J172=$K172,$J172&gt;=BJ$3,$J172&lt;=IF(param_mode_affichage="mois",EOMONTH(BJ$3,0),BJ$3+6)),"◆",""))</f>
      </c>
      <c r="BK172" s="26">
        <f>IF(OR($A172="",BK$3=""),"",IF(AND($J172&lt;&gt;"",$K172&lt;&gt;"",$J172=$K172,$J172&gt;=BK$3,$J172&lt;=IF(param_mode_affichage="mois",EOMONTH(BK$3,0),BK$3+6)),"◆",""))</f>
      </c>
      <c r="BL172" s="26">
        <f>IF(OR($A172="",BL$3=""),"",IF(AND($J172&lt;&gt;"",$K172&lt;&gt;"",$J172=$K172,$J172&gt;=BL$3,$J172&lt;=IF(param_mode_affichage="mois",EOMONTH(BL$3,0),BL$3+6)),"◆",""))</f>
      </c>
    </row>
    <row r="173" spans="1:64" x14ac:dyDescent="0.25">
      <c r="A173" s="23">
        <f>IFERROR(INDEX(tblTasks[ID],ROW()-4),"")</f>
      </c>
      <c r="B173" s="24">
        <f>IF($A173="","",INDEX(tblTasks[Sujet],ROW()-4))</f>
      </c>
      <c r="C173" s="23">
        <f>IF($A173="","",INDEX(tblTasks[Responsable],ROW()-4))</f>
      </c>
      <c r="D173" s="23">
        <f>IF($A173="","",INDEX(tblTasks[Statut],ROW()-4))</f>
      </c>
      <c r="E173" s="23">
        <f>IF($A173="","",INDEX(tblTasks[Depend_de],ROW()-4))</f>
      </c>
      <c r="F173" s="23">
        <f>IF($A173="","",INDEX(tblTasks[Blocage],ROW()-4))</f>
      </c>
      <c r="G173" s="23">
        <f>IF($A173="","",INDEX(tblTasks[Niveau_criticite],ROW()-4))</f>
      </c>
      <c r="H173" s="23">
        <f>IF($A173="","",INDEX(tblTasks[Goulot],ROW()-4))</f>
      </c>
      <c r="I173" s="23">
        <f>IF($A173="","",IF(LOWER($F173)="oui","non",IF($E173="","oui",IFERROR(IF(LOWER(INDEX(tblTasks[Statut],MATCH($E173,tblTasks[ID],0)))="clos","oui","non"),"non"))))</f>
      </c>
      <c r="J173" s="25">
        <f>IF($A173="","",INDEX(tblTasks[Date_debut_prevue],ROW()-4))</f>
      </c>
      <c r="K173" s="25">
        <f>IF($A173="","",INDEX(tblTasks[Date_fin_prevue],ROW()-4))</f>
      </c>
      <c r="L173" s="23">
        <f>IF($A173="","",INDEX(tblTasks[Irreversibilite],ROW()-4))</f>
      </c>
      <c r="M173" s="26">
        <f>IF(OR($A173="",M$3=""),"",IF(AND($J173&lt;&gt;"",$K173&lt;&gt;"",$J173=$K173,$J173&gt;=M$3,$J173&lt;=IF(param_mode_affichage="mois",EOMONTH(M$3,0),M$3+6)),"◆",""))</f>
      </c>
      <c r="N173" s="26">
        <f>IF(OR($A173="",N$3=""),"",IF(AND($J173&lt;&gt;"",$K173&lt;&gt;"",$J173=$K173,$J173&gt;=N$3,$J173&lt;=IF(param_mode_affichage="mois",EOMONTH(N$3,0),N$3+6)),"◆",""))</f>
      </c>
      <c r="O173" s="26">
        <f>IF(OR($A173="",O$3=""),"",IF(AND($J173&lt;&gt;"",$K173&lt;&gt;"",$J173=$K173,$J173&gt;=O$3,$J173&lt;=IF(param_mode_affichage="mois",EOMONTH(O$3,0),O$3+6)),"◆",""))</f>
      </c>
      <c r="P173" s="26">
        <f>IF(OR($A173="",P$3=""),"",IF(AND($J173&lt;&gt;"",$K173&lt;&gt;"",$J173=$K173,$J173&gt;=P$3,$J173&lt;=IF(param_mode_affichage="mois",EOMONTH(P$3,0),P$3+6)),"◆",""))</f>
      </c>
      <c r="Q173" s="26">
        <f>IF(OR($A173="",Q$3=""),"",IF(AND($J173&lt;&gt;"",$K173&lt;&gt;"",$J173=$K173,$J173&gt;=Q$3,$J173&lt;=IF(param_mode_affichage="mois",EOMONTH(Q$3,0),Q$3+6)),"◆",""))</f>
      </c>
      <c r="R173" s="26">
        <f>IF(OR($A173="",R$3=""),"",IF(AND($J173&lt;&gt;"",$K173&lt;&gt;"",$J173=$K173,$J173&gt;=R$3,$J173&lt;=IF(param_mode_affichage="mois",EOMONTH(R$3,0),R$3+6)),"◆",""))</f>
      </c>
      <c r="S173" s="26">
        <f>IF(OR($A173="",S$3=""),"",IF(AND($J173&lt;&gt;"",$K173&lt;&gt;"",$J173=$K173,$J173&gt;=S$3,$J173&lt;=IF(param_mode_affichage="mois",EOMONTH(S$3,0),S$3+6)),"◆",""))</f>
      </c>
      <c r="T173" s="26">
        <f>IF(OR($A173="",T$3=""),"",IF(AND($J173&lt;&gt;"",$K173&lt;&gt;"",$J173=$K173,$J173&gt;=T$3,$J173&lt;=IF(param_mode_affichage="mois",EOMONTH(T$3,0),T$3+6)),"◆",""))</f>
      </c>
      <c r="U173" s="26">
        <f>IF(OR($A173="",U$3=""),"",IF(AND($J173&lt;&gt;"",$K173&lt;&gt;"",$J173=$K173,$J173&gt;=U$3,$J173&lt;=IF(param_mode_affichage="mois",EOMONTH(U$3,0),U$3+6)),"◆",""))</f>
      </c>
      <c r="V173" s="26">
        <f>IF(OR($A173="",V$3=""),"",IF(AND($J173&lt;&gt;"",$K173&lt;&gt;"",$J173=$K173,$J173&gt;=V$3,$J173&lt;=IF(param_mode_affichage="mois",EOMONTH(V$3,0),V$3+6)),"◆",""))</f>
      </c>
      <c r="W173" s="26">
        <f>IF(OR($A173="",W$3=""),"",IF(AND($J173&lt;&gt;"",$K173&lt;&gt;"",$J173=$K173,$J173&gt;=W$3,$J173&lt;=IF(param_mode_affichage="mois",EOMONTH(W$3,0),W$3+6)),"◆",""))</f>
      </c>
      <c r="X173" s="26">
        <f>IF(OR($A173="",X$3=""),"",IF(AND($J173&lt;&gt;"",$K173&lt;&gt;"",$J173=$K173,$J173&gt;=X$3,$J173&lt;=IF(param_mode_affichage="mois",EOMONTH(X$3,0),X$3+6)),"◆",""))</f>
      </c>
      <c r="Y173" s="26">
        <f>IF(OR($A173="",Y$3=""),"",IF(AND($J173&lt;&gt;"",$K173&lt;&gt;"",$J173=$K173,$J173&gt;=Y$3,$J173&lt;=IF(param_mode_affichage="mois",EOMONTH(Y$3,0),Y$3+6)),"◆",""))</f>
      </c>
      <c r="Z173" s="26">
        <f>IF(OR($A173="",Z$3=""),"",IF(AND($J173&lt;&gt;"",$K173&lt;&gt;"",$J173=$K173,$J173&gt;=Z$3,$J173&lt;=IF(param_mode_affichage="mois",EOMONTH(Z$3,0),Z$3+6)),"◆",""))</f>
      </c>
      <c r="AA173" s="26">
        <f>IF(OR($A173="",AA$3=""),"",IF(AND($J173&lt;&gt;"",$K173&lt;&gt;"",$J173=$K173,$J173&gt;=AA$3,$J173&lt;=IF(param_mode_affichage="mois",EOMONTH(AA$3,0),AA$3+6)),"◆",""))</f>
      </c>
      <c r="AB173" s="26">
        <f>IF(OR($A173="",AB$3=""),"",IF(AND($J173&lt;&gt;"",$K173&lt;&gt;"",$J173=$K173,$J173&gt;=AB$3,$J173&lt;=IF(param_mode_affichage="mois",EOMONTH(AB$3,0),AB$3+6)),"◆",""))</f>
      </c>
      <c r="AC173" s="26">
        <f>IF(OR($A173="",AC$3=""),"",IF(AND($J173&lt;&gt;"",$K173&lt;&gt;"",$J173=$K173,$J173&gt;=AC$3,$J173&lt;=IF(param_mode_affichage="mois",EOMONTH(AC$3,0),AC$3+6)),"◆",""))</f>
      </c>
      <c r="AD173" s="26">
        <f>IF(OR($A173="",AD$3=""),"",IF(AND($J173&lt;&gt;"",$K173&lt;&gt;"",$J173=$K173,$J173&gt;=AD$3,$J173&lt;=IF(param_mode_affichage="mois",EOMONTH(AD$3,0),AD$3+6)),"◆",""))</f>
      </c>
      <c r="AE173" s="26">
        <f>IF(OR($A173="",AE$3=""),"",IF(AND($J173&lt;&gt;"",$K173&lt;&gt;"",$J173=$K173,$J173&gt;=AE$3,$J173&lt;=IF(param_mode_affichage="mois",EOMONTH(AE$3,0),AE$3+6)),"◆",""))</f>
      </c>
      <c r="AF173" s="26">
        <f>IF(OR($A173="",AF$3=""),"",IF(AND($J173&lt;&gt;"",$K173&lt;&gt;"",$J173=$K173,$J173&gt;=AF$3,$J173&lt;=IF(param_mode_affichage="mois",EOMONTH(AF$3,0),AF$3+6)),"◆",""))</f>
      </c>
      <c r="AG173" s="26">
        <f>IF(OR($A173="",AG$3=""),"",IF(AND($J173&lt;&gt;"",$K173&lt;&gt;"",$J173=$K173,$J173&gt;=AG$3,$J173&lt;=IF(param_mode_affichage="mois",EOMONTH(AG$3,0),AG$3+6)),"◆",""))</f>
      </c>
      <c r="AH173" s="26">
        <f>IF(OR($A173="",AH$3=""),"",IF(AND($J173&lt;&gt;"",$K173&lt;&gt;"",$J173=$K173,$J173&gt;=AH$3,$J173&lt;=IF(param_mode_affichage="mois",EOMONTH(AH$3,0),AH$3+6)),"◆",""))</f>
      </c>
      <c r="AI173" s="26">
        <f>IF(OR($A173="",AI$3=""),"",IF(AND($J173&lt;&gt;"",$K173&lt;&gt;"",$J173=$K173,$J173&gt;=AI$3,$J173&lt;=IF(param_mode_affichage="mois",EOMONTH(AI$3,0),AI$3+6)),"◆",""))</f>
      </c>
      <c r="AJ173" s="26">
        <f>IF(OR($A173="",AJ$3=""),"",IF(AND($J173&lt;&gt;"",$K173&lt;&gt;"",$J173=$K173,$J173&gt;=AJ$3,$J173&lt;=IF(param_mode_affichage="mois",EOMONTH(AJ$3,0),AJ$3+6)),"◆",""))</f>
      </c>
      <c r="AK173" s="26">
        <f>IF(OR($A173="",AK$3=""),"",IF(AND($J173&lt;&gt;"",$K173&lt;&gt;"",$J173=$K173,$J173&gt;=AK$3,$J173&lt;=IF(param_mode_affichage="mois",EOMONTH(AK$3,0),AK$3+6)),"◆",""))</f>
      </c>
      <c r="AL173" s="26">
        <f>IF(OR($A173="",AL$3=""),"",IF(AND($J173&lt;&gt;"",$K173&lt;&gt;"",$J173=$K173,$J173&gt;=AL$3,$J173&lt;=IF(param_mode_affichage="mois",EOMONTH(AL$3,0),AL$3+6)),"◆",""))</f>
      </c>
      <c r="AM173" s="26">
        <f>IF(OR($A173="",AM$3=""),"",IF(AND($J173&lt;&gt;"",$K173&lt;&gt;"",$J173=$K173,$J173&gt;=AM$3,$J173&lt;=IF(param_mode_affichage="mois",EOMONTH(AM$3,0),AM$3+6)),"◆",""))</f>
      </c>
      <c r="AN173" s="26">
        <f>IF(OR($A173="",AN$3=""),"",IF(AND($J173&lt;&gt;"",$K173&lt;&gt;"",$J173=$K173,$J173&gt;=AN$3,$J173&lt;=IF(param_mode_affichage="mois",EOMONTH(AN$3,0),AN$3+6)),"◆",""))</f>
      </c>
      <c r="AO173" s="26">
        <f>IF(OR($A173="",AO$3=""),"",IF(AND($J173&lt;&gt;"",$K173&lt;&gt;"",$J173=$K173,$J173&gt;=AO$3,$J173&lt;=IF(param_mode_affichage="mois",EOMONTH(AO$3,0),AO$3+6)),"◆",""))</f>
      </c>
      <c r="AP173" s="26">
        <f>IF(OR($A173="",AP$3=""),"",IF(AND($J173&lt;&gt;"",$K173&lt;&gt;"",$J173=$K173,$J173&gt;=AP$3,$J173&lt;=IF(param_mode_affichage="mois",EOMONTH(AP$3,0),AP$3+6)),"◆",""))</f>
      </c>
      <c r="AQ173" s="26">
        <f>IF(OR($A173="",AQ$3=""),"",IF(AND($J173&lt;&gt;"",$K173&lt;&gt;"",$J173=$K173,$J173&gt;=AQ$3,$J173&lt;=IF(param_mode_affichage="mois",EOMONTH(AQ$3,0),AQ$3+6)),"◆",""))</f>
      </c>
      <c r="AR173" s="26">
        <f>IF(OR($A173="",AR$3=""),"",IF(AND($J173&lt;&gt;"",$K173&lt;&gt;"",$J173=$K173,$J173&gt;=AR$3,$J173&lt;=IF(param_mode_affichage="mois",EOMONTH(AR$3,0),AR$3+6)),"◆",""))</f>
      </c>
      <c r="AS173" s="26">
        <f>IF(OR($A173="",AS$3=""),"",IF(AND($J173&lt;&gt;"",$K173&lt;&gt;"",$J173=$K173,$J173&gt;=AS$3,$J173&lt;=IF(param_mode_affichage="mois",EOMONTH(AS$3,0),AS$3+6)),"◆",""))</f>
      </c>
      <c r="AT173" s="26">
        <f>IF(OR($A173="",AT$3=""),"",IF(AND($J173&lt;&gt;"",$K173&lt;&gt;"",$J173=$K173,$J173&gt;=AT$3,$J173&lt;=IF(param_mode_affichage="mois",EOMONTH(AT$3,0),AT$3+6)),"◆",""))</f>
      </c>
      <c r="AU173" s="26">
        <f>IF(OR($A173="",AU$3=""),"",IF(AND($J173&lt;&gt;"",$K173&lt;&gt;"",$J173=$K173,$J173&gt;=AU$3,$J173&lt;=IF(param_mode_affichage="mois",EOMONTH(AU$3,0),AU$3+6)),"◆",""))</f>
      </c>
      <c r="AV173" s="26">
        <f>IF(OR($A173="",AV$3=""),"",IF(AND($J173&lt;&gt;"",$K173&lt;&gt;"",$J173=$K173,$J173&gt;=AV$3,$J173&lt;=IF(param_mode_affichage="mois",EOMONTH(AV$3,0),AV$3+6)),"◆",""))</f>
      </c>
      <c r="AW173" s="26">
        <f>IF(OR($A173="",AW$3=""),"",IF(AND($J173&lt;&gt;"",$K173&lt;&gt;"",$J173=$K173,$J173&gt;=AW$3,$J173&lt;=IF(param_mode_affichage="mois",EOMONTH(AW$3,0),AW$3+6)),"◆",""))</f>
      </c>
      <c r="AX173" s="26">
        <f>IF(OR($A173="",AX$3=""),"",IF(AND($J173&lt;&gt;"",$K173&lt;&gt;"",$J173=$K173,$J173&gt;=AX$3,$J173&lt;=IF(param_mode_affichage="mois",EOMONTH(AX$3,0),AX$3+6)),"◆",""))</f>
      </c>
      <c r="AY173" s="26">
        <f>IF(OR($A173="",AY$3=""),"",IF(AND($J173&lt;&gt;"",$K173&lt;&gt;"",$J173=$K173,$J173&gt;=AY$3,$J173&lt;=IF(param_mode_affichage="mois",EOMONTH(AY$3,0),AY$3+6)),"◆",""))</f>
      </c>
      <c r="AZ173" s="26">
        <f>IF(OR($A173="",AZ$3=""),"",IF(AND($J173&lt;&gt;"",$K173&lt;&gt;"",$J173=$K173,$J173&gt;=AZ$3,$J173&lt;=IF(param_mode_affichage="mois",EOMONTH(AZ$3,0),AZ$3+6)),"◆",""))</f>
      </c>
      <c r="BA173" s="26">
        <f>IF(OR($A173="",BA$3=""),"",IF(AND($J173&lt;&gt;"",$K173&lt;&gt;"",$J173=$K173,$J173&gt;=BA$3,$J173&lt;=IF(param_mode_affichage="mois",EOMONTH(BA$3,0),BA$3+6)),"◆",""))</f>
      </c>
      <c r="BB173" s="26">
        <f>IF(OR($A173="",BB$3=""),"",IF(AND($J173&lt;&gt;"",$K173&lt;&gt;"",$J173=$K173,$J173&gt;=BB$3,$J173&lt;=IF(param_mode_affichage="mois",EOMONTH(BB$3,0),BB$3+6)),"◆",""))</f>
      </c>
      <c r="BC173" s="26">
        <f>IF(OR($A173="",BC$3=""),"",IF(AND($J173&lt;&gt;"",$K173&lt;&gt;"",$J173=$K173,$J173&gt;=BC$3,$J173&lt;=IF(param_mode_affichage="mois",EOMONTH(BC$3,0),BC$3+6)),"◆",""))</f>
      </c>
      <c r="BD173" s="26">
        <f>IF(OR($A173="",BD$3=""),"",IF(AND($J173&lt;&gt;"",$K173&lt;&gt;"",$J173=$K173,$J173&gt;=BD$3,$J173&lt;=IF(param_mode_affichage="mois",EOMONTH(BD$3,0),BD$3+6)),"◆",""))</f>
      </c>
      <c r="BE173" s="26">
        <f>IF(OR($A173="",BE$3=""),"",IF(AND($J173&lt;&gt;"",$K173&lt;&gt;"",$J173=$K173,$J173&gt;=BE$3,$J173&lt;=IF(param_mode_affichage="mois",EOMONTH(BE$3,0),BE$3+6)),"◆",""))</f>
      </c>
      <c r="BF173" s="26">
        <f>IF(OR($A173="",BF$3=""),"",IF(AND($J173&lt;&gt;"",$K173&lt;&gt;"",$J173=$K173,$J173&gt;=BF$3,$J173&lt;=IF(param_mode_affichage="mois",EOMONTH(BF$3,0),BF$3+6)),"◆",""))</f>
      </c>
      <c r="BG173" s="26">
        <f>IF(OR($A173="",BG$3=""),"",IF(AND($J173&lt;&gt;"",$K173&lt;&gt;"",$J173=$K173,$J173&gt;=BG$3,$J173&lt;=IF(param_mode_affichage="mois",EOMONTH(BG$3,0),BG$3+6)),"◆",""))</f>
      </c>
      <c r="BH173" s="26">
        <f>IF(OR($A173="",BH$3=""),"",IF(AND($J173&lt;&gt;"",$K173&lt;&gt;"",$J173=$K173,$J173&gt;=BH$3,$J173&lt;=IF(param_mode_affichage="mois",EOMONTH(BH$3,0),BH$3+6)),"◆",""))</f>
      </c>
      <c r="BI173" s="26">
        <f>IF(OR($A173="",BI$3=""),"",IF(AND($J173&lt;&gt;"",$K173&lt;&gt;"",$J173=$K173,$J173&gt;=BI$3,$J173&lt;=IF(param_mode_affichage="mois",EOMONTH(BI$3,0),BI$3+6)),"◆",""))</f>
      </c>
      <c r="BJ173" s="26">
        <f>IF(OR($A173="",BJ$3=""),"",IF(AND($J173&lt;&gt;"",$K173&lt;&gt;"",$J173=$K173,$J173&gt;=BJ$3,$J173&lt;=IF(param_mode_affichage="mois",EOMONTH(BJ$3,0),BJ$3+6)),"◆",""))</f>
      </c>
      <c r="BK173" s="26">
        <f>IF(OR($A173="",BK$3=""),"",IF(AND($J173&lt;&gt;"",$K173&lt;&gt;"",$J173=$K173,$J173&gt;=BK$3,$J173&lt;=IF(param_mode_affichage="mois",EOMONTH(BK$3,0),BK$3+6)),"◆",""))</f>
      </c>
      <c r="BL173" s="26">
        <f>IF(OR($A173="",BL$3=""),"",IF(AND($J173&lt;&gt;"",$K173&lt;&gt;"",$J173=$K173,$J173&gt;=BL$3,$J173&lt;=IF(param_mode_affichage="mois",EOMONTH(BL$3,0),BL$3+6)),"◆",""))</f>
      </c>
    </row>
    <row r="174" spans="1:64" x14ac:dyDescent="0.25">
      <c r="A174" s="23">
        <f>IFERROR(INDEX(tblTasks[ID],ROW()-4),"")</f>
      </c>
      <c r="B174" s="24">
        <f>IF($A174="","",INDEX(tblTasks[Sujet],ROW()-4))</f>
      </c>
      <c r="C174" s="23">
        <f>IF($A174="","",INDEX(tblTasks[Responsable],ROW()-4))</f>
      </c>
      <c r="D174" s="23">
        <f>IF($A174="","",INDEX(tblTasks[Statut],ROW()-4))</f>
      </c>
      <c r="E174" s="23">
        <f>IF($A174="","",INDEX(tblTasks[Depend_de],ROW()-4))</f>
      </c>
      <c r="F174" s="23">
        <f>IF($A174="","",INDEX(tblTasks[Blocage],ROW()-4))</f>
      </c>
      <c r="G174" s="23">
        <f>IF($A174="","",INDEX(tblTasks[Niveau_criticite],ROW()-4))</f>
      </c>
      <c r="H174" s="23">
        <f>IF($A174="","",INDEX(tblTasks[Goulot],ROW()-4))</f>
      </c>
      <c r="I174" s="23">
        <f>IF($A174="","",IF(LOWER($F174)="oui","non",IF($E174="","oui",IFERROR(IF(LOWER(INDEX(tblTasks[Statut],MATCH($E174,tblTasks[ID],0)))="clos","oui","non"),"non"))))</f>
      </c>
      <c r="J174" s="25">
        <f>IF($A174="","",INDEX(tblTasks[Date_debut_prevue],ROW()-4))</f>
      </c>
      <c r="K174" s="25">
        <f>IF($A174="","",INDEX(tblTasks[Date_fin_prevue],ROW()-4))</f>
      </c>
      <c r="L174" s="23">
        <f>IF($A174="","",INDEX(tblTasks[Irreversibilite],ROW()-4))</f>
      </c>
      <c r="M174" s="26">
        <f>IF(OR($A174="",M$3=""),"",IF(AND($J174&lt;&gt;"",$K174&lt;&gt;"",$J174=$K174,$J174&gt;=M$3,$J174&lt;=IF(param_mode_affichage="mois",EOMONTH(M$3,0),M$3+6)),"◆",""))</f>
      </c>
      <c r="N174" s="26">
        <f>IF(OR($A174="",N$3=""),"",IF(AND($J174&lt;&gt;"",$K174&lt;&gt;"",$J174=$K174,$J174&gt;=N$3,$J174&lt;=IF(param_mode_affichage="mois",EOMONTH(N$3,0),N$3+6)),"◆",""))</f>
      </c>
      <c r="O174" s="26">
        <f>IF(OR($A174="",O$3=""),"",IF(AND($J174&lt;&gt;"",$K174&lt;&gt;"",$J174=$K174,$J174&gt;=O$3,$J174&lt;=IF(param_mode_affichage="mois",EOMONTH(O$3,0),O$3+6)),"◆",""))</f>
      </c>
      <c r="P174" s="26">
        <f>IF(OR($A174="",P$3=""),"",IF(AND($J174&lt;&gt;"",$K174&lt;&gt;"",$J174=$K174,$J174&gt;=P$3,$J174&lt;=IF(param_mode_affichage="mois",EOMONTH(P$3,0),P$3+6)),"◆",""))</f>
      </c>
      <c r="Q174" s="26">
        <f>IF(OR($A174="",Q$3=""),"",IF(AND($J174&lt;&gt;"",$K174&lt;&gt;"",$J174=$K174,$J174&gt;=Q$3,$J174&lt;=IF(param_mode_affichage="mois",EOMONTH(Q$3,0),Q$3+6)),"◆",""))</f>
      </c>
      <c r="R174" s="26">
        <f>IF(OR($A174="",R$3=""),"",IF(AND($J174&lt;&gt;"",$K174&lt;&gt;"",$J174=$K174,$J174&gt;=R$3,$J174&lt;=IF(param_mode_affichage="mois",EOMONTH(R$3,0),R$3+6)),"◆",""))</f>
      </c>
      <c r="S174" s="26">
        <f>IF(OR($A174="",S$3=""),"",IF(AND($J174&lt;&gt;"",$K174&lt;&gt;"",$J174=$K174,$J174&gt;=S$3,$J174&lt;=IF(param_mode_affichage="mois",EOMONTH(S$3,0),S$3+6)),"◆",""))</f>
      </c>
      <c r="T174" s="26">
        <f>IF(OR($A174="",T$3=""),"",IF(AND($J174&lt;&gt;"",$K174&lt;&gt;"",$J174=$K174,$J174&gt;=T$3,$J174&lt;=IF(param_mode_affichage="mois",EOMONTH(T$3,0),T$3+6)),"◆",""))</f>
      </c>
      <c r="U174" s="26">
        <f>IF(OR($A174="",U$3=""),"",IF(AND($J174&lt;&gt;"",$K174&lt;&gt;"",$J174=$K174,$J174&gt;=U$3,$J174&lt;=IF(param_mode_affichage="mois",EOMONTH(U$3,0),U$3+6)),"◆",""))</f>
      </c>
      <c r="V174" s="26">
        <f>IF(OR($A174="",V$3=""),"",IF(AND($J174&lt;&gt;"",$K174&lt;&gt;"",$J174=$K174,$J174&gt;=V$3,$J174&lt;=IF(param_mode_affichage="mois",EOMONTH(V$3,0),V$3+6)),"◆",""))</f>
      </c>
      <c r="W174" s="26">
        <f>IF(OR($A174="",W$3=""),"",IF(AND($J174&lt;&gt;"",$K174&lt;&gt;"",$J174=$K174,$J174&gt;=W$3,$J174&lt;=IF(param_mode_affichage="mois",EOMONTH(W$3,0),W$3+6)),"◆",""))</f>
      </c>
      <c r="X174" s="26">
        <f>IF(OR($A174="",X$3=""),"",IF(AND($J174&lt;&gt;"",$K174&lt;&gt;"",$J174=$K174,$J174&gt;=X$3,$J174&lt;=IF(param_mode_affichage="mois",EOMONTH(X$3,0),X$3+6)),"◆",""))</f>
      </c>
      <c r="Y174" s="26">
        <f>IF(OR($A174="",Y$3=""),"",IF(AND($J174&lt;&gt;"",$K174&lt;&gt;"",$J174=$K174,$J174&gt;=Y$3,$J174&lt;=IF(param_mode_affichage="mois",EOMONTH(Y$3,0),Y$3+6)),"◆",""))</f>
      </c>
      <c r="Z174" s="26">
        <f>IF(OR($A174="",Z$3=""),"",IF(AND($J174&lt;&gt;"",$K174&lt;&gt;"",$J174=$K174,$J174&gt;=Z$3,$J174&lt;=IF(param_mode_affichage="mois",EOMONTH(Z$3,0),Z$3+6)),"◆",""))</f>
      </c>
      <c r="AA174" s="26">
        <f>IF(OR($A174="",AA$3=""),"",IF(AND($J174&lt;&gt;"",$K174&lt;&gt;"",$J174=$K174,$J174&gt;=AA$3,$J174&lt;=IF(param_mode_affichage="mois",EOMONTH(AA$3,0),AA$3+6)),"◆",""))</f>
      </c>
      <c r="AB174" s="26">
        <f>IF(OR($A174="",AB$3=""),"",IF(AND($J174&lt;&gt;"",$K174&lt;&gt;"",$J174=$K174,$J174&gt;=AB$3,$J174&lt;=IF(param_mode_affichage="mois",EOMONTH(AB$3,0),AB$3+6)),"◆",""))</f>
      </c>
      <c r="AC174" s="26">
        <f>IF(OR($A174="",AC$3=""),"",IF(AND($J174&lt;&gt;"",$K174&lt;&gt;"",$J174=$K174,$J174&gt;=AC$3,$J174&lt;=IF(param_mode_affichage="mois",EOMONTH(AC$3,0),AC$3+6)),"◆",""))</f>
      </c>
      <c r="AD174" s="26">
        <f>IF(OR($A174="",AD$3=""),"",IF(AND($J174&lt;&gt;"",$K174&lt;&gt;"",$J174=$K174,$J174&gt;=AD$3,$J174&lt;=IF(param_mode_affichage="mois",EOMONTH(AD$3,0),AD$3+6)),"◆",""))</f>
      </c>
      <c r="AE174" s="26">
        <f>IF(OR($A174="",AE$3=""),"",IF(AND($J174&lt;&gt;"",$K174&lt;&gt;"",$J174=$K174,$J174&gt;=AE$3,$J174&lt;=IF(param_mode_affichage="mois",EOMONTH(AE$3,0),AE$3+6)),"◆",""))</f>
      </c>
      <c r="AF174" s="26">
        <f>IF(OR($A174="",AF$3=""),"",IF(AND($J174&lt;&gt;"",$K174&lt;&gt;"",$J174=$K174,$J174&gt;=AF$3,$J174&lt;=IF(param_mode_affichage="mois",EOMONTH(AF$3,0),AF$3+6)),"◆",""))</f>
      </c>
      <c r="AG174" s="26">
        <f>IF(OR($A174="",AG$3=""),"",IF(AND($J174&lt;&gt;"",$K174&lt;&gt;"",$J174=$K174,$J174&gt;=AG$3,$J174&lt;=IF(param_mode_affichage="mois",EOMONTH(AG$3,0),AG$3+6)),"◆",""))</f>
      </c>
      <c r="AH174" s="26">
        <f>IF(OR($A174="",AH$3=""),"",IF(AND($J174&lt;&gt;"",$K174&lt;&gt;"",$J174=$K174,$J174&gt;=AH$3,$J174&lt;=IF(param_mode_affichage="mois",EOMONTH(AH$3,0),AH$3+6)),"◆",""))</f>
      </c>
      <c r="AI174" s="26">
        <f>IF(OR($A174="",AI$3=""),"",IF(AND($J174&lt;&gt;"",$K174&lt;&gt;"",$J174=$K174,$J174&gt;=AI$3,$J174&lt;=IF(param_mode_affichage="mois",EOMONTH(AI$3,0),AI$3+6)),"◆",""))</f>
      </c>
      <c r="AJ174" s="26">
        <f>IF(OR($A174="",AJ$3=""),"",IF(AND($J174&lt;&gt;"",$K174&lt;&gt;"",$J174=$K174,$J174&gt;=AJ$3,$J174&lt;=IF(param_mode_affichage="mois",EOMONTH(AJ$3,0),AJ$3+6)),"◆",""))</f>
      </c>
      <c r="AK174" s="26">
        <f>IF(OR($A174="",AK$3=""),"",IF(AND($J174&lt;&gt;"",$K174&lt;&gt;"",$J174=$K174,$J174&gt;=AK$3,$J174&lt;=IF(param_mode_affichage="mois",EOMONTH(AK$3,0),AK$3+6)),"◆",""))</f>
      </c>
      <c r="AL174" s="26">
        <f>IF(OR($A174="",AL$3=""),"",IF(AND($J174&lt;&gt;"",$K174&lt;&gt;"",$J174=$K174,$J174&gt;=AL$3,$J174&lt;=IF(param_mode_affichage="mois",EOMONTH(AL$3,0),AL$3+6)),"◆",""))</f>
      </c>
      <c r="AM174" s="26">
        <f>IF(OR($A174="",AM$3=""),"",IF(AND($J174&lt;&gt;"",$K174&lt;&gt;"",$J174=$K174,$J174&gt;=AM$3,$J174&lt;=IF(param_mode_affichage="mois",EOMONTH(AM$3,0),AM$3+6)),"◆",""))</f>
      </c>
      <c r="AN174" s="26">
        <f>IF(OR($A174="",AN$3=""),"",IF(AND($J174&lt;&gt;"",$K174&lt;&gt;"",$J174=$K174,$J174&gt;=AN$3,$J174&lt;=IF(param_mode_affichage="mois",EOMONTH(AN$3,0),AN$3+6)),"◆",""))</f>
      </c>
      <c r="AO174" s="26">
        <f>IF(OR($A174="",AO$3=""),"",IF(AND($J174&lt;&gt;"",$K174&lt;&gt;"",$J174=$K174,$J174&gt;=AO$3,$J174&lt;=IF(param_mode_affichage="mois",EOMONTH(AO$3,0),AO$3+6)),"◆",""))</f>
      </c>
      <c r="AP174" s="26">
        <f>IF(OR($A174="",AP$3=""),"",IF(AND($J174&lt;&gt;"",$K174&lt;&gt;"",$J174=$K174,$J174&gt;=AP$3,$J174&lt;=IF(param_mode_affichage="mois",EOMONTH(AP$3,0),AP$3+6)),"◆",""))</f>
      </c>
      <c r="AQ174" s="26">
        <f>IF(OR($A174="",AQ$3=""),"",IF(AND($J174&lt;&gt;"",$K174&lt;&gt;"",$J174=$K174,$J174&gt;=AQ$3,$J174&lt;=IF(param_mode_affichage="mois",EOMONTH(AQ$3,0),AQ$3+6)),"◆",""))</f>
      </c>
      <c r="AR174" s="26">
        <f>IF(OR($A174="",AR$3=""),"",IF(AND($J174&lt;&gt;"",$K174&lt;&gt;"",$J174=$K174,$J174&gt;=AR$3,$J174&lt;=IF(param_mode_affichage="mois",EOMONTH(AR$3,0),AR$3+6)),"◆",""))</f>
      </c>
      <c r="AS174" s="26">
        <f>IF(OR($A174="",AS$3=""),"",IF(AND($J174&lt;&gt;"",$K174&lt;&gt;"",$J174=$K174,$J174&gt;=AS$3,$J174&lt;=IF(param_mode_affichage="mois",EOMONTH(AS$3,0),AS$3+6)),"◆",""))</f>
      </c>
      <c r="AT174" s="26">
        <f>IF(OR($A174="",AT$3=""),"",IF(AND($J174&lt;&gt;"",$K174&lt;&gt;"",$J174=$K174,$J174&gt;=AT$3,$J174&lt;=IF(param_mode_affichage="mois",EOMONTH(AT$3,0),AT$3+6)),"◆",""))</f>
      </c>
      <c r="AU174" s="26">
        <f>IF(OR($A174="",AU$3=""),"",IF(AND($J174&lt;&gt;"",$K174&lt;&gt;"",$J174=$K174,$J174&gt;=AU$3,$J174&lt;=IF(param_mode_affichage="mois",EOMONTH(AU$3,0),AU$3+6)),"◆",""))</f>
      </c>
      <c r="AV174" s="26">
        <f>IF(OR($A174="",AV$3=""),"",IF(AND($J174&lt;&gt;"",$K174&lt;&gt;"",$J174=$K174,$J174&gt;=AV$3,$J174&lt;=IF(param_mode_affichage="mois",EOMONTH(AV$3,0),AV$3+6)),"◆",""))</f>
      </c>
      <c r="AW174" s="26">
        <f>IF(OR($A174="",AW$3=""),"",IF(AND($J174&lt;&gt;"",$K174&lt;&gt;"",$J174=$K174,$J174&gt;=AW$3,$J174&lt;=IF(param_mode_affichage="mois",EOMONTH(AW$3,0),AW$3+6)),"◆",""))</f>
      </c>
      <c r="AX174" s="26">
        <f>IF(OR($A174="",AX$3=""),"",IF(AND($J174&lt;&gt;"",$K174&lt;&gt;"",$J174=$K174,$J174&gt;=AX$3,$J174&lt;=IF(param_mode_affichage="mois",EOMONTH(AX$3,0),AX$3+6)),"◆",""))</f>
      </c>
      <c r="AY174" s="26">
        <f>IF(OR($A174="",AY$3=""),"",IF(AND($J174&lt;&gt;"",$K174&lt;&gt;"",$J174=$K174,$J174&gt;=AY$3,$J174&lt;=IF(param_mode_affichage="mois",EOMONTH(AY$3,0),AY$3+6)),"◆",""))</f>
      </c>
      <c r="AZ174" s="26">
        <f>IF(OR($A174="",AZ$3=""),"",IF(AND($J174&lt;&gt;"",$K174&lt;&gt;"",$J174=$K174,$J174&gt;=AZ$3,$J174&lt;=IF(param_mode_affichage="mois",EOMONTH(AZ$3,0),AZ$3+6)),"◆",""))</f>
      </c>
      <c r="BA174" s="26">
        <f>IF(OR($A174="",BA$3=""),"",IF(AND($J174&lt;&gt;"",$K174&lt;&gt;"",$J174=$K174,$J174&gt;=BA$3,$J174&lt;=IF(param_mode_affichage="mois",EOMONTH(BA$3,0),BA$3+6)),"◆",""))</f>
      </c>
      <c r="BB174" s="26">
        <f>IF(OR($A174="",BB$3=""),"",IF(AND($J174&lt;&gt;"",$K174&lt;&gt;"",$J174=$K174,$J174&gt;=BB$3,$J174&lt;=IF(param_mode_affichage="mois",EOMONTH(BB$3,0),BB$3+6)),"◆",""))</f>
      </c>
      <c r="BC174" s="26">
        <f>IF(OR($A174="",BC$3=""),"",IF(AND($J174&lt;&gt;"",$K174&lt;&gt;"",$J174=$K174,$J174&gt;=BC$3,$J174&lt;=IF(param_mode_affichage="mois",EOMONTH(BC$3,0),BC$3+6)),"◆",""))</f>
      </c>
      <c r="BD174" s="26">
        <f>IF(OR($A174="",BD$3=""),"",IF(AND($J174&lt;&gt;"",$K174&lt;&gt;"",$J174=$K174,$J174&gt;=BD$3,$J174&lt;=IF(param_mode_affichage="mois",EOMONTH(BD$3,0),BD$3+6)),"◆",""))</f>
      </c>
      <c r="BE174" s="26">
        <f>IF(OR($A174="",BE$3=""),"",IF(AND($J174&lt;&gt;"",$K174&lt;&gt;"",$J174=$K174,$J174&gt;=BE$3,$J174&lt;=IF(param_mode_affichage="mois",EOMONTH(BE$3,0),BE$3+6)),"◆",""))</f>
      </c>
      <c r="BF174" s="26">
        <f>IF(OR($A174="",BF$3=""),"",IF(AND($J174&lt;&gt;"",$K174&lt;&gt;"",$J174=$K174,$J174&gt;=BF$3,$J174&lt;=IF(param_mode_affichage="mois",EOMONTH(BF$3,0),BF$3+6)),"◆",""))</f>
      </c>
      <c r="BG174" s="26">
        <f>IF(OR($A174="",BG$3=""),"",IF(AND($J174&lt;&gt;"",$K174&lt;&gt;"",$J174=$K174,$J174&gt;=BG$3,$J174&lt;=IF(param_mode_affichage="mois",EOMONTH(BG$3,0),BG$3+6)),"◆",""))</f>
      </c>
      <c r="BH174" s="26">
        <f>IF(OR($A174="",BH$3=""),"",IF(AND($J174&lt;&gt;"",$K174&lt;&gt;"",$J174=$K174,$J174&gt;=BH$3,$J174&lt;=IF(param_mode_affichage="mois",EOMONTH(BH$3,0),BH$3+6)),"◆",""))</f>
      </c>
      <c r="BI174" s="26">
        <f>IF(OR($A174="",BI$3=""),"",IF(AND($J174&lt;&gt;"",$K174&lt;&gt;"",$J174=$K174,$J174&gt;=BI$3,$J174&lt;=IF(param_mode_affichage="mois",EOMONTH(BI$3,0),BI$3+6)),"◆",""))</f>
      </c>
      <c r="BJ174" s="26">
        <f>IF(OR($A174="",BJ$3=""),"",IF(AND($J174&lt;&gt;"",$K174&lt;&gt;"",$J174=$K174,$J174&gt;=BJ$3,$J174&lt;=IF(param_mode_affichage="mois",EOMONTH(BJ$3,0),BJ$3+6)),"◆",""))</f>
      </c>
      <c r="BK174" s="26">
        <f>IF(OR($A174="",BK$3=""),"",IF(AND($J174&lt;&gt;"",$K174&lt;&gt;"",$J174=$K174,$J174&gt;=BK$3,$J174&lt;=IF(param_mode_affichage="mois",EOMONTH(BK$3,0),BK$3+6)),"◆",""))</f>
      </c>
      <c r="BL174" s="26">
        <f>IF(OR($A174="",BL$3=""),"",IF(AND($J174&lt;&gt;"",$K174&lt;&gt;"",$J174=$K174,$J174&gt;=BL$3,$J174&lt;=IF(param_mode_affichage="mois",EOMONTH(BL$3,0),BL$3+6)),"◆",""))</f>
      </c>
    </row>
    <row r="175" spans="1:64" x14ac:dyDescent="0.25">
      <c r="A175" s="23">
        <f>IFERROR(INDEX(tblTasks[ID],ROW()-4),"")</f>
      </c>
      <c r="B175" s="24">
        <f>IF($A175="","",INDEX(tblTasks[Sujet],ROW()-4))</f>
      </c>
      <c r="C175" s="23">
        <f>IF($A175="","",INDEX(tblTasks[Responsable],ROW()-4))</f>
      </c>
      <c r="D175" s="23">
        <f>IF($A175="","",INDEX(tblTasks[Statut],ROW()-4))</f>
      </c>
      <c r="E175" s="23">
        <f>IF($A175="","",INDEX(tblTasks[Depend_de],ROW()-4))</f>
      </c>
      <c r="F175" s="23">
        <f>IF($A175="","",INDEX(tblTasks[Blocage],ROW()-4))</f>
      </c>
      <c r="G175" s="23">
        <f>IF($A175="","",INDEX(tblTasks[Niveau_criticite],ROW()-4))</f>
      </c>
      <c r="H175" s="23">
        <f>IF($A175="","",INDEX(tblTasks[Goulot],ROW()-4))</f>
      </c>
      <c r="I175" s="23">
        <f>IF($A175="","",IF(LOWER($F175)="oui","non",IF($E175="","oui",IFERROR(IF(LOWER(INDEX(tblTasks[Statut],MATCH($E175,tblTasks[ID],0)))="clos","oui","non"),"non"))))</f>
      </c>
      <c r="J175" s="25">
        <f>IF($A175="","",INDEX(tblTasks[Date_debut_prevue],ROW()-4))</f>
      </c>
      <c r="K175" s="25">
        <f>IF($A175="","",INDEX(tblTasks[Date_fin_prevue],ROW()-4))</f>
      </c>
      <c r="L175" s="23">
        <f>IF($A175="","",INDEX(tblTasks[Irreversibilite],ROW()-4))</f>
      </c>
      <c r="M175" s="26">
        <f>IF(OR($A175="",M$3=""),"",IF(AND($J175&lt;&gt;"",$K175&lt;&gt;"",$J175=$K175,$J175&gt;=M$3,$J175&lt;=IF(param_mode_affichage="mois",EOMONTH(M$3,0),M$3+6)),"◆",""))</f>
      </c>
      <c r="N175" s="26">
        <f>IF(OR($A175="",N$3=""),"",IF(AND($J175&lt;&gt;"",$K175&lt;&gt;"",$J175=$K175,$J175&gt;=N$3,$J175&lt;=IF(param_mode_affichage="mois",EOMONTH(N$3,0),N$3+6)),"◆",""))</f>
      </c>
      <c r="O175" s="26">
        <f>IF(OR($A175="",O$3=""),"",IF(AND($J175&lt;&gt;"",$K175&lt;&gt;"",$J175=$K175,$J175&gt;=O$3,$J175&lt;=IF(param_mode_affichage="mois",EOMONTH(O$3,0),O$3+6)),"◆",""))</f>
      </c>
      <c r="P175" s="26">
        <f>IF(OR($A175="",P$3=""),"",IF(AND($J175&lt;&gt;"",$K175&lt;&gt;"",$J175=$K175,$J175&gt;=P$3,$J175&lt;=IF(param_mode_affichage="mois",EOMONTH(P$3,0),P$3+6)),"◆",""))</f>
      </c>
      <c r="Q175" s="26">
        <f>IF(OR($A175="",Q$3=""),"",IF(AND($J175&lt;&gt;"",$K175&lt;&gt;"",$J175=$K175,$J175&gt;=Q$3,$J175&lt;=IF(param_mode_affichage="mois",EOMONTH(Q$3,0),Q$3+6)),"◆",""))</f>
      </c>
      <c r="R175" s="26">
        <f>IF(OR($A175="",R$3=""),"",IF(AND($J175&lt;&gt;"",$K175&lt;&gt;"",$J175=$K175,$J175&gt;=R$3,$J175&lt;=IF(param_mode_affichage="mois",EOMONTH(R$3,0),R$3+6)),"◆",""))</f>
      </c>
      <c r="S175" s="26">
        <f>IF(OR($A175="",S$3=""),"",IF(AND($J175&lt;&gt;"",$K175&lt;&gt;"",$J175=$K175,$J175&gt;=S$3,$J175&lt;=IF(param_mode_affichage="mois",EOMONTH(S$3,0),S$3+6)),"◆",""))</f>
      </c>
      <c r="T175" s="26">
        <f>IF(OR($A175="",T$3=""),"",IF(AND($J175&lt;&gt;"",$K175&lt;&gt;"",$J175=$K175,$J175&gt;=T$3,$J175&lt;=IF(param_mode_affichage="mois",EOMONTH(T$3,0),T$3+6)),"◆",""))</f>
      </c>
      <c r="U175" s="26">
        <f>IF(OR($A175="",U$3=""),"",IF(AND($J175&lt;&gt;"",$K175&lt;&gt;"",$J175=$K175,$J175&gt;=U$3,$J175&lt;=IF(param_mode_affichage="mois",EOMONTH(U$3,0),U$3+6)),"◆",""))</f>
      </c>
      <c r="V175" s="26">
        <f>IF(OR($A175="",V$3=""),"",IF(AND($J175&lt;&gt;"",$K175&lt;&gt;"",$J175=$K175,$J175&gt;=V$3,$J175&lt;=IF(param_mode_affichage="mois",EOMONTH(V$3,0),V$3+6)),"◆",""))</f>
      </c>
      <c r="W175" s="26">
        <f>IF(OR($A175="",W$3=""),"",IF(AND($J175&lt;&gt;"",$K175&lt;&gt;"",$J175=$K175,$J175&gt;=W$3,$J175&lt;=IF(param_mode_affichage="mois",EOMONTH(W$3,0),W$3+6)),"◆",""))</f>
      </c>
      <c r="X175" s="26">
        <f>IF(OR($A175="",X$3=""),"",IF(AND($J175&lt;&gt;"",$K175&lt;&gt;"",$J175=$K175,$J175&gt;=X$3,$J175&lt;=IF(param_mode_affichage="mois",EOMONTH(X$3,0),X$3+6)),"◆",""))</f>
      </c>
      <c r="Y175" s="26">
        <f>IF(OR($A175="",Y$3=""),"",IF(AND($J175&lt;&gt;"",$K175&lt;&gt;"",$J175=$K175,$J175&gt;=Y$3,$J175&lt;=IF(param_mode_affichage="mois",EOMONTH(Y$3,0),Y$3+6)),"◆",""))</f>
      </c>
      <c r="Z175" s="26">
        <f>IF(OR($A175="",Z$3=""),"",IF(AND($J175&lt;&gt;"",$K175&lt;&gt;"",$J175=$K175,$J175&gt;=Z$3,$J175&lt;=IF(param_mode_affichage="mois",EOMONTH(Z$3,0),Z$3+6)),"◆",""))</f>
      </c>
      <c r="AA175" s="26">
        <f>IF(OR($A175="",AA$3=""),"",IF(AND($J175&lt;&gt;"",$K175&lt;&gt;"",$J175=$K175,$J175&gt;=AA$3,$J175&lt;=IF(param_mode_affichage="mois",EOMONTH(AA$3,0),AA$3+6)),"◆",""))</f>
      </c>
      <c r="AB175" s="26">
        <f>IF(OR($A175="",AB$3=""),"",IF(AND($J175&lt;&gt;"",$K175&lt;&gt;"",$J175=$K175,$J175&gt;=AB$3,$J175&lt;=IF(param_mode_affichage="mois",EOMONTH(AB$3,0),AB$3+6)),"◆",""))</f>
      </c>
      <c r="AC175" s="26">
        <f>IF(OR($A175="",AC$3=""),"",IF(AND($J175&lt;&gt;"",$K175&lt;&gt;"",$J175=$K175,$J175&gt;=AC$3,$J175&lt;=IF(param_mode_affichage="mois",EOMONTH(AC$3,0),AC$3+6)),"◆",""))</f>
      </c>
      <c r="AD175" s="26">
        <f>IF(OR($A175="",AD$3=""),"",IF(AND($J175&lt;&gt;"",$K175&lt;&gt;"",$J175=$K175,$J175&gt;=AD$3,$J175&lt;=IF(param_mode_affichage="mois",EOMONTH(AD$3,0),AD$3+6)),"◆",""))</f>
      </c>
      <c r="AE175" s="26">
        <f>IF(OR($A175="",AE$3=""),"",IF(AND($J175&lt;&gt;"",$K175&lt;&gt;"",$J175=$K175,$J175&gt;=AE$3,$J175&lt;=IF(param_mode_affichage="mois",EOMONTH(AE$3,0),AE$3+6)),"◆",""))</f>
      </c>
      <c r="AF175" s="26">
        <f>IF(OR($A175="",AF$3=""),"",IF(AND($J175&lt;&gt;"",$K175&lt;&gt;"",$J175=$K175,$J175&gt;=AF$3,$J175&lt;=IF(param_mode_affichage="mois",EOMONTH(AF$3,0),AF$3+6)),"◆",""))</f>
      </c>
      <c r="AG175" s="26">
        <f>IF(OR($A175="",AG$3=""),"",IF(AND($J175&lt;&gt;"",$K175&lt;&gt;"",$J175=$K175,$J175&gt;=AG$3,$J175&lt;=IF(param_mode_affichage="mois",EOMONTH(AG$3,0),AG$3+6)),"◆",""))</f>
      </c>
      <c r="AH175" s="26">
        <f>IF(OR($A175="",AH$3=""),"",IF(AND($J175&lt;&gt;"",$K175&lt;&gt;"",$J175=$K175,$J175&gt;=AH$3,$J175&lt;=IF(param_mode_affichage="mois",EOMONTH(AH$3,0),AH$3+6)),"◆",""))</f>
      </c>
      <c r="AI175" s="26">
        <f>IF(OR($A175="",AI$3=""),"",IF(AND($J175&lt;&gt;"",$K175&lt;&gt;"",$J175=$K175,$J175&gt;=AI$3,$J175&lt;=IF(param_mode_affichage="mois",EOMONTH(AI$3,0),AI$3+6)),"◆",""))</f>
      </c>
      <c r="AJ175" s="26">
        <f>IF(OR($A175="",AJ$3=""),"",IF(AND($J175&lt;&gt;"",$K175&lt;&gt;"",$J175=$K175,$J175&gt;=AJ$3,$J175&lt;=IF(param_mode_affichage="mois",EOMONTH(AJ$3,0),AJ$3+6)),"◆",""))</f>
      </c>
      <c r="AK175" s="26">
        <f>IF(OR($A175="",AK$3=""),"",IF(AND($J175&lt;&gt;"",$K175&lt;&gt;"",$J175=$K175,$J175&gt;=AK$3,$J175&lt;=IF(param_mode_affichage="mois",EOMONTH(AK$3,0),AK$3+6)),"◆",""))</f>
      </c>
      <c r="AL175" s="26">
        <f>IF(OR($A175="",AL$3=""),"",IF(AND($J175&lt;&gt;"",$K175&lt;&gt;"",$J175=$K175,$J175&gt;=AL$3,$J175&lt;=IF(param_mode_affichage="mois",EOMONTH(AL$3,0),AL$3+6)),"◆",""))</f>
      </c>
      <c r="AM175" s="26">
        <f>IF(OR($A175="",AM$3=""),"",IF(AND($J175&lt;&gt;"",$K175&lt;&gt;"",$J175=$K175,$J175&gt;=AM$3,$J175&lt;=IF(param_mode_affichage="mois",EOMONTH(AM$3,0),AM$3+6)),"◆",""))</f>
      </c>
      <c r="AN175" s="26">
        <f>IF(OR($A175="",AN$3=""),"",IF(AND($J175&lt;&gt;"",$K175&lt;&gt;"",$J175=$K175,$J175&gt;=AN$3,$J175&lt;=IF(param_mode_affichage="mois",EOMONTH(AN$3,0),AN$3+6)),"◆",""))</f>
      </c>
      <c r="AO175" s="26">
        <f>IF(OR($A175="",AO$3=""),"",IF(AND($J175&lt;&gt;"",$K175&lt;&gt;"",$J175=$K175,$J175&gt;=AO$3,$J175&lt;=IF(param_mode_affichage="mois",EOMONTH(AO$3,0),AO$3+6)),"◆",""))</f>
      </c>
      <c r="AP175" s="26">
        <f>IF(OR($A175="",AP$3=""),"",IF(AND($J175&lt;&gt;"",$K175&lt;&gt;"",$J175=$K175,$J175&gt;=AP$3,$J175&lt;=IF(param_mode_affichage="mois",EOMONTH(AP$3,0),AP$3+6)),"◆",""))</f>
      </c>
      <c r="AQ175" s="26">
        <f>IF(OR($A175="",AQ$3=""),"",IF(AND($J175&lt;&gt;"",$K175&lt;&gt;"",$J175=$K175,$J175&gt;=AQ$3,$J175&lt;=IF(param_mode_affichage="mois",EOMONTH(AQ$3,0),AQ$3+6)),"◆",""))</f>
      </c>
      <c r="AR175" s="26">
        <f>IF(OR($A175="",AR$3=""),"",IF(AND($J175&lt;&gt;"",$K175&lt;&gt;"",$J175=$K175,$J175&gt;=AR$3,$J175&lt;=IF(param_mode_affichage="mois",EOMONTH(AR$3,0),AR$3+6)),"◆",""))</f>
      </c>
      <c r="AS175" s="26">
        <f>IF(OR($A175="",AS$3=""),"",IF(AND($J175&lt;&gt;"",$K175&lt;&gt;"",$J175=$K175,$J175&gt;=AS$3,$J175&lt;=IF(param_mode_affichage="mois",EOMONTH(AS$3,0),AS$3+6)),"◆",""))</f>
      </c>
      <c r="AT175" s="26">
        <f>IF(OR($A175="",AT$3=""),"",IF(AND($J175&lt;&gt;"",$K175&lt;&gt;"",$J175=$K175,$J175&gt;=AT$3,$J175&lt;=IF(param_mode_affichage="mois",EOMONTH(AT$3,0),AT$3+6)),"◆",""))</f>
      </c>
      <c r="AU175" s="26">
        <f>IF(OR($A175="",AU$3=""),"",IF(AND($J175&lt;&gt;"",$K175&lt;&gt;"",$J175=$K175,$J175&gt;=AU$3,$J175&lt;=IF(param_mode_affichage="mois",EOMONTH(AU$3,0),AU$3+6)),"◆",""))</f>
      </c>
      <c r="AV175" s="26">
        <f>IF(OR($A175="",AV$3=""),"",IF(AND($J175&lt;&gt;"",$K175&lt;&gt;"",$J175=$K175,$J175&gt;=AV$3,$J175&lt;=IF(param_mode_affichage="mois",EOMONTH(AV$3,0),AV$3+6)),"◆",""))</f>
      </c>
      <c r="AW175" s="26">
        <f>IF(OR($A175="",AW$3=""),"",IF(AND($J175&lt;&gt;"",$K175&lt;&gt;"",$J175=$K175,$J175&gt;=AW$3,$J175&lt;=IF(param_mode_affichage="mois",EOMONTH(AW$3,0),AW$3+6)),"◆",""))</f>
      </c>
      <c r="AX175" s="26">
        <f>IF(OR($A175="",AX$3=""),"",IF(AND($J175&lt;&gt;"",$K175&lt;&gt;"",$J175=$K175,$J175&gt;=AX$3,$J175&lt;=IF(param_mode_affichage="mois",EOMONTH(AX$3,0),AX$3+6)),"◆",""))</f>
      </c>
      <c r="AY175" s="26">
        <f>IF(OR($A175="",AY$3=""),"",IF(AND($J175&lt;&gt;"",$K175&lt;&gt;"",$J175=$K175,$J175&gt;=AY$3,$J175&lt;=IF(param_mode_affichage="mois",EOMONTH(AY$3,0),AY$3+6)),"◆",""))</f>
      </c>
      <c r="AZ175" s="26">
        <f>IF(OR($A175="",AZ$3=""),"",IF(AND($J175&lt;&gt;"",$K175&lt;&gt;"",$J175=$K175,$J175&gt;=AZ$3,$J175&lt;=IF(param_mode_affichage="mois",EOMONTH(AZ$3,0),AZ$3+6)),"◆",""))</f>
      </c>
      <c r="BA175" s="26">
        <f>IF(OR($A175="",BA$3=""),"",IF(AND($J175&lt;&gt;"",$K175&lt;&gt;"",$J175=$K175,$J175&gt;=BA$3,$J175&lt;=IF(param_mode_affichage="mois",EOMONTH(BA$3,0),BA$3+6)),"◆",""))</f>
      </c>
      <c r="BB175" s="26">
        <f>IF(OR($A175="",BB$3=""),"",IF(AND($J175&lt;&gt;"",$K175&lt;&gt;"",$J175=$K175,$J175&gt;=BB$3,$J175&lt;=IF(param_mode_affichage="mois",EOMONTH(BB$3,0),BB$3+6)),"◆",""))</f>
      </c>
      <c r="BC175" s="26">
        <f>IF(OR($A175="",BC$3=""),"",IF(AND($J175&lt;&gt;"",$K175&lt;&gt;"",$J175=$K175,$J175&gt;=BC$3,$J175&lt;=IF(param_mode_affichage="mois",EOMONTH(BC$3,0),BC$3+6)),"◆",""))</f>
      </c>
      <c r="BD175" s="26">
        <f>IF(OR($A175="",BD$3=""),"",IF(AND($J175&lt;&gt;"",$K175&lt;&gt;"",$J175=$K175,$J175&gt;=BD$3,$J175&lt;=IF(param_mode_affichage="mois",EOMONTH(BD$3,0),BD$3+6)),"◆",""))</f>
      </c>
      <c r="BE175" s="26">
        <f>IF(OR($A175="",BE$3=""),"",IF(AND($J175&lt;&gt;"",$K175&lt;&gt;"",$J175=$K175,$J175&gt;=BE$3,$J175&lt;=IF(param_mode_affichage="mois",EOMONTH(BE$3,0),BE$3+6)),"◆",""))</f>
      </c>
      <c r="BF175" s="26">
        <f>IF(OR($A175="",BF$3=""),"",IF(AND($J175&lt;&gt;"",$K175&lt;&gt;"",$J175=$K175,$J175&gt;=BF$3,$J175&lt;=IF(param_mode_affichage="mois",EOMONTH(BF$3,0),BF$3+6)),"◆",""))</f>
      </c>
      <c r="BG175" s="26">
        <f>IF(OR($A175="",BG$3=""),"",IF(AND($J175&lt;&gt;"",$K175&lt;&gt;"",$J175=$K175,$J175&gt;=BG$3,$J175&lt;=IF(param_mode_affichage="mois",EOMONTH(BG$3,0),BG$3+6)),"◆",""))</f>
      </c>
      <c r="BH175" s="26">
        <f>IF(OR($A175="",BH$3=""),"",IF(AND($J175&lt;&gt;"",$K175&lt;&gt;"",$J175=$K175,$J175&gt;=BH$3,$J175&lt;=IF(param_mode_affichage="mois",EOMONTH(BH$3,0),BH$3+6)),"◆",""))</f>
      </c>
      <c r="BI175" s="26">
        <f>IF(OR($A175="",BI$3=""),"",IF(AND($J175&lt;&gt;"",$K175&lt;&gt;"",$J175=$K175,$J175&gt;=BI$3,$J175&lt;=IF(param_mode_affichage="mois",EOMONTH(BI$3,0),BI$3+6)),"◆",""))</f>
      </c>
      <c r="BJ175" s="26">
        <f>IF(OR($A175="",BJ$3=""),"",IF(AND($J175&lt;&gt;"",$K175&lt;&gt;"",$J175=$K175,$J175&gt;=BJ$3,$J175&lt;=IF(param_mode_affichage="mois",EOMONTH(BJ$3,0),BJ$3+6)),"◆",""))</f>
      </c>
      <c r="BK175" s="26">
        <f>IF(OR($A175="",BK$3=""),"",IF(AND($J175&lt;&gt;"",$K175&lt;&gt;"",$J175=$K175,$J175&gt;=BK$3,$J175&lt;=IF(param_mode_affichage="mois",EOMONTH(BK$3,0),BK$3+6)),"◆",""))</f>
      </c>
      <c r="BL175" s="26">
        <f>IF(OR($A175="",BL$3=""),"",IF(AND($J175&lt;&gt;"",$K175&lt;&gt;"",$J175=$K175,$J175&gt;=BL$3,$J175&lt;=IF(param_mode_affichage="mois",EOMONTH(BL$3,0),BL$3+6)),"◆",""))</f>
      </c>
    </row>
    <row r="176" spans="1:64" x14ac:dyDescent="0.25">
      <c r="A176" s="23">
        <f>IFERROR(INDEX(tblTasks[ID],ROW()-4),"")</f>
      </c>
      <c r="B176" s="24">
        <f>IF($A176="","",INDEX(tblTasks[Sujet],ROW()-4))</f>
      </c>
      <c r="C176" s="23">
        <f>IF($A176="","",INDEX(tblTasks[Responsable],ROW()-4))</f>
      </c>
      <c r="D176" s="23">
        <f>IF($A176="","",INDEX(tblTasks[Statut],ROW()-4))</f>
      </c>
      <c r="E176" s="23">
        <f>IF($A176="","",INDEX(tblTasks[Depend_de],ROW()-4))</f>
      </c>
      <c r="F176" s="23">
        <f>IF($A176="","",INDEX(tblTasks[Blocage],ROW()-4))</f>
      </c>
      <c r="G176" s="23">
        <f>IF($A176="","",INDEX(tblTasks[Niveau_criticite],ROW()-4))</f>
      </c>
      <c r="H176" s="23">
        <f>IF($A176="","",INDEX(tblTasks[Goulot],ROW()-4))</f>
      </c>
      <c r="I176" s="23">
        <f>IF($A176="","",IF(LOWER($F176)="oui","non",IF($E176="","oui",IFERROR(IF(LOWER(INDEX(tblTasks[Statut],MATCH($E176,tblTasks[ID],0)))="clos","oui","non"),"non"))))</f>
      </c>
      <c r="J176" s="25">
        <f>IF($A176="","",INDEX(tblTasks[Date_debut_prevue],ROW()-4))</f>
      </c>
      <c r="K176" s="25">
        <f>IF($A176="","",INDEX(tblTasks[Date_fin_prevue],ROW()-4))</f>
      </c>
      <c r="L176" s="23">
        <f>IF($A176="","",INDEX(tblTasks[Irreversibilite],ROW()-4))</f>
      </c>
      <c r="M176" s="26">
        <f>IF(OR($A176="",M$3=""),"",IF(AND($J176&lt;&gt;"",$K176&lt;&gt;"",$J176=$K176,$J176&gt;=M$3,$J176&lt;=IF(param_mode_affichage="mois",EOMONTH(M$3,0),M$3+6)),"◆",""))</f>
      </c>
      <c r="N176" s="26">
        <f>IF(OR($A176="",N$3=""),"",IF(AND($J176&lt;&gt;"",$K176&lt;&gt;"",$J176=$K176,$J176&gt;=N$3,$J176&lt;=IF(param_mode_affichage="mois",EOMONTH(N$3,0),N$3+6)),"◆",""))</f>
      </c>
      <c r="O176" s="26">
        <f>IF(OR($A176="",O$3=""),"",IF(AND($J176&lt;&gt;"",$K176&lt;&gt;"",$J176=$K176,$J176&gt;=O$3,$J176&lt;=IF(param_mode_affichage="mois",EOMONTH(O$3,0),O$3+6)),"◆",""))</f>
      </c>
      <c r="P176" s="26">
        <f>IF(OR($A176="",P$3=""),"",IF(AND($J176&lt;&gt;"",$K176&lt;&gt;"",$J176=$K176,$J176&gt;=P$3,$J176&lt;=IF(param_mode_affichage="mois",EOMONTH(P$3,0),P$3+6)),"◆",""))</f>
      </c>
      <c r="Q176" s="26">
        <f>IF(OR($A176="",Q$3=""),"",IF(AND($J176&lt;&gt;"",$K176&lt;&gt;"",$J176=$K176,$J176&gt;=Q$3,$J176&lt;=IF(param_mode_affichage="mois",EOMONTH(Q$3,0),Q$3+6)),"◆",""))</f>
      </c>
      <c r="R176" s="26">
        <f>IF(OR($A176="",R$3=""),"",IF(AND($J176&lt;&gt;"",$K176&lt;&gt;"",$J176=$K176,$J176&gt;=R$3,$J176&lt;=IF(param_mode_affichage="mois",EOMONTH(R$3,0),R$3+6)),"◆",""))</f>
      </c>
      <c r="S176" s="26">
        <f>IF(OR($A176="",S$3=""),"",IF(AND($J176&lt;&gt;"",$K176&lt;&gt;"",$J176=$K176,$J176&gt;=S$3,$J176&lt;=IF(param_mode_affichage="mois",EOMONTH(S$3,0),S$3+6)),"◆",""))</f>
      </c>
      <c r="T176" s="26">
        <f>IF(OR($A176="",T$3=""),"",IF(AND($J176&lt;&gt;"",$K176&lt;&gt;"",$J176=$K176,$J176&gt;=T$3,$J176&lt;=IF(param_mode_affichage="mois",EOMONTH(T$3,0),T$3+6)),"◆",""))</f>
      </c>
      <c r="U176" s="26">
        <f>IF(OR($A176="",U$3=""),"",IF(AND($J176&lt;&gt;"",$K176&lt;&gt;"",$J176=$K176,$J176&gt;=U$3,$J176&lt;=IF(param_mode_affichage="mois",EOMONTH(U$3,0),U$3+6)),"◆",""))</f>
      </c>
      <c r="V176" s="26">
        <f>IF(OR($A176="",V$3=""),"",IF(AND($J176&lt;&gt;"",$K176&lt;&gt;"",$J176=$K176,$J176&gt;=V$3,$J176&lt;=IF(param_mode_affichage="mois",EOMONTH(V$3,0),V$3+6)),"◆",""))</f>
      </c>
      <c r="W176" s="26">
        <f>IF(OR($A176="",W$3=""),"",IF(AND($J176&lt;&gt;"",$K176&lt;&gt;"",$J176=$K176,$J176&gt;=W$3,$J176&lt;=IF(param_mode_affichage="mois",EOMONTH(W$3,0),W$3+6)),"◆",""))</f>
      </c>
      <c r="X176" s="26">
        <f>IF(OR($A176="",X$3=""),"",IF(AND($J176&lt;&gt;"",$K176&lt;&gt;"",$J176=$K176,$J176&gt;=X$3,$J176&lt;=IF(param_mode_affichage="mois",EOMONTH(X$3,0),X$3+6)),"◆",""))</f>
      </c>
      <c r="Y176" s="26">
        <f>IF(OR($A176="",Y$3=""),"",IF(AND($J176&lt;&gt;"",$K176&lt;&gt;"",$J176=$K176,$J176&gt;=Y$3,$J176&lt;=IF(param_mode_affichage="mois",EOMONTH(Y$3,0),Y$3+6)),"◆",""))</f>
      </c>
      <c r="Z176" s="26">
        <f>IF(OR($A176="",Z$3=""),"",IF(AND($J176&lt;&gt;"",$K176&lt;&gt;"",$J176=$K176,$J176&gt;=Z$3,$J176&lt;=IF(param_mode_affichage="mois",EOMONTH(Z$3,0),Z$3+6)),"◆",""))</f>
      </c>
      <c r="AA176" s="26">
        <f>IF(OR($A176="",AA$3=""),"",IF(AND($J176&lt;&gt;"",$K176&lt;&gt;"",$J176=$K176,$J176&gt;=AA$3,$J176&lt;=IF(param_mode_affichage="mois",EOMONTH(AA$3,0),AA$3+6)),"◆",""))</f>
      </c>
      <c r="AB176" s="26">
        <f>IF(OR($A176="",AB$3=""),"",IF(AND($J176&lt;&gt;"",$K176&lt;&gt;"",$J176=$K176,$J176&gt;=AB$3,$J176&lt;=IF(param_mode_affichage="mois",EOMONTH(AB$3,0),AB$3+6)),"◆",""))</f>
      </c>
      <c r="AC176" s="26">
        <f>IF(OR($A176="",AC$3=""),"",IF(AND($J176&lt;&gt;"",$K176&lt;&gt;"",$J176=$K176,$J176&gt;=AC$3,$J176&lt;=IF(param_mode_affichage="mois",EOMONTH(AC$3,0),AC$3+6)),"◆",""))</f>
      </c>
      <c r="AD176" s="26">
        <f>IF(OR($A176="",AD$3=""),"",IF(AND($J176&lt;&gt;"",$K176&lt;&gt;"",$J176=$K176,$J176&gt;=AD$3,$J176&lt;=IF(param_mode_affichage="mois",EOMONTH(AD$3,0),AD$3+6)),"◆",""))</f>
      </c>
      <c r="AE176" s="26">
        <f>IF(OR($A176="",AE$3=""),"",IF(AND($J176&lt;&gt;"",$K176&lt;&gt;"",$J176=$K176,$J176&gt;=AE$3,$J176&lt;=IF(param_mode_affichage="mois",EOMONTH(AE$3,0),AE$3+6)),"◆",""))</f>
      </c>
      <c r="AF176" s="26">
        <f>IF(OR($A176="",AF$3=""),"",IF(AND($J176&lt;&gt;"",$K176&lt;&gt;"",$J176=$K176,$J176&gt;=AF$3,$J176&lt;=IF(param_mode_affichage="mois",EOMONTH(AF$3,0),AF$3+6)),"◆",""))</f>
      </c>
      <c r="AG176" s="26">
        <f>IF(OR($A176="",AG$3=""),"",IF(AND($J176&lt;&gt;"",$K176&lt;&gt;"",$J176=$K176,$J176&gt;=AG$3,$J176&lt;=IF(param_mode_affichage="mois",EOMONTH(AG$3,0),AG$3+6)),"◆",""))</f>
      </c>
      <c r="AH176" s="26">
        <f>IF(OR($A176="",AH$3=""),"",IF(AND($J176&lt;&gt;"",$K176&lt;&gt;"",$J176=$K176,$J176&gt;=AH$3,$J176&lt;=IF(param_mode_affichage="mois",EOMONTH(AH$3,0),AH$3+6)),"◆",""))</f>
      </c>
      <c r="AI176" s="26">
        <f>IF(OR($A176="",AI$3=""),"",IF(AND($J176&lt;&gt;"",$K176&lt;&gt;"",$J176=$K176,$J176&gt;=AI$3,$J176&lt;=IF(param_mode_affichage="mois",EOMONTH(AI$3,0),AI$3+6)),"◆",""))</f>
      </c>
      <c r="AJ176" s="26">
        <f>IF(OR($A176="",AJ$3=""),"",IF(AND($J176&lt;&gt;"",$K176&lt;&gt;"",$J176=$K176,$J176&gt;=AJ$3,$J176&lt;=IF(param_mode_affichage="mois",EOMONTH(AJ$3,0),AJ$3+6)),"◆",""))</f>
      </c>
      <c r="AK176" s="26">
        <f>IF(OR($A176="",AK$3=""),"",IF(AND($J176&lt;&gt;"",$K176&lt;&gt;"",$J176=$K176,$J176&gt;=AK$3,$J176&lt;=IF(param_mode_affichage="mois",EOMONTH(AK$3,0),AK$3+6)),"◆",""))</f>
      </c>
      <c r="AL176" s="26">
        <f>IF(OR($A176="",AL$3=""),"",IF(AND($J176&lt;&gt;"",$K176&lt;&gt;"",$J176=$K176,$J176&gt;=AL$3,$J176&lt;=IF(param_mode_affichage="mois",EOMONTH(AL$3,0),AL$3+6)),"◆",""))</f>
      </c>
      <c r="AM176" s="26">
        <f>IF(OR($A176="",AM$3=""),"",IF(AND($J176&lt;&gt;"",$K176&lt;&gt;"",$J176=$K176,$J176&gt;=AM$3,$J176&lt;=IF(param_mode_affichage="mois",EOMONTH(AM$3,0),AM$3+6)),"◆",""))</f>
      </c>
      <c r="AN176" s="26">
        <f>IF(OR($A176="",AN$3=""),"",IF(AND($J176&lt;&gt;"",$K176&lt;&gt;"",$J176=$K176,$J176&gt;=AN$3,$J176&lt;=IF(param_mode_affichage="mois",EOMONTH(AN$3,0),AN$3+6)),"◆",""))</f>
      </c>
      <c r="AO176" s="26">
        <f>IF(OR($A176="",AO$3=""),"",IF(AND($J176&lt;&gt;"",$K176&lt;&gt;"",$J176=$K176,$J176&gt;=AO$3,$J176&lt;=IF(param_mode_affichage="mois",EOMONTH(AO$3,0),AO$3+6)),"◆",""))</f>
      </c>
      <c r="AP176" s="26">
        <f>IF(OR($A176="",AP$3=""),"",IF(AND($J176&lt;&gt;"",$K176&lt;&gt;"",$J176=$K176,$J176&gt;=AP$3,$J176&lt;=IF(param_mode_affichage="mois",EOMONTH(AP$3,0),AP$3+6)),"◆",""))</f>
      </c>
      <c r="AQ176" s="26">
        <f>IF(OR($A176="",AQ$3=""),"",IF(AND($J176&lt;&gt;"",$K176&lt;&gt;"",$J176=$K176,$J176&gt;=AQ$3,$J176&lt;=IF(param_mode_affichage="mois",EOMONTH(AQ$3,0),AQ$3+6)),"◆",""))</f>
      </c>
      <c r="AR176" s="26">
        <f>IF(OR($A176="",AR$3=""),"",IF(AND($J176&lt;&gt;"",$K176&lt;&gt;"",$J176=$K176,$J176&gt;=AR$3,$J176&lt;=IF(param_mode_affichage="mois",EOMONTH(AR$3,0),AR$3+6)),"◆",""))</f>
      </c>
      <c r="AS176" s="26">
        <f>IF(OR($A176="",AS$3=""),"",IF(AND($J176&lt;&gt;"",$K176&lt;&gt;"",$J176=$K176,$J176&gt;=AS$3,$J176&lt;=IF(param_mode_affichage="mois",EOMONTH(AS$3,0),AS$3+6)),"◆",""))</f>
      </c>
      <c r="AT176" s="26">
        <f>IF(OR($A176="",AT$3=""),"",IF(AND($J176&lt;&gt;"",$K176&lt;&gt;"",$J176=$K176,$J176&gt;=AT$3,$J176&lt;=IF(param_mode_affichage="mois",EOMONTH(AT$3,0),AT$3+6)),"◆",""))</f>
      </c>
      <c r="AU176" s="26">
        <f>IF(OR($A176="",AU$3=""),"",IF(AND($J176&lt;&gt;"",$K176&lt;&gt;"",$J176=$K176,$J176&gt;=AU$3,$J176&lt;=IF(param_mode_affichage="mois",EOMONTH(AU$3,0),AU$3+6)),"◆",""))</f>
      </c>
      <c r="AV176" s="26">
        <f>IF(OR($A176="",AV$3=""),"",IF(AND($J176&lt;&gt;"",$K176&lt;&gt;"",$J176=$K176,$J176&gt;=AV$3,$J176&lt;=IF(param_mode_affichage="mois",EOMONTH(AV$3,0),AV$3+6)),"◆",""))</f>
      </c>
      <c r="AW176" s="26">
        <f>IF(OR($A176="",AW$3=""),"",IF(AND($J176&lt;&gt;"",$K176&lt;&gt;"",$J176=$K176,$J176&gt;=AW$3,$J176&lt;=IF(param_mode_affichage="mois",EOMONTH(AW$3,0),AW$3+6)),"◆",""))</f>
      </c>
      <c r="AX176" s="26">
        <f>IF(OR($A176="",AX$3=""),"",IF(AND($J176&lt;&gt;"",$K176&lt;&gt;"",$J176=$K176,$J176&gt;=AX$3,$J176&lt;=IF(param_mode_affichage="mois",EOMONTH(AX$3,0),AX$3+6)),"◆",""))</f>
      </c>
      <c r="AY176" s="26">
        <f>IF(OR($A176="",AY$3=""),"",IF(AND($J176&lt;&gt;"",$K176&lt;&gt;"",$J176=$K176,$J176&gt;=AY$3,$J176&lt;=IF(param_mode_affichage="mois",EOMONTH(AY$3,0),AY$3+6)),"◆",""))</f>
      </c>
      <c r="AZ176" s="26">
        <f>IF(OR($A176="",AZ$3=""),"",IF(AND($J176&lt;&gt;"",$K176&lt;&gt;"",$J176=$K176,$J176&gt;=AZ$3,$J176&lt;=IF(param_mode_affichage="mois",EOMONTH(AZ$3,0),AZ$3+6)),"◆",""))</f>
      </c>
      <c r="BA176" s="26">
        <f>IF(OR($A176="",BA$3=""),"",IF(AND($J176&lt;&gt;"",$K176&lt;&gt;"",$J176=$K176,$J176&gt;=BA$3,$J176&lt;=IF(param_mode_affichage="mois",EOMONTH(BA$3,0),BA$3+6)),"◆",""))</f>
      </c>
      <c r="BB176" s="26">
        <f>IF(OR($A176="",BB$3=""),"",IF(AND($J176&lt;&gt;"",$K176&lt;&gt;"",$J176=$K176,$J176&gt;=BB$3,$J176&lt;=IF(param_mode_affichage="mois",EOMONTH(BB$3,0),BB$3+6)),"◆",""))</f>
      </c>
      <c r="BC176" s="26">
        <f>IF(OR($A176="",BC$3=""),"",IF(AND($J176&lt;&gt;"",$K176&lt;&gt;"",$J176=$K176,$J176&gt;=BC$3,$J176&lt;=IF(param_mode_affichage="mois",EOMONTH(BC$3,0),BC$3+6)),"◆",""))</f>
      </c>
      <c r="BD176" s="26">
        <f>IF(OR($A176="",BD$3=""),"",IF(AND($J176&lt;&gt;"",$K176&lt;&gt;"",$J176=$K176,$J176&gt;=BD$3,$J176&lt;=IF(param_mode_affichage="mois",EOMONTH(BD$3,0),BD$3+6)),"◆",""))</f>
      </c>
      <c r="BE176" s="26">
        <f>IF(OR($A176="",BE$3=""),"",IF(AND($J176&lt;&gt;"",$K176&lt;&gt;"",$J176=$K176,$J176&gt;=BE$3,$J176&lt;=IF(param_mode_affichage="mois",EOMONTH(BE$3,0),BE$3+6)),"◆",""))</f>
      </c>
      <c r="BF176" s="26">
        <f>IF(OR($A176="",BF$3=""),"",IF(AND($J176&lt;&gt;"",$K176&lt;&gt;"",$J176=$K176,$J176&gt;=BF$3,$J176&lt;=IF(param_mode_affichage="mois",EOMONTH(BF$3,0),BF$3+6)),"◆",""))</f>
      </c>
      <c r="BG176" s="26">
        <f>IF(OR($A176="",BG$3=""),"",IF(AND($J176&lt;&gt;"",$K176&lt;&gt;"",$J176=$K176,$J176&gt;=BG$3,$J176&lt;=IF(param_mode_affichage="mois",EOMONTH(BG$3,0),BG$3+6)),"◆",""))</f>
      </c>
      <c r="BH176" s="26">
        <f>IF(OR($A176="",BH$3=""),"",IF(AND($J176&lt;&gt;"",$K176&lt;&gt;"",$J176=$K176,$J176&gt;=BH$3,$J176&lt;=IF(param_mode_affichage="mois",EOMONTH(BH$3,0),BH$3+6)),"◆",""))</f>
      </c>
      <c r="BI176" s="26">
        <f>IF(OR($A176="",BI$3=""),"",IF(AND($J176&lt;&gt;"",$K176&lt;&gt;"",$J176=$K176,$J176&gt;=BI$3,$J176&lt;=IF(param_mode_affichage="mois",EOMONTH(BI$3,0),BI$3+6)),"◆",""))</f>
      </c>
      <c r="BJ176" s="26">
        <f>IF(OR($A176="",BJ$3=""),"",IF(AND($J176&lt;&gt;"",$K176&lt;&gt;"",$J176=$K176,$J176&gt;=BJ$3,$J176&lt;=IF(param_mode_affichage="mois",EOMONTH(BJ$3,0),BJ$3+6)),"◆",""))</f>
      </c>
      <c r="BK176" s="26">
        <f>IF(OR($A176="",BK$3=""),"",IF(AND($J176&lt;&gt;"",$K176&lt;&gt;"",$J176=$K176,$J176&gt;=BK$3,$J176&lt;=IF(param_mode_affichage="mois",EOMONTH(BK$3,0),BK$3+6)),"◆",""))</f>
      </c>
      <c r="BL176" s="26">
        <f>IF(OR($A176="",BL$3=""),"",IF(AND($J176&lt;&gt;"",$K176&lt;&gt;"",$J176=$K176,$J176&gt;=BL$3,$J176&lt;=IF(param_mode_affichage="mois",EOMONTH(BL$3,0),BL$3+6)),"◆",""))</f>
      </c>
    </row>
    <row r="177" spans="1:64" x14ac:dyDescent="0.25">
      <c r="A177" s="23">
        <f>IFERROR(INDEX(tblTasks[ID],ROW()-4),"")</f>
      </c>
      <c r="B177" s="24">
        <f>IF($A177="","",INDEX(tblTasks[Sujet],ROW()-4))</f>
      </c>
      <c r="C177" s="23">
        <f>IF($A177="","",INDEX(tblTasks[Responsable],ROW()-4))</f>
      </c>
      <c r="D177" s="23">
        <f>IF($A177="","",INDEX(tblTasks[Statut],ROW()-4))</f>
      </c>
      <c r="E177" s="23">
        <f>IF($A177="","",INDEX(tblTasks[Depend_de],ROW()-4))</f>
      </c>
      <c r="F177" s="23">
        <f>IF($A177="","",INDEX(tblTasks[Blocage],ROW()-4))</f>
      </c>
      <c r="G177" s="23">
        <f>IF($A177="","",INDEX(tblTasks[Niveau_criticite],ROW()-4))</f>
      </c>
      <c r="H177" s="23">
        <f>IF($A177="","",INDEX(tblTasks[Goulot],ROW()-4))</f>
      </c>
      <c r="I177" s="23">
        <f>IF($A177="","",IF(LOWER($F177)="oui","non",IF($E177="","oui",IFERROR(IF(LOWER(INDEX(tblTasks[Statut],MATCH($E177,tblTasks[ID],0)))="clos","oui","non"),"non"))))</f>
      </c>
      <c r="J177" s="25">
        <f>IF($A177="","",INDEX(tblTasks[Date_debut_prevue],ROW()-4))</f>
      </c>
      <c r="K177" s="25">
        <f>IF($A177="","",INDEX(tblTasks[Date_fin_prevue],ROW()-4))</f>
      </c>
      <c r="L177" s="23">
        <f>IF($A177="","",INDEX(tblTasks[Irreversibilite],ROW()-4))</f>
      </c>
      <c r="M177" s="26">
        <f>IF(OR($A177="",M$3=""),"",IF(AND($J177&lt;&gt;"",$K177&lt;&gt;"",$J177=$K177,$J177&gt;=M$3,$J177&lt;=IF(param_mode_affichage="mois",EOMONTH(M$3,0),M$3+6)),"◆",""))</f>
      </c>
      <c r="N177" s="26">
        <f>IF(OR($A177="",N$3=""),"",IF(AND($J177&lt;&gt;"",$K177&lt;&gt;"",$J177=$K177,$J177&gt;=N$3,$J177&lt;=IF(param_mode_affichage="mois",EOMONTH(N$3,0),N$3+6)),"◆",""))</f>
      </c>
      <c r="O177" s="26">
        <f>IF(OR($A177="",O$3=""),"",IF(AND($J177&lt;&gt;"",$K177&lt;&gt;"",$J177=$K177,$J177&gt;=O$3,$J177&lt;=IF(param_mode_affichage="mois",EOMONTH(O$3,0),O$3+6)),"◆",""))</f>
      </c>
      <c r="P177" s="26">
        <f>IF(OR($A177="",P$3=""),"",IF(AND($J177&lt;&gt;"",$K177&lt;&gt;"",$J177=$K177,$J177&gt;=P$3,$J177&lt;=IF(param_mode_affichage="mois",EOMONTH(P$3,0),P$3+6)),"◆",""))</f>
      </c>
      <c r="Q177" s="26">
        <f>IF(OR($A177="",Q$3=""),"",IF(AND($J177&lt;&gt;"",$K177&lt;&gt;"",$J177=$K177,$J177&gt;=Q$3,$J177&lt;=IF(param_mode_affichage="mois",EOMONTH(Q$3,0),Q$3+6)),"◆",""))</f>
      </c>
      <c r="R177" s="26">
        <f>IF(OR($A177="",R$3=""),"",IF(AND($J177&lt;&gt;"",$K177&lt;&gt;"",$J177=$K177,$J177&gt;=R$3,$J177&lt;=IF(param_mode_affichage="mois",EOMONTH(R$3,0),R$3+6)),"◆",""))</f>
      </c>
      <c r="S177" s="26">
        <f>IF(OR($A177="",S$3=""),"",IF(AND($J177&lt;&gt;"",$K177&lt;&gt;"",$J177=$K177,$J177&gt;=S$3,$J177&lt;=IF(param_mode_affichage="mois",EOMONTH(S$3,0),S$3+6)),"◆",""))</f>
      </c>
      <c r="T177" s="26">
        <f>IF(OR($A177="",T$3=""),"",IF(AND($J177&lt;&gt;"",$K177&lt;&gt;"",$J177=$K177,$J177&gt;=T$3,$J177&lt;=IF(param_mode_affichage="mois",EOMONTH(T$3,0),T$3+6)),"◆",""))</f>
      </c>
      <c r="U177" s="26">
        <f>IF(OR($A177="",U$3=""),"",IF(AND($J177&lt;&gt;"",$K177&lt;&gt;"",$J177=$K177,$J177&gt;=U$3,$J177&lt;=IF(param_mode_affichage="mois",EOMONTH(U$3,0),U$3+6)),"◆",""))</f>
      </c>
      <c r="V177" s="26">
        <f>IF(OR($A177="",V$3=""),"",IF(AND($J177&lt;&gt;"",$K177&lt;&gt;"",$J177=$K177,$J177&gt;=V$3,$J177&lt;=IF(param_mode_affichage="mois",EOMONTH(V$3,0),V$3+6)),"◆",""))</f>
      </c>
      <c r="W177" s="26">
        <f>IF(OR($A177="",W$3=""),"",IF(AND($J177&lt;&gt;"",$K177&lt;&gt;"",$J177=$K177,$J177&gt;=W$3,$J177&lt;=IF(param_mode_affichage="mois",EOMONTH(W$3,0),W$3+6)),"◆",""))</f>
      </c>
      <c r="X177" s="26">
        <f>IF(OR($A177="",X$3=""),"",IF(AND($J177&lt;&gt;"",$K177&lt;&gt;"",$J177=$K177,$J177&gt;=X$3,$J177&lt;=IF(param_mode_affichage="mois",EOMONTH(X$3,0),X$3+6)),"◆",""))</f>
      </c>
      <c r="Y177" s="26">
        <f>IF(OR($A177="",Y$3=""),"",IF(AND($J177&lt;&gt;"",$K177&lt;&gt;"",$J177=$K177,$J177&gt;=Y$3,$J177&lt;=IF(param_mode_affichage="mois",EOMONTH(Y$3,0),Y$3+6)),"◆",""))</f>
      </c>
      <c r="Z177" s="26">
        <f>IF(OR($A177="",Z$3=""),"",IF(AND($J177&lt;&gt;"",$K177&lt;&gt;"",$J177=$K177,$J177&gt;=Z$3,$J177&lt;=IF(param_mode_affichage="mois",EOMONTH(Z$3,0),Z$3+6)),"◆",""))</f>
      </c>
      <c r="AA177" s="26">
        <f>IF(OR($A177="",AA$3=""),"",IF(AND($J177&lt;&gt;"",$K177&lt;&gt;"",$J177=$K177,$J177&gt;=AA$3,$J177&lt;=IF(param_mode_affichage="mois",EOMONTH(AA$3,0),AA$3+6)),"◆",""))</f>
      </c>
      <c r="AB177" s="26">
        <f>IF(OR($A177="",AB$3=""),"",IF(AND($J177&lt;&gt;"",$K177&lt;&gt;"",$J177=$K177,$J177&gt;=AB$3,$J177&lt;=IF(param_mode_affichage="mois",EOMONTH(AB$3,0),AB$3+6)),"◆",""))</f>
      </c>
      <c r="AC177" s="26">
        <f>IF(OR($A177="",AC$3=""),"",IF(AND($J177&lt;&gt;"",$K177&lt;&gt;"",$J177=$K177,$J177&gt;=AC$3,$J177&lt;=IF(param_mode_affichage="mois",EOMONTH(AC$3,0),AC$3+6)),"◆",""))</f>
      </c>
      <c r="AD177" s="26">
        <f>IF(OR($A177="",AD$3=""),"",IF(AND($J177&lt;&gt;"",$K177&lt;&gt;"",$J177=$K177,$J177&gt;=AD$3,$J177&lt;=IF(param_mode_affichage="mois",EOMONTH(AD$3,0),AD$3+6)),"◆",""))</f>
      </c>
      <c r="AE177" s="26">
        <f>IF(OR($A177="",AE$3=""),"",IF(AND($J177&lt;&gt;"",$K177&lt;&gt;"",$J177=$K177,$J177&gt;=AE$3,$J177&lt;=IF(param_mode_affichage="mois",EOMONTH(AE$3,0),AE$3+6)),"◆",""))</f>
      </c>
      <c r="AF177" s="26">
        <f>IF(OR($A177="",AF$3=""),"",IF(AND($J177&lt;&gt;"",$K177&lt;&gt;"",$J177=$K177,$J177&gt;=AF$3,$J177&lt;=IF(param_mode_affichage="mois",EOMONTH(AF$3,0),AF$3+6)),"◆",""))</f>
      </c>
      <c r="AG177" s="26">
        <f>IF(OR($A177="",AG$3=""),"",IF(AND($J177&lt;&gt;"",$K177&lt;&gt;"",$J177=$K177,$J177&gt;=AG$3,$J177&lt;=IF(param_mode_affichage="mois",EOMONTH(AG$3,0),AG$3+6)),"◆",""))</f>
      </c>
      <c r="AH177" s="26">
        <f>IF(OR($A177="",AH$3=""),"",IF(AND($J177&lt;&gt;"",$K177&lt;&gt;"",$J177=$K177,$J177&gt;=AH$3,$J177&lt;=IF(param_mode_affichage="mois",EOMONTH(AH$3,0),AH$3+6)),"◆",""))</f>
      </c>
      <c r="AI177" s="26">
        <f>IF(OR($A177="",AI$3=""),"",IF(AND($J177&lt;&gt;"",$K177&lt;&gt;"",$J177=$K177,$J177&gt;=AI$3,$J177&lt;=IF(param_mode_affichage="mois",EOMONTH(AI$3,0),AI$3+6)),"◆",""))</f>
      </c>
      <c r="AJ177" s="26">
        <f>IF(OR($A177="",AJ$3=""),"",IF(AND($J177&lt;&gt;"",$K177&lt;&gt;"",$J177=$K177,$J177&gt;=AJ$3,$J177&lt;=IF(param_mode_affichage="mois",EOMONTH(AJ$3,0),AJ$3+6)),"◆",""))</f>
      </c>
      <c r="AK177" s="26">
        <f>IF(OR($A177="",AK$3=""),"",IF(AND($J177&lt;&gt;"",$K177&lt;&gt;"",$J177=$K177,$J177&gt;=AK$3,$J177&lt;=IF(param_mode_affichage="mois",EOMONTH(AK$3,0),AK$3+6)),"◆",""))</f>
      </c>
      <c r="AL177" s="26">
        <f>IF(OR($A177="",AL$3=""),"",IF(AND($J177&lt;&gt;"",$K177&lt;&gt;"",$J177=$K177,$J177&gt;=AL$3,$J177&lt;=IF(param_mode_affichage="mois",EOMONTH(AL$3,0),AL$3+6)),"◆",""))</f>
      </c>
      <c r="AM177" s="26">
        <f>IF(OR($A177="",AM$3=""),"",IF(AND($J177&lt;&gt;"",$K177&lt;&gt;"",$J177=$K177,$J177&gt;=AM$3,$J177&lt;=IF(param_mode_affichage="mois",EOMONTH(AM$3,0),AM$3+6)),"◆",""))</f>
      </c>
      <c r="AN177" s="26">
        <f>IF(OR($A177="",AN$3=""),"",IF(AND($J177&lt;&gt;"",$K177&lt;&gt;"",$J177=$K177,$J177&gt;=AN$3,$J177&lt;=IF(param_mode_affichage="mois",EOMONTH(AN$3,0),AN$3+6)),"◆",""))</f>
      </c>
      <c r="AO177" s="26">
        <f>IF(OR($A177="",AO$3=""),"",IF(AND($J177&lt;&gt;"",$K177&lt;&gt;"",$J177=$K177,$J177&gt;=AO$3,$J177&lt;=IF(param_mode_affichage="mois",EOMONTH(AO$3,0),AO$3+6)),"◆",""))</f>
      </c>
      <c r="AP177" s="26">
        <f>IF(OR($A177="",AP$3=""),"",IF(AND($J177&lt;&gt;"",$K177&lt;&gt;"",$J177=$K177,$J177&gt;=AP$3,$J177&lt;=IF(param_mode_affichage="mois",EOMONTH(AP$3,0),AP$3+6)),"◆",""))</f>
      </c>
      <c r="AQ177" s="26">
        <f>IF(OR($A177="",AQ$3=""),"",IF(AND($J177&lt;&gt;"",$K177&lt;&gt;"",$J177=$K177,$J177&gt;=AQ$3,$J177&lt;=IF(param_mode_affichage="mois",EOMONTH(AQ$3,0),AQ$3+6)),"◆",""))</f>
      </c>
      <c r="AR177" s="26">
        <f>IF(OR($A177="",AR$3=""),"",IF(AND($J177&lt;&gt;"",$K177&lt;&gt;"",$J177=$K177,$J177&gt;=AR$3,$J177&lt;=IF(param_mode_affichage="mois",EOMONTH(AR$3,0),AR$3+6)),"◆",""))</f>
      </c>
      <c r="AS177" s="26">
        <f>IF(OR($A177="",AS$3=""),"",IF(AND($J177&lt;&gt;"",$K177&lt;&gt;"",$J177=$K177,$J177&gt;=AS$3,$J177&lt;=IF(param_mode_affichage="mois",EOMONTH(AS$3,0),AS$3+6)),"◆",""))</f>
      </c>
      <c r="AT177" s="26">
        <f>IF(OR($A177="",AT$3=""),"",IF(AND($J177&lt;&gt;"",$K177&lt;&gt;"",$J177=$K177,$J177&gt;=AT$3,$J177&lt;=IF(param_mode_affichage="mois",EOMONTH(AT$3,0),AT$3+6)),"◆",""))</f>
      </c>
      <c r="AU177" s="26">
        <f>IF(OR($A177="",AU$3=""),"",IF(AND($J177&lt;&gt;"",$K177&lt;&gt;"",$J177=$K177,$J177&gt;=AU$3,$J177&lt;=IF(param_mode_affichage="mois",EOMONTH(AU$3,0),AU$3+6)),"◆",""))</f>
      </c>
      <c r="AV177" s="26">
        <f>IF(OR($A177="",AV$3=""),"",IF(AND($J177&lt;&gt;"",$K177&lt;&gt;"",$J177=$K177,$J177&gt;=AV$3,$J177&lt;=IF(param_mode_affichage="mois",EOMONTH(AV$3,0),AV$3+6)),"◆",""))</f>
      </c>
      <c r="AW177" s="26">
        <f>IF(OR($A177="",AW$3=""),"",IF(AND($J177&lt;&gt;"",$K177&lt;&gt;"",$J177=$K177,$J177&gt;=AW$3,$J177&lt;=IF(param_mode_affichage="mois",EOMONTH(AW$3,0),AW$3+6)),"◆",""))</f>
      </c>
      <c r="AX177" s="26">
        <f>IF(OR($A177="",AX$3=""),"",IF(AND($J177&lt;&gt;"",$K177&lt;&gt;"",$J177=$K177,$J177&gt;=AX$3,$J177&lt;=IF(param_mode_affichage="mois",EOMONTH(AX$3,0),AX$3+6)),"◆",""))</f>
      </c>
      <c r="AY177" s="26">
        <f>IF(OR($A177="",AY$3=""),"",IF(AND($J177&lt;&gt;"",$K177&lt;&gt;"",$J177=$K177,$J177&gt;=AY$3,$J177&lt;=IF(param_mode_affichage="mois",EOMONTH(AY$3,0),AY$3+6)),"◆",""))</f>
      </c>
      <c r="AZ177" s="26">
        <f>IF(OR($A177="",AZ$3=""),"",IF(AND($J177&lt;&gt;"",$K177&lt;&gt;"",$J177=$K177,$J177&gt;=AZ$3,$J177&lt;=IF(param_mode_affichage="mois",EOMONTH(AZ$3,0),AZ$3+6)),"◆",""))</f>
      </c>
      <c r="BA177" s="26">
        <f>IF(OR($A177="",BA$3=""),"",IF(AND($J177&lt;&gt;"",$K177&lt;&gt;"",$J177=$K177,$J177&gt;=BA$3,$J177&lt;=IF(param_mode_affichage="mois",EOMONTH(BA$3,0),BA$3+6)),"◆",""))</f>
      </c>
      <c r="BB177" s="26">
        <f>IF(OR($A177="",BB$3=""),"",IF(AND($J177&lt;&gt;"",$K177&lt;&gt;"",$J177=$K177,$J177&gt;=BB$3,$J177&lt;=IF(param_mode_affichage="mois",EOMONTH(BB$3,0),BB$3+6)),"◆",""))</f>
      </c>
      <c r="BC177" s="26">
        <f>IF(OR($A177="",BC$3=""),"",IF(AND($J177&lt;&gt;"",$K177&lt;&gt;"",$J177=$K177,$J177&gt;=BC$3,$J177&lt;=IF(param_mode_affichage="mois",EOMONTH(BC$3,0),BC$3+6)),"◆",""))</f>
      </c>
      <c r="BD177" s="26">
        <f>IF(OR($A177="",BD$3=""),"",IF(AND($J177&lt;&gt;"",$K177&lt;&gt;"",$J177=$K177,$J177&gt;=BD$3,$J177&lt;=IF(param_mode_affichage="mois",EOMONTH(BD$3,0),BD$3+6)),"◆",""))</f>
      </c>
      <c r="BE177" s="26">
        <f>IF(OR($A177="",BE$3=""),"",IF(AND($J177&lt;&gt;"",$K177&lt;&gt;"",$J177=$K177,$J177&gt;=BE$3,$J177&lt;=IF(param_mode_affichage="mois",EOMONTH(BE$3,0),BE$3+6)),"◆",""))</f>
      </c>
      <c r="BF177" s="26">
        <f>IF(OR($A177="",BF$3=""),"",IF(AND($J177&lt;&gt;"",$K177&lt;&gt;"",$J177=$K177,$J177&gt;=BF$3,$J177&lt;=IF(param_mode_affichage="mois",EOMONTH(BF$3,0),BF$3+6)),"◆",""))</f>
      </c>
      <c r="BG177" s="26">
        <f>IF(OR($A177="",BG$3=""),"",IF(AND($J177&lt;&gt;"",$K177&lt;&gt;"",$J177=$K177,$J177&gt;=BG$3,$J177&lt;=IF(param_mode_affichage="mois",EOMONTH(BG$3,0),BG$3+6)),"◆",""))</f>
      </c>
      <c r="BH177" s="26">
        <f>IF(OR($A177="",BH$3=""),"",IF(AND($J177&lt;&gt;"",$K177&lt;&gt;"",$J177=$K177,$J177&gt;=BH$3,$J177&lt;=IF(param_mode_affichage="mois",EOMONTH(BH$3,0),BH$3+6)),"◆",""))</f>
      </c>
      <c r="BI177" s="26">
        <f>IF(OR($A177="",BI$3=""),"",IF(AND($J177&lt;&gt;"",$K177&lt;&gt;"",$J177=$K177,$J177&gt;=BI$3,$J177&lt;=IF(param_mode_affichage="mois",EOMONTH(BI$3,0),BI$3+6)),"◆",""))</f>
      </c>
      <c r="BJ177" s="26">
        <f>IF(OR($A177="",BJ$3=""),"",IF(AND($J177&lt;&gt;"",$K177&lt;&gt;"",$J177=$K177,$J177&gt;=BJ$3,$J177&lt;=IF(param_mode_affichage="mois",EOMONTH(BJ$3,0),BJ$3+6)),"◆",""))</f>
      </c>
      <c r="BK177" s="26">
        <f>IF(OR($A177="",BK$3=""),"",IF(AND($J177&lt;&gt;"",$K177&lt;&gt;"",$J177=$K177,$J177&gt;=BK$3,$J177&lt;=IF(param_mode_affichage="mois",EOMONTH(BK$3,0),BK$3+6)),"◆",""))</f>
      </c>
      <c r="BL177" s="26">
        <f>IF(OR($A177="",BL$3=""),"",IF(AND($J177&lt;&gt;"",$K177&lt;&gt;"",$J177=$K177,$J177&gt;=BL$3,$J177&lt;=IF(param_mode_affichage="mois",EOMONTH(BL$3,0),BL$3+6)),"◆",""))</f>
      </c>
    </row>
    <row r="178" spans="1:64" x14ac:dyDescent="0.25">
      <c r="A178" s="23">
        <f>IFERROR(INDEX(tblTasks[ID],ROW()-4),"")</f>
      </c>
      <c r="B178" s="24">
        <f>IF($A178="","",INDEX(tblTasks[Sujet],ROW()-4))</f>
      </c>
      <c r="C178" s="23">
        <f>IF($A178="","",INDEX(tblTasks[Responsable],ROW()-4))</f>
      </c>
      <c r="D178" s="23">
        <f>IF($A178="","",INDEX(tblTasks[Statut],ROW()-4))</f>
      </c>
      <c r="E178" s="23">
        <f>IF($A178="","",INDEX(tblTasks[Depend_de],ROW()-4))</f>
      </c>
      <c r="F178" s="23">
        <f>IF($A178="","",INDEX(tblTasks[Blocage],ROW()-4))</f>
      </c>
      <c r="G178" s="23">
        <f>IF($A178="","",INDEX(tblTasks[Niveau_criticite],ROW()-4))</f>
      </c>
      <c r="H178" s="23">
        <f>IF($A178="","",INDEX(tblTasks[Goulot],ROW()-4))</f>
      </c>
      <c r="I178" s="23">
        <f>IF($A178="","",IF(LOWER($F178)="oui","non",IF($E178="","oui",IFERROR(IF(LOWER(INDEX(tblTasks[Statut],MATCH($E178,tblTasks[ID],0)))="clos","oui","non"),"non"))))</f>
      </c>
      <c r="J178" s="25">
        <f>IF($A178="","",INDEX(tblTasks[Date_debut_prevue],ROW()-4))</f>
      </c>
      <c r="K178" s="25">
        <f>IF($A178="","",INDEX(tblTasks[Date_fin_prevue],ROW()-4))</f>
      </c>
      <c r="L178" s="23">
        <f>IF($A178="","",INDEX(tblTasks[Irreversibilite],ROW()-4))</f>
      </c>
      <c r="M178" s="26">
        <f>IF(OR($A178="",M$3=""),"",IF(AND($J178&lt;&gt;"",$K178&lt;&gt;"",$J178=$K178,$J178&gt;=M$3,$J178&lt;=IF(param_mode_affichage="mois",EOMONTH(M$3,0),M$3+6)),"◆",""))</f>
      </c>
      <c r="N178" s="26">
        <f>IF(OR($A178="",N$3=""),"",IF(AND($J178&lt;&gt;"",$K178&lt;&gt;"",$J178=$K178,$J178&gt;=N$3,$J178&lt;=IF(param_mode_affichage="mois",EOMONTH(N$3,0),N$3+6)),"◆",""))</f>
      </c>
      <c r="O178" s="26">
        <f>IF(OR($A178="",O$3=""),"",IF(AND($J178&lt;&gt;"",$K178&lt;&gt;"",$J178=$K178,$J178&gt;=O$3,$J178&lt;=IF(param_mode_affichage="mois",EOMONTH(O$3,0),O$3+6)),"◆",""))</f>
      </c>
      <c r="P178" s="26">
        <f>IF(OR($A178="",P$3=""),"",IF(AND($J178&lt;&gt;"",$K178&lt;&gt;"",$J178=$K178,$J178&gt;=P$3,$J178&lt;=IF(param_mode_affichage="mois",EOMONTH(P$3,0),P$3+6)),"◆",""))</f>
      </c>
      <c r="Q178" s="26">
        <f>IF(OR($A178="",Q$3=""),"",IF(AND($J178&lt;&gt;"",$K178&lt;&gt;"",$J178=$K178,$J178&gt;=Q$3,$J178&lt;=IF(param_mode_affichage="mois",EOMONTH(Q$3,0),Q$3+6)),"◆",""))</f>
      </c>
      <c r="R178" s="26">
        <f>IF(OR($A178="",R$3=""),"",IF(AND($J178&lt;&gt;"",$K178&lt;&gt;"",$J178=$K178,$J178&gt;=R$3,$J178&lt;=IF(param_mode_affichage="mois",EOMONTH(R$3,0),R$3+6)),"◆",""))</f>
      </c>
      <c r="S178" s="26">
        <f>IF(OR($A178="",S$3=""),"",IF(AND($J178&lt;&gt;"",$K178&lt;&gt;"",$J178=$K178,$J178&gt;=S$3,$J178&lt;=IF(param_mode_affichage="mois",EOMONTH(S$3,0),S$3+6)),"◆",""))</f>
      </c>
      <c r="T178" s="26">
        <f>IF(OR($A178="",T$3=""),"",IF(AND($J178&lt;&gt;"",$K178&lt;&gt;"",$J178=$K178,$J178&gt;=T$3,$J178&lt;=IF(param_mode_affichage="mois",EOMONTH(T$3,0),T$3+6)),"◆",""))</f>
      </c>
      <c r="U178" s="26">
        <f>IF(OR($A178="",U$3=""),"",IF(AND($J178&lt;&gt;"",$K178&lt;&gt;"",$J178=$K178,$J178&gt;=U$3,$J178&lt;=IF(param_mode_affichage="mois",EOMONTH(U$3,0),U$3+6)),"◆",""))</f>
      </c>
      <c r="V178" s="26">
        <f>IF(OR($A178="",V$3=""),"",IF(AND($J178&lt;&gt;"",$K178&lt;&gt;"",$J178=$K178,$J178&gt;=V$3,$J178&lt;=IF(param_mode_affichage="mois",EOMONTH(V$3,0),V$3+6)),"◆",""))</f>
      </c>
      <c r="W178" s="26">
        <f>IF(OR($A178="",W$3=""),"",IF(AND($J178&lt;&gt;"",$K178&lt;&gt;"",$J178=$K178,$J178&gt;=W$3,$J178&lt;=IF(param_mode_affichage="mois",EOMONTH(W$3,0),W$3+6)),"◆",""))</f>
      </c>
      <c r="X178" s="26">
        <f>IF(OR($A178="",X$3=""),"",IF(AND($J178&lt;&gt;"",$K178&lt;&gt;"",$J178=$K178,$J178&gt;=X$3,$J178&lt;=IF(param_mode_affichage="mois",EOMONTH(X$3,0),X$3+6)),"◆",""))</f>
      </c>
      <c r="Y178" s="26">
        <f>IF(OR($A178="",Y$3=""),"",IF(AND($J178&lt;&gt;"",$K178&lt;&gt;"",$J178=$K178,$J178&gt;=Y$3,$J178&lt;=IF(param_mode_affichage="mois",EOMONTH(Y$3,0),Y$3+6)),"◆",""))</f>
      </c>
      <c r="Z178" s="26">
        <f>IF(OR($A178="",Z$3=""),"",IF(AND($J178&lt;&gt;"",$K178&lt;&gt;"",$J178=$K178,$J178&gt;=Z$3,$J178&lt;=IF(param_mode_affichage="mois",EOMONTH(Z$3,0),Z$3+6)),"◆",""))</f>
      </c>
      <c r="AA178" s="26">
        <f>IF(OR($A178="",AA$3=""),"",IF(AND($J178&lt;&gt;"",$K178&lt;&gt;"",$J178=$K178,$J178&gt;=AA$3,$J178&lt;=IF(param_mode_affichage="mois",EOMONTH(AA$3,0),AA$3+6)),"◆",""))</f>
      </c>
      <c r="AB178" s="26">
        <f>IF(OR($A178="",AB$3=""),"",IF(AND($J178&lt;&gt;"",$K178&lt;&gt;"",$J178=$K178,$J178&gt;=AB$3,$J178&lt;=IF(param_mode_affichage="mois",EOMONTH(AB$3,0),AB$3+6)),"◆",""))</f>
      </c>
      <c r="AC178" s="26">
        <f>IF(OR($A178="",AC$3=""),"",IF(AND($J178&lt;&gt;"",$K178&lt;&gt;"",$J178=$K178,$J178&gt;=AC$3,$J178&lt;=IF(param_mode_affichage="mois",EOMONTH(AC$3,0),AC$3+6)),"◆",""))</f>
      </c>
      <c r="AD178" s="26">
        <f>IF(OR($A178="",AD$3=""),"",IF(AND($J178&lt;&gt;"",$K178&lt;&gt;"",$J178=$K178,$J178&gt;=AD$3,$J178&lt;=IF(param_mode_affichage="mois",EOMONTH(AD$3,0),AD$3+6)),"◆",""))</f>
      </c>
      <c r="AE178" s="26">
        <f>IF(OR($A178="",AE$3=""),"",IF(AND($J178&lt;&gt;"",$K178&lt;&gt;"",$J178=$K178,$J178&gt;=AE$3,$J178&lt;=IF(param_mode_affichage="mois",EOMONTH(AE$3,0),AE$3+6)),"◆",""))</f>
      </c>
      <c r="AF178" s="26">
        <f>IF(OR($A178="",AF$3=""),"",IF(AND($J178&lt;&gt;"",$K178&lt;&gt;"",$J178=$K178,$J178&gt;=AF$3,$J178&lt;=IF(param_mode_affichage="mois",EOMONTH(AF$3,0),AF$3+6)),"◆",""))</f>
      </c>
      <c r="AG178" s="26">
        <f>IF(OR($A178="",AG$3=""),"",IF(AND($J178&lt;&gt;"",$K178&lt;&gt;"",$J178=$K178,$J178&gt;=AG$3,$J178&lt;=IF(param_mode_affichage="mois",EOMONTH(AG$3,0),AG$3+6)),"◆",""))</f>
      </c>
      <c r="AH178" s="26">
        <f>IF(OR($A178="",AH$3=""),"",IF(AND($J178&lt;&gt;"",$K178&lt;&gt;"",$J178=$K178,$J178&gt;=AH$3,$J178&lt;=IF(param_mode_affichage="mois",EOMONTH(AH$3,0),AH$3+6)),"◆",""))</f>
      </c>
      <c r="AI178" s="26">
        <f>IF(OR($A178="",AI$3=""),"",IF(AND($J178&lt;&gt;"",$K178&lt;&gt;"",$J178=$K178,$J178&gt;=AI$3,$J178&lt;=IF(param_mode_affichage="mois",EOMONTH(AI$3,0),AI$3+6)),"◆",""))</f>
      </c>
      <c r="AJ178" s="26">
        <f>IF(OR($A178="",AJ$3=""),"",IF(AND($J178&lt;&gt;"",$K178&lt;&gt;"",$J178=$K178,$J178&gt;=AJ$3,$J178&lt;=IF(param_mode_affichage="mois",EOMONTH(AJ$3,0),AJ$3+6)),"◆",""))</f>
      </c>
      <c r="AK178" s="26">
        <f>IF(OR($A178="",AK$3=""),"",IF(AND($J178&lt;&gt;"",$K178&lt;&gt;"",$J178=$K178,$J178&gt;=AK$3,$J178&lt;=IF(param_mode_affichage="mois",EOMONTH(AK$3,0),AK$3+6)),"◆",""))</f>
      </c>
      <c r="AL178" s="26">
        <f>IF(OR($A178="",AL$3=""),"",IF(AND($J178&lt;&gt;"",$K178&lt;&gt;"",$J178=$K178,$J178&gt;=AL$3,$J178&lt;=IF(param_mode_affichage="mois",EOMONTH(AL$3,0),AL$3+6)),"◆",""))</f>
      </c>
      <c r="AM178" s="26">
        <f>IF(OR($A178="",AM$3=""),"",IF(AND($J178&lt;&gt;"",$K178&lt;&gt;"",$J178=$K178,$J178&gt;=AM$3,$J178&lt;=IF(param_mode_affichage="mois",EOMONTH(AM$3,0),AM$3+6)),"◆",""))</f>
      </c>
      <c r="AN178" s="26">
        <f>IF(OR($A178="",AN$3=""),"",IF(AND($J178&lt;&gt;"",$K178&lt;&gt;"",$J178=$K178,$J178&gt;=AN$3,$J178&lt;=IF(param_mode_affichage="mois",EOMONTH(AN$3,0),AN$3+6)),"◆",""))</f>
      </c>
      <c r="AO178" s="26">
        <f>IF(OR($A178="",AO$3=""),"",IF(AND($J178&lt;&gt;"",$K178&lt;&gt;"",$J178=$K178,$J178&gt;=AO$3,$J178&lt;=IF(param_mode_affichage="mois",EOMONTH(AO$3,0),AO$3+6)),"◆",""))</f>
      </c>
      <c r="AP178" s="26">
        <f>IF(OR($A178="",AP$3=""),"",IF(AND($J178&lt;&gt;"",$K178&lt;&gt;"",$J178=$K178,$J178&gt;=AP$3,$J178&lt;=IF(param_mode_affichage="mois",EOMONTH(AP$3,0),AP$3+6)),"◆",""))</f>
      </c>
      <c r="AQ178" s="26">
        <f>IF(OR($A178="",AQ$3=""),"",IF(AND($J178&lt;&gt;"",$K178&lt;&gt;"",$J178=$K178,$J178&gt;=AQ$3,$J178&lt;=IF(param_mode_affichage="mois",EOMONTH(AQ$3,0),AQ$3+6)),"◆",""))</f>
      </c>
      <c r="AR178" s="26">
        <f>IF(OR($A178="",AR$3=""),"",IF(AND($J178&lt;&gt;"",$K178&lt;&gt;"",$J178=$K178,$J178&gt;=AR$3,$J178&lt;=IF(param_mode_affichage="mois",EOMONTH(AR$3,0),AR$3+6)),"◆",""))</f>
      </c>
      <c r="AS178" s="26">
        <f>IF(OR($A178="",AS$3=""),"",IF(AND($J178&lt;&gt;"",$K178&lt;&gt;"",$J178=$K178,$J178&gt;=AS$3,$J178&lt;=IF(param_mode_affichage="mois",EOMONTH(AS$3,0),AS$3+6)),"◆",""))</f>
      </c>
      <c r="AT178" s="26">
        <f>IF(OR($A178="",AT$3=""),"",IF(AND($J178&lt;&gt;"",$K178&lt;&gt;"",$J178=$K178,$J178&gt;=AT$3,$J178&lt;=IF(param_mode_affichage="mois",EOMONTH(AT$3,0),AT$3+6)),"◆",""))</f>
      </c>
      <c r="AU178" s="26">
        <f>IF(OR($A178="",AU$3=""),"",IF(AND($J178&lt;&gt;"",$K178&lt;&gt;"",$J178=$K178,$J178&gt;=AU$3,$J178&lt;=IF(param_mode_affichage="mois",EOMONTH(AU$3,0),AU$3+6)),"◆",""))</f>
      </c>
      <c r="AV178" s="26">
        <f>IF(OR($A178="",AV$3=""),"",IF(AND($J178&lt;&gt;"",$K178&lt;&gt;"",$J178=$K178,$J178&gt;=AV$3,$J178&lt;=IF(param_mode_affichage="mois",EOMONTH(AV$3,0),AV$3+6)),"◆",""))</f>
      </c>
      <c r="AW178" s="26">
        <f>IF(OR($A178="",AW$3=""),"",IF(AND($J178&lt;&gt;"",$K178&lt;&gt;"",$J178=$K178,$J178&gt;=AW$3,$J178&lt;=IF(param_mode_affichage="mois",EOMONTH(AW$3,0),AW$3+6)),"◆",""))</f>
      </c>
      <c r="AX178" s="26">
        <f>IF(OR($A178="",AX$3=""),"",IF(AND($J178&lt;&gt;"",$K178&lt;&gt;"",$J178=$K178,$J178&gt;=AX$3,$J178&lt;=IF(param_mode_affichage="mois",EOMONTH(AX$3,0),AX$3+6)),"◆",""))</f>
      </c>
      <c r="AY178" s="26">
        <f>IF(OR($A178="",AY$3=""),"",IF(AND($J178&lt;&gt;"",$K178&lt;&gt;"",$J178=$K178,$J178&gt;=AY$3,$J178&lt;=IF(param_mode_affichage="mois",EOMONTH(AY$3,0),AY$3+6)),"◆",""))</f>
      </c>
      <c r="AZ178" s="26">
        <f>IF(OR($A178="",AZ$3=""),"",IF(AND($J178&lt;&gt;"",$K178&lt;&gt;"",$J178=$K178,$J178&gt;=AZ$3,$J178&lt;=IF(param_mode_affichage="mois",EOMONTH(AZ$3,0),AZ$3+6)),"◆",""))</f>
      </c>
      <c r="BA178" s="26">
        <f>IF(OR($A178="",BA$3=""),"",IF(AND($J178&lt;&gt;"",$K178&lt;&gt;"",$J178=$K178,$J178&gt;=BA$3,$J178&lt;=IF(param_mode_affichage="mois",EOMONTH(BA$3,0),BA$3+6)),"◆",""))</f>
      </c>
      <c r="BB178" s="26">
        <f>IF(OR($A178="",BB$3=""),"",IF(AND($J178&lt;&gt;"",$K178&lt;&gt;"",$J178=$K178,$J178&gt;=BB$3,$J178&lt;=IF(param_mode_affichage="mois",EOMONTH(BB$3,0),BB$3+6)),"◆",""))</f>
      </c>
      <c r="BC178" s="26">
        <f>IF(OR($A178="",BC$3=""),"",IF(AND($J178&lt;&gt;"",$K178&lt;&gt;"",$J178=$K178,$J178&gt;=BC$3,$J178&lt;=IF(param_mode_affichage="mois",EOMONTH(BC$3,0),BC$3+6)),"◆",""))</f>
      </c>
      <c r="BD178" s="26">
        <f>IF(OR($A178="",BD$3=""),"",IF(AND($J178&lt;&gt;"",$K178&lt;&gt;"",$J178=$K178,$J178&gt;=BD$3,$J178&lt;=IF(param_mode_affichage="mois",EOMONTH(BD$3,0),BD$3+6)),"◆",""))</f>
      </c>
      <c r="BE178" s="26">
        <f>IF(OR($A178="",BE$3=""),"",IF(AND($J178&lt;&gt;"",$K178&lt;&gt;"",$J178=$K178,$J178&gt;=BE$3,$J178&lt;=IF(param_mode_affichage="mois",EOMONTH(BE$3,0),BE$3+6)),"◆",""))</f>
      </c>
      <c r="BF178" s="26">
        <f>IF(OR($A178="",BF$3=""),"",IF(AND($J178&lt;&gt;"",$K178&lt;&gt;"",$J178=$K178,$J178&gt;=BF$3,$J178&lt;=IF(param_mode_affichage="mois",EOMONTH(BF$3,0),BF$3+6)),"◆",""))</f>
      </c>
      <c r="BG178" s="26">
        <f>IF(OR($A178="",BG$3=""),"",IF(AND($J178&lt;&gt;"",$K178&lt;&gt;"",$J178=$K178,$J178&gt;=BG$3,$J178&lt;=IF(param_mode_affichage="mois",EOMONTH(BG$3,0),BG$3+6)),"◆",""))</f>
      </c>
      <c r="BH178" s="26">
        <f>IF(OR($A178="",BH$3=""),"",IF(AND($J178&lt;&gt;"",$K178&lt;&gt;"",$J178=$K178,$J178&gt;=BH$3,$J178&lt;=IF(param_mode_affichage="mois",EOMONTH(BH$3,0),BH$3+6)),"◆",""))</f>
      </c>
      <c r="BI178" s="26">
        <f>IF(OR($A178="",BI$3=""),"",IF(AND($J178&lt;&gt;"",$K178&lt;&gt;"",$J178=$K178,$J178&gt;=BI$3,$J178&lt;=IF(param_mode_affichage="mois",EOMONTH(BI$3,0),BI$3+6)),"◆",""))</f>
      </c>
      <c r="BJ178" s="26">
        <f>IF(OR($A178="",BJ$3=""),"",IF(AND($J178&lt;&gt;"",$K178&lt;&gt;"",$J178=$K178,$J178&gt;=BJ$3,$J178&lt;=IF(param_mode_affichage="mois",EOMONTH(BJ$3,0),BJ$3+6)),"◆",""))</f>
      </c>
      <c r="BK178" s="26">
        <f>IF(OR($A178="",BK$3=""),"",IF(AND($J178&lt;&gt;"",$K178&lt;&gt;"",$J178=$K178,$J178&gt;=BK$3,$J178&lt;=IF(param_mode_affichage="mois",EOMONTH(BK$3,0),BK$3+6)),"◆",""))</f>
      </c>
      <c r="BL178" s="26">
        <f>IF(OR($A178="",BL$3=""),"",IF(AND($J178&lt;&gt;"",$K178&lt;&gt;"",$J178=$K178,$J178&gt;=BL$3,$J178&lt;=IF(param_mode_affichage="mois",EOMONTH(BL$3,0),BL$3+6)),"◆",""))</f>
      </c>
    </row>
    <row r="179" spans="1:64" x14ac:dyDescent="0.25">
      <c r="A179" s="23">
        <f>IFERROR(INDEX(tblTasks[ID],ROW()-4),"")</f>
      </c>
      <c r="B179" s="24">
        <f>IF($A179="","",INDEX(tblTasks[Sujet],ROW()-4))</f>
      </c>
      <c r="C179" s="23">
        <f>IF($A179="","",INDEX(tblTasks[Responsable],ROW()-4))</f>
      </c>
      <c r="D179" s="23">
        <f>IF($A179="","",INDEX(tblTasks[Statut],ROW()-4))</f>
      </c>
      <c r="E179" s="23">
        <f>IF($A179="","",INDEX(tblTasks[Depend_de],ROW()-4))</f>
      </c>
      <c r="F179" s="23">
        <f>IF($A179="","",INDEX(tblTasks[Blocage],ROW()-4))</f>
      </c>
      <c r="G179" s="23">
        <f>IF($A179="","",INDEX(tblTasks[Niveau_criticite],ROW()-4))</f>
      </c>
      <c r="H179" s="23">
        <f>IF($A179="","",INDEX(tblTasks[Goulot],ROW()-4))</f>
      </c>
      <c r="I179" s="23">
        <f>IF($A179="","",IF(LOWER($F179)="oui","non",IF($E179="","oui",IFERROR(IF(LOWER(INDEX(tblTasks[Statut],MATCH($E179,tblTasks[ID],0)))="clos","oui","non"),"non"))))</f>
      </c>
      <c r="J179" s="25">
        <f>IF($A179="","",INDEX(tblTasks[Date_debut_prevue],ROW()-4))</f>
      </c>
      <c r="K179" s="25">
        <f>IF($A179="","",INDEX(tblTasks[Date_fin_prevue],ROW()-4))</f>
      </c>
      <c r="L179" s="23">
        <f>IF($A179="","",INDEX(tblTasks[Irreversibilite],ROW()-4))</f>
      </c>
      <c r="M179" s="26">
        <f>IF(OR($A179="",M$3=""),"",IF(AND($J179&lt;&gt;"",$K179&lt;&gt;"",$J179=$K179,$J179&gt;=M$3,$J179&lt;=IF(param_mode_affichage="mois",EOMONTH(M$3,0),M$3+6)),"◆",""))</f>
      </c>
      <c r="N179" s="26">
        <f>IF(OR($A179="",N$3=""),"",IF(AND($J179&lt;&gt;"",$K179&lt;&gt;"",$J179=$K179,$J179&gt;=N$3,$J179&lt;=IF(param_mode_affichage="mois",EOMONTH(N$3,0),N$3+6)),"◆",""))</f>
      </c>
      <c r="O179" s="26">
        <f>IF(OR($A179="",O$3=""),"",IF(AND($J179&lt;&gt;"",$K179&lt;&gt;"",$J179=$K179,$J179&gt;=O$3,$J179&lt;=IF(param_mode_affichage="mois",EOMONTH(O$3,0),O$3+6)),"◆",""))</f>
      </c>
      <c r="P179" s="26">
        <f>IF(OR($A179="",P$3=""),"",IF(AND($J179&lt;&gt;"",$K179&lt;&gt;"",$J179=$K179,$J179&gt;=P$3,$J179&lt;=IF(param_mode_affichage="mois",EOMONTH(P$3,0),P$3+6)),"◆",""))</f>
      </c>
      <c r="Q179" s="26">
        <f>IF(OR($A179="",Q$3=""),"",IF(AND($J179&lt;&gt;"",$K179&lt;&gt;"",$J179=$K179,$J179&gt;=Q$3,$J179&lt;=IF(param_mode_affichage="mois",EOMONTH(Q$3,0),Q$3+6)),"◆",""))</f>
      </c>
      <c r="R179" s="26">
        <f>IF(OR($A179="",R$3=""),"",IF(AND($J179&lt;&gt;"",$K179&lt;&gt;"",$J179=$K179,$J179&gt;=R$3,$J179&lt;=IF(param_mode_affichage="mois",EOMONTH(R$3,0),R$3+6)),"◆",""))</f>
      </c>
      <c r="S179" s="26">
        <f>IF(OR($A179="",S$3=""),"",IF(AND($J179&lt;&gt;"",$K179&lt;&gt;"",$J179=$K179,$J179&gt;=S$3,$J179&lt;=IF(param_mode_affichage="mois",EOMONTH(S$3,0),S$3+6)),"◆",""))</f>
      </c>
      <c r="T179" s="26">
        <f>IF(OR($A179="",T$3=""),"",IF(AND($J179&lt;&gt;"",$K179&lt;&gt;"",$J179=$K179,$J179&gt;=T$3,$J179&lt;=IF(param_mode_affichage="mois",EOMONTH(T$3,0),T$3+6)),"◆",""))</f>
      </c>
      <c r="U179" s="26">
        <f>IF(OR($A179="",U$3=""),"",IF(AND($J179&lt;&gt;"",$K179&lt;&gt;"",$J179=$K179,$J179&gt;=U$3,$J179&lt;=IF(param_mode_affichage="mois",EOMONTH(U$3,0),U$3+6)),"◆",""))</f>
      </c>
      <c r="V179" s="26">
        <f>IF(OR($A179="",V$3=""),"",IF(AND($J179&lt;&gt;"",$K179&lt;&gt;"",$J179=$K179,$J179&gt;=V$3,$J179&lt;=IF(param_mode_affichage="mois",EOMONTH(V$3,0),V$3+6)),"◆",""))</f>
      </c>
      <c r="W179" s="26">
        <f>IF(OR($A179="",W$3=""),"",IF(AND($J179&lt;&gt;"",$K179&lt;&gt;"",$J179=$K179,$J179&gt;=W$3,$J179&lt;=IF(param_mode_affichage="mois",EOMONTH(W$3,0),W$3+6)),"◆",""))</f>
      </c>
      <c r="X179" s="26">
        <f>IF(OR($A179="",X$3=""),"",IF(AND($J179&lt;&gt;"",$K179&lt;&gt;"",$J179=$K179,$J179&gt;=X$3,$J179&lt;=IF(param_mode_affichage="mois",EOMONTH(X$3,0),X$3+6)),"◆",""))</f>
      </c>
      <c r="Y179" s="26">
        <f>IF(OR($A179="",Y$3=""),"",IF(AND($J179&lt;&gt;"",$K179&lt;&gt;"",$J179=$K179,$J179&gt;=Y$3,$J179&lt;=IF(param_mode_affichage="mois",EOMONTH(Y$3,0),Y$3+6)),"◆",""))</f>
      </c>
      <c r="Z179" s="26">
        <f>IF(OR($A179="",Z$3=""),"",IF(AND($J179&lt;&gt;"",$K179&lt;&gt;"",$J179=$K179,$J179&gt;=Z$3,$J179&lt;=IF(param_mode_affichage="mois",EOMONTH(Z$3,0),Z$3+6)),"◆",""))</f>
      </c>
      <c r="AA179" s="26">
        <f>IF(OR($A179="",AA$3=""),"",IF(AND($J179&lt;&gt;"",$K179&lt;&gt;"",$J179=$K179,$J179&gt;=AA$3,$J179&lt;=IF(param_mode_affichage="mois",EOMONTH(AA$3,0),AA$3+6)),"◆",""))</f>
      </c>
      <c r="AB179" s="26">
        <f>IF(OR($A179="",AB$3=""),"",IF(AND($J179&lt;&gt;"",$K179&lt;&gt;"",$J179=$K179,$J179&gt;=AB$3,$J179&lt;=IF(param_mode_affichage="mois",EOMONTH(AB$3,0),AB$3+6)),"◆",""))</f>
      </c>
      <c r="AC179" s="26">
        <f>IF(OR($A179="",AC$3=""),"",IF(AND($J179&lt;&gt;"",$K179&lt;&gt;"",$J179=$K179,$J179&gt;=AC$3,$J179&lt;=IF(param_mode_affichage="mois",EOMONTH(AC$3,0),AC$3+6)),"◆",""))</f>
      </c>
      <c r="AD179" s="26">
        <f>IF(OR($A179="",AD$3=""),"",IF(AND($J179&lt;&gt;"",$K179&lt;&gt;"",$J179=$K179,$J179&gt;=AD$3,$J179&lt;=IF(param_mode_affichage="mois",EOMONTH(AD$3,0),AD$3+6)),"◆",""))</f>
      </c>
      <c r="AE179" s="26">
        <f>IF(OR($A179="",AE$3=""),"",IF(AND($J179&lt;&gt;"",$K179&lt;&gt;"",$J179=$K179,$J179&gt;=AE$3,$J179&lt;=IF(param_mode_affichage="mois",EOMONTH(AE$3,0),AE$3+6)),"◆",""))</f>
      </c>
      <c r="AF179" s="26">
        <f>IF(OR($A179="",AF$3=""),"",IF(AND($J179&lt;&gt;"",$K179&lt;&gt;"",$J179=$K179,$J179&gt;=AF$3,$J179&lt;=IF(param_mode_affichage="mois",EOMONTH(AF$3,0),AF$3+6)),"◆",""))</f>
      </c>
      <c r="AG179" s="26">
        <f>IF(OR($A179="",AG$3=""),"",IF(AND($J179&lt;&gt;"",$K179&lt;&gt;"",$J179=$K179,$J179&gt;=AG$3,$J179&lt;=IF(param_mode_affichage="mois",EOMONTH(AG$3,0),AG$3+6)),"◆",""))</f>
      </c>
      <c r="AH179" s="26">
        <f>IF(OR($A179="",AH$3=""),"",IF(AND($J179&lt;&gt;"",$K179&lt;&gt;"",$J179=$K179,$J179&gt;=AH$3,$J179&lt;=IF(param_mode_affichage="mois",EOMONTH(AH$3,0),AH$3+6)),"◆",""))</f>
      </c>
      <c r="AI179" s="26">
        <f>IF(OR($A179="",AI$3=""),"",IF(AND($J179&lt;&gt;"",$K179&lt;&gt;"",$J179=$K179,$J179&gt;=AI$3,$J179&lt;=IF(param_mode_affichage="mois",EOMONTH(AI$3,0),AI$3+6)),"◆",""))</f>
      </c>
      <c r="AJ179" s="26">
        <f>IF(OR($A179="",AJ$3=""),"",IF(AND($J179&lt;&gt;"",$K179&lt;&gt;"",$J179=$K179,$J179&gt;=AJ$3,$J179&lt;=IF(param_mode_affichage="mois",EOMONTH(AJ$3,0),AJ$3+6)),"◆",""))</f>
      </c>
      <c r="AK179" s="26">
        <f>IF(OR($A179="",AK$3=""),"",IF(AND($J179&lt;&gt;"",$K179&lt;&gt;"",$J179=$K179,$J179&gt;=AK$3,$J179&lt;=IF(param_mode_affichage="mois",EOMONTH(AK$3,0),AK$3+6)),"◆",""))</f>
      </c>
      <c r="AL179" s="26">
        <f>IF(OR($A179="",AL$3=""),"",IF(AND($J179&lt;&gt;"",$K179&lt;&gt;"",$J179=$K179,$J179&gt;=AL$3,$J179&lt;=IF(param_mode_affichage="mois",EOMONTH(AL$3,0),AL$3+6)),"◆",""))</f>
      </c>
      <c r="AM179" s="26">
        <f>IF(OR($A179="",AM$3=""),"",IF(AND($J179&lt;&gt;"",$K179&lt;&gt;"",$J179=$K179,$J179&gt;=AM$3,$J179&lt;=IF(param_mode_affichage="mois",EOMONTH(AM$3,0),AM$3+6)),"◆",""))</f>
      </c>
      <c r="AN179" s="26">
        <f>IF(OR($A179="",AN$3=""),"",IF(AND($J179&lt;&gt;"",$K179&lt;&gt;"",$J179=$K179,$J179&gt;=AN$3,$J179&lt;=IF(param_mode_affichage="mois",EOMONTH(AN$3,0),AN$3+6)),"◆",""))</f>
      </c>
      <c r="AO179" s="26">
        <f>IF(OR($A179="",AO$3=""),"",IF(AND($J179&lt;&gt;"",$K179&lt;&gt;"",$J179=$K179,$J179&gt;=AO$3,$J179&lt;=IF(param_mode_affichage="mois",EOMONTH(AO$3,0),AO$3+6)),"◆",""))</f>
      </c>
      <c r="AP179" s="26">
        <f>IF(OR($A179="",AP$3=""),"",IF(AND($J179&lt;&gt;"",$K179&lt;&gt;"",$J179=$K179,$J179&gt;=AP$3,$J179&lt;=IF(param_mode_affichage="mois",EOMONTH(AP$3,0),AP$3+6)),"◆",""))</f>
      </c>
      <c r="AQ179" s="26">
        <f>IF(OR($A179="",AQ$3=""),"",IF(AND($J179&lt;&gt;"",$K179&lt;&gt;"",$J179=$K179,$J179&gt;=AQ$3,$J179&lt;=IF(param_mode_affichage="mois",EOMONTH(AQ$3,0),AQ$3+6)),"◆",""))</f>
      </c>
      <c r="AR179" s="26">
        <f>IF(OR($A179="",AR$3=""),"",IF(AND($J179&lt;&gt;"",$K179&lt;&gt;"",$J179=$K179,$J179&gt;=AR$3,$J179&lt;=IF(param_mode_affichage="mois",EOMONTH(AR$3,0),AR$3+6)),"◆",""))</f>
      </c>
      <c r="AS179" s="26">
        <f>IF(OR($A179="",AS$3=""),"",IF(AND($J179&lt;&gt;"",$K179&lt;&gt;"",$J179=$K179,$J179&gt;=AS$3,$J179&lt;=IF(param_mode_affichage="mois",EOMONTH(AS$3,0),AS$3+6)),"◆",""))</f>
      </c>
      <c r="AT179" s="26">
        <f>IF(OR($A179="",AT$3=""),"",IF(AND($J179&lt;&gt;"",$K179&lt;&gt;"",$J179=$K179,$J179&gt;=AT$3,$J179&lt;=IF(param_mode_affichage="mois",EOMONTH(AT$3,0),AT$3+6)),"◆",""))</f>
      </c>
      <c r="AU179" s="26">
        <f>IF(OR($A179="",AU$3=""),"",IF(AND($J179&lt;&gt;"",$K179&lt;&gt;"",$J179=$K179,$J179&gt;=AU$3,$J179&lt;=IF(param_mode_affichage="mois",EOMONTH(AU$3,0),AU$3+6)),"◆",""))</f>
      </c>
      <c r="AV179" s="26">
        <f>IF(OR($A179="",AV$3=""),"",IF(AND($J179&lt;&gt;"",$K179&lt;&gt;"",$J179=$K179,$J179&gt;=AV$3,$J179&lt;=IF(param_mode_affichage="mois",EOMONTH(AV$3,0),AV$3+6)),"◆",""))</f>
      </c>
      <c r="AW179" s="26">
        <f>IF(OR($A179="",AW$3=""),"",IF(AND($J179&lt;&gt;"",$K179&lt;&gt;"",$J179=$K179,$J179&gt;=AW$3,$J179&lt;=IF(param_mode_affichage="mois",EOMONTH(AW$3,0),AW$3+6)),"◆",""))</f>
      </c>
      <c r="AX179" s="26">
        <f>IF(OR($A179="",AX$3=""),"",IF(AND($J179&lt;&gt;"",$K179&lt;&gt;"",$J179=$K179,$J179&gt;=AX$3,$J179&lt;=IF(param_mode_affichage="mois",EOMONTH(AX$3,0),AX$3+6)),"◆",""))</f>
      </c>
      <c r="AY179" s="26">
        <f>IF(OR($A179="",AY$3=""),"",IF(AND($J179&lt;&gt;"",$K179&lt;&gt;"",$J179=$K179,$J179&gt;=AY$3,$J179&lt;=IF(param_mode_affichage="mois",EOMONTH(AY$3,0),AY$3+6)),"◆",""))</f>
      </c>
      <c r="AZ179" s="26">
        <f>IF(OR($A179="",AZ$3=""),"",IF(AND($J179&lt;&gt;"",$K179&lt;&gt;"",$J179=$K179,$J179&gt;=AZ$3,$J179&lt;=IF(param_mode_affichage="mois",EOMONTH(AZ$3,0),AZ$3+6)),"◆",""))</f>
      </c>
      <c r="BA179" s="26">
        <f>IF(OR($A179="",BA$3=""),"",IF(AND($J179&lt;&gt;"",$K179&lt;&gt;"",$J179=$K179,$J179&gt;=BA$3,$J179&lt;=IF(param_mode_affichage="mois",EOMONTH(BA$3,0),BA$3+6)),"◆",""))</f>
      </c>
      <c r="BB179" s="26">
        <f>IF(OR($A179="",BB$3=""),"",IF(AND($J179&lt;&gt;"",$K179&lt;&gt;"",$J179=$K179,$J179&gt;=BB$3,$J179&lt;=IF(param_mode_affichage="mois",EOMONTH(BB$3,0),BB$3+6)),"◆",""))</f>
      </c>
      <c r="BC179" s="26">
        <f>IF(OR($A179="",BC$3=""),"",IF(AND($J179&lt;&gt;"",$K179&lt;&gt;"",$J179=$K179,$J179&gt;=BC$3,$J179&lt;=IF(param_mode_affichage="mois",EOMONTH(BC$3,0),BC$3+6)),"◆",""))</f>
      </c>
      <c r="BD179" s="26">
        <f>IF(OR($A179="",BD$3=""),"",IF(AND($J179&lt;&gt;"",$K179&lt;&gt;"",$J179=$K179,$J179&gt;=BD$3,$J179&lt;=IF(param_mode_affichage="mois",EOMONTH(BD$3,0),BD$3+6)),"◆",""))</f>
      </c>
      <c r="BE179" s="26">
        <f>IF(OR($A179="",BE$3=""),"",IF(AND($J179&lt;&gt;"",$K179&lt;&gt;"",$J179=$K179,$J179&gt;=BE$3,$J179&lt;=IF(param_mode_affichage="mois",EOMONTH(BE$3,0),BE$3+6)),"◆",""))</f>
      </c>
      <c r="BF179" s="26">
        <f>IF(OR($A179="",BF$3=""),"",IF(AND($J179&lt;&gt;"",$K179&lt;&gt;"",$J179=$K179,$J179&gt;=BF$3,$J179&lt;=IF(param_mode_affichage="mois",EOMONTH(BF$3,0),BF$3+6)),"◆",""))</f>
      </c>
      <c r="BG179" s="26">
        <f>IF(OR($A179="",BG$3=""),"",IF(AND($J179&lt;&gt;"",$K179&lt;&gt;"",$J179=$K179,$J179&gt;=BG$3,$J179&lt;=IF(param_mode_affichage="mois",EOMONTH(BG$3,0),BG$3+6)),"◆",""))</f>
      </c>
      <c r="BH179" s="26">
        <f>IF(OR($A179="",BH$3=""),"",IF(AND($J179&lt;&gt;"",$K179&lt;&gt;"",$J179=$K179,$J179&gt;=BH$3,$J179&lt;=IF(param_mode_affichage="mois",EOMONTH(BH$3,0),BH$3+6)),"◆",""))</f>
      </c>
      <c r="BI179" s="26">
        <f>IF(OR($A179="",BI$3=""),"",IF(AND($J179&lt;&gt;"",$K179&lt;&gt;"",$J179=$K179,$J179&gt;=BI$3,$J179&lt;=IF(param_mode_affichage="mois",EOMONTH(BI$3,0),BI$3+6)),"◆",""))</f>
      </c>
      <c r="BJ179" s="26">
        <f>IF(OR($A179="",BJ$3=""),"",IF(AND($J179&lt;&gt;"",$K179&lt;&gt;"",$J179=$K179,$J179&gt;=BJ$3,$J179&lt;=IF(param_mode_affichage="mois",EOMONTH(BJ$3,0),BJ$3+6)),"◆",""))</f>
      </c>
      <c r="BK179" s="26">
        <f>IF(OR($A179="",BK$3=""),"",IF(AND($J179&lt;&gt;"",$K179&lt;&gt;"",$J179=$K179,$J179&gt;=BK$3,$J179&lt;=IF(param_mode_affichage="mois",EOMONTH(BK$3,0),BK$3+6)),"◆",""))</f>
      </c>
      <c r="BL179" s="26">
        <f>IF(OR($A179="",BL$3=""),"",IF(AND($J179&lt;&gt;"",$K179&lt;&gt;"",$J179=$K179,$J179&gt;=BL$3,$J179&lt;=IF(param_mode_affichage="mois",EOMONTH(BL$3,0),BL$3+6)),"◆",""))</f>
      </c>
    </row>
    <row r="180" spans="1:64" x14ac:dyDescent="0.25">
      <c r="A180" s="23">
        <f>IFERROR(INDEX(tblTasks[ID],ROW()-4),"")</f>
      </c>
      <c r="B180" s="24">
        <f>IF($A180="","",INDEX(tblTasks[Sujet],ROW()-4))</f>
      </c>
      <c r="C180" s="23">
        <f>IF($A180="","",INDEX(tblTasks[Responsable],ROW()-4))</f>
      </c>
      <c r="D180" s="23">
        <f>IF($A180="","",INDEX(tblTasks[Statut],ROW()-4))</f>
      </c>
      <c r="E180" s="23">
        <f>IF($A180="","",INDEX(tblTasks[Depend_de],ROW()-4))</f>
      </c>
      <c r="F180" s="23">
        <f>IF($A180="","",INDEX(tblTasks[Blocage],ROW()-4))</f>
      </c>
      <c r="G180" s="23">
        <f>IF($A180="","",INDEX(tblTasks[Niveau_criticite],ROW()-4))</f>
      </c>
      <c r="H180" s="23">
        <f>IF($A180="","",INDEX(tblTasks[Goulot],ROW()-4))</f>
      </c>
      <c r="I180" s="23">
        <f>IF($A180="","",IF(LOWER($F180)="oui","non",IF($E180="","oui",IFERROR(IF(LOWER(INDEX(tblTasks[Statut],MATCH($E180,tblTasks[ID],0)))="clos","oui","non"),"non"))))</f>
      </c>
      <c r="J180" s="25">
        <f>IF($A180="","",INDEX(tblTasks[Date_debut_prevue],ROW()-4))</f>
      </c>
      <c r="K180" s="25">
        <f>IF($A180="","",INDEX(tblTasks[Date_fin_prevue],ROW()-4))</f>
      </c>
      <c r="L180" s="23">
        <f>IF($A180="","",INDEX(tblTasks[Irreversibilite],ROW()-4))</f>
      </c>
      <c r="M180" s="26">
        <f>IF(OR($A180="",M$3=""),"",IF(AND($J180&lt;&gt;"",$K180&lt;&gt;"",$J180=$K180,$J180&gt;=M$3,$J180&lt;=IF(param_mode_affichage="mois",EOMONTH(M$3,0),M$3+6)),"◆",""))</f>
      </c>
      <c r="N180" s="26">
        <f>IF(OR($A180="",N$3=""),"",IF(AND($J180&lt;&gt;"",$K180&lt;&gt;"",$J180=$K180,$J180&gt;=N$3,$J180&lt;=IF(param_mode_affichage="mois",EOMONTH(N$3,0),N$3+6)),"◆",""))</f>
      </c>
      <c r="O180" s="26">
        <f>IF(OR($A180="",O$3=""),"",IF(AND($J180&lt;&gt;"",$K180&lt;&gt;"",$J180=$K180,$J180&gt;=O$3,$J180&lt;=IF(param_mode_affichage="mois",EOMONTH(O$3,0),O$3+6)),"◆",""))</f>
      </c>
      <c r="P180" s="26">
        <f>IF(OR($A180="",P$3=""),"",IF(AND($J180&lt;&gt;"",$K180&lt;&gt;"",$J180=$K180,$J180&gt;=P$3,$J180&lt;=IF(param_mode_affichage="mois",EOMONTH(P$3,0),P$3+6)),"◆",""))</f>
      </c>
      <c r="Q180" s="26">
        <f>IF(OR($A180="",Q$3=""),"",IF(AND($J180&lt;&gt;"",$K180&lt;&gt;"",$J180=$K180,$J180&gt;=Q$3,$J180&lt;=IF(param_mode_affichage="mois",EOMONTH(Q$3,0),Q$3+6)),"◆",""))</f>
      </c>
      <c r="R180" s="26">
        <f>IF(OR($A180="",R$3=""),"",IF(AND($J180&lt;&gt;"",$K180&lt;&gt;"",$J180=$K180,$J180&gt;=R$3,$J180&lt;=IF(param_mode_affichage="mois",EOMONTH(R$3,0),R$3+6)),"◆",""))</f>
      </c>
      <c r="S180" s="26">
        <f>IF(OR($A180="",S$3=""),"",IF(AND($J180&lt;&gt;"",$K180&lt;&gt;"",$J180=$K180,$J180&gt;=S$3,$J180&lt;=IF(param_mode_affichage="mois",EOMONTH(S$3,0),S$3+6)),"◆",""))</f>
      </c>
      <c r="T180" s="26">
        <f>IF(OR($A180="",T$3=""),"",IF(AND($J180&lt;&gt;"",$K180&lt;&gt;"",$J180=$K180,$J180&gt;=T$3,$J180&lt;=IF(param_mode_affichage="mois",EOMONTH(T$3,0),T$3+6)),"◆",""))</f>
      </c>
      <c r="U180" s="26">
        <f>IF(OR($A180="",U$3=""),"",IF(AND($J180&lt;&gt;"",$K180&lt;&gt;"",$J180=$K180,$J180&gt;=U$3,$J180&lt;=IF(param_mode_affichage="mois",EOMONTH(U$3,0),U$3+6)),"◆",""))</f>
      </c>
      <c r="V180" s="26">
        <f>IF(OR($A180="",V$3=""),"",IF(AND($J180&lt;&gt;"",$K180&lt;&gt;"",$J180=$K180,$J180&gt;=V$3,$J180&lt;=IF(param_mode_affichage="mois",EOMONTH(V$3,0),V$3+6)),"◆",""))</f>
      </c>
      <c r="W180" s="26">
        <f>IF(OR($A180="",W$3=""),"",IF(AND($J180&lt;&gt;"",$K180&lt;&gt;"",$J180=$K180,$J180&gt;=W$3,$J180&lt;=IF(param_mode_affichage="mois",EOMONTH(W$3,0),W$3+6)),"◆",""))</f>
      </c>
      <c r="X180" s="26">
        <f>IF(OR($A180="",X$3=""),"",IF(AND($J180&lt;&gt;"",$K180&lt;&gt;"",$J180=$K180,$J180&gt;=X$3,$J180&lt;=IF(param_mode_affichage="mois",EOMONTH(X$3,0),X$3+6)),"◆",""))</f>
      </c>
      <c r="Y180" s="26">
        <f>IF(OR($A180="",Y$3=""),"",IF(AND($J180&lt;&gt;"",$K180&lt;&gt;"",$J180=$K180,$J180&gt;=Y$3,$J180&lt;=IF(param_mode_affichage="mois",EOMONTH(Y$3,0),Y$3+6)),"◆",""))</f>
      </c>
      <c r="Z180" s="26">
        <f>IF(OR($A180="",Z$3=""),"",IF(AND($J180&lt;&gt;"",$K180&lt;&gt;"",$J180=$K180,$J180&gt;=Z$3,$J180&lt;=IF(param_mode_affichage="mois",EOMONTH(Z$3,0),Z$3+6)),"◆",""))</f>
      </c>
      <c r="AA180" s="26">
        <f>IF(OR($A180="",AA$3=""),"",IF(AND($J180&lt;&gt;"",$K180&lt;&gt;"",$J180=$K180,$J180&gt;=AA$3,$J180&lt;=IF(param_mode_affichage="mois",EOMONTH(AA$3,0),AA$3+6)),"◆",""))</f>
      </c>
      <c r="AB180" s="26">
        <f>IF(OR($A180="",AB$3=""),"",IF(AND($J180&lt;&gt;"",$K180&lt;&gt;"",$J180=$K180,$J180&gt;=AB$3,$J180&lt;=IF(param_mode_affichage="mois",EOMONTH(AB$3,0),AB$3+6)),"◆",""))</f>
      </c>
      <c r="AC180" s="26">
        <f>IF(OR($A180="",AC$3=""),"",IF(AND($J180&lt;&gt;"",$K180&lt;&gt;"",$J180=$K180,$J180&gt;=AC$3,$J180&lt;=IF(param_mode_affichage="mois",EOMONTH(AC$3,0),AC$3+6)),"◆",""))</f>
      </c>
      <c r="AD180" s="26">
        <f>IF(OR($A180="",AD$3=""),"",IF(AND($J180&lt;&gt;"",$K180&lt;&gt;"",$J180=$K180,$J180&gt;=AD$3,$J180&lt;=IF(param_mode_affichage="mois",EOMONTH(AD$3,0),AD$3+6)),"◆",""))</f>
      </c>
      <c r="AE180" s="26">
        <f>IF(OR($A180="",AE$3=""),"",IF(AND($J180&lt;&gt;"",$K180&lt;&gt;"",$J180=$K180,$J180&gt;=AE$3,$J180&lt;=IF(param_mode_affichage="mois",EOMONTH(AE$3,0),AE$3+6)),"◆",""))</f>
      </c>
      <c r="AF180" s="26">
        <f>IF(OR($A180="",AF$3=""),"",IF(AND($J180&lt;&gt;"",$K180&lt;&gt;"",$J180=$K180,$J180&gt;=AF$3,$J180&lt;=IF(param_mode_affichage="mois",EOMONTH(AF$3,0),AF$3+6)),"◆",""))</f>
      </c>
      <c r="AG180" s="26">
        <f>IF(OR($A180="",AG$3=""),"",IF(AND($J180&lt;&gt;"",$K180&lt;&gt;"",$J180=$K180,$J180&gt;=AG$3,$J180&lt;=IF(param_mode_affichage="mois",EOMONTH(AG$3,0),AG$3+6)),"◆",""))</f>
      </c>
      <c r="AH180" s="26">
        <f>IF(OR($A180="",AH$3=""),"",IF(AND($J180&lt;&gt;"",$K180&lt;&gt;"",$J180=$K180,$J180&gt;=AH$3,$J180&lt;=IF(param_mode_affichage="mois",EOMONTH(AH$3,0),AH$3+6)),"◆",""))</f>
      </c>
      <c r="AI180" s="26">
        <f>IF(OR($A180="",AI$3=""),"",IF(AND($J180&lt;&gt;"",$K180&lt;&gt;"",$J180=$K180,$J180&gt;=AI$3,$J180&lt;=IF(param_mode_affichage="mois",EOMONTH(AI$3,0),AI$3+6)),"◆",""))</f>
      </c>
      <c r="AJ180" s="26">
        <f>IF(OR($A180="",AJ$3=""),"",IF(AND($J180&lt;&gt;"",$K180&lt;&gt;"",$J180=$K180,$J180&gt;=AJ$3,$J180&lt;=IF(param_mode_affichage="mois",EOMONTH(AJ$3,0),AJ$3+6)),"◆",""))</f>
      </c>
      <c r="AK180" s="26">
        <f>IF(OR($A180="",AK$3=""),"",IF(AND($J180&lt;&gt;"",$K180&lt;&gt;"",$J180=$K180,$J180&gt;=AK$3,$J180&lt;=IF(param_mode_affichage="mois",EOMONTH(AK$3,0),AK$3+6)),"◆",""))</f>
      </c>
      <c r="AL180" s="26">
        <f>IF(OR($A180="",AL$3=""),"",IF(AND($J180&lt;&gt;"",$K180&lt;&gt;"",$J180=$K180,$J180&gt;=AL$3,$J180&lt;=IF(param_mode_affichage="mois",EOMONTH(AL$3,0),AL$3+6)),"◆",""))</f>
      </c>
      <c r="AM180" s="26">
        <f>IF(OR($A180="",AM$3=""),"",IF(AND($J180&lt;&gt;"",$K180&lt;&gt;"",$J180=$K180,$J180&gt;=AM$3,$J180&lt;=IF(param_mode_affichage="mois",EOMONTH(AM$3,0),AM$3+6)),"◆",""))</f>
      </c>
      <c r="AN180" s="26">
        <f>IF(OR($A180="",AN$3=""),"",IF(AND($J180&lt;&gt;"",$K180&lt;&gt;"",$J180=$K180,$J180&gt;=AN$3,$J180&lt;=IF(param_mode_affichage="mois",EOMONTH(AN$3,0),AN$3+6)),"◆",""))</f>
      </c>
      <c r="AO180" s="26">
        <f>IF(OR($A180="",AO$3=""),"",IF(AND($J180&lt;&gt;"",$K180&lt;&gt;"",$J180=$K180,$J180&gt;=AO$3,$J180&lt;=IF(param_mode_affichage="mois",EOMONTH(AO$3,0),AO$3+6)),"◆",""))</f>
      </c>
      <c r="AP180" s="26">
        <f>IF(OR($A180="",AP$3=""),"",IF(AND($J180&lt;&gt;"",$K180&lt;&gt;"",$J180=$K180,$J180&gt;=AP$3,$J180&lt;=IF(param_mode_affichage="mois",EOMONTH(AP$3,0),AP$3+6)),"◆",""))</f>
      </c>
      <c r="AQ180" s="26">
        <f>IF(OR($A180="",AQ$3=""),"",IF(AND($J180&lt;&gt;"",$K180&lt;&gt;"",$J180=$K180,$J180&gt;=AQ$3,$J180&lt;=IF(param_mode_affichage="mois",EOMONTH(AQ$3,0),AQ$3+6)),"◆",""))</f>
      </c>
      <c r="AR180" s="26">
        <f>IF(OR($A180="",AR$3=""),"",IF(AND($J180&lt;&gt;"",$K180&lt;&gt;"",$J180=$K180,$J180&gt;=AR$3,$J180&lt;=IF(param_mode_affichage="mois",EOMONTH(AR$3,0),AR$3+6)),"◆",""))</f>
      </c>
      <c r="AS180" s="26">
        <f>IF(OR($A180="",AS$3=""),"",IF(AND($J180&lt;&gt;"",$K180&lt;&gt;"",$J180=$K180,$J180&gt;=AS$3,$J180&lt;=IF(param_mode_affichage="mois",EOMONTH(AS$3,0),AS$3+6)),"◆",""))</f>
      </c>
      <c r="AT180" s="26">
        <f>IF(OR($A180="",AT$3=""),"",IF(AND($J180&lt;&gt;"",$K180&lt;&gt;"",$J180=$K180,$J180&gt;=AT$3,$J180&lt;=IF(param_mode_affichage="mois",EOMONTH(AT$3,0),AT$3+6)),"◆",""))</f>
      </c>
      <c r="AU180" s="26">
        <f>IF(OR($A180="",AU$3=""),"",IF(AND($J180&lt;&gt;"",$K180&lt;&gt;"",$J180=$K180,$J180&gt;=AU$3,$J180&lt;=IF(param_mode_affichage="mois",EOMONTH(AU$3,0),AU$3+6)),"◆",""))</f>
      </c>
      <c r="AV180" s="26">
        <f>IF(OR($A180="",AV$3=""),"",IF(AND($J180&lt;&gt;"",$K180&lt;&gt;"",$J180=$K180,$J180&gt;=AV$3,$J180&lt;=IF(param_mode_affichage="mois",EOMONTH(AV$3,0),AV$3+6)),"◆",""))</f>
      </c>
      <c r="AW180" s="26">
        <f>IF(OR($A180="",AW$3=""),"",IF(AND($J180&lt;&gt;"",$K180&lt;&gt;"",$J180=$K180,$J180&gt;=AW$3,$J180&lt;=IF(param_mode_affichage="mois",EOMONTH(AW$3,0),AW$3+6)),"◆",""))</f>
      </c>
      <c r="AX180" s="26">
        <f>IF(OR($A180="",AX$3=""),"",IF(AND($J180&lt;&gt;"",$K180&lt;&gt;"",$J180=$K180,$J180&gt;=AX$3,$J180&lt;=IF(param_mode_affichage="mois",EOMONTH(AX$3,0),AX$3+6)),"◆",""))</f>
      </c>
      <c r="AY180" s="26">
        <f>IF(OR($A180="",AY$3=""),"",IF(AND($J180&lt;&gt;"",$K180&lt;&gt;"",$J180=$K180,$J180&gt;=AY$3,$J180&lt;=IF(param_mode_affichage="mois",EOMONTH(AY$3,0),AY$3+6)),"◆",""))</f>
      </c>
      <c r="AZ180" s="26">
        <f>IF(OR($A180="",AZ$3=""),"",IF(AND($J180&lt;&gt;"",$K180&lt;&gt;"",$J180=$K180,$J180&gt;=AZ$3,$J180&lt;=IF(param_mode_affichage="mois",EOMONTH(AZ$3,0),AZ$3+6)),"◆",""))</f>
      </c>
      <c r="BA180" s="26">
        <f>IF(OR($A180="",BA$3=""),"",IF(AND($J180&lt;&gt;"",$K180&lt;&gt;"",$J180=$K180,$J180&gt;=BA$3,$J180&lt;=IF(param_mode_affichage="mois",EOMONTH(BA$3,0),BA$3+6)),"◆",""))</f>
      </c>
      <c r="BB180" s="26">
        <f>IF(OR($A180="",BB$3=""),"",IF(AND($J180&lt;&gt;"",$K180&lt;&gt;"",$J180=$K180,$J180&gt;=BB$3,$J180&lt;=IF(param_mode_affichage="mois",EOMONTH(BB$3,0),BB$3+6)),"◆",""))</f>
      </c>
      <c r="BC180" s="26">
        <f>IF(OR($A180="",BC$3=""),"",IF(AND($J180&lt;&gt;"",$K180&lt;&gt;"",$J180=$K180,$J180&gt;=BC$3,$J180&lt;=IF(param_mode_affichage="mois",EOMONTH(BC$3,0),BC$3+6)),"◆",""))</f>
      </c>
      <c r="BD180" s="26">
        <f>IF(OR($A180="",BD$3=""),"",IF(AND($J180&lt;&gt;"",$K180&lt;&gt;"",$J180=$K180,$J180&gt;=BD$3,$J180&lt;=IF(param_mode_affichage="mois",EOMONTH(BD$3,0),BD$3+6)),"◆",""))</f>
      </c>
      <c r="BE180" s="26">
        <f>IF(OR($A180="",BE$3=""),"",IF(AND($J180&lt;&gt;"",$K180&lt;&gt;"",$J180=$K180,$J180&gt;=BE$3,$J180&lt;=IF(param_mode_affichage="mois",EOMONTH(BE$3,0),BE$3+6)),"◆",""))</f>
      </c>
      <c r="BF180" s="26">
        <f>IF(OR($A180="",BF$3=""),"",IF(AND($J180&lt;&gt;"",$K180&lt;&gt;"",$J180=$K180,$J180&gt;=BF$3,$J180&lt;=IF(param_mode_affichage="mois",EOMONTH(BF$3,0),BF$3+6)),"◆",""))</f>
      </c>
      <c r="BG180" s="26">
        <f>IF(OR($A180="",BG$3=""),"",IF(AND($J180&lt;&gt;"",$K180&lt;&gt;"",$J180=$K180,$J180&gt;=BG$3,$J180&lt;=IF(param_mode_affichage="mois",EOMONTH(BG$3,0),BG$3+6)),"◆",""))</f>
      </c>
      <c r="BH180" s="26">
        <f>IF(OR($A180="",BH$3=""),"",IF(AND($J180&lt;&gt;"",$K180&lt;&gt;"",$J180=$K180,$J180&gt;=BH$3,$J180&lt;=IF(param_mode_affichage="mois",EOMONTH(BH$3,0),BH$3+6)),"◆",""))</f>
      </c>
      <c r="BI180" s="26">
        <f>IF(OR($A180="",BI$3=""),"",IF(AND($J180&lt;&gt;"",$K180&lt;&gt;"",$J180=$K180,$J180&gt;=BI$3,$J180&lt;=IF(param_mode_affichage="mois",EOMONTH(BI$3,0),BI$3+6)),"◆",""))</f>
      </c>
      <c r="BJ180" s="26">
        <f>IF(OR($A180="",BJ$3=""),"",IF(AND($J180&lt;&gt;"",$K180&lt;&gt;"",$J180=$K180,$J180&gt;=BJ$3,$J180&lt;=IF(param_mode_affichage="mois",EOMONTH(BJ$3,0),BJ$3+6)),"◆",""))</f>
      </c>
      <c r="BK180" s="26">
        <f>IF(OR($A180="",BK$3=""),"",IF(AND($J180&lt;&gt;"",$K180&lt;&gt;"",$J180=$K180,$J180&gt;=BK$3,$J180&lt;=IF(param_mode_affichage="mois",EOMONTH(BK$3,0),BK$3+6)),"◆",""))</f>
      </c>
      <c r="BL180" s="26">
        <f>IF(OR($A180="",BL$3=""),"",IF(AND($J180&lt;&gt;"",$K180&lt;&gt;"",$J180=$K180,$J180&gt;=BL$3,$J180&lt;=IF(param_mode_affichage="mois",EOMONTH(BL$3,0),BL$3+6)),"◆",""))</f>
      </c>
    </row>
    <row r="181" spans="1:64" x14ac:dyDescent="0.25">
      <c r="A181" s="23">
        <f>IFERROR(INDEX(tblTasks[ID],ROW()-4),"")</f>
      </c>
      <c r="B181" s="24">
        <f>IF($A181="","",INDEX(tblTasks[Sujet],ROW()-4))</f>
      </c>
      <c r="C181" s="23">
        <f>IF($A181="","",INDEX(tblTasks[Responsable],ROW()-4))</f>
      </c>
      <c r="D181" s="23">
        <f>IF($A181="","",INDEX(tblTasks[Statut],ROW()-4))</f>
      </c>
      <c r="E181" s="23">
        <f>IF($A181="","",INDEX(tblTasks[Depend_de],ROW()-4))</f>
      </c>
      <c r="F181" s="23">
        <f>IF($A181="","",INDEX(tblTasks[Blocage],ROW()-4))</f>
      </c>
      <c r="G181" s="23">
        <f>IF($A181="","",INDEX(tblTasks[Niveau_criticite],ROW()-4))</f>
      </c>
      <c r="H181" s="23">
        <f>IF($A181="","",INDEX(tblTasks[Goulot],ROW()-4))</f>
      </c>
      <c r="I181" s="23">
        <f>IF($A181="","",IF(LOWER($F181)="oui","non",IF($E181="","oui",IFERROR(IF(LOWER(INDEX(tblTasks[Statut],MATCH($E181,tblTasks[ID],0)))="clos","oui","non"),"non"))))</f>
      </c>
      <c r="J181" s="25">
        <f>IF($A181="","",INDEX(tblTasks[Date_debut_prevue],ROW()-4))</f>
      </c>
      <c r="K181" s="25">
        <f>IF($A181="","",INDEX(tblTasks[Date_fin_prevue],ROW()-4))</f>
      </c>
      <c r="L181" s="23">
        <f>IF($A181="","",INDEX(tblTasks[Irreversibilite],ROW()-4))</f>
      </c>
      <c r="M181" s="26">
        <f>IF(OR($A181="",M$3=""),"",IF(AND($J181&lt;&gt;"",$K181&lt;&gt;"",$J181=$K181,$J181&gt;=M$3,$J181&lt;=IF(param_mode_affichage="mois",EOMONTH(M$3,0),M$3+6)),"◆",""))</f>
      </c>
      <c r="N181" s="26">
        <f>IF(OR($A181="",N$3=""),"",IF(AND($J181&lt;&gt;"",$K181&lt;&gt;"",$J181=$K181,$J181&gt;=N$3,$J181&lt;=IF(param_mode_affichage="mois",EOMONTH(N$3,0),N$3+6)),"◆",""))</f>
      </c>
      <c r="O181" s="26">
        <f>IF(OR($A181="",O$3=""),"",IF(AND($J181&lt;&gt;"",$K181&lt;&gt;"",$J181=$K181,$J181&gt;=O$3,$J181&lt;=IF(param_mode_affichage="mois",EOMONTH(O$3,0),O$3+6)),"◆",""))</f>
      </c>
      <c r="P181" s="26">
        <f>IF(OR($A181="",P$3=""),"",IF(AND($J181&lt;&gt;"",$K181&lt;&gt;"",$J181=$K181,$J181&gt;=P$3,$J181&lt;=IF(param_mode_affichage="mois",EOMONTH(P$3,0),P$3+6)),"◆",""))</f>
      </c>
      <c r="Q181" s="26">
        <f>IF(OR($A181="",Q$3=""),"",IF(AND($J181&lt;&gt;"",$K181&lt;&gt;"",$J181=$K181,$J181&gt;=Q$3,$J181&lt;=IF(param_mode_affichage="mois",EOMONTH(Q$3,0),Q$3+6)),"◆",""))</f>
      </c>
      <c r="R181" s="26">
        <f>IF(OR($A181="",R$3=""),"",IF(AND($J181&lt;&gt;"",$K181&lt;&gt;"",$J181=$K181,$J181&gt;=R$3,$J181&lt;=IF(param_mode_affichage="mois",EOMONTH(R$3,0),R$3+6)),"◆",""))</f>
      </c>
      <c r="S181" s="26">
        <f>IF(OR($A181="",S$3=""),"",IF(AND($J181&lt;&gt;"",$K181&lt;&gt;"",$J181=$K181,$J181&gt;=S$3,$J181&lt;=IF(param_mode_affichage="mois",EOMONTH(S$3,0),S$3+6)),"◆",""))</f>
      </c>
      <c r="T181" s="26">
        <f>IF(OR($A181="",T$3=""),"",IF(AND($J181&lt;&gt;"",$K181&lt;&gt;"",$J181=$K181,$J181&gt;=T$3,$J181&lt;=IF(param_mode_affichage="mois",EOMONTH(T$3,0),T$3+6)),"◆",""))</f>
      </c>
      <c r="U181" s="26">
        <f>IF(OR($A181="",U$3=""),"",IF(AND($J181&lt;&gt;"",$K181&lt;&gt;"",$J181=$K181,$J181&gt;=U$3,$J181&lt;=IF(param_mode_affichage="mois",EOMONTH(U$3,0),U$3+6)),"◆",""))</f>
      </c>
      <c r="V181" s="26">
        <f>IF(OR($A181="",V$3=""),"",IF(AND($J181&lt;&gt;"",$K181&lt;&gt;"",$J181=$K181,$J181&gt;=V$3,$J181&lt;=IF(param_mode_affichage="mois",EOMONTH(V$3,0),V$3+6)),"◆",""))</f>
      </c>
      <c r="W181" s="26">
        <f>IF(OR($A181="",W$3=""),"",IF(AND($J181&lt;&gt;"",$K181&lt;&gt;"",$J181=$K181,$J181&gt;=W$3,$J181&lt;=IF(param_mode_affichage="mois",EOMONTH(W$3,0),W$3+6)),"◆",""))</f>
      </c>
      <c r="X181" s="26">
        <f>IF(OR($A181="",X$3=""),"",IF(AND($J181&lt;&gt;"",$K181&lt;&gt;"",$J181=$K181,$J181&gt;=X$3,$J181&lt;=IF(param_mode_affichage="mois",EOMONTH(X$3,0),X$3+6)),"◆",""))</f>
      </c>
      <c r="Y181" s="26">
        <f>IF(OR($A181="",Y$3=""),"",IF(AND($J181&lt;&gt;"",$K181&lt;&gt;"",$J181=$K181,$J181&gt;=Y$3,$J181&lt;=IF(param_mode_affichage="mois",EOMONTH(Y$3,0),Y$3+6)),"◆",""))</f>
      </c>
      <c r="Z181" s="26">
        <f>IF(OR($A181="",Z$3=""),"",IF(AND($J181&lt;&gt;"",$K181&lt;&gt;"",$J181=$K181,$J181&gt;=Z$3,$J181&lt;=IF(param_mode_affichage="mois",EOMONTH(Z$3,0),Z$3+6)),"◆",""))</f>
      </c>
      <c r="AA181" s="26">
        <f>IF(OR($A181="",AA$3=""),"",IF(AND($J181&lt;&gt;"",$K181&lt;&gt;"",$J181=$K181,$J181&gt;=AA$3,$J181&lt;=IF(param_mode_affichage="mois",EOMONTH(AA$3,0),AA$3+6)),"◆",""))</f>
      </c>
      <c r="AB181" s="26">
        <f>IF(OR($A181="",AB$3=""),"",IF(AND($J181&lt;&gt;"",$K181&lt;&gt;"",$J181=$K181,$J181&gt;=AB$3,$J181&lt;=IF(param_mode_affichage="mois",EOMONTH(AB$3,0),AB$3+6)),"◆",""))</f>
      </c>
      <c r="AC181" s="26">
        <f>IF(OR($A181="",AC$3=""),"",IF(AND($J181&lt;&gt;"",$K181&lt;&gt;"",$J181=$K181,$J181&gt;=AC$3,$J181&lt;=IF(param_mode_affichage="mois",EOMONTH(AC$3,0),AC$3+6)),"◆",""))</f>
      </c>
      <c r="AD181" s="26">
        <f>IF(OR($A181="",AD$3=""),"",IF(AND($J181&lt;&gt;"",$K181&lt;&gt;"",$J181=$K181,$J181&gt;=AD$3,$J181&lt;=IF(param_mode_affichage="mois",EOMONTH(AD$3,0),AD$3+6)),"◆",""))</f>
      </c>
      <c r="AE181" s="26">
        <f>IF(OR($A181="",AE$3=""),"",IF(AND($J181&lt;&gt;"",$K181&lt;&gt;"",$J181=$K181,$J181&gt;=AE$3,$J181&lt;=IF(param_mode_affichage="mois",EOMONTH(AE$3,0),AE$3+6)),"◆",""))</f>
      </c>
      <c r="AF181" s="26">
        <f>IF(OR($A181="",AF$3=""),"",IF(AND($J181&lt;&gt;"",$K181&lt;&gt;"",$J181=$K181,$J181&gt;=AF$3,$J181&lt;=IF(param_mode_affichage="mois",EOMONTH(AF$3,0),AF$3+6)),"◆",""))</f>
      </c>
      <c r="AG181" s="26">
        <f>IF(OR($A181="",AG$3=""),"",IF(AND($J181&lt;&gt;"",$K181&lt;&gt;"",$J181=$K181,$J181&gt;=AG$3,$J181&lt;=IF(param_mode_affichage="mois",EOMONTH(AG$3,0),AG$3+6)),"◆",""))</f>
      </c>
      <c r="AH181" s="26">
        <f>IF(OR($A181="",AH$3=""),"",IF(AND($J181&lt;&gt;"",$K181&lt;&gt;"",$J181=$K181,$J181&gt;=AH$3,$J181&lt;=IF(param_mode_affichage="mois",EOMONTH(AH$3,0),AH$3+6)),"◆",""))</f>
      </c>
      <c r="AI181" s="26">
        <f>IF(OR($A181="",AI$3=""),"",IF(AND($J181&lt;&gt;"",$K181&lt;&gt;"",$J181=$K181,$J181&gt;=AI$3,$J181&lt;=IF(param_mode_affichage="mois",EOMONTH(AI$3,0),AI$3+6)),"◆",""))</f>
      </c>
      <c r="AJ181" s="26">
        <f>IF(OR($A181="",AJ$3=""),"",IF(AND($J181&lt;&gt;"",$K181&lt;&gt;"",$J181=$K181,$J181&gt;=AJ$3,$J181&lt;=IF(param_mode_affichage="mois",EOMONTH(AJ$3,0),AJ$3+6)),"◆",""))</f>
      </c>
      <c r="AK181" s="26">
        <f>IF(OR($A181="",AK$3=""),"",IF(AND($J181&lt;&gt;"",$K181&lt;&gt;"",$J181=$K181,$J181&gt;=AK$3,$J181&lt;=IF(param_mode_affichage="mois",EOMONTH(AK$3,0),AK$3+6)),"◆",""))</f>
      </c>
      <c r="AL181" s="26">
        <f>IF(OR($A181="",AL$3=""),"",IF(AND($J181&lt;&gt;"",$K181&lt;&gt;"",$J181=$K181,$J181&gt;=AL$3,$J181&lt;=IF(param_mode_affichage="mois",EOMONTH(AL$3,0),AL$3+6)),"◆",""))</f>
      </c>
      <c r="AM181" s="26">
        <f>IF(OR($A181="",AM$3=""),"",IF(AND($J181&lt;&gt;"",$K181&lt;&gt;"",$J181=$K181,$J181&gt;=AM$3,$J181&lt;=IF(param_mode_affichage="mois",EOMONTH(AM$3,0),AM$3+6)),"◆",""))</f>
      </c>
      <c r="AN181" s="26">
        <f>IF(OR($A181="",AN$3=""),"",IF(AND($J181&lt;&gt;"",$K181&lt;&gt;"",$J181=$K181,$J181&gt;=AN$3,$J181&lt;=IF(param_mode_affichage="mois",EOMONTH(AN$3,0),AN$3+6)),"◆",""))</f>
      </c>
      <c r="AO181" s="26">
        <f>IF(OR($A181="",AO$3=""),"",IF(AND($J181&lt;&gt;"",$K181&lt;&gt;"",$J181=$K181,$J181&gt;=AO$3,$J181&lt;=IF(param_mode_affichage="mois",EOMONTH(AO$3,0),AO$3+6)),"◆",""))</f>
      </c>
      <c r="AP181" s="26">
        <f>IF(OR($A181="",AP$3=""),"",IF(AND($J181&lt;&gt;"",$K181&lt;&gt;"",$J181=$K181,$J181&gt;=AP$3,$J181&lt;=IF(param_mode_affichage="mois",EOMONTH(AP$3,0),AP$3+6)),"◆",""))</f>
      </c>
      <c r="AQ181" s="26">
        <f>IF(OR($A181="",AQ$3=""),"",IF(AND($J181&lt;&gt;"",$K181&lt;&gt;"",$J181=$K181,$J181&gt;=AQ$3,$J181&lt;=IF(param_mode_affichage="mois",EOMONTH(AQ$3,0),AQ$3+6)),"◆",""))</f>
      </c>
      <c r="AR181" s="26">
        <f>IF(OR($A181="",AR$3=""),"",IF(AND($J181&lt;&gt;"",$K181&lt;&gt;"",$J181=$K181,$J181&gt;=AR$3,$J181&lt;=IF(param_mode_affichage="mois",EOMONTH(AR$3,0),AR$3+6)),"◆",""))</f>
      </c>
      <c r="AS181" s="26">
        <f>IF(OR($A181="",AS$3=""),"",IF(AND($J181&lt;&gt;"",$K181&lt;&gt;"",$J181=$K181,$J181&gt;=AS$3,$J181&lt;=IF(param_mode_affichage="mois",EOMONTH(AS$3,0),AS$3+6)),"◆",""))</f>
      </c>
      <c r="AT181" s="26">
        <f>IF(OR($A181="",AT$3=""),"",IF(AND($J181&lt;&gt;"",$K181&lt;&gt;"",$J181=$K181,$J181&gt;=AT$3,$J181&lt;=IF(param_mode_affichage="mois",EOMONTH(AT$3,0),AT$3+6)),"◆",""))</f>
      </c>
      <c r="AU181" s="26">
        <f>IF(OR($A181="",AU$3=""),"",IF(AND($J181&lt;&gt;"",$K181&lt;&gt;"",$J181=$K181,$J181&gt;=AU$3,$J181&lt;=IF(param_mode_affichage="mois",EOMONTH(AU$3,0),AU$3+6)),"◆",""))</f>
      </c>
      <c r="AV181" s="26">
        <f>IF(OR($A181="",AV$3=""),"",IF(AND($J181&lt;&gt;"",$K181&lt;&gt;"",$J181=$K181,$J181&gt;=AV$3,$J181&lt;=IF(param_mode_affichage="mois",EOMONTH(AV$3,0),AV$3+6)),"◆",""))</f>
      </c>
      <c r="AW181" s="26">
        <f>IF(OR($A181="",AW$3=""),"",IF(AND($J181&lt;&gt;"",$K181&lt;&gt;"",$J181=$K181,$J181&gt;=AW$3,$J181&lt;=IF(param_mode_affichage="mois",EOMONTH(AW$3,0),AW$3+6)),"◆",""))</f>
      </c>
      <c r="AX181" s="26">
        <f>IF(OR($A181="",AX$3=""),"",IF(AND($J181&lt;&gt;"",$K181&lt;&gt;"",$J181=$K181,$J181&gt;=AX$3,$J181&lt;=IF(param_mode_affichage="mois",EOMONTH(AX$3,0),AX$3+6)),"◆",""))</f>
      </c>
      <c r="AY181" s="26">
        <f>IF(OR($A181="",AY$3=""),"",IF(AND($J181&lt;&gt;"",$K181&lt;&gt;"",$J181=$K181,$J181&gt;=AY$3,$J181&lt;=IF(param_mode_affichage="mois",EOMONTH(AY$3,0),AY$3+6)),"◆",""))</f>
      </c>
      <c r="AZ181" s="26">
        <f>IF(OR($A181="",AZ$3=""),"",IF(AND($J181&lt;&gt;"",$K181&lt;&gt;"",$J181=$K181,$J181&gt;=AZ$3,$J181&lt;=IF(param_mode_affichage="mois",EOMONTH(AZ$3,0),AZ$3+6)),"◆",""))</f>
      </c>
      <c r="BA181" s="26">
        <f>IF(OR($A181="",BA$3=""),"",IF(AND($J181&lt;&gt;"",$K181&lt;&gt;"",$J181=$K181,$J181&gt;=BA$3,$J181&lt;=IF(param_mode_affichage="mois",EOMONTH(BA$3,0),BA$3+6)),"◆",""))</f>
      </c>
      <c r="BB181" s="26">
        <f>IF(OR($A181="",BB$3=""),"",IF(AND($J181&lt;&gt;"",$K181&lt;&gt;"",$J181=$K181,$J181&gt;=BB$3,$J181&lt;=IF(param_mode_affichage="mois",EOMONTH(BB$3,0),BB$3+6)),"◆",""))</f>
      </c>
      <c r="BC181" s="26">
        <f>IF(OR($A181="",BC$3=""),"",IF(AND($J181&lt;&gt;"",$K181&lt;&gt;"",$J181=$K181,$J181&gt;=BC$3,$J181&lt;=IF(param_mode_affichage="mois",EOMONTH(BC$3,0),BC$3+6)),"◆",""))</f>
      </c>
      <c r="BD181" s="26">
        <f>IF(OR($A181="",BD$3=""),"",IF(AND($J181&lt;&gt;"",$K181&lt;&gt;"",$J181=$K181,$J181&gt;=BD$3,$J181&lt;=IF(param_mode_affichage="mois",EOMONTH(BD$3,0),BD$3+6)),"◆",""))</f>
      </c>
      <c r="BE181" s="26">
        <f>IF(OR($A181="",BE$3=""),"",IF(AND($J181&lt;&gt;"",$K181&lt;&gt;"",$J181=$K181,$J181&gt;=BE$3,$J181&lt;=IF(param_mode_affichage="mois",EOMONTH(BE$3,0),BE$3+6)),"◆",""))</f>
      </c>
      <c r="BF181" s="26">
        <f>IF(OR($A181="",BF$3=""),"",IF(AND($J181&lt;&gt;"",$K181&lt;&gt;"",$J181=$K181,$J181&gt;=BF$3,$J181&lt;=IF(param_mode_affichage="mois",EOMONTH(BF$3,0),BF$3+6)),"◆",""))</f>
      </c>
      <c r="BG181" s="26">
        <f>IF(OR($A181="",BG$3=""),"",IF(AND($J181&lt;&gt;"",$K181&lt;&gt;"",$J181=$K181,$J181&gt;=BG$3,$J181&lt;=IF(param_mode_affichage="mois",EOMONTH(BG$3,0),BG$3+6)),"◆",""))</f>
      </c>
      <c r="BH181" s="26">
        <f>IF(OR($A181="",BH$3=""),"",IF(AND($J181&lt;&gt;"",$K181&lt;&gt;"",$J181=$K181,$J181&gt;=BH$3,$J181&lt;=IF(param_mode_affichage="mois",EOMONTH(BH$3,0),BH$3+6)),"◆",""))</f>
      </c>
      <c r="BI181" s="26">
        <f>IF(OR($A181="",BI$3=""),"",IF(AND($J181&lt;&gt;"",$K181&lt;&gt;"",$J181=$K181,$J181&gt;=BI$3,$J181&lt;=IF(param_mode_affichage="mois",EOMONTH(BI$3,0),BI$3+6)),"◆",""))</f>
      </c>
      <c r="BJ181" s="26">
        <f>IF(OR($A181="",BJ$3=""),"",IF(AND($J181&lt;&gt;"",$K181&lt;&gt;"",$J181=$K181,$J181&gt;=BJ$3,$J181&lt;=IF(param_mode_affichage="mois",EOMONTH(BJ$3,0),BJ$3+6)),"◆",""))</f>
      </c>
      <c r="BK181" s="26">
        <f>IF(OR($A181="",BK$3=""),"",IF(AND($J181&lt;&gt;"",$K181&lt;&gt;"",$J181=$K181,$J181&gt;=BK$3,$J181&lt;=IF(param_mode_affichage="mois",EOMONTH(BK$3,0),BK$3+6)),"◆",""))</f>
      </c>
      <c r="BL181" s="26">
        <f>IF(OR($A181="",BL$3=""),"",IF(AND($J181&lt;&gt;"",$K181&lt;&gt;"",$J181=$K181,$J181&gt;=BL$3,$J181&lt;=IF(param_mode_affichage="mois",EOMONTH(BL$3,0),BL$3+6)),"◆",""))</f>
      </c>
    </row>
    <row r="182" spans="1:64" x14ac:dyDescent="0.25">
      <c r="A182" s="23">
        <f>IFERROR(INDEX(tblTasks[ID],ROW()-4),"")</f>
      </c>
      <c r="B182" s="24">
        <f>IF($A182="","",INDEX(tblTasks[Sujet],ROW()-4))</f>
      </c>
      <c r="C182" s="23">
        <f>IF($A182="","",INDEX(tblTasks[Responsable],ROW()-4))</f>
      </c>
      <c r="D182" s="23">
        <f>IF($A182="","",INDEX(tblTasks[Statut],ROW()-4))</f>
      </c>
      <c r="E182" s="23">
        <f>IF($A182="","",INDEX(tblTasks[Depend_de],ROW()-4))</f>
      </c>
      <c r="F182" s="23">
        <f>IF($A182="","",INDEX(tblTasks[Blocage],ROW()-4))</f>
      </c>
      <c r="G182" s="23">
        <f>IF($A182="","",INDEX(tblTasks[Niveau_criticite],ROW()-4))</f>
      </c>
      <c r="H182" s="23">
        <f>IF($A182="","",INDEX(tblTasks[Goulot],ROW()-4))</f>
      </c>
      <c r="I182" s="23">
        <f>IF($A182="","",IF(LOWER($F182)="oui","non",IF($E182="","oui",IFERROR(IF(LOWER(INDEX(tblTasks[Statut],MATCH($E182,tblTasks[ID],0)))="clos","oui","non"),"non"))))</f>
      </c>
      <c r="J182" s="25">
        <f>IF($A182="","",INDEX(tblTasks[Date_debut_prevue],ROW()-4))</f>
      </c>
      <c r="K182" s="25">
        <f>IF($A182="","",INDEX(tblTasks[Date_fin_prevue],ROW()-4))</f>
      </c>
      <c r="L182" s="23">
        <f>IF($A182="","",INDEX(tblTasks[Irreversibilite],ROW()-4))</f>
      </c>
      <c r="M182" s="26">
        <f>IF(OR($A182="",M$3=""),"",IF(AND($J182&lt;&gt;"",$K182&lt;&gt;"",$J182=$K182,$J182&gt;=M$3,$J182&lt;=IF(param_mode_affichage="mois",EOMONTH(M$3,0),M$3+6)),"◆",""))</f>
      </c>
      <c r="N182" s="26">
        <f>IF(OR($A182="",N$3=""),"",IF(AND($J182&lt;&gt;"",$K182&lt;&gt;"",$J182=$K182,$J182&gt;=N$3,$J182&lt;=IF(param_mode_affichage="mois",EOMONTH(N$3,0),N$3+6)),"◆",""))</f>
      </c>
      <c r="O182" s="26">
        <f>IF(OR($A182="",O$3=""),"",IF(AND($J182&lt;&gt;"",$K182&lt;&gt;"",$J182=$K182,$J182&gt;=O$3,$J182&lt;=IF(param_mode_affichage="mois",EOMONTH(O$3,0),O$3+6)),"◆",""))</f>
      </c>
      <c r="P182" s="26">
        <f>IF(OR($A182="",P$3=""),"",IF(AND($J182&lt;&gt;"",$K182&lt;&gt;"",$J182=$K182,$J182&gt;=P$3,$J182&lt;=IF(param_mode_affichage="mois",EOMONTH(P$3,0),P$3+6)),"◆",""))</f>
      </c>
      <c r="Q182" s="26">
        <f>IF(OR($A182="",Q$3=""),"",IF(AND($J182&lt;&gt;"",$K182&lt;&gt;"",$J182=$K182,$J182&gt;=Q$3,$J182&lt;=IF(param_mode_affichage="mois",EOMONTH(Q$3,0),Q$3+6)),"◆",""))</f>
      </c>
      <c r="R182" s="26">
        <f>IF(OR($A182="",R$3=""),"",IF(AND($J182&lt;&gt;"",$K182&lt;&gt;"",$J182=$K182,$J182&gt;=R$3,$J182&lt;=IF(param_mode_affichage="mois",EOMONTH(R$3,0),R$3+6)),"◆",""))</f>
      </c>
      <c r="S182" s="26">
        <f>IF(OR($A182="",S$3=""),"",IF(AND($J182&lt;&gt;"",$K182&lt;&gt;"",$J182=$K182,$J182&gt;=S$3,$J182&lt;=IF(param_mode_affichage="mois",EOMONTH(S$3,0),S$3+6)),"◆",""))</f>
      </c>
      <c r="T182" s="26">
        <f>IF(OR($A182="",T$3=""),"",IF(AND($J182&lt;&gt;"",$K182&lt;&gt;"",$J182=$K182,$J182&gt;=T$3,$J182&lt;=IF(param_mode_affichage="mois",EOMONTH(T$3,0),T$3+6)),"◆",""))</f>
      </c>
      <c r="U182" s="26">
        <f>IF(OR($A182="",U$3=""),"",IF(AND($J182&lt;&gt;"",$K182&lt;&gt;"",$J182=$K182,$J182&gt;=U$3,$J182&lt;=IF(param_mode_affichage="mois",EOMONTH(U$3,0),U$3+6)),"◆",""))</f>
      </c>
      <c r="V182" s="26">
        <f>IF(OR($A182="",V$3=""),"",IF(AND($J182&lt;&gt;"",$K182&lt;&gt;"",$J182=$K182,$J182&gt;=V$3,$J182&lt;=IF(param_mode_affichage="mois",EOMONTH(V$3,0),V$3+6)),"◆",""))</f>
      </c>
      <c r="W182" s="26">
        <f>IF(OR($A182="",W$3=""),"",IF(AND($J182&lt;&gt;"",$K182&lt;&gt;"",$J182=$K182,$J182&gt;=W$3,$J182&lt;=IF(param_mode_affichage="mois",EOMONTH(W$3,0),W$3+6)),"◆",""))</f>
      </c>
      <c r="X182" s="26">
        <f>IF(OR($A182="",X$3=""),"",IF(AND($J182&lt;&gt;"",$K182&lt;&gt;"",$J182=$K182,$J182&gt;=X$3,$J182&lt;=IF(param_mode_affichage="mois",EOMONTH(X$3,0),X$3+6)),"◆",""))</f>
      </c>
      <c r="Y182" s="26">
        <f>IF(OR($A182="",Y$3=""),"",IF(AND($J182&lt;&gt;"",$K182&lt;&gt;"",$J182=$K182,$J182&gt;=Y$3,$J182&lt;=IF(param_mode_affichage="mois",EOMONTH(Y$3,0),Y$3+6)),"◆",""))</f>
      </c>
      <c r="Z182" s="26">
        <f>IF(OR($A182="",Z$3=""),"",IF(AND($J182&lt;&gt;"",$K182&lt;&gt;"",$J182=$K182,$J182&gt;=Z$3,$J182&lt;=IF(param_mode_affichage="mois",EOMONTH(Z$3,0),Z$3+6)),"◆",""))</f>
      </c>
      <c r="AA182" s="26">
        <f>IF(OR($A182="",AA$3=""),"",IF(AND($J182&lt;&gt;"",$K182&lt;&gt;"",$J182=$K182,$J182&gt;=AA$3,$J182&lt;=IF(param_mode_affichage="mois",EOMONTH(AA$3,0),AA$3+6)),"◆",""))</f>
      </c>
      <c r="AB182" s="26">
        <f>IF(OR($A182="",AB$3=""),"",IF(AND($J182&lt;&gt;"",$K182&lt;&gt;"",$J182=$K182,$J182&gt;=AB$3,$J182&lt;=IF(param_mode_affichage="mois",EOMONTH(AB$3,0),AB$3+6)),"◆",""))</f>
      </c>
      <c r="AC182" s="26">
        <f>IF(OR($A182="",AC$3=""),"",IF(AND($J182&lt;&gt;"",$K182&lt;&gt;"",$J182=$K182,$J182&gt;=AC$3,$J182&lt;=IF(param_mode_affichage="mois",EOMONTH(AC$3,0),AC$3+6)),"◆",""))</f>
      </c>
      <c r="AD182" s="26">
        <f>IF(OR($A182="",AD$3=""),"",IF(AND($J182&lt;&gt;"",$K182&lt;&gt;"",$J182=$K182,$J182&gt;=AD$3,$J182&lt;=IF(param_mode_affichage="mois",EOMONTH(AD$3,0),AD$3+6)),"◆",""))</f>
      </c>
      <c r="AE182" s="26">
        <f>IF(OR($A182="",AE$3=""),"",IF(AND($J182&lt;&gt;"",$K182&lt;&gt;"",$J182=$K182,$J182&gt;=AE$3,$J182&lt;=IF(param_mode_affichage="mois",EOMONTH(AE$3,0),AE$3+6)),"◆",""))</f>
      </c>
      <c r="AF182" s="26">
        <f>IF(OR($A182="",AF$3=""),"",IF(AND($J182&lt;&gt;"",$K182&lt;&gt;"",$J182=$K182,$J182&gt;=AF$3,$J182&lt;=IF(param_mode_affichage="mois",EOMONTH(AF$3,0),AF$3+6)),"◆",""))</f>
      </c>
      <c r="AG182" s="26">
        <f>IF(OR($A182="",AG$3=""),"",IF(AND($J182&lt;&gt;"",$K182&lt;&gt;"",$J182=$K182,$J182&gt;=AG$3,$J182&lt;=IF(param_mode_affichage="mois",EOMONTH(AG$3,0),AG$3+6)),"◆",""))</f>
      </c>
      <c r="AH182" s="26">
        <f>IF(OR($A182="",AH$3=""),"",IF(AND($J182&lt;&gt;"",$K182&lt;&gt;"",$J182=$K182,$J182&gt;=AH$3,$J182&lt;=IF(param_mode_affichage="mois",EOMONTH(AH$3,0),AH$3+6)),"◆",""))</f>
      </c>
      <c r="AI182" s="26">
        <f>IF(OR($A182="",AI$3=""),"",IF(AND($J182&lt;&gt;"",$K182&lt;&gt;"",$J182=$K182,$J182&gt;=AI$3,$J182&lt;=IF(param_mode_affichage="mois",EOMONTH(AI$3,0),AI$3+6)),"◆",""))</f>
      </c>
      <c r="AJ182" s="26">
        <f>IF(OR($A182="",AJ$3=""),"",IF(AND($J182&lt;&gt;"",$K182&lt;&gt;"",$J182=$K182,$J182&gt;=AJ$3,$J182&lt;=IF(param_mode_affichage="mois",EOMONTH(AJ$3,0),AJ$3+6)),"◆",""))</f>
      </c>
      <c r="AK182" s="26">
        <f>IF(OR($A182="",AK$3=""),"",IF(AND($J182&lt;&gt;"",$K182&lt;&gt;"",$J182=$K182,$J182&gt;=AK$3,$J182&lt;=IF(param_mode_affichage="mois",EOMONTH(AK$3,0),AK$3+6)),"◆",""))</f>
      </c>
      <c r="AL182" s="26">
        <f>IF(OR($A182="",AL$3=""),"",IF(AND($J182&lt;&gt;"",$K182&lt;&gt;"",$J182=$K182,$J182&gt;=AL$3,$J182&lt;=IF(param_mode_affichage="mois",EOMONTH(AL$3,0),AL$3+6)),"◆",""))</f>
      </c>
      <c r="AM182" s="26">
        <f>IF(OR($A182="",AM$3=""),"",IF(AND($J182&lt;&gt;"",$K182&lt;&gt;"",$J182=$K182,$J182&gt;=AM$3,$J182&lt;=IF(param_mode_affichage="mois",EOMONTH(AM$3,0),AM$3+6)),"◆",""))</f>
      </c>
      <c r="AN182" s="26">
        <f>IF(OR($A182="",AN$3=""),"",IF(AND($J182&lt;&gt;"",$K182&lt;&gt;"",$J182=$K182,$J182&gt;=AN$3,$J182&lt;=IF(param_mode_affichage="mois",EOMONTH(AN$3,0),AN$3+6)),"◆",""))</f>
      </c>
      <c r="AO182" s="26">
        <f>IF(OR($A182="",AO$3=""),"",IF(AND($J182&lt;&gt;"",$K182&lt;&gt;"",$J182=$K182,$J182&gt;=AO$3,$J182&lt;=IF(param_mode_affichage="mois",EOMONTH(AO$3,0),AO$3+6)),"◆",""))</f>
      </c>
      <c r="AP182" s="26">
        <f>IF(OR($A182="",AP$3=""),"",IF(AND($J182&lt;&gt;"",$K182&lt;&gt;"",$J182=$K182,$J182&gt;=AP$3,$J182&lt;=IF(param_mode_affichage="mois",EOMONTH(AP$3,0),AP$3+6)),"◆",""))</f>
      </c>
      <c r="AQ182" s="26">
        <f>IF(OR($A182="",AQ$3=""),"",IF(AND($J182&lt;&gt;"",$K182&lt;&gt;"",$J182=$K182,$J182&gt;=AQ$3,$J182&lt;=IF(param_mode_affichage="mois",EOMONTH(AQ$3,0),AQ$3+6)),"◆",""))</f>
      </c>
      <c r="AR182" s="26">
        <f>IF(OR($A182="",AR$3=""),"",IF(AND($J182&lt;&gt;"",$K182&lt;&gt;"",$J182=$K182,$J182&gt;=AR$3,$J182&lt;=IF(param_mode_affichage="mois",EOMONTH(AR$3,0),AR$3+6)),"◆",""))</f>
      </c>
      <c r="AS182" s="26">
        <f>IF(OR($A182="",AS$3=""),"",IF(AND($J182&lt;&gt;"",$K182&lt;&gt;"",$J182=$K182,$J182&gt;=AS$3,$J182&lt;=IF(param_mode_affichage="mois",EOMONTH(AS$3,0),AS$3+6)),"◆",""))</f>
      </c>
      <c r="AT182" s="26">
        <f>IF(OR($A182="",AT$3=""),"",IF(AND($J182&lt;&gt;"",$K182&lt;&gt;"",$J182=$K182,$J182&gt;=AT$3,$J182&lt;=IF(param_mode_affichage="mois",EOMONTH(AT$3,0),AT$3+6)),"◆",""))</f>
      </c>
      <c r="AU182" s="26">
        <f>IF(OR($A182="",AU$3=""),"",IF(AND($J182&lt;&gt;"",$K182&lt;&gt;"",$J182=$K182,$J182&gt;=AU$3,$J182&lt;=IF(param_mode_affichage="mois",EOMONTH(AU$3,0),AU$3+6)),"◆",""))</f>
      </c>
      <c r="AV182" s="26">
        <f>IF(OR($A182="",AV$3=""),"",IF(AND($J182&lt;&gt;"",$K182&lt;&gt;"",$J182=$K182,$J182&gt;=AV$3,$J182&lt;=IF(param_mode_affichage="mois",EOMONTH(AV$3,0),AV$3+6)),"◆",""))</f>
      </c>
      <c r="AW182" s="26">
        <f>IF(OR($A182="",AW$3=""),"",IF(AND($J182&lt;&gt;"",$K182&lt;&gt;"",$J182=$K182,$J182&gt;=AW$3,$J182&lt;=IF(param_mode_affichage="mois",EOMONTH(AW$3,0),AW$3+6)),"◆",""))</f>
      </c>
      <c r="AX182" s="26">
        <f>IF(OR($A182="",AX$3=""),"",IF(AND($J182&lt;&gt;"",$K182&lt;&gt;"",$J182=$K182,$J182&gt;=AX$3,$J182&lt;=IF(param_mode_affichage="mois",EOMONTH(AX$3,0),AX$3+6)),"◆",""))</f>
      </c>
      <c r="AY182" s="26">
        <f>IF(OR($A182="",AY$3=""),"",IF(AND($J182&lt;&gt;"",$K182&lt;&gt;"",$J182=$K182,$J182&gt;=AY$3,$J182&lt;=IF(param_mode_affichage="mois",EOMONTH(AY$3,0),AY$3+6)),"◆",""))</f>
      </c>
      <c r="AZ182" s="26">
        <f>IF(OR($A182="",AZ$3=""),"",IF(AND($J182&lt;&gt;"",$K182&lt;&gt;"",$J182=$K182,$J182&gt;=AZ$3,$J182&lt;=IF(param_mode_affichage="mois",EOMONTH(AZ$3,0),AZ$3+6)),"◆",""))</f>
      </c>
      <c r="BA182" s="26">
        <f>IF(OR($A182="",BA$3=""),"",IF(AND($J182&lt;&gt;"",$K182&lt;&gt;"",$J182=$K182,$J182&gt;=BA$3,$J182&lt;=IF(param_mode_affichage="mois",EOMONTH(BA$3,0),BA$3+6)),"◆",""))</f>
      </c>
      <c r="BB182" s="26">
        <f>IF(OR($A182="",BB$3=""),"",IF(AND($J182&lt;&gt;"",$K182&lt;&gt;"",$J182=$K182,$J182&gt;=BB$3,$J182&lt;=IF(param_mode_affichage="mois",EOMONTH(BB$3,0),BB$3+6)),"◆",""))</f>
      </c>
      <c r="BC182" s="26">
        <f>IF(OR($A182="",BC$3=""),"",IF(AND($J182&lt;&gt;"",$K182&lt;&gt;"",$J182=$K182,$J182&gt;=BC$3,$J182&lt;=IF(param_mode_affichage="mois",EOMONTH(BC$3,0),BC$3+6)),"◆",""))</f>
      </c>
      <c r="BD182" s="26">
        <f>IF(OR($A182="",BD$3=""),"",IF(AND($J182&lt;&gt;"",$K182&lt;&gt;"",$J182=$K182,$J182&gt;=BD$3,$J182&lt;=IF(param_mode_affichage="mois",EOMONTH(BD$3,0),BD$3+6)),"◆",""))</f>
      </c>
      <c r="BE182" s="26">
        <f>IF(OR($A182="",BE$3=""),"",IF(AND($J182&lt;&gt;"",$K182&lt;&gt;"",$J182=$K182,$J182&gt;=BE$3,$J182&lt;=IF(param_mode_affichage="mois",EOMONTH(BE$3,0),BE$3+6)),"◆",""))</f>
      </c>
      <c r="BF182" s="26">
        <f>IF(OR($A182="",BF$3=""),"",IF(AND($J182&lt;&gt;"",$K182&lt;&gt;"",$J182=$K182,$J182&gt;=BF$3,$J182&lt;=IF(param_mode_affichage="mois",EOMONTH(BF$3,0),BF$3+6)),"◆",""))</f>
      </c>
      <c r="BG182" s="26">
        <f>IF(OR($A182="",BG$3=""),"",IF(AND($J182&lt;&gt;"",$K182&lt;&gt;"",$J182=$K182,$J182&gt;=BG$3,$J182&lt;=IF(param_mode_affichage="mois",EOMONTH(BG$3,0),BG$3+6)),"◆",""))</f>
      </c>
      <c r="BH182" s="26">
        <f>IF(OR($A182="",BH$3=""),"",IF(AND($J182&lt;&gt;"",$K182&lt;&gt;"",$J182=$K182,$J182&gt;=BH$3,$J182&lt;=IF(param_mode_affichage="mois",EOMONTH(BH$3,0),BH$3+6)),"◆",""))</f>
      </c>
      <c r="BI182" s="26">
        <f>IF(OR($A182="",BI$3=""),"",IF(AND($J182&lt;&gt;"",$K182&lt;&gt;"",$J182=$K182,$J182&gt;=BI$3,$J182&lt;=IF(param_mode_affichage="mois",EOMONTH(BI$3,0),BI$3+6)),"◆",""))</f>
      </c>
      <c r="BJ182" s="26">
        <f>IF(OR($A182="",BJ$3=""),"",IF(AND($J182&lt;&gt;"",$K182&lt;&gt;"",$J182=$K182,$J182&gt;=BJ$3,$J182&lt;=IF(param_mode_affichage="mois",EOMONTH(BJ$3,0),BJ$3+6)),"◆",""))</f>
      </c>
      <c r="BK182" s="26">
        <f>IF(OR($A182="",BK$3=""),"",IF(AND($J182&lt;&gt;"",$K182&lt;&gt;"",$J182=$K182,$J182&gt;=BK$3,$J182&lt;=IF(param_mode_affichage="mois",EOMONTH(BK$3,0),BK$3+6)),"◆",""))</f>
      </c>
      <c r="BL182" s="26">
        <f>IF(OR($A182="",BL$3=""),"",IF(AND($J182&lt;&gt;"",$K182&lt;&gt;"",$J182=$K182,$J182&gt;=BL$3,$J182&lt;=IF(param_mode_affichage="mois",EOMONTH(BL$3,0),BL$3+6)),"◆",""))</f>
      </c>
    </row>
    <row r="183" spans="1:64" x14ac:dyDescent="0.25">
      <c r="A183" s="23">
        <f>IFERROR(INDEX(tblTasks[ID],ROW()-4),"")</f>
      </c>
      <c r="B183" s="24">
        <f>IF($A183="","",INDEX(tblTasks[Sujet],ROW()-4))</f>
      </c>
      <c r="C183" s="23">
        <f>IF($A183="","",INDEX(tblTasks[Responsable],ROW()-4))</f>
      </c>
      <c r="D183" s="23">
        <f>IF($A183="","",INDEX(tblTasks[Statut],ROW()-4))</f>
      </c>
      <c r="E183" s="23">
        <f>IF($A183="","",INDEX(tblTasks[Depend_de],ROW()-4))</f>
      </c>
      <c r="F183" s="23">
        <f>IF($A183="","",INDEX(tblTasks[Blocage],ROW()-4))</f>
      </c>
      <c r="G183" s="23">
        <f>IF($A183="","",INDEX(tblTasks[Niveau_criticite],ROW()-4))</f>
      </c>
      <c r="H183" s="23">
        <f>IF($A183="","",INDEX(tblTasks[Goulot],ROW()-4))</f>
      </c>
      <c r="I183" s="23">
        <f>IF($A183="","",IF(LOWER($F183)="oui","non",IF($E183="","oui",IFERROR(IF(LOWER(INDEX(tblTasks[Statut],MATCH($E183,tblTasks[ID],0)))="clos","oui","non"),"non"))))</f>
      </c>
      <c r="J183" s="25">
        <f>IF($A183="","",INDEX(tblTasks[Date_debut_prevue],ROW()-4))</f>
      </c>
      <c r="K183" s="25">
        <f>IF($A183="","",INDEX(tblTasks[Date_fin_prevue],ROW()-4))</f>
      </c>
      <c r="L183" s="23">
        <f>IF($A183="","",INDEX(tblTasks[Irreversibilite],ROW()-4))</f>
      </c>
      <c r="M183" s="26">
        <f>IF(OR($A183="",M$3=""),"",IF(AND($J183&lt;&gt;"",$K183&lt;&gt;"",$J183=$K183,$J183&gt;=M$3,$J183&lt;=IF(param_mode_affichage="mois",EOMONTH(M$3,0),M$3+6)),"◆",""))</f>
      </c>
      <c r="N183" s="26">
        <f>IF(OR($A183="",N$3=""),"",IF(AND($J183&lt;&gt;"",$K183&lt;&gt;"",$J183=$K183,$J183&gt;=N$3,$J183&lt;=IF(param_mode_affichage="mois",EOMONTH(N$3,0),N$3+6)),"◆",""))</f>
      </c>
      <c r="O183" s="26">
        <f>IF(OR($A183="",O$3=""),"",IF(AND($J183&lt;&gt;"",$K183&lt;&gt;"",$J183=$K183,$J183&gt;=O$3,$J183&lt;=IF(param_mode_affichage="mois",EOMONTH(O$3,0),O$3+6)),"◆",""))</f>
      </c>
      <c r="P183" s="26">
        <f>IF(OR($A183="",P$3=""),"",IF(AND($J183&lt;&gt;"",$K183&lt;&gt;"",$J183=$K183,$J183&gt;=P$3,$J183&lt;=IF(param_mode_affichage="mois",EOMONTH(P$3,0),P$3+6)),"◆",""))</f>
      </c>
      <c r="Q183" s="26">
        <f>IF(OR($A183="",Q$3=""),"",IF(AND($J183&lt;&gt;"",$K183&lt;&gt;"",$J183=$K183,$J183&gt;=Q$3,$J183&lt;=IF(param_mode_affichage="mois",EOMONTH(Q$3,0),Q$3+6)),"◆",""))</f>
      </c>
      <c r="R183" s="26">
        <f>IF(OR($A183="",R$3=""),"",IF(AND($J183&lt;&gt;"",$K183&lt;&gt;"",$J183=$K183,$J183&gt;=R$3,$J183&lt;=IF(param_mode_affichage="mois",EOMONTH(R$3,0),R$3+6)),"◆",""))</f>
      </c>
      <c r="S183" s="26">
        <f>IF(OR($A183="",S$3=""),"",IF(AND($J183&lt;&gt;"",$K183&lt;&gt;"",$J183=$K183,$J183&gt;=S$3,$J183&lt;=IF(param_mode_affichage="mois",EOMONTH(S$3,0),S$3+6)),"◆",""))</f>
      </c>
      <c r="T183" s="26">
        <f>IF(OR($A183="",T$3=""),"",IF(AND($J183&lt;&gt;"",$K183&lt;&gt;"",$J183=$K183,$J183&gt;=T$3,$J183&lt;=IF(param_mode_affichage="mois",EOMONTH(T$3,0),T$3+6)),"◆",""))</f>
      </c>
      <c r="U183" s="26">
        <f>IF(OR($A183="",U$3=""),"",IF(AND($J183&lt;&gt;"",$K183&lt;&gt;"",$J183=$K183,$J183&gt;=U$3,$J183&lt;=IF(param_mode_affichage="mois",EOMONTH(U$3,0),U$3+6)),"◆",""))</f>
      </c>
      <c r="V183" s="26">
        <f>IF(OR($A183="",V$3=""),"",IF(AND($J183&lt;&gt;"",$K183&lt;&gt;"",$J183=$K183,$J183&gt;=V$3,$J183&lt;=IF(param_mode_affichage="mois",EOMONTH(V$3,0),V$3+6)),"◆",""))</f>
      </c>
      <c r="W183" s="26">
        <f>IF(OR($A183="",W$3=""),"",IF(AND($J183&lt;&gt;"",$K183&lt;&gt;"",$J183=$K183,$J183&gt;=W$3,$J183&lt;=IF(param_mode_affichage="mois",EOMONTH(W$3,0),W$3+6)),"◆",""))</f>
      </c>
      <c r="X183" s="26">
        <f>IF(OR($A183="",X$3=""),"",IF(AND($J183&lt;&gt;"",$K183&lt;&gt;"",$J183=$K183,$J183&gt;=X$3,$J183&lt;=IF(param_mode_affichage="mois",EOMONTH(X$3,0),X$3+6)),"◆",""))</f>
      </c>
      <c r="Y183" s="26">
        <f>IF(OR($A183="",Y$3=""),"",IF(AND($J183&lt;&gt;"",$K183&lt;&gt;"",$J183=$K183,$J183&gt;=Y$3,$J183&lt;=IF(param_mode_affichage="mois",EOMONTH(Y$3,0),Y$3+6)),"◆",""))</f>
      </c>
      <c r="Z183" s="26">
        <f>IF(OR($A183="",Z$3=""),"",IF(AND($J183&lt;&gt;"",$K183&lt;&gt;"",$J183=$K183,$J183&gt;=Z$3,$J183&lt;=IF(param_mode_affichage="mois",EOMONTH(Z$3,0),Z$3+6)),"◆",""))</f>
      </c>
      <c r="AA183" s="26">
        <f>IF(OR($A183="",AA$3=""),"",IF(AND($J183&lt;&gt;"",$K183&lt;&gt;"",$J183=$K183,$J183&gt;=AA$3,$J183&lt;=IF(param_mode_affichage="mois",EOMONTH(AA$3,0),AA$3+6)),"◆",""))</f>
      </c>
      <c r="AB183" s="26">
        <f>IF(OR($A183="",AB$3=""),"",IF(AND($J183&lt;&gt;"",$K183&lt;&gt;"",$J183=$K183,$J183&gt;=AB$3,$J183&lt;=IF(param_mode_affichage="mois",EOMONTH(AB$3,0),AB$3+6)),"◆",""))</f>
      </c>
      <c r="AC183" s="26">
        <f>IF(OR($A183="",AC$3=""),"",IF(AND($J183&lt;&gt;"",$K183&lt;&gt;"",$J183=$K183,$J183&gt;=AC$3,$J183&lt;=IF(param_mode_affichage="mois",EOMONTH(AC$3,0),AC$3+6)),"◆",""))</f>
      </c>
      <c r="AD183" s="26">
        <f>IF(OR($A183="",AD$3=""),"",IF(AND($J183&lt;&gt;"",$K183&lt;&gt;"",$J183=$K183,$J183&gt;=AD$3,$J183&lt;=IF(param_mode_affichage="mois",EOMONTH(AD$3,0),AD$3+6)),"◆",""))</f>
      </c>
      <c r="AE183" s="26">
        <f>IF(OR($A183="",AE$3=""),"",IF(AND($J183&lt;&gt;"",$K183&lt;&gt;"",$J183=$K183,$J183&gt;=AE$3,$J183&lt;=IF(param_mode_affichage="mois",EOMONTH(AE$3,0),AE$3+6)),"◆",""))</f>
      </c>
      <c r="AF183" s="26">
        <f>IF(OR($A183="",AF$3=""),"",IF(AND($J183&lt;&gt;"",$K183&lt;&gt;"",$J183=$K183,$J183&gt;=AF$3,$J183&lt;=IF(param_mode_affichage="mois",EOMONTH(AF$3,0),AF$3+6)),"◆",""))</f>
      </c>
      <c r="AG183" s="26">
        <f>IF(OR($A183="",AG$3=""),"",IF(AND($J183&lt;&gt;"",$K183&lt;&gt;"",$J183=$K183,$J183&gt;=AG$3,$J183&lt;=IF(param_mode_affichage="mois",EOMONTH(AG$3,0),AG$3+6)),"◆",""))</f>
      </c>
      <c r="AH183" s="26">
        <f>IF(OR($A183="",AH$3=""),"",IF(AND($J183&lt;&gt;"",$K183&lt;&gt;"",$J183=$K183,$J183&gt;=AH$3,$J183&lt;=IF(param_mode_affichage="mois",EOMONTH(AH$3,0),AH$3+6)),"◆",""))</f>
      </c>
      <c r="AI183" s="26">
        <f>IF(OR($A183="",AI$3=""),"",IF(AND($J183&lt;&gt;"",$K183&lt;&gt;"",$J183=$K183,$J183&gt;=AI$3,$J183&lt;=IF(param_mode_affichage="mois",EOMONTH(AI$3,0),AI$3+6)),"◆",""))</f>
      </c>
      <c r="AJ183" s="26">
        <f>IF(OR($A183="",AJ$3=""),"",IF(AND($J183&lt;&gt;"",$K183&lt;&gt;"",$J183=$K183,$J183&gt;=AJ$3,$J183&lt;=IF(param_mode_affichage="mois",EOMONTH(AJ$3,0),AJ$3+6)),"◆",""))</f>
      </c>
      <c r="AK183" s="26">
        <f>IF(OR($A183="",AK$3=""),"",IF(AND($J183&lt;&gt;"",$K183&lt;&gt;"",$J183=$K183,$J183&gt;=AK$3,$J183&lt;=IF(param_mode_affichage="mois",EOMONTH(AK$3,0),AK$3+6)),"◆",""))</f>
      </c>
      <c r="AL183" s="26">
        <f>IF(OR($A183="",AL$3=""),"",IF(AND($J183&lt;&gt;"",$K183&lt;&gt;"",$J183=$K183,$J183&gt;=AL$3,$J183&lt;=IF(param_mode_affichage="mois",EOMONTH(AL$3,0),AL$3+6)),"◆",""))</f>
      </c>
      <c r="AM183" s="26">
        <f>IF(OR($A183="",AM$3=""),"",IF(AND($J183&lt;&gt;"",$K183&lt;&gt;"",$J183=$K183,$J183&gt;=AM$3,$J183&lt;=IF(param_mode_affichage="mois",EOMONTH(AM$3,0),AM$3+6)),"◆",""))</f>
      </c>
      <c r="AN183" s="26">
        <f>IF(OR($A183="",AN$3=""),"",IF(AND($J183&lt;&gt;"",$K183&lt;&gt;"",$J183=$K183,$J183&gt;=AN$3,$J183&lt;=IF(param_mode_affichage="mois",EOMONTH(AN$3,0),AN$3+6)),"◆",""))</f>
      </c>
      <c r="AO183" s="26">
        <f>IF(OR($A183="",AO$3=""),"",IF(AND($J183&lt;&gt;"",$K183&lt;&gt;"",$J183=$K183,$J183&gt;=AO$3,$J183&lt;=IF(param_mode_affichage="mois",EOMONTH(AO$3,0),AO$3+6)),"◆",""))</f>
      </c>
      <c r="AP183" s="26">
        <f>IF(OR($A183="",AP$3=""),"",IF(AND($J183&lt;&gt;"",$K183&lt;&gt;"",$J183=$K183,$J183&gt;=AP$3,$J183&lt;=IF(param_mode_affichage="mois",EOMONTH(AP$3,0),AP$3+6)),"◆",""))</f>
      </c>
      <c r="AQ183" s="26">
        <f>IF(OR($A183="",AQ$3=""),"",IF(AND($J183&lt;&gt;"",$K183&lt;&gt;"",$J183=$K183,$J183&gt;=AQ$3,$J183&lt;=IF(param_mode_affichage="mois",EOMONTH(AQ$3,0),AQ$3+6)),"◆",""))</f>
      </c>
      <c r="AR183" s="26">
        <f>IF(OR($A183="",AR$3=""),"",IF(AND($J183&lt;&gt;"",$K183&lt;&gt;"",$J183=$K183,$J183&gt;=AR$3,$J183&lt;=IF(param_mode_affichage="mois",EOMONTH(AR$3,0),AR$3+6)),"◆",""))</f>
      </c>
      <c r="AS183" s="26">
        <f>IF(OR($A183="",AS$3=""),"",IF(AND($J183&lt;&gt;"",$K183&lt;&gt;"",$J183=$K183,$J183&gt;=AS$3,$J183&lt;=IF(param_mode_affichage="mois",EOMONTH(AS$3,0),AS$3+6)),"◆",""))</f>
      </c>
      <c r="AT183" s="26">
        <f>IF(OR($A183="",AT$3=""),"",IF(AND($J183&lt;&gt;"",$K183&lt;&gt;"",$J183=$K183,$J183&gt;=AT$3,$J183&lt;=IF(param_mode_affichage="mois",EOMONTH(AT$3,0),AT$3+6)),"◆",""))</f>
      </c>
      <c r="AU183" s="26">
        <f>IF(OR($A183="",AU$3=""),"",IF(AND($J183&lt;&gt;"",$K183&lt;&gt;"",$J183=$K183,$J183&gt;=AU$3,$J183&lt;=IF(param_mode_affichage="mois",EOMONTH(AU$3,0),AU$3+6)),"◆",""))</f>
      </c>
      <c r="AV183" s="26">
        <f>IF(OR($A183="",AV$3=""),"",IF(AND($J183&lt;&gt;"",$K183&lt;&gt;"",$J183=$K183,$J183&gt;=AV$3,$J183&lt;=IF(param_mode_affichage="mois",EOMONTH(AV$3,0),AV$3+6)),"◆",""))</f>
      </c>
      <c r="AW183" s="26">
        <f>IF(OR($A183="",AW$3=""),"",IF(AND($J183&lt;&gt;"",$K183&lt;&gt;"",$J183=$K183,$J183&gt;=AW$3,$J183&lt;=IF(param_mode_affichage="mois",EOMONTH(AW$3,0),AW$3+6)),"◆",""))</f>
      </c>
      <c r="AX183" s="26">
        <f>IF(OR($A183="",AX$3=""),"",IF(AND($J183&lt;&gt;"",$K183&lt;&gt;"",$J183=$K183,$J183&gt;=AX$3,$J183&lt;=IF(param_mode_affichage="mois",EOMONTH(AX$3,0),AX$3+6)),"◆",""))</f>
      </c>
      <c r="AY183" s="26">
        <f>IF(OR($A183="",AY$3=""),"",IF(AND($J183&lt;&gt;"",$K183&lt;&gt;"",$J183=$K183,$J183&gt;=AY$3,$J183&lt;=IF(param_mode_affichage="mois",EOMONTH(AY$3,0),AY$3+6)),"◆",""))</f>
      </c>
      <c r="AZ183" s="26">
        <f>IF(OR($A183="",AZ$3=""),"",IF(AND($J183&lt;&gt;"",$K183&lt;&gt;"",$J183=$K183,$J183&gt;=AZ$3,$J183&lt;=IF(param_mode_affichage="mois",EOMONTH(AZ$3,0),AZ$3+6)),"◆",""))</f>
      </c>
      <c r="BA183" s="26">
        <f>IF(OR($A183="",BA$3=""),"",IF(AND($J183&lt;&gt;"",$K183&lt;&gt;"",$J183=$K183,$J183&gt;=BA$3,$J183&lt;=IF(param_mode_affichage="mois",EOMONTH(BA$3,0),BA$3+6)),"◆",""))</f>
      </c>
      <c r="BB183" s="26">
        <f>IF(OR($A183="",BB$3=""),"",IF(AND($J183&lt;&gt;"",$K183&lt;&gt;"",$J183=$K183,$J183&gt;=BB$3,$J183&lt;=IF(param_mode_affichage="mois",EOMONTH(BB$3,0),BB$3+6)),"◆",""))</f>
      </c>
      <c r="BC183" s="26">
        <f>IF(OR($A183="",BC$3=""),"",IF(AND($J183&lt;&gt;"",$K183&lt;&gt;"",$J183=$K183,$J183&gt;=BC$3,$J183&lt;=IF(param_mode_affichage="mois",EOMONTH(BC$3,0),BC$3+6)),"◆",""))</f>
      </c>
      <c r="BD183" s="26">
        <f>IF(OR($A183="",BD$3=""),"",IF(AND($J183&lt;&gt;"",$K183&lt;&gt;"",$J183=$K183,$J183&gt;=BD$3,$J183&lt;=IF(param_mode_affichage="mois",EOMONTH(BD$3,0),BD$3+6)),"◆",""))</f>
      </c>
      <c r="BE183" s="26">
        <f>IF(OR($A183="",BE$3=""),"",IF(AND($J183&lt;&gt;"",$K183&lt;&gt;"",$J183=$K183,$J183&gt;=BE$3,$J183&lt;=IF(param_mode_affichage="mois",EOMONTH(BE$3,0),BE$3+6)),"◆",""))</f>
      </c>
      <c r="BF183" s="26">
        <f>IF(OR($A183="",BF$3=""),"",IF(AND($J183&lt;&gt;"",$K183&lt;&gt;"",$J183=$K183,$J183&gt;=BF$3,$J183&lt;=IF(param_mode_affichage="mois",EOMONTH(BF$3,0),BF$3+6)),"◆",""))</f>
      </c>
      <c r="BG183" s="26">
        <f>IF(OR($A183="",BG$3=""),"",IF(AND($J183&lt;&gt;"",$K183&lt;&gt;"",$J183=$K183,$J183&gt;=BG$3,$J183&lt;=IF(param_mode_affichage="mois",EOMONTH(BG$3,0),BG$3+6)),"◆",""))</f>
      </c>
      <c r="BH183" s="26">
        <f>IF(OR($A183="",BH$3=""),"",IF(AND($J183&lt;&gt;"",$K183&lt;&gt;"",$J183=$K183,$J183&gt;=BH$3,$J183&lt;=IF(param_mode_affichage="mois",EOMONTH(BH$3,0),BH$3+6)),"◆",""))</f>
      </c>
      <c r="BI183" s="26">
        <f>IF(OR($A183="",BI$3=""),"",IF(AND($J183&lt;&gt;"",$K183&lt;&gt;"",$J183=$K183,$J183&gt;=BI$3,$J183&lt;=IF(param_mode_affichage="mois",EOMONTH(BI$3,0),BI$3+6)),"◆",""))</f>
      </c>
      <c r="BJ183" s="26">
        <f>IF(OR($A183="",BJ$3=""),"",IF(AND($J183&lt;&gt;"",$K183&lt;&gt;"",$J183=$K183,$J183&gt;=BJ$3,$J183&lt;=IF(param_mode_affichage="mois",EOMONTH(BJ$3,0),BJ$3+6)),"◆",""))</f>
      </c>
      <c r="BK183" s="26">
        <f>IF(OR($A183="",BK$3=""),"",IF(AND($J183&lt;&gt;"",$K183&lt;&gt;"",$J183=$K183,$J183&gt;=BK$3,$J183&lt;=IF(param_mode_affichage="mois",EOMONTH(BK$3,0),BK$3+6)),"◆",""))</f>
      </c>
      <c r="BL183" s="26">
        <f>IF(OR($A183="",BL$3=""),"",IF(AND($J183&lt;&gt;"",$K183&lt;&gt;"",$J183=$K183,$J183&gt;=BL$3,$J183&lt;=IF(param_mode_affichage="mois",EOMONTH(BL$3,0),BL$3+6)),"◆",""))</f>
      </c>
    </row>
    <row r="184" spans="1:64" x14ac:dyDescent="0.25">
      <c r="A184" s="23">
        <f>IFERROR(INDEX(tblTasks[ID],ROW()-4),"")</f>
      </c>
      <c r="B184" s="24">
        <f>IF($A184="","",INDEX(tblTasks[Sujet],ROW()-4))</f>
      </c>
      <c r="C184" s="23">
        <f>IF($A184="","",INDEX(tblTasks[Responsable],ROW()-4))</f>
      </c>
      <c r="D184" s="23">
        <f>IF($A184="","",INDEX(tblTasks[Statut],ROW()-4))</f>
      </c>
      <c r="E184" s="23">
        <f>IF($A184="","",INDEX(tblTasks[Depend_de],ROW()-4))</f>
      </c>
      <c r="F184" s="23">
        <f>IF($A184="","",INDEX(tblTasks[Blocage],ROW()-4))</f>
      </c>
      <c r="G184" s="23">
        <f>IF($A184="","",INDEX(tblTasks[Niveau_criticite],ROW()-4))</f>
      </c>
      <c r="H184" s="23">
        <f>IF($A184="","",INDEX(tblTasks[Goulot],ROW()-4))</f>
      </c>
      <c r="I184" s="23">
        <f>IF($A184="","",IF(LOWER($F184)="oui","non",IF($E184="","oui",IFERROR(IF(LOWER(INDEX(tblTasks[Statut],MATCH($E184,tblTasks[ID],0)))="clos","oui","non"),"non"))))</f>
      </c>
      <c r="J184" s="25">
        <f>IF($A184="","",INDEX(tblTasks[Date_debut_prevue],ROW()-4))</f>
      </c>
      <c r="K184" s="25">
        <f>IF($A184="","",INDEX(tblTasks[Date_fin_prevue],ROW()-4))</f>
      </c>
      <c r="L184" s="23">
        <f>IF($A184="","",INDEX(tblTasks[Irreversibilite],ROW()-4))</f>
      </c>
      <c r="M184" s="26">
        <f>IF(OR($A184="",M$3=""),"",IF(AND($J184&lt;&gt;"",$K184&lt;&gt;"",$J184=$K184,$J184&gt;=M$3,$J184&lt;=IF(param_mode_affichage="mois",EOMONTH(M$3,0),M$3+6)),"◆",""))</f>
      </c>
      <c r="N184" s="26">
        <f>IF(OR($A184="",N$3=""),"",IF(AND($J184&lt;&gt;"",$K184&lt;&gt;"",$J184=$K184,$J184&gt;=N$3,$J184&lt;=IF(param_mode_affichage="mois",EOMONTH(N$3,0),N$3+6)),"◆",""))</f>
      </c>
      <c r="O184" s="26">
        <f>IF(OR($A184="",O$3=""),"",IF(AND($J184&lt;&gt;"",$K184&lt;&gt;"",$J184=$K184,$J184&gt;=O$3,$J184&lt;=IF(param_mode_affichage="mois",EOMONTH(O$3,0),O$3+6)),"◆",""))</f>
      </c>
      <c r="P184" s="26">
        <f>IF(OR($A184="",P$3=""),"",IF(AND($J184&lt;&gt;"",$K184&lt;&gt;"",$J184=$K184,$J184&gt;=P$3,$J184&lt;=IF(param_mode_affichage="mois",EOMONTH(P$3,0),P$3+6)),"◆",""))</f>
      </c>
      <c r="Q184" s="26">
        <f>IF(OR($A184="",Q$3=""),"",IF(AND($J184&lt;&gt;"",$K184&lt;&gt;"",$J184=$K184,$J184&gt;=Q$3,$J184&lt;=IF(param_mode_affichage="mois",EOMONTH(Q$3,0),Q$3+6)),"◆",""))</f>
      </c>
      <c r="R184" s="26">
        <f>IF(OR($A184="",R$3=""),"",IF(AND($J184&lt;&gt;"",$K184&lt;&gt;"",$J184=$K184,$J184&gt;=R$3,$J184&lt;=IF(param_mode_affichage="mois",EOMONTH(R$3,0),R$3+6)),"◆",""))</f>
      </c>
      <c r="S184" s="26">
        <f>IF(OR($A184="",S$3=""),"",IF(AND($J184&lt;&gt;"",$K184&lt;&gt;"",$J184=$K184,$J184&gt;=S$3,$J184&lt;=IF(param_mode_affichage="mois",EOMONTH(S$3,0),S$3+6)),"◆",""))</f>
      </c>
      <c r="T184" s="26">
        <f>IF(OR($A184="",T$3=""),"",IF(AND($J184&lt;&gt;"",$K184&lt;&gt;"",$J184=$K184,$J184&gt;=T$3,$J184&lt;=IF(param_mode_affichage="mois",EOMONTH(T$3,0),T$3+6)),"◆",""))</f>
      </c>
      <c r="U184" s="26">
        <f>IF(OR($A184="",U$3=""),"",IF(AND($J184&lt;&gt;"",$K184&lt;&gt;"",$J184=$K184,$J184&gt;=U$3,$J184&lt;=IF(param_mode_affichage="mois",EOMONTH(U$3,0),U$3+6)),"◆",""))</f>
      </c>
      <c r="V184" s="26">
        <f>IF(OR($A184="",V$3=""),"",IF(AND($J184&lt;&gt;"",$K184&lt;&gt;"",$J184=$K184,$J184&gt;=V$3,$J184&lt;=IF(param_mode_affichage="mois",EOMONTH(V$3,0),V$3+6)),"◆",""))</f>
      </c>
      <c r="W184" s="26">
        <f>IF(OR($A184="",W$3=""),"",IF(AND($J184&lt;&gt;"",$K184&lt;&gt;"",$J184=$K184,$J184&gt;=W$3,$J184&lt;=IF(param_mode_affichage="mois",EOMONTH(W$3,0),W$3+6)),"◆",""))</f>
      </c>
      <c r="X184" s="26">
        <f>IF(OR($A184="",X$3=""),"",IF(AND($J184&lt;&gt;"",$K184&lt;&gt;"",$J184=$K184,$J184&gt;=X$3,$J184&lt;=IF(param_mode_affichage="mois",EOMONTH(X$3,0),X$3+6)),"◆",""))</f>
      </c>
      <c r="Y184" s="26">
        <f>IF(OR($A184="",Y$3=""),"",IF(AND($J184&lt;&gt;"",$K184&lt;&gt;"",$J184=$K184,$J184&gt;=Y$3,$J184&lt;=IF(param_mode_affichage="mois",EOMONTH(Y$3,0),Y$3+6)),"◆",""))</f>
      </c>
      <c r="Z184" s="26">
        <f>IF(OR($A184="",Z$3=""),"",IF(AND($J184&lt;&gt;"",$K184&lt;&gt;"",$J184=$K184,$J184&gt;=Z$3,$J184&lt;=IF(param_mode_affichage="mois",EOMONTH(Z$3,0),Z$3+6)),"◆",""))</f>
      </c>
      <c r="AA184" s="26">
        <f>IF(OR($A184="",AA$3=""),"",IF(AND($J184&lt;&gt;"",$K184&lt;&gt;"",$J184=$K184,$J184&gt;=AA$3,$J184&lt;=IF(param_mode_affichage="mois",EOMONTH(AA$3,0),AA$3+6)),"◆",""))</f>
      </c>
      <c r="AB184" s="26">
        <f>IF(OR($A184="",AB$3=""),"",IF(AND($J184&lt;&gt;"",$K184&lt;&gt;"",$J184=$K184,$J184&gt;=AB$3,$J184&lt;=IF(param_mode_affichage="mois",EOMONTH(AB$3,0),AB$3+6)),"◆",""))</f>
      </c>
      <c r="AC184" s="26">
        <f>IF(OR($A184="",AC$3=""),"",IF(AND($J184&lt;&gt;"",$K184&lt;&gt;"",$J184=$K184,$J184&gt;=AC$3,$J184&lt;=IF(param_mode_affichage="mois",EOMONTH(AC$3,0),AC$3+6)),"◆",""))</f>
      </c>
      <c r="AD184" s="26">
        <f>IF(OR($A184="",AD$3=""),"",IF(AND($J184&lt;&gt;"",$K184&lt;&gt;"",$J184=$K184,$J184&gt;=AD$3,$J184&lt;=IF(param_mode_affichage="mois",EOMONTH(AD$3,0),AD$3+6)),"◆",""))</f>
      </c>
      <c r="AE184" s="26">
        <f>IF(OR($A184="",AE$3=""),"",IF(AND($J184&lt;&gt;"",$K184&lt;&gt;"",$J184=$K184,$J184&gt;=AE$3,$J184&lt;=IF(param_mode_affichage="mois",EOMONTH(AE$3,0),AE$3+6)),"◆",""))</f>
      </c>
      <c r="AF184" s="26">
        <f>IF(OR($A184="",AF$3=""),"",IF(AND($J184&lt;&gt;"",$K184&lt;&gt;"",$J184=$K184,$J184&gt;=AF$3,$J184&lt;=IF(param_mode_affichage="mois",EOMONTH(AF$3,0),AF$3+6)),"◆",""))</f>
      </c>
      <c r="AG184" s="26">
        <f>IF(OR($A184="",AG$3=""),"",IF(AND($J184&lt;&gt;"",$K184&lt;&gt;"",$J184=$K184,$J184&gt;=AG$3,$J184&lt;=IF(param_mode_affichage="mois",EOMONTH(AG$3,0),AG$3+6)),"◆",""))</f>
      </c>
      <c r="AH184" s="26">
        <f>IF(OR($A184="",AH$3=""),"",IF(AND($J184&lt;&gt;"",$K184&lt;&gt;"",$J184=$K184,$J184&gt;=AH$3,$J184&lt;=IF(param_mode_affichage="mois",EOMONTH(AH$3,0),AH$3+6)),"◆",""))</f>
      </c>
      <c r="AI184" s="26">
        <f>IF(OR($A184="",AI$3=""),"",IF(AND($J184&lt;&gt;"",$K184&lt;&gt;"",$J184=$K184,$J184&gt;=AI$3,$J184&lt;=IF(param_mode_affichage="mois",EOMONTH(AI$3,0),AI$3+6)),"◆",""))</f>
      </c>
      <c r="AJ184" s="26">
        <f>IF(OR($A184="",AJ$3=""),"",IF(AND($J184&lt;&gt;"",$K184&lt;&gt;"",$J184=$K184,$J184&gt;=AJ$3,$J184&lt;=IF(param_mode_affichage="mois",EOMONTH(AJ$3,0),AJ$3+6)),"◆",""))</f>
      </c>
      <c r="AK184" s="26">
        <f>IF(OR($A184="",AK$3=""),"",IF(AND($J184&lt;&gt;"",$K184&lt;&gt;"",$J184=$K184,$J184&gt;=AK$3,$J184&lt;=IF(param_mode_affichage="mois",EOMONTH(AK$3,0),AK$3+6)),"◆",""))</f>
      </c>
      <c r="AL184" s="26">
        <f>IF(OR($A184="",AL$3=""),"",IF(AND($J184&lt;&gt;"",$K184&lt;&gt;"",$J184=$K184,$J184&gt;=AL$3,$J184&lt;=IF(param_mode_affichage="mois",EOMONTH(AL$3,0),AL$3+6)),"◆",""))</f>
      </c>
      <c r="AM184" s="26">
        <f>IF(OR($A184="",AM$3=""),"",IF(AND($J184&lt;&gt;"",$K184&lt;&gt;"",$J184=$K184,$J184&gt;=AM$3,$J184&lt;=IF(param_mode_affichage="mois",EOMONTH(AM$3,0),AM$3+6)),"◆",""))</f>
      </c>
      <c r="AN184" s="26">
        <f>IF(OR($A184="",AN$3=""),"",IF(AND($J184&lt;&gt;"",$K184&lt;&gt;"",$J184=$K184,$J184&gt;=AN$3,$J184&lt;=IF(param_mode_affichage="mois",EOMONTH(AN$3,0),AN$3+6)),"◆",""))</f>
      </c>
      <c r="AO184" s="26">
        <f>IF(OR($A184="",AO$3=""),"",IF(AND($J184&lt;&gt;"",$K184&lt;&gt;"",$J184=$K184,$J184&gt;=AO$3,$J184&lt;=IF(param_mode_affichage="mois",EOMONTH(AO$3,0),AO$3+6)),"◆",""))</f>
      </c>
      <c r="AP184" s="26">
        <f>IF(OR($A184="",AP$3=""),"",IF(AND($J184&lt;&gt;"",$K184&lt;&gt;"",$J184=$K184,$J184&gt;=AP$3,$J184&lt;=IF(param_mode_affichage="mois",EOMONTH(AP$3,0),AP$3+6)),"◆",""))</f>
      </c>
      <c r="AQ184" s="26">
        <f>IF(OR($A184="",AQ$3=""),"",IF(AND($J184&lt;&gt;"",$K184&lt;&gt;"",$J184=$K184,$J184&gt;=AQ$3,$J184&lt;=IF(param_mode_affichage="mois",EOMONTH(AQ$3,0),AQ$3+6)),"◆",""))</f>
      </c>
      <c r="AR184" s="26">
        <f>IF(OR($A184="",AR$3=""),"",IF(AND($J184&lt;&gt;"",$K184&lt;&gt;"",$J184=$K184,$J184&gt;=AR$3,$J184&lt;=IF(param_mode_affichage="mois",EOMONTH(AR$3,0),AR$3+6)),"◆",""))</f>
      </c>
      <c r="AS184" s="26">
        <f>IF(OR($A184="",AS$3=""),"",IF(AND($J184&lt;&gt;"",$K184&lt;&gt;"",$J184=$K184,$J184&gt;=AS$3,$J184&lt;=IF(param_mode_affichage="mois",EOMONTH(AS$3,0),AS$3+6)),"◆",""))</f>
      </c>
      <c r="AT184" s="26">
        <f>IF(OR($A184="",AT$3=""),"",IF(AND($J184&lt;&gt;"",$K184&lt;&gt;"",$J184=$K184,$J184&gt;=AT$3,$J184&lt;=IF(param_mode_affichage="mois",EOMONTH(AT$3,0),AT$3+6)),"◆",""))</f>
      </c>
      <c r="AU184" s="26">
        <f>IF(OR($A184="",AU$3=""),"",IF(AND($J184&lt;&gt;"",$K184&lt;&gt;"",$J184=$K184,$J184&gt;=AU$3,$J184&lt;=IF(param_mode_affichage="mois",EOMONTH(AU$3,0),AU$3+6)),"◆",""))</f>
      </c>
      <c r="AV184" s="26">
        <f>IF(OR($A184="",AV$3=""),"",IF(AND($J184&lt;&gt;"",$K184&lt;&gt;"",$J184=$K184,$J184&gt;=AV$3,$J184&lt;=IF(param_mode_affichage="mois",EOMONTH(AV$3,0),AV$3+6)),"◆",""))</f>
      </c>
      <c r="AW184" s="26">
        <f>IF(OR($A184="",AW$3=""),"",IF(AND($J184&lt;&gt;"",$K184&lt;&gt;"",$J184=$K184,$J184&gt;=AW$3,$J184&lt;=IF(param_mode_affichage="mois",EOMONTH(AW$3,0),AW$3+6)),"◆",""))</f>
      </c>
      <c r="AX184" s="26">
        <f>IF(OR($A184="",AX$3=""),"",IF(AND($J184&lt;&gt;"",$K184&lt;&gt;"",$J184=$K184,$J184&gt;=AX$3,$J184&lt;=IF(param_mode_affichage="mois",EOMONTH(AX$3,0),AX$3+6)),"◆",""))</f>
      </c>
      <c r="AY184" s="26">
        <f>IF(OR($A184="",AY$3=""),"",IF(AND($J184&lt;&gt;"",$K184&lt;&gt;"",$J184=$K184,$J184&gt;=AY$3,$J184&lt;=IF(param_mode_affichage="mois",EOMONTH(AY$3,0),AY$3+6)),"◆",""))</f>
      </c>
      <c r="AZ184" s="26">
        <f>IF(OR($A184="",AZ$3=""),"",IF(AND($J184&lt;&gt;"",$K184&lt;&gt;"",$J184=$K184,$J184&gt;=AZ$3,$J184&lt;=IF(param_mode_affichage="mois",EOMONTH(AZ$3,0),AZ$3+6)),"◆",""))</f>
      </c>
      <c r="BA184" s="26">
        <f>IF(OR($A184="",BA$3=""),"",IF(AND($J184&lt;&gt;"",$K184&lt;&gt;"",$J184=$K184,$J184&gt;=BA$3,$J184&lt;=IF(param_mode_affichage="mois",EOMONTH(BA$3,0),BA$3+6)),"◆",""))</f>
      </c>
      <c r="BB184" s="26">
        <f>IF(OR($A184="",BB$3=""),"",IF(AND($J184&lt;&gt;"",$K184&lt;&gt;"",$J184=$K184,$J184&gt;=BB$3,$J184&lt;=IF(param_mode_affichage="mois",EOMONTH(BB$3,0),BB$3+6)),"◆",""))</f>
      </c>
      <c r="BC184" s="26">
        <f>IF(OR($A184="",BC$3=""),"",IF(AND($J184&lt;&gt;"",$K184&lt;&gt;"",$J184=$K184,$J184&gt;=BC$3,$J184&lt;=IF(param_mode_affichage="mois",EOMONTH(BC$3,0),BC$3+6)),"◆",""))</f>
      </c>
      <c r="BD184" s="26">
        <f>IF(OR($A184="",BD$3=""),"",IF(AND($J184&lt;&gt;"",$K184&lt;&gt;"",$J184=$K184,$J184&gt;=BD$3,$J184&lt;=IF(param_mode_affichage="mois",EOMONTH(BD$3,0),BD$3+6)),"◆",""))</f>
      </c>
      <c r="BE184" s="26">
        <f>IF(OR($A184="",BE$3=""),"",IF(AND($J184&lt;&gt;"",$K184&lt;&gt;"",$J184=$K184,$J184&gt;=BE$3,$J184&lt;=IF(param_mode_affichage="mois",EOMONTH(BE$3,0),BE$3+6)),"◆",""))</f>
      </c>
      <c r="BF184" s="26">
        <f>IF(OR($A184="",BF$3=""),"",IF(AND($J184&lt;&gt;"",$K184&lt;&gt;"",$J184=$K184,$J184&gt;=BF$3,$J184&lt;=IF(param_mode_affichage="mois",EOMONTH(BF$3,0),BF$3+6)),"◆",""))</f>
      </c>
      <c r="BG184" s="26">
        <f>IF(OR($A184="",BG$3=""),"",IF(AND($J184&lt;&gt;"",$K184&lt;&gt;"",$J184=$K184,$J184&gt;=BG$3,$J184&lt;=IF(param_mode_affichage="mois",EOMONTH(BG$3,0),BG$3+6)),"◆",""))</f>
      </c>
      <c r="BH184" s="26">
        <f>IF(OR($A184="",BH$3=""),"",IF(AND($J184&lt;&gt;"",$K184&lt;&gt;"",$J184=$K184,$J184&gt;=BH$3,$J184&lt;=IF(param_mode_affichage="mois",EOMONTH(BH$3,0),BH$3+6)),"◆",""))</f>
      </c>
      <c r="BI184" s="26">
        <f>IF(OR($A184="",BI$3=""),"",IF(AND($J184&lt;&gt;"",$K184&lt;&gt;"",$J184=$K184,$J184&gt;=BI$3,$J184&lt;=IF(param_mode_affichage="mois",EOMONTH(BI$3,0),BI$3+6)),"◆",""))</f>
      </c>
      <c r="BJ184" s="26">
        <f>IF(OR($A184="",BJ$3=""),"",IF(AND($J184&lt;&gt;"",$K184&lt;&gt;"",$J184=$K184,$J184&gt;=BJ$3,$J184&lt;=IF(param_mode_affichage="mois",EOMONTH(BJ$3,0),BJ$3+6)),"◆",""))</f>
      </c>
      <c r="BK184" s="26">
        <f>IF(OR($A184="",BK$3=""),"",IF(AND($J184&lt;&gt;"",$K184&lt;&gt;"",$J184=$K184,$J184&gt;=BK$3,$J184&lt;=IF(param_mode_affichage="mois",EOMONTH(BK$3,0),BK$3+6)),"◆",""))</f>
      </c>
      <c r="BL184" s="26">
        <f>IF(OR($A184="",BL$3=""),"",IF(AND($J184&lt;&gt;"",$K184&lt;&gt;"",$J184=$K184,$J184&gt;=BL$3,$J184&lt;=IF(param_mode_affichage="mois",EOMONTH(BL$3,0),BL$3+6)),"◆",""))</f>
      </c>
    </row>
    <row r="185" spans="1:64" x14ac:dyDescent="0.25">
      <c r="A185" s="23">
        <f>IFERROR(INDEX(tblTasks[ID],ROW()-4),"")</f>
      </c>
      <c r="B185" s="24">
        <f>IF($A185="","",INDEX(tblTasks[Sujet],ROW()-4))</f>
      </c>
      <c r="C185" s="23">
        <f>IF($A185="","",INDEX(tblTasks[Responsable],ROW()-4))</f>
      </c>
      <c r="D185" s="23">
        <f>IF($A185="","",INDEX(tblTasks[Statut],ROW()-4))</f>
      </c>
      <c r="E185" s="23">
        <f>IF($A185="","",INDEX(tblTasks[Depend_de],ROW()-4))</f>
      </c>
      <c r="F185" s="23">
        <f>IF($A185="","",INDEX(tblTasks[Blocage],ROW()-4))</f>
      </c>
      <c r="G185" s="23">
        <f>IF($A185="","",INDEX(tblTasks[Niveau_criticite],ROW()-4))</f>
      </c>
      <c r="H185" s="23">
        <f>IF($A185="","",INDEX(tblTasks[Goulot],ROW()-4))</f>
      </c>
      <c r="I185" s="23">
        <f>IF($A185="","",IF(LOWER($F185)="oui","non",IF($E185="","oui",IFERROR(IF(LOWER(INDEX(tblTasks[Statut],MATCH($E185,tblTasks[ID],0)))="clos","oui","non"),"non"))))</f>
      </c>
      <c r="J185" s="25">
        <f>IF($A185="","",INDEX(tblTasks[Date_debut_prevue],ROW()-4))</f>
      </c>
      <c r="K185" s="25">
        <f>IF($A185="","",INDEX(tblTasks[Date_fin_prevue],ROW()-4))</f>
      </c>
      <c r="L185" s="23">
        <f>IF($A185="","",INDEX(tblTasks[Irreversibilite],ROW()-4))</f>
      </c>
      <c r="M185" s="26">
        <f>IF(OR($A185="",M$3=""),"",IF(AND($J185&lt;&gt;"",$K185&lt;&gt;"",$J185=$K185,$J185&gt;=M$3,$J185&lt;=IF(param_mode_affichage="mois",EOMONTH(M$3,0),M$3+6)),"◆",""))</f>
      </c>
      <c r="N185" s="26">
        <f>IF(OR($A185="",N$3=""),"",IF(AND($J185&lt;&gt;"",$K185&lt;&gt;"",$J185=$K185,$J185&gt;=N$3,$J185&lt;=IF(param_mode_affichage="mois",EOMONTH(N$3,0),N$3+6)),"◆",""))</f>
      </c>
      <c r="O185" s="26">
        <f>IF(OR($A185="",O$3=""),"",IF(AND($J185&lt;&gt;"",$K185&lt;&gt;"",$J185=$K185,$J185&gt;=O$3,$J185&lt;=IF(param_mode_affichage="mois",EOMONTH(O$3,0),O$3+6)),"◆",""))</f>
      </c>
      <c r="P185" s="26">
        <f>IF(OR($A185="",P$3=""),"",IF(AND($J185&lt;&gt;"",$K185&lt;&gt;"",$J185=$K185,$J185&gt;=P$3,$J185&lt;=IF(param_mode_affichage="mois",EOMONTH(P$3,0),P$3+6)),"◆",""))</f>
      </c>
      <c r="Q185" s="26">
        <f>IF(OR($A185="",Q$3=""),"",IF(AND($J185&lt;&gt;"",$K185&lt;&gt;"",$J185=$K185,$J185&gt;=Q$3,$J185&lt;=IF(param_mode_affichage="mois",EOMONTH(Q$3,0),Q$3+6)),"◆",""))</f>
      </c>
      <c r="R185" s="26">
        <f>IF(OR($A185="",R$3=""),"",IF(AND($J185&lt;&gt;"",$K185&lt;&gt;"",$J185=$K185,$J185&gt;=R$3,$J185&lt;=IF(param_mode_affichage="mois",EOMONTH(R$3,0),R$3+6)),"◆",""))</f>
      </c>
      <c r="S185" s="26">
        <f>IF(OR($A185="",S$3=""),"",IF(AND($J185&lt;&gt;"",$K185&lt;&gt;"",$J185=$K185,$J185&gt;=S$3,$J185&lt;=IF(param_mode_affichage="mois",EOMONTH(S$3,0),S$3+6)),"◆",""))</f>
      </c>
      <c r="T185" s="26">
        <f>IF(OR($A185="",T$3=""),"",IF(AND($J185&lt;&gt;"",$K185&lt;&gt;"",$J185=$K185,$J185&gt;=T$3,$J185&lt;=IF(param_mode_affichage="mois",EOMONTH(T$3,0),T$3+6)),"◆",""))</f>
      </c>
      <c r="U185" s="26">
        <f>IF(OR($A185="",U$3=""),"",IF(AND($J185&lt;&gt;"",$K185&lt;&gt;"",$J185=$K185,$J185&gt;=U$3,$J185&lt;=IF(param_mode_affichage="mois",EOMONTH(U$3,0),U$3+6)),"◆",""))</f>
      </c>
      <c r="V185" s="26">
        <f>IF(OR($A185="",V$3=""),"",IF(AND($J185&lt;&gt;"",$K185&lt;&gt;"",$J185=$K185,$J185&gt;=V$3,$J185&lt;=IF(param_mode_affichage="mois",EOMONTH(V$3,0),V$3+6)),"◆",""))</f>
      </c>
      <c r="W185" s="26">
        <f>IF(OR($A185="",W$3=""),"",IF(AND($J185&lt;&gt;"",$K185&lt;&gt;"",$J185=$K185,$J185&gt;=W$3,$J185&lt;=IF(param_mode_affichage="mois",EOMONTH(W$3,0),W$3+6)),"◆",""))</f>
      </c>
      <c r="X185" s="26">
        <f>IF(OR($A185="",X$3=""),"",IF(AND($J185&lt;&gt;"",$K185&lt;&gt;"",$J185=$K185,$J185&gt;=X$3,$J185&lt;=IF(param_mode_affichage="mois",EOMONTH(X$3,0),X$3+6)),"◆",""))</f>
      </c>
      <c r="Y185" s="26">
        <f>IF(OR($A185="",Y$3=""),"",IF(AND($J185&lt;&gt;"",$K185&lt;&gt;"",$J185=$K185,$J185&gt;=Y$3,$J185&lt;=IF(param_mode_affichage="mois",EOMONTH(Y$3,0),Y$3+6)),"◆",""))</f>
      </c>
      <c r="Z185" s="26">
        <f>IF(OR($A185="",Z$3=""),"",IF(AND($J185&lt;&gt;"",$K185&lt;&gt;"",$J185=$K185,$J185&gt;=Z$3,$J185&lt;=IF(param_mode_affichage="mois",EOMONTH(Z$3,0),Z$3+6)),"◆",""))</f>
      </c>
      <c r="AA185" s="26">
        <f>IF(OR($A185="",AA$3=""),"",IF(AND($J185&lt;&gt;"",$K185&lt;&gt;"",$J185=$K185,$J185&gt;=AA$3,$J185&lt;=IF(param_mode_affichage="mois",EOMONTH(AA$3,0),AA$3+6)),"◆",""))</f>
      </c>
      <c r="AB185" s="26">
        <f>IF(OR($A185="",AB$3=""),"",IF(AND($J185&lt;&gt;"",$K185&lt;&gt;"",$J185=$K185,$J185&gt;=AB$3,$J185&lt;=IF(param_mode_affichage="mois",EOMONTH(AB$3,0),AB$3+6)),"◆",""))</f>
      </c>
      <c r="AC185" s="26">
        <f>IF(OR($A185="",AC$3=""),"",IF(AND($J185&lt;&gt;"",$K185&lt;&gt;"",$J185=$K185,$J185&gt;=AC$3,$J185&lt;=IF(param_mode_affichage="mois",EOMONTH(AC$3,0),AC$3+6)),"◆",""))</f>
      </c>
      <c r="AD185" s="26">
        <f>IF(OR($A185="",AD$3=""),"",IF(AND($J185&lt;&gt;"",$K185&lt;&gt;"",$J185=$K185,$J185&gt;=AD$3,$J185&lt;=IF(param_mode_affichage="mois",EOMONTH(AD$3,0),AD$3+6)),"◆",""))</f>
      </c>
      <c r="AE185" s="26">
        <f>IF(OR($A185="",AE$3=""),"",IF(AND($J185&lt;&gt;"",$K185&lt;&gt;"",$J185=$K185,$J185&gt;=AE$3,$J185&lt;=IF(param_mode_affichage="mois",EOMONTH(AE$3,0),AE$3+6)),"◆",""))</f>
      </c>
      <c r="AF185" s="26">
        <f>IF(OR($A185="",AF$3=""),"",IF(AND($J185&lt;&gt;"",$K185&lt;&gt;"",$J185=$K185,$J185&gt;=AF$3,$J185&lt;=IF(param_mode_affichage="mois",EOMONTH(AF$3,0),AF$3+6)),"◆",""))</f>
      </c>
      <c r="AG185" s="26">
        <f>IF(OR($A185="",AG$3=""),"",IF(AND($J185&lt;&gt;"",$K185&lt;&gt;"",$J185=$K185,$J185&gt;=AG$3,$J185&lt;=IF(param_mode_affichage="mois",EOMONTH(AG$3,0),AG$3+6)),"◆",""))</f>
      </c>
      <c r="AH185" s="26">
        <f>IF(OR($A185="",AH$3=""),"",IF(AND($J185&lt;&gt;"",$K185&lt;&gt;"",$J185=$K185,$J185&gt;=AH$3,$J185&lt;=IF(param_mode_affichage="mois",EOMONTH(AH$3,0),AH$3+6)),"◆",""))</f>
      </c>
      <c r="AI185" s="26">
        <f>IF(OR($A185="",AI$3=""),"",IF(AND($J185&lt;&gt;"",$K185&lt;&gt;"",$J185=$K185,$J185&gt;=AI$3,$J185&lt;=IF(param_mode_affichage="mois",EOMONTH(AI$3,0),AI$3+6)),"◆",""))</f>
      </c>
      <c r="AJ185" s="26">
        <f>IF(OR($A185="",AJ$3=""),"",IF(AND($J185&lt;&gt;"",$K185&lt;&gt;"",$J185=$K185,$J185&gt;=AJ$3,$J185&lt;=IF(param_mode_affichage="mois",EOMONTH(AJ$3,0),AJ$3+6)),"◆",""))</f>
      </c>
      <c r="AK185" s="26">
        <f>IF(OR($A185="",AK$3=""),"",IF(AND($J185&lt;&gt;"",$K185&lt;&gt;"",$J185=$K185,$J185&gt;=AK$3,$J185&lt;=IF(param_mode_affichage="mois",EOMONTH(AK$3,0),AK$3+6)),"◆",""))</f>
      </c>
      <c r="AL185" s="26">
        <f>IF(OR($A185="",AL$3=""),"",IF(AND($J185&lt;&gt;"",$K185&lt;&gt;"",$J185=$K185,$J185&gt;=AL$3,$J185&lt;=IF(param_mode_affichage="mois",EOMONTH(AL$3,0),AL$3+6)),"◆",""))</f>
      </c>
      <c r="AM185" s="26">
        <f>IF(OR($A185="",AM$3=""),"",IF(AND($J185&lt;&gt;"",$K185&lt;&gt;"",$J185=$K185,$J185&gt;=AM$3,$J185&lt;=IF(param_mode_affichage="mois",EOMONTH(AM$3,0),AM$3+6)),"◆",""))</f>
      </c>
      <c r="AN185" s="26">
        <f>IF(OR($A185="",AN$3=""),"",IF(AND($J185&lt;&gt;"",$K185&lt;&gt;"",$J185=$K185,$J185&gt;=AN$3,$J185&lt;=IF(param_mode_affichage="mois",EOMONTH(AN$3,0),AN$3+6)),"◆",""))</f>
      </c>
      <c r="AO185" s="26">
        <f>IF(OR($A185="",AO$3=""),"",IF(AND($J185&lt;&gt;"",$K185&lt;&gt;"",$J185=$K185,$J185&gt;=AO$3,$J185&lt;=IF(param_mode_affichage="mois",EOMONTH(AO$3,0),AO$3+6)),"◆",""))</f>
      </c>
      <c r="AP185" s="26">
        <f>IF(OR($A185="",AP$3=""),"",IF(AND($J185&lt;&gt;"",$K185&lt;&gt;"",$J185=$K185,$J185&gt;=AP$3,$J185&lt;=IF(param_mode_affichage="mois",EOMONTH(AP$3,0),AP$3+6)),"◆",""))</f>
      </c>
      <c r="AQ185" s="26">
        <f>IF(OR($A185="",AQ$3=""),"",IF(AND($J185&lt;&gt;"",$K185&lt;&gt;"",$J185=$K185,$J185&gt;=AQ$3,$J185&lt;=IF(param_mode_affichage="mois",EOMONTH(AQ$3,0),AQ$3+6)),"◆",""))</f>
      </c>
      <c r="AR185" s="26">
        <f>IF(OR($A185="",AR$3=""),"",IF(AND($J185&lt;&gt;"",$K185&lt;&gt;"",$J185=$K185,$J185&gt;=AR$3,$J185&lt;=IF(param_mode_affichage="mois",EOMONTH(AR$3,0),AR$3+6)),"◆",""))</f>
      </c>
      <c r="AS185" s="26">
        <f>IF(OR($A185="",AS$3=""),"",IF(AND($J185&lt;&gt;"",$K185&lt;&gt;"",$J185=$K185,$J185&gt;=AS$3,$J185&lt;=IF(param_mode_affichage="mois",EOMONTH(AS$3,0),AS$3+6)),"◆",""))</f>
      </c>
      <c r="AT185" s="26">
        <f>IF(OR($A185="",AT$3=""),"",IF(AND($J185&lt;&gt;"",$K185&lt;&gt;"",$J185=$K185,$J185&gt;=AT$3,$J185&lt;=IF(param_mode_affichage="mois",EOMONTH(AT$3,0),AT$3+6)),"◆",""))</f>
      </c>
      <c r="AU185" s="26">
        <f>IF(OR($A185="",AU$3=""),"",IF(AND($J185&lt;&gt;"",$K185&lt;&gt;"",$J185=$K185,$J185&gt;=AU$3,$J185&lt;=IF(param_mode_affichage="mois",EOMONTH(AU$3,0),AU$3+6)),"◆",""))</f>
      </c>
      <c r="AV185" s="26">
        <f>IF(OR($A185="",AV$3=""),"",IF(AND($J185&lt;&gt;"",$K185&lt;&gt;"",$J185=$K185,$J185&gt;=AV$3,$J185&lt;=IF(param_mode_affichage="mois",EOMONTH(AV$3,0),AV$3+6)),"◆",""))</f>
      </c>
      <c r="AW185" s="26">
        <f>IF(OR($A185="",AW$3=""),"",IF(AND($J185&lt;&gt;"",$K185&lt;&gt;"",$J185=$K185,$J185&gt;=AW$3,$J185&lt;=IF(param_mode_affichage="mois",EOMONTH(AW$3,0),AW$3+6)),"◆",""))</f>
      </c>
      <c r="AX185" s="26">
        <f>IF(OR($A185="",AX$3=""),"",IF(AND($J185&lt;&gt;"",$K185&lt;&gt;"",$J185=$K185,$J185&gt;=AX$3,$J185&lt;=IF(param_mode_affichage="mois",EOMONTH(AX$3,0),AX$3+6)),"◆",""))</f>
      </c>
      <c r="AY185" s="26">
        <f>IF(OR($A185="",AY$3=""),"",IF(AND($J185&lt;&gt;"",$K185&lt;&gt;"",$J185=$K185,$J185&gt;=AY$3,$J185&lt;=IF(param_mode_affichage="mois",EOMONTH(AY$3,0),AY$3+6)),"◆",""))</f>
      </c>
      <c r="AZ185" s="26">
        <f>IF(OR($A185="",AZ$3=""),"",IF(AND($J185&lt;&gt;"",$K185&lt;&gt;"",$J185=$K185,$J185&gt;=AZ$3,$J185&lt;=IF(param_mode_affichage="mois",EOMONTH(AZ$3,0),AZ$3+6)),"◆",""))</f>
      </c>
      <c r="BA185" s="26">
        <f>IF(OR($A185="",BA$3=""),"",IF(AND($J185&lt;&gt;"",$K185&lt;&gt;"",$J185=$K185,$J185&gt;=BA$3,$J185&lt;=IF(param_mode_affichage="mois",EOMONTH(BA$3,0),BA$3+6)),"◆",""))</f>
      </c>
      <c r="BB185" s="26">
        <f>IF(OR($A185="",BB$3=""),"",IF(AND($J185&lt;&gt;"",$K185&lt;&gt;"",$J185=$K185,$J185&gt;=BB$3,$J185&lt;=IF(param_mode_affichage="mois",EOMONTH(BB$3,0),BB$3+6)),"◆",""))</f>
      </c>
      <c r="BC185" s="26">
        <f>IF(OR($A185="",BC$3=""),"",IF(AND($J185&lt;&gt;"",$K185&lt;&gt;"",$J185=$K185,$J185&gt;=BC$3,$J185&lt;=IF(param_mode_affichage="mois",EOMONTH(BC$3,0),BC$3+6)),"◆",""))</f>
      </c>
      <c r="BD185" s="26">
        <f>IF(OR($A185="",BD$3=""),"",IF(AND($J185&lt;&gt;"",$K185&lt;&gt;"",$J185=$K185,$J185&gt;=BD$3,$J185&lt;=IF(param_mode_affichage="mois",EOMONTH(BD$3,0),BD$3+6)),"◆",""))</f>
      </c>
      <c r="BE185" s="26">
        <f>IF(OR($A185="",BE$3=""),"",IF(AND($J185&lt;&gt;"",$K185&lt;&gt;"",$J185=$K185,$J185&gt;=BE$3,$J185&lt;=IF(param_mode_affichage="mois",EOMONTH(BE$3,0),BE$3+6)),"◆",""))</f>
      </c>
      <c r="BF185" s="26">
        <f>IF(OR($A185="",BF$3=""),"",IF(AND($J185&lt;&gt;"",$K185&lt;&gt;"",$J185=$K185,$J185&gt;=BF$3,$J185&lt;=IF(param_mode_affichage="mois",EOMONTH(BF$3,0),BF$3+6)),"◆",""))</f>
      </c>
      <c r="BG185" s="26">
        <f>IF(OR($A185="",BG$3=""),"",IF(AND($J185&lt;&gt;"",$K185&lt;&gt;"",$J185=$K185,$J185&gt;=BG$3,$J185&lt;=IF(param_mode_affichage="mois",EOMONTH(BG$3,0),BG$3+6)),"◆",""))</f>
      </c>
      <c r="BH185" s="26">
        <f>IF(OR($A185="",BH$3=""),"",IF(AND($J185&lt;&gt;"",$K185&lt;&gt;"",$J185=$K185,$J185&gt;=BH$3,$J185&lt;=IF(param_mode_affichage="mois",EOMONTH(BH$3,0),BH$3+6)),"◆",""))</f>
      </c>
      <c r="BI185" s="26">
        <f>IF(OR($A185="",BI$3=""),"",IF(AND($J185&lt;&gt;"",$K185&lt;&gt;"",$J185=$K185,$J185&gt;=BI$3,$J185&lt;=IF(param_mode_affichage="mois",EOMONTH(BI$3,0),BI$3+6)),"◆",""))</f>
      </c>
      <c r="BJ185" s="26">
        <f>IF(OR($A185="",BJ$3=""),"",IF(AND($J185&lt;&gt;"",$K185&lt;&gt;"",$J185=$K185,$J185&gt;=BJ$3,$J185&lt;=IF(param_mode_affichage="mois",EOMONTH(BJ$3,0),BJ$3+6)),"◆",""))</f>
      </c>
      <c r="BK185" s="26">
        <f>IF(OR($A185="",BK$3=""),"",IF(AND($J185&lt;&gt;"",$K185&lt;&gt;"",$J185=$K185,$J185&gt;=BK$3,$J185&lt;=IF(param_mode_affichage="mois",EOMONTH(BK$3,0),BK$3+6)),"◆",""))</f>
      </c>
      <c r="BL185" s="26">
        <f>IF(OR($A185="",BL$3=""),"",IF(AND($J185&lt;&gt;"",$K185&lt;&gt;"",$J185=$K185,$J185&gt;=BL$3,$J185&lt;=IF(param_mode_affichage="mois",EOMONTH(BL$3,0),BL$3+6)),"◆",""))</f>
      </c>
    </row>
    <row r="186" spans="1:64" x14ac:dyDescent="0.25">
      <c r="A186" s="23">
        <f>IFERROR(INDEX(tblTasks[ID],ROW()-4),"")</f>
      </c>
      <c r="B186" s="24">
        <f>IF($A186="","",INDEX(tblTasks[Sujet],ROW()-4))</f>
      </c>
      <c r="C186" s="23">
        <f>IF($A186="","",INDEX(tblTasks[Responsable],ROW()-4))</f>
      </c>
      <c r="D186" s="23">
        <f>IF($A186="","",INDEX(tblTasks[Statut],ROW()-4))</f>
      </c>
      <c r="E186" s="23">
        <f>IF($A186="","",INDEX(tblTasks[Depend_de],ROW()-4))</f>
      </c>
      <c r="F186" s="23">
        <f>IF($A186="","",INDEX(tblTasks[Blocage],ROW()-4))</f>
      </c>
      <c r="G186" s="23">
        <f>IF($A186="","",INDEX(tblTasks[Niveau_criticite],ROW()-4))</f>
      </c>
      <c r="H186" s="23">
        <f>IF($A186="","",INDEX(tblTasks[Goulot],ROW()-4))</f>
      </c>
      <c r="I186" s="23">
        <f>IF($A186="","",IF(LOWER($F186)="oui","non",IF($E186="","oui",IFERROR(IF(LOWER(INDEX(tblTasks[Statut],MATCH($E186,tblTasks[ID],0)))="clos","oui","non"),"non"))))</f>
      </c>
      <c r="J186" s="25">
        <f>IF($A186="","",INDEX(tblTasks[Date_debut_prevue],ROW()-4))</f>
      </c>
      <c r="K186" s="25">
        <f>IF($A186="","",INDEX(tblTasks[Date_fin_prevue],ROW()-4))</f>
      </c>
      <c r="L186" s="23">
        <f>IF($A186="","",INDEX(tblTasks[Irreversibilite],ROW()-4))</f>
      </c>
      <c r="M186" s="26">
        <f>IF(OR($A186="",M$3=""),"",IF(AND($J186&lt;&gt;"",$K186&lt;&gt;"",$J186=$K186,$J186&gt;=M$3,$J186&lt;=IF(param_mode_affichage="mois",EOMONTH(M$3,0),M$3+6)),"◆",""))</f>
      </c>
      <c r="N186" s="26">
        <f>IF(OR($A186="",N$3=""),"",IF(AND($J186&lt;&gt;"",$K186&lt;&gt;"",$J186=$K186,$J186&gt;=N$3,$J186&lt;=IF(param_mode_affichage="mois",EOMONTH(N$3,0),N$3+6)),"◆",""))</f>
      </c>
      <c r="O186" s="26">
        <f>IF(OR($A186="",O$3=""),"",IF(AND($J186&lt;&gt;"",$K186&lt;&gt;"",$J186=$K186,$J186&gt;=O$3,$J186&lt;=IF(param_mode_affichage="mois",EOMONTH(O$3,0),O$3+6)),"◆",""))</f>
      </c>
      <c r="P186" s="26">
        <f>IF(OR($A186="",P$3=""),"",IF(AND($J186&lt;&gt;"",$K186&lt;&gt;"",$J186=$K186,$J186&gt;=P$3,$J186&lt;=IF(param_mode_affichage="mois",EOMONTH(P$3,0),P$3+6)),"◆",""))</f>
      </c>
      <c r="Q186" s="26">
        <f>IF(OR($A186="",Q$3=""),"",IF(AND($J186&lt;&gt;"",$K186&lt;&gt;"",$J186=$K186,$J186&gt;=Q$3,$J186&lt;=IF(param_mode_affichage="mois",EOMONTH(Q$3,0),Q$3+6)),"◆",""))</f>
      </c>
      <c r="R186" s="26">
        <f>IF(OR($A186="",R$3=""),"",IF(AND($J186&lt;&gt;"",$K186&lt;&gt;"",$J186=$K186,$J186&gt;=R$3,$J186&lt;=IF(param_mode_affichage="mois",EOMONTH(R$3,0),R$3+6)),"◆",""))</f>
      </c>
      <c r="S186" s="26">
        <f>IF(OR($A186="",S$3=""),"",IF(AND($J186&lt;&gt;"",$K186&lt;&gt;"",$J186=$K186,$J186&gt;=S$3,$J186&lt;=IF(param_mode_affichage="mois",EOMONTH(S$3,0),S$3+6)),"◆",""))</f>
      </c>
      <c r="T186" s="26">
        <f>IF(OR($A186="",T$3=""),"",IF(AND($J186&lt;&gt;"",$K186&lt;&gt;"",$J186=$K186,$J186&gt;=T$3,$J186&lt;=IF(param_mode_affichage="mois",EOMONTH(T$3,0),T$3+6)),"◆",""))</f>
      </c>
      <c r="U186" s="26">
        <f>IF(OR($A186="",U$3=""),"",IF(AND($J186&lt;&gt;"",$K186&lt;&gt;"",$J186=$K186,$J186&gt;=U$3,$J186&lt;=IF(param_mode_affichage="mois",EOMONTH(U$3,0),U$3+6)),"◆",""))</f>
      </c>
      <c r="V186" s="26">
        <f>IF(OR($A186="",V$3=""),"",IF(AND($J186&lt;&gt;"",$K186&lt;&gt;"",$J186=$K186,$J186&gt;=V$3,$J186&lt;=IF(param_mode_affichage="mois",EOMONTH(V$3,0),V$3+6)),"◆",""))</f>
      </c>
      <c r="W186" s="26">
        <f>IF(OR($A186="",W$3=""),"",IF(AND($J186&lt;&gt;"",$K186&lt;&gt;"",$J186=$K186,$J186&gt;=W$3,$J186&lt;=IF(param_mode_affichage="mois",EOMONTH(W$3,0),W$3+6)),"◆",""))</f>
      </c>
      <c r="X186" s="26">
        <f>IF(OR($A186="",X$3=""),"",IF(AND($J186&lt;&gt;"",$K186&lt;&gt;"",$J186=$K186,$J186&gt;=X$3,$J186&lt;=IF(param_mode_affichage="mois",EOMONTH(X$3,0),X$3+6)),"◆",""))</f>
      </c>
      <c r="Y186" s="26">
        <f>IF(OR($A186="",Y$3=""),"",IF(AND($J186&lt;&gt;"",$K186&lt;&gt;"",$J186=$K186,$J186&gt;=Y$3,$J186&lt;=IF(param_mode_affichage="mois",EOMONTH(Y$3,0),Y$3+6)),"◆",""))</f>
      </c>
      <c r="Z186" s="26">
        <f>IF(OR($A186="",Z$3=""),"",IF(AND($J186&lt;&gt;"",$K186&lt;&gt;"",$J186=$K186,$J186&gt;=Z$3,$J186&lt;=IF(param_mode_affichage="mois",EOMONTH(Z$3,0),Z$3+6)),"◆",""))</f>
      </c>
      <c r="AA186" s="26">
        <f>IF(OR($A186="",AA$3=""),"",IF(AND($J186&lt;&gt;"",$K186&lt;&gt;"",$J186=$K186,$J186&gt;=AA$3,$J186&lt;=IF(param_mode_affichage="mois",EOMONTH(AA$3,0),AA$3+6)),"◆",""))</f>
      </c>
      <c r="AB186" s="26">
        <f>IF(OR($A186="",AB$3=""),"",IF(AND($J186&lt;&gt;"",$K186&lt;&gt;"",$J186=$K186,$J186&gt;=AB$3,$J186&lt;=IF(param_mode_affichage="mois",EOMONTH(AB$3,0),AB$3+6)),"◆",""))</f>
      </c>
      <c r="AC186" s="26">
        <f>IF(OR($A186="",AC$3=""),"",IF(AND($J186&lt;&gt;"",$K186&lt;&gt;"",$J186=$K186,$J186&gt;=AC$3,$J186&lt;=IF(param_mode_affichage="mois",EOMONTH(AC$3,0),AC$3+6)),"◆",""))</f>
      </c>
      <c r="AD186" s="26">
        <f>IF(OR($A186="",AD$3=""),"",IF(AND($J186&lt;&gt;"",$K186&lt;&gt;"",$J186=$K186,$J186&gt;=AD$3,$J186&lt;=IF(param_mode_affichage="mois",EOMONTH(AD$3,0),AD$3+6)),"◆",""))</f>
      </c>
      <c r="AE186" s="26">
        <f>IF(OR($A186="",AE$3=""),"",IF(AND($J186&lt;&gt;"",$K186&lt;&gt;"",$J186=$K186,$J186&gt;=AE$3,$J186&lt;=IF(param_mode_affichage="mois",EOMONTH(AE$3,0),AE$3+6)),"◆",""))</f>
      </c>
      <c r="AF186" s="26">
        <f>IF(OR($A186="",AF$3=""),"",IF(AND($J186&lt;&gt;"",$K186&lt;&gt;"",$J186=$K186,$J186&gt;=AF$3,$J186&lt;=IF(param_mode_affichage="mois",EOMONTH(AF$3,0),AF$3+6)),"◆",""))</f>
      </c>
      <c r="AG186" s="26">
        <f>IF(OR($A186="",AG$3=""),"",IF(AND($J186&lt;&gt;"",$K186&lt;&gt;"",$J186=$K186,$J186&gt;=AG$3,$J186&lt;=IF(param_mode_affichage="mois",EOMONTH(AG$3,0),AG$3+6)),"◆",""))</f>
      </c>
      <c r="AH186" s="26">
        <f>IF(OR($A186="",AH$3=""),"",IF(AND($J186&lt;&gt;"",$K186&lt;&gt;"",$J186=$K186,$J186&gt;=AH$3,$J186&lt;=IF(param_mode_affichage="mois",EOMONTH(AH$3,0),AH$3+6)),"◆",""))</f>
      </c>
      <c r="AI186" s="26">
        <f>IF(OR($A186="",AI$3=""),"",IF(AND($J186&lt;&gt;"",$K186&lt;&gt;"",$J186=$K186,$J186&gt;=AI$3,$J186&lt;=IF(param_mode_affichage="mois",EOMONTH(AI$3,0),AI$3+6)),"◆",""))</f>
      </c>
      <c r="AJ186" s="26">
        <f>IF(OR($A186="",AJ$3=""),"",IF(AND($J186&lt;&gt;"",$K186&lt;&gt;"",$J186=$K186,$J186&gt;=AJ$3,$J186&lt;=IF(param_mode_affichage="mois",EOMONTH(AJ$3,0),AJ$3+6)),"◆",""))</f>
      </c>
      <c r="AK186" s="26">
        <f>IF(OR($A186="",AK$3=""),"",IF(AND($J186&lt;&gt;"",$K186&lt;&gt;"",$J186=$K186,$J186&gt;=AK$3,$J186&lt;=IF(param_mode_affichage="mois",EOMONTH(AK$3,0),AK$3+6)),"◆",""))</f>
      </c>
      <c r="AL186" s="26">
        <f>IF(OR($A186="",AL$3=""),"",IF(AND($J186&lt;&gt;"",$K186&lt;&gt;"",$J186=$K186,$J186&gt;=AL$3,$J186&lt;=IF(param_mode_affichage="mois",EOMONTH(AL$3,0),AL$3+6)),"◆",""))</f>
      </c>
      <c r="AM186" s="26">
        <f>IF(OR($A186="",AM$3=""),"",IF(AND($J186&lt;&gt;"",$K186&lt;&gt;"",$J186=$K186,$J186&gt;=AM$3,$J186&lt;=IF(param_mode_affichage="mois",EOMONTH(AM$3,0),AM$3+6)),"◆",""))</f>
      </c>
      <c r="AN186" s="26">
        <f>IF(OR($A186="",AN$3=""),"",IF(AND($J186&lt;&gt;"",$K186&lt;&gt;"",$J186=$K186,$J186&gt;=AN$3,$J186&lt;=IF(param_mode_affichage="mois",EOMONTH(AN$3,0),AN$3+6)),"◆",""))</f>
      </c>
      <c r="AO186" s="26">
        <f>IF(OR($A186="",AO$3=""),"",IF(AND($J186&lt;&gt;"",$K186&lt;&gt;"",$J186=$K186,$J186&gt;=AO$3,$J186&lt;=IF(param_mode_affichage="mois",EOMONTH(AO$3,0),AO$3+6)),"◆",""))</f>
      </c>
      <c r="AP186" s="26">
        <f>IF(OR($A186="",AP$3=""),"",IF(AND($J186&lt;&gt;"",$K186&lt;&gt;"",$J186=$K186,$J186&gt;=AP$3,$J186&lt;=IF(param_mode_affichage="mois",EOMONTH(AP$3,0),AP$3+6)),"◆",""))</f>
      </c>
      <c r="AQ186" s="26">
        <f>IF(OR($A186="",AQ$3=""),"",IF(AND($J186&lt;&gt;"",$K186&lt;&gt;"",$J186=$K186,$J186&gt;=AQ$3,$J186&lt;=IF(param_mode_affichage="mois",EOMONTH(AQ$3,0),AQ$3+6)),"◆",""))</f>
      </c>
      <c r="AR186" s="26">
        <f>IF(OR($A186="",AR$3=""),"",IF(AND($J186&lt;&gt;"",$K186&lt;&gt;"",$J186=$K186,$J186&gt;=AR$3,$J186&lt;=IF(param_mode_affichage="mois",EOMONTH(AR$3,0),AR$3+6)),"◆",""))</f>
      </c>
      <c r="AS186" s="26">
        <f>IF(OR($A186="",AS$3=""),"",IF(AND($J186&lt;&gt;"",$K186&lt;&gt;"",$J186=$K186,$J186&gt;=AS$3,$J186&lt;=IF(param_mode_affichage="mois",EOMONTH(AS$3,0),AS$3+6)),"◆",""))</f>
      </c>
      <c r="AT186" s="26">
        <f>IF(OR($A186="",AT$3=""),"",IF(AND($J186&lt;&gt;"",$K186&lt;&gt;"",$J186=$K186,$J186&gt;=AT$3,$J186&lt;=IF(param_mode_affichage="mois",EOMONTH(AT$3,0),AT$3+6)),"◆",""))</f>
      </c>
      <c r="AU186" s="26">
        <f>IF(OR($A186="",AU$3=""),"",IF(AND($J186&lt;&gt;"",$K186&lt;&gt;"",$J186=$K186,$J186&gt;=AU$3,$J186&lt;=IF(param_mode_affichage="mois",EOMONTH(AU$3,0),AU$3+6)),"◆",""))</f>
      </c>
      <c r="AV186" s="26">
        <f>IF(OR($A186="",AV$3=""),"",IF(AND($J186&lt;&gt;"",$K186&lt;&gt;"",$J186=$K186,$J186&gt;=AV$3,$J186&lt;=IF(param_mode_affichage="mois",EOMONTH(AV$3,0),AV$3+6)),"◆",""))</f>
      </c>
      <c r="AW186" s="26">
        <f>IF(OR($A186="",AW$3=""),"",IF(AND($J186&lt;&gt;"",$K186&lt;&gt;"",$J186=$K186,$J186&gt;=AW$3,$J186&lt;=IF(param_mode_affichage="mois",EOMONTH(AW$3,0),AW$3+6)),"◆",""))</f>
      </c>
      <c r="AX186" s="26">
        <f>IF(OR($A186="",AX$3=""),"",IF(AND($J186&lt;&gt;"",$K186&lt;&gt;"",$J186=$K186,$J186&gt;=AX$3,$J186&lt;=IF(param_mode_affichage="mois",EOMONTH(AX$3,0),AX$3+6)),"◆",""))</f>
      </c>
      <c r="AY186" s="26">
        <f>IF(OR($A186="",AY$3=""),"",IF(AND($J186&lt;&gt;"",$K186&lt;&gt;"",$J186=$K186,$J186&gt;=AY$3,$J186&lt;=IF(param_mode_affichage="mois",EOMONTH(AY$3,0),AY$3+6)),"◆",""))</f>
      </c>
      <c r="AZ186" s="26">
        <f>IF(OR($A186="",AZ$3=""),"",IF(AND($J186&lt;&gt;"",$K186&lt;&gt;"",$J186=$K186,$J186&gt;=AZ$3,$J186&lt;=IF(param_mode_affichage="mois",EOMONTH(AZ$3,0),AZ$3+6)),"◆",""))</f>
      </c>
      <c r="BA186" s="26">
        <f>IF(OR($A186="",BA$3=""),"",IF(AND($J186&lt;&gt;"",$K186&lt;&gt;"",$J186=$K186,$J186&gt;=BA$3,$J186&lt;=IF(param_mode_affichage="mois",EOMONTH(BA$3,0),BA$3+6)),"◆",""))</f>
      </c>
      <c r="BB186" s="26">
        <f>IF(OR($A186="",BB$3=""),"",IF(AND($J186&lt;&gt;"",$K186&lt;&gt;"",$J186=$K186,$J186&gt;=BB$3,$J186&lt;=IF(param_mode_affichage="mois",EOMONTH(BB$3,0),BB$3+6)),"◆",""))</f>
      </c>
      <c r="BC186" s="26">
        <f>IF(OR($A186="",BC$3=""),"",IF(AND($J186&lt;&gt;"",$K186&lt;&gt;"",$J186=$K186,$J186&gt;=BC$3,$J186&lt;=IF(param_mode_affichage="mois",EOMONTH(BC$3,0),BC$3+6)),"◆",""))</f>
      </c>
      <c r="BD186" s="26">
        <f>IF(OR($A186="",BD$3=""),"",IF(AND($J186&lt;&gt;"",$K186&lt;&gt;"",$J186=$K186,$J186&gt;=BD$3,$J186&lt;=IF(param_mode_affichage="mois",EOMONTH(BD$3,0),BD$3+6)),"◆",""))</f>
      </c>
      <c r="BE186" s="26">
        <f>IF(OR($A186="",BE$3=""),"",IF(AND($J186&lt;&gt;"",$K186&lt;&gt;"",$J186=$K186,$J186&gt;=BE$3,$J186&lt;=IF(param_mode_affichage="mois",EOMONTH(BE$3,0),BE$3+6)),"◆",""))</f>
      </c>
      <c r="BF186" s="26">
        <f>IF(OR($A186="",BF$3=""),"",IF(AND($J186&lt;&gt;"",$K186&lt;&gt;"",$J186=$K186,$J186&gt;=BF$3,$J186&lt;=IF(param_mode_affichage="mois",EOMONTH(BF$3,0),BF$3+6)),"◆",""))</f>
      </c>
      <c r="BG186" s="26">
        <f>IF(OR($A186="",BG$3=""),"",IF(AND($J186&lt;&gt;"",$K186&lt;&gt;"",$J186=$K186,$J186&gt;=BG$3,$J186&lt;=IF(param_mode_affichage="mois",EOMONTH(BG$3,0),BG$3+6)),"◆",""))</f>
      </c>
      <c r="BH186" s="26">
        <f>IF(OR($A186="",BH$3=""),"",IF(AND($J186&lt;&gt;"",$K186&lt;&gt;"",$J186=$K186,$J186&gt;=BH$3,$J186&lt;=IF(param_mode_affichage="mois",EOMONTH(BH$3,0),BH$3+6)),"◆",""))</f>
      </c>
      <c r="BI186" s="26">
        <f>IF(OR($A186="",BI$3=""),"",IF(AND($J186&lt;&gt;"",$K186&lt;&gt;"",$J186=$K186,$J186&gt;=BI$3,$J186&lt;=IF(param_mode_affichage="mois",EOMONTH(BI$3,0),BI$3+6)),"◆",""))</f>
      </c>
      <c r="BJ186" s="26">
        <f>IF(OR($A186="",BJ$3=""),"",IF(AND($J186&lt;&gt;"",$K186&lt;&gt;"",$J186=$K186,$J186&gt;=BJ$3,$J186&lt;=IF(param_mode_affichage="mois",EOMONTH(BJ$3,0),BJ$3+6)),"◆",""))</f>
      </c>
      <c r="BK186" s="26">
        <f>IF(OR($A186="",BK$3=""),"",IF(AND($J186&lt;&gt;"",$K186&lt;&gt;"",$J186=$K186,$J186&gt;=BK$3,$J186&lt;=IF(param_mode_affichage="mois",EOMONTH(BK$3,0),BK$3+6)),"◆",""))</f>
      </c>
      <c r="BL186" s="26">
        <f>IF(OR($A186="",BL$3=""),"",IF(AND($J186&lt;&gt;"",$K186&lt;&gt;"",$J186=$K186,$J186&gt;=BL$3,$J186&lt;=IF(param_mode_affichage="mois",EOMONTH(BL$3,0),BL$3+6)),"◆",""))</f>
      </c>
    </row>
    <row r="187" spans="1:64" x14ac:dyDescent="0.25">
      <c r="A187" s="23">
        <f>IFERROR(INDEX(tblTasks[ID],ROW()-4),"")</f>
      </c>
      <c r="B187" s="24">
        <f>IF($A187="","",INDEX(tblTasks[Sujet],ROW()-4))</f>
      </c>
      <c r="C187" s="23">
        <f>IF($A187="","",INDEX(tblTasks[Responsable],ROW()-4))</f>
      </c>
      <c r="D187" s="23">
        <f>IF($A187="","",INDEX(tblTasks[Statut],ROW()-4))</f>
      </c>
      <c r="E187" s="23">
        <f>IF($A187="","",INDEX(tblTasks[Depend_de],ROW()-4))</f>
      </c>
      <c r="F187" s="23">
        <f>IF($A187="","",INDEX(tblTasks[Blocage],ROW()-4))</f>
      </c>
      <c r="G187" s="23">
        <f>IF($A187="","",INDEX(tblTasks[Niveau_criticite],ROW()-4))</f>
      </c>
      <c r="H187" s="23">
        <f>IF($A187="","",INDEX(tblTasks[Goulot],ROW()-4))</f>
      </c>
      <c r="I187" s="23">
        <f>IF($A187="","",IF(LOWER($F187)="oui","non",IF($E187="","oui",IFERROR(IF(LOWER(INDEX(tblTasks[Statut],MATCH($E187,tblTasks[ID],0)))="clos","oui","non"),"non"))))</f>
      </c>
      <c r="J187" s="25">
        <f>IF($A187="","",INDEX(tblTasks[Date_debut_prevue],ROW()-4))</f>
      </c>
      <c r="K187" s="25">
        <f>IF($A187="","",INDEX(tblTasks[Date_fin_prevue],ROW()-4))</f>
      </c>
      <c r="L187" s="23">
        <f>IF($A187="","",INDEX(tblTasks[Irreversibilite],ROW()-4))</f>
      </c>
      <c r="M187" s="26">
        <f>IF(OR($A187="",M$3=""),"",IF(AND($J187&lt;&gt;"",$K187&lt;&gt;"",$J187=$K187,$J187&gt;=M$3,$J187&lt;=IF(param_mode_affichage="mois",EOMONTH(M$3,0),M$3+6)),"◆",""))</f>
      </c>
      <c r="N187" s="26">
        <f>IF(OR($A187="",N$3=""),"",IF(AND($J187&lt;&gt;"",$K187&lt;&gt;"",$J187=$K187,$J187&gt;=N$3,$J187&lt;=IF(param_mode_affichage="mois",EOMONTH(N$3,0),N$3+6)),"◆",""))</f>
      </c>
      <c r="O187" s="26">
        <f>IF(OR($A187="",O$3=""),"",IF(AND($J187&lt;&gt;"",$K187&lt;&gt;"",$J187=$K187,$J187&gt;=O$3,$J187&lt;=IF(param_mode_affichage="mois",EOMONTH(O$3,0),O$3+6)),"◆",""))</f>
      </c>
      <c r="P187" s="26">
        <f>IF(OR($A187="",P$3=""),"",IF(AND($J187&lt;&gt;"",$K187&lt;&gt;"",$J187=$K187,$J187&gt;=P$3,$J187&lt;=IF(param_mode_affichage="mois",EOMONTH(P$3,0),P$3+6)),"◆",""))</f>
      </c>
      <c r="Q187" s="26">
        <f>IF(OR($A187="",Q$3=""),"",IF(AND($J187&lt;&gt;"",$K187&lt;&gt;"",$J187=$K187,$J187&gt;=Q$3,$J187&lt;=IF(param_mode_affichage="mois",EOMONTH(Q$3,0),Q$3+6)),"◆",""))</f>
      </c>
      <c r="R187" s="26">
        <f>IF(OR($A187="",R$3=""),"",IF(AND($J187&lt;&gt;"",$K187&lt;&gt;"",$J187=$K187,$J187&gt;=R$3,$J187&lt;=IF(param_mode_affichage="mois",EOMONTH(R$3,0),R$3+6)),"◆",""))</f>
      </c>
      <c r="S187" s="26">
        <f>IF(OR($A187="",S$3=""),"",IF(AND($J187&lt;&gt;"",$K187&lt;&gt;"",$J187=$K187,$J187&gt;=S$3,$J187&lt;=IF(param_mode_affichage="mois",EOMONTH(S$3,0),S$3+6)),"◆",""))</f>
      </c>
      <c r="T187" s="26">
        <f>IF(OR($A187="",T$3=""),"",IF(AND($J187&lt;&gt;"",$K187&lt;&gt;"",$J187=$K187,$J187&gt;=T$3,$J187&lt;=IF(param_mode_affichage="mois",EOMONTH(T$3,0),T$3+6)),"◆",""))</f>
      </c>
      <c r="U187" s="26">
        <f>IF(OR($A187="",U$3=""),"",IF(AND($J187&lt;&gt;"",$K187&lt;&gt;"",$J187=$K187,$J187&gt;=U$3,$J187&lt;=IF(param_mode_affichage="mois",EOMONTH(U$3,0),U$3+6)),"◆",""))</f>
      </c>
      <c r="V187" s="26">
        <f>IF(OR($A187="",V$3=""),"",IF(AND($J187&lt;&gt;"",$K187&lt;&gt;"",$J187=$K187,$J187&gt;=V$3,$J187&lt;=IF(param_mode_affichage="mois",EOMONTH(V$3,0),V$3+6)),"◆",""))</f>
      </c>
      <c r="W187" s="26">
        <f>IF(OR($A187="",W$3=""),"",IF(AND($J187&lt;&gt;"",$K187&lt;&gt;"",$J187=$K187,$J187&gt;=W$3,$J187&lt;=IF(param_mode_affichage="mois",EOMONTH(W$3,0),W$3+6)),"◆",""))</f>
      </c>
      <c r="X187" s="26">
        <f>IF(OR($A187="",X$3=""),"",IF(AND($J187&lt;&gt;"",$K187&lt;&gt;"",$J187=$K187,$J187&gt;=X$3,$J187&lt;=IF(param_mode_affichage="mois",EOMONTH(X$3,0),X$3+6)),"◆",""))</f>
      </c>
      <c r="Y187" s="26">
        <f>IF(OR($A187="",Y$3=""),"",IF(AND($J187&lt;&gt;"",$K187&lt;&gt;"",$J187=$K187,$J187&gt;=Y$3,$J187&lt;=IF(param_mode_affichage="mois",EOMONTH(Y$3,0),Y$3+6)),"◆",""))</f>
      </c>
      <c r="Z187" s="26">
        <f>IF(OR($A187="",Z$3=""),"",IF(AND($J187&lt;&gt;"",$K187&lt;&gt;"",$J187=$K187,$J187&gt;=Z$3,$J187&lt;=IF(param_mode_affichage="mois",EOMONTH(Z$3,0),Z$3+6)),"◆",""))</f>
      </c>
      <c r="AA187" s="26">
        <f>IF(OR($A187="",AA$3=""),"",IF(AND($J187&lt;&gt;"",$K187&lt;&gt;"",$J187=$K187,$J187&gt;=AA$3,$J187&lt;=IF(param_mode_affichage="mois",EOMONTH(AA$3,0),AA$3+6)),"◆",""))</f>
      </c>
      <c r="AB187" s="26">
        <f>IF(OR($A187="",AB$3=""),"",IF(AND($J187&lt;&gt;"",$K187&lt;&gt;"",$J187=$K187,$J187&gt;=AB$3,$J187&lt;=IF(param_mode_affichage="mois",EOMONTH(AB$3,0),AB$3+6)),"◆",""))</f>
      </c>
      <c r="AC187" s="26">
        <f>IF(OR($A187="",AC$3=""),"",IF(AND($J187&lt;&gt;"",$K187&lt;&gt;"",$J187=$K187,$J187&gt;=AC$3,$J187&lt;=IF(param_mode_affichage="mois",EOMONTH(AC$3,0),AC$3+6)),"◆",""))</f>
      </c>
      <c r="AD187" s="26">
        <f>IF(OR($A187="",AD$3=""),"",IF(AND($J187&lt;&gt;"",$K187&lt;&gt;"",$J187=$K187,$J187&gt;=AD$3,$J187&lt;=IF(param_mode_affichage="mois",EOMONTH(AD$3,0),AD$3+6)),"◆",""))</f>
      </c>
      <c r="AE187" s="26">
        <f>IF(OR($A187="",AE$3=""),"",IF(AND($J187&lt;&gt;"",$K187&lt;&gt;"",$J187=$K187,$J187&gt;=AE$3,$J187&lt;=IF(param_mode_affichage="mois",EOMONTH(AE$3,0),AE$3+6)),"◆",""))</f>
      </c>
      <c r="AF187" s="26">
        <f>IF(OR($A187="",AF$3=""),"",IF(AND($J187&lt;&gt;"",$K187&lt;&gt;"",$J187=$K187,$J187&gt;=AF$3,$J187&lt;=IF(param_mode_affichage="mois",EOMONTH(AF$3,0),AF$3+6)),"◆",""))</f>
      </c>
      <c r="AG187" s="26">
        <f>IF(OR($A187="",AG$3=""),"",IF(AND($J187&lt;&gt;"",$K187&lt;&gt;"",$J187=$K187,$J187&gt;=AG$3,$J187&lt;=IF(param_mode_affichage="mois",EOMONTH(AG$3,0),AG$3+6)),"◆",""))</f>
      </c>
      <c r="AH187" s="26">
        <f>IF(OR($A187="",AH$3=""),"",IF(AND($J187&lt;&gt;"",$K187&lt;&gt;"",$J187=$K187,$J187&gt;=AH$3,$J187&lt;=IF(param_mode_affichage="mois",EOMONTH(AH$3,0),AH$3+6)),"◆",""))</f>
      </c>
      <c r="AI187" s="26">
        <f>IF(OR($A187="",AI$3=""),"",IF(AND($J187&lt;&gt;"",$K187&lt;&gt;"",$J187=$K187,$J187&gt;=AI$3,$J187&lt;=IF(param_mode_affichage="mois",EOMONTH(AI$3,0),AI$3+6)),"◆",""))</f>
      </c>
      <c r="AJ187" s="26">
        <f>IF(OR($A187="",AJ$3=""),"",IF(AND($J187&lt;&gt;"",$K187&lt;&gt;"",$J187=$K187,$J187&gt;=AJ$3,$J187&lt;=IF(param_mode_affichage="mois",EOMONTH(AJ$3,0),AJ$3+6)),"◆",""))</f>
      </c>
      <c r="AK187" s="26">
        <f>IF(OR($A187="",AK$3=""),"",IF(AND($J187&lt;&gt;"",$K187&lt;&gt;"",$J187=$K187,$J187&gt;=AK$3,$J187&lt;=IF(param_mode_affichage="mois",EOMONTH(AK$3,0),AK$3+6)),"◆",""))</f>
      </c>
      <c r="AL187" s="26">
        <f>IF(OR($A187="",AL$3=""),"",IF(AND($J187&lt;&gt;"",$K187&lt;&gt;"",$J187=$K187,$J187&gt;=AL$3,$J187&lt;=IF(param_mode_affichage="mois",EOMONTH(AL$3,0),AL$3+6)),"◆",""))</f>
      </c>
      <c r="AM187" s="26">
        <f>IF(OR($A187="",AM$3=""),"",IF(AND($J187&lt;&gt;"",$K187&lt;&gt;"",$J187=$K187,$J187&gt;=AM$3,$J187&lt;=IF(param_mode_affichage="mois",EOMONTH(AM$3,0),AM$3+6)),"◆",""))</f>
      </c>
      <c r="AN187" s="26">
        <f>IF(OR($A187="",AN$3=""),"",IF(AND($J187&lt;&gt;"",$K187&lt;&gt;"",$J187=$K187,$J187&gt;=AN$3,$J187&lt;=IF(param_mode_affichage="mois",EOMONTH(AN$3,0),AN$3+6)),"◆",""))</f>
      </c>
      <c r="AO187" s="26">
        <f>IF(OR($A187="",AO$3=""),"",IF(AND($J187&lt;&gt;"",$K187&lt;&gt;"",$J187=$K187,$J187&gt;=AO$3,$J187&lt;=IF(param_mode_affichage="mois",EOMONTH(AO$3,0),AO$3+6)),"◆",""))</f>
      </c>
      <c r="AP187" s="26">
        <f>IF(OR($A187="",AP$3=""),"",IF(AND($J187&lt;&gt;"",$K187&lt;&gt;"",$J187=$K187,$J187&gt;=AP$3,$J187&lt;=IF(param_mode_affichage="mois",EOMONTH(AP$3,0),AP$3+6)),"◆",""))</f>
      </c>
      <c r="AQ187" s="26">
        <f>IF(OR($A187="",AQ$3=""),"",IF(AND($J187&lt;&gt;"",$K187&lt;&gt;"",$J187=$K187,$J187&gt;=AQ$3,$J187&lt;=IF(param_mode_affichage="mois",EOMONTH(AQ$3,0),AQ$3+6)),"◆",""))</f>
      </c>
      <c r="AR187" s="26">
        <f>IF(OR($A187="",AR$3=""),"",IF(AND($J187&lt;&gt;"",$K187&lt;&gt;"",$J187=$K187,$J187&gt;=AR$3,$J187&lt;=IF(param_mode_affichage="mois",EOMONTH(AR$3,0),AR$3+6)),"◆",""))</f>
      </c>
      <c r="AS187" s="26">
        <f>IF(OR($A187="",AS$3=""),"",IF(AND($J187&lt;&gt;"",$K187&lt;&gt;"",$J187=$K187,$J187&gt;=AS$3,$J187&lt;=IF(param_mode_affichage="mois",EOMONTH(AS$3,0),AS$3+6)),"◆",""))</f>
      </c>
      <c r="AT187" s="26">
        <f>IF(OR($A187="",AT$3=""),"",IF(AND($J187&lt;&gt;"",$K187&lt;&gt;"",$J187=$K187,$J187&gt;=AT$3,$J187&lt;=IF(param_mode_affichage="mois",EOMONTH(AT$3,0),AT$3+6)),"◆",""))</f>
      </c>
      <c r="AU187" s="26">
        <f>IF(OR($A187="",AU$3=""),"",IF(AND($J187&lt;&gt;"",$K187&lt;&gt;"",$J187=$K187,$J187&gt;=AU$3,$J187&lt;=IF(param_mode_affichage="mois",EOMONTH(AU$3,0),AU$3+6)),"◆",""))</f>
      </c>
      <c r="AV187" s="26">
        <f>IF(OR($A187="",AV$3=""),"",IF(AND($J187&lt;&gt;"",$K187&lt;&gt;"",$J187=$K187,$J187&gt;=AV$3,$J187&lt;=IF(param_mode_affichage="mois",EOMONTH(AV$3,0),AV$3+6)),"◆",""))</f>
      </c>
      <c r="AW187" s="26">
        <f>IF(OR($A187="",AW$3=""),"",IF(AND($J187&lt;&gt;"",$K187&lt;&gt;"",$J187=$K187,$J187&gt;=AW$3,$J187&lt;=IF(param_mode_affichage="mois",EOMONTH(AW$3,0),AW$3+6)),"◆",""))</f>
      </c>
      <c r="AX187" s="26">
        <f>IF(OR($A187="",AX$3=""),"",IF(AND($J187&lt;&gt;"",$K187&lt;&gt;"",$J187=$K187,$J187&gt;=AX$3,$J187&lt;=IF(param_mode_affichage="mois",EOMONTH(AX$3,0),AX$3+6)),"◆",""))</f>
      </c>
      <c r="AY187" s="26">
        <f>IF(OR($A187="",AY$3=""),"",IF(AND($J187&lt;&gt;"",$K187&lt;&gt;"",$J187=$K187,$J187&gt;=AY$3,$J187&lt;=IF(param_mode_affichage="mois",EOMONTH(AY$3,0),AY$3+6)),"◆",""))</f>
      </c>
      <c r="AZ187" s="26">
        <f>IF(OR($A187="",AZ$3=""),"",IF(AND($J187&lt;&gt;"",$K187&lt;&gt;"",$J187=$K187,$J187&gt;=AZ$3,$J187&lt;=IF(param_mode_affichage="mois",EOMONTH(AZ$3,0),AZ$3+6)),"◆",""))</f>
      </c>
      <c r="BA187" s="26">
        <f>IF(OR($A187="",BA$3=""),"",IF(AND($J187&lt;&gt;"",$K187&lt;&gt;"",$J187=$K187,$J187&gt;=BA$3,$J187&lt;=IF(param_mode_affichage="mois",EOMONTH(BA$3,0),BA$3+6)),"◆",""))</f>
      </c>
      <c r="BB187" s="26">
        <f>IF(OR($A187="",BB$3=""),"",IF(AND($J187&lt;&gt;"",$K187&lt;&gt;"",$J187=$K187,$J187&gt;=BB$3,$J187&lt;=IF(param_mode_affichage="mois",EOMONTH(BB$3,0),BB$3+6)),"◆",""))</f>
      </c>
      <c r="BC187" s="26">
        <f>IF(OR($A187="",BC$3=""),"",IF(AND($J187&lt;&gt;"",$K187&lt;&gt;"",$J187=$K187,$J187&gt;=BC$3,$J187&lt;=IF(param_mode_affichage="mois",EOMONTH(BC$3,0),BC$3+6)),"◆",""))</f>
      </c>
      <c r="BD187" s="26">
        <f>IF(OR($A187="",BD$3=""),"",IF(AND($J187&lt;&gt;"",$K187&lt;&gt;"",$J187=$K187,$J187&gt;=BD$3,$J187&lt;=IF(param_mode_affichage="mois",EOMONTH(BD$3,0),BD$3+6)),"◆",""))</f>
      </c>
      <c r="BE187" s="26">
        <f>IF(OR($A187="",BE$3=""),"",IF(AND($J187&lt;&gt;"",$K187&lt;&gt;"",$J187=$K187,$J187&gt;=BE$3,$J187&lt;=IF(param_mode_affichage="mois",EOMONTH(BE$3,0),BE$3+6)),"◆",""))</f>
      </c>
      <c r="BF187" s="26">
        <f>IF(OR($A187="",BF$3=""),"",IF(AND($J187&lt;&gt;"",$K187&lt;&gt;"",$J187=$K187,$J187&gt;=BF$3,$J187&lt;=IF(param_mode_affichage="mois",EOMONTH(BF$3,0),BF$3+6)),"◆",""))</f>
      </c>
      <c r="BG187" s="26">
        <f>IF(OR($A187="",BG$3=""),"",IF(AND($J187&lt;&gt;"",$K187&lt;&gt;"",$J187=$K187,$J187&gt;=BG$3,$J187&lt;=IF(param_mode_affichage="mois",EOMONTH(BG$3,0),BG$3+6)),"◆",""))</f>
      </c>
      <c r="BH187" s="26">
        <f>IF(OR($A187="",BH$3=""),"",IF(AND($J187&lt;&gt;"",$K187&lt;&gt;"",$J187=$K187,$J187&gt;=BH$3,$J187&lt;=IF(param_mode_affichage="mois",EOMONTH(BH$3,0),BH$3+6)),"◆",""))</f>
      </c>
      <c r="BI187" s="26">
        <f>IF(OR($A187="",BI$3=""),"",IF(AND($J187&lt;&gt;"",$K187&lt;&gt;"",$J187=$K187,$J187&gt;=BI$3,$J187&lt;=IF(param_mode_affichage="mois",EOMONTH(BI$3,0),BI$3+6)),"◆",""))</f>
      </c>
      <c r="BJ187" s="26">
        <f>IF(OR($A187="",BJ$3=""),"",IF(AND($J187&lt;&gt;"",$K187&lt;&gt;"",$J187=$K187,$J187&gt;=BJ$3,$J187&lt;=IF(param_mode_affichage="mois",EOMONTH(BJ$3,0),BJ$3+6)),"◆",""))</f>
      </c>
      <c r="BK187" s="26">
        <f>IF(OR($A187="",BK$3=""),"",IF(AND($J187&lt;&gt;"",$K187&lt;&gt;"",$J187=$K187,$J187&gt;=BK$3,$J187&lt;=IF(param_mode_affichage="mois",EOMONTH(BK$3,0),BK$3+6)),"◆",""))</f>
      </c>
      <c r="BL187" s="26">
        <f>IF(OR($A187="",BL$3=""),"",IF(AND($J187&lt;&gt;"",$K187&lt;&gt;"",$J187=$K187,$J187&gt;=BL$3,$J187&lt;=IF(param_mode_affichage="mois",EOMONTH(BL$3,0),BL$3+6)),"◆",""))</f>
      </c>
    </row>
    <row r="188" spans="1:64" x14ac:dyDescent="0.25">
      <c r="A188" s="23">
        <f>IFERROR(INDEX(tblTasks[ID],ROW()-4),"")</f>
      </c>
      <c r="B188" s="24">
        <f>IF($A188="","",INDEX(tblTasks[Sujet],ROW()-4))</f>
      </c>
      <c r="C188" s="23">
        <f>IF($A188="","",INDEX(tblTasks[Responsable],ROW()-4))</f>
      </c>
      <c r="D188" s="23">
        <f>IF($A188="","",INDEX(tblTasks[Statut],ROW()-4))</f>
      </c>
      <c r="E188" s="23">
        <f>IF($A188="","",INDEX(tblTasks[Depend_de],ROW()-4))</f>
      </c>
      <c r="F188" s="23">
        <f>IF($A188="","",INDEX(tblTasks[Blocage],ROW()-4))</f>
      </c>
      <c r="G188" s="23">
        <f>IF($A188="","",INDEX(tblTasks[Niveau_criticite],ROW()-4))</f>
      </c>
      <c r="H188" s="23">
        <f>IF($A188="","",INDEX(tblTasks[Goulot],ROW()-4))</f>
      </c>
      <c r="I188" s="23">
        <f>IF($A188="","",IF(LOWER($F188)="oui","non",IF($E188="","oui",IFERROR(IF(LOWER(INDEX(tblTasks[Statut],MATCH($E188,tblTasks[ID],0)))="clos","oui","non"),"non"))))</f>
      </c>
      <c r="J188" s="25">
        <f>IF($A188="","",INDEX(tblTasks[Date_debut_prevue],ROW()-4))</f>
      </c>
      <c r="K188" s="25">
        <f>IF($A188="","",INDEX(tblTasks[Date_fin_prevue],ROW()-4))</f>
      </c>
      <c r="L188" s="23">
        <f>IF($A188="","",INDEX(tblTasks[Irreversibilite],ROW()-4))</f>
      </c>
      <c r="M188" s="26">
        <f>IF(OR($A188="",M$3=""),"",IF(AND($J188&lt;&gt;"",$K188&lt;&gt;"",$J188=$K188,$J188&gt;=M$3,$J188&lt;=IF(param_mode_affichage="mois",EOMONTH(M$3,0),M$3+6)),"◆",""))</f>
      </c>
      <c r="N188" s="26">
        <f>IF(OR($A188="",N$3=""),"",IF(AND($J188&lt;&gt;"",$K188&lt;&gt;"",$J188=$K188,$J188&gt;=N$3,$J188&lt;=IF(param_mode_affichage="mois",EOMONTH(N$3,0),N$3+6)),"◆",""))</f>
      </c>
      <c r="O188" s="26">
        <f>IF(OR($A188="",O$3=""),"",IF(AND($J188&lt;&gt;"",$K188&lt;&gt;"",$J188=$K188,$J188&gt;=O$3,$J188&lt;=IF(param_mode_affichage="mois",EOMONTH(O$3,0),O$3+6)),"◆",""))</f>
      </c>
      <c r="P188" s="26">
        <f>IF(OR($A188="",P$3=""),"",IF(AND($J188&lt;&gt;"",$K188&lt;&gt;"",$J188=$K188,$J188&gt;=P$3,$J188&lt;=IF(param_mode_affichage="mois",EOMONTH(P$3,0),P$3+6)),"◆",""))</f>
      </c>
      <c r="Q188" s="26">
        <f>IF(OR($A188="",Q$3=""),"",IF(AND($J188&lt;&gt;"",$K188&lt;&gt;"",$J188=$K188,$J188&gt;=Q$3,$J188&lt;=IF(param_mode_affichage="mois",EOMONTH(Q$3,0),Q$3+6)),"◆",""))</f>
      </c>
      <c r="R188" s="26">
        <f>IF(OR($A188="",R$3=""),"",IF(AND($J188&lt;&gt;"",$K188&lt;&gt;"",$J188=$K188,$J188&gt;=R$3,$J188&lt;=IF(param_mode_affichage="mois",EOMONTH(R$3,0),R$3+6)),"◆",""))</f>
      </c>
      <c r="S188" s="26">
        <f>IF(OR($A188="",S$3=""),"",IF(AND($J188&lt;&gt;"",$K188&lt;&gt;"",$J188=$K188,$J188&gt;=S$3,$J188&lt;=IF(param_mode_affichage="mois",EOMONTH(S$3,0),S$3+6)),"◆",""))</f>
      </c>
      <c r="T188" s="26">
        <f>IF(OR($A188="",T$3=""),"",IF(AND($J188&lt;&gt;"",$K188&lt;&gt;"",$J188=$K188,$J188&gt;=T$3,$J188&lt;=IF(param_mode_affichage="mois",EOMONTH(T$3,0),T$3+6)),"◆",""))</f>
      </c>
      <c r="U188" s="26">
        <f>IF(OR($A188="",U$3=""),"",IF(AND($J188&lt;&gt;"",$K188&lt;&gt;"",$J188=$K188,$J188&gt;=U$3,$J188&lt;=IF(param_mode_affichage="mois",EOMONTH(U$3,0),U$3+6)),"◆",""))</f>
      </c>
      <c r="V188" s="26">
        <f>IF(OR($A188="",V$3=""),"",IF(AND($J188&lt;&gt;"",$K188&lt;&gt;"",$J188=$K188,$J188&gt;=V$3,$J188&lt;=IF(param_mode_affichage="mois",EOMONTH(V$3,0),V$3+6)),"◆",""))</f>
      </c>
      <c r="W188" s="26">
        <f>IF(OR($A188="",W$3=""),"",IF(AND($J188&lt;&gt;"",$K188&lt;&gt;"",$J188=$K188,$J188&gt;=W$3,$J188&lt;=IF(param_mode_affichage="mois",EOMONTH(W$3,0),W$3+6)),"◆",""))</f>
      </c>
      <c r="X188" s="26">
        <f>IF(OR($A188="",X$3=""),"",IF(AND($J188&lt;&gt;"",$K188&lt;&gt;"",$J188=$K188,$J188&gt;=X$3,$J188&lt;=IF(param_mode_affichage="mois",EOMONTH(X$3,0),X$3+6)),"◆",""))</f>
      </c>
      <c r="Y188" s="26">
        <f>IF(OR($A188="",Y$3=""),"",IF(AND($J188&lt;&gt;"",$K188&lt;&gt;"",$J188=$K188,$J188&gt;=Y$3,$J188&lt;=IF(param_mode_affichage="mois",EOMONTH(Y$3,0),Y$3+6)),"◆",""))</f>
      </c>
      <c r="Z188" s="26">
        <f>IF(OR($A188="",Z$3=""),"",IF(AND($J188&lt;&gt;"",$K188&lt;&gt;"",$J188=$K188,$J188&gt;=Z$3,$J188&lt;=IF(param_mode_affichage="mois",EOMONTH(Z$3,0),Z$3+6)),"◆",""))</f>
      </c>
      <c r="AA188" s="26">
        <f>IF(OR($A188="",AA$3=""),"",IF(AND($J188&lt;&gt;"",$K188&lt;&gt;"",$J188=$K188,$J188&gt;=AA$3,$J188&lt;=IF(param_mode_affichage="mois",EOMONTH(AA$3,0),AA$3+6)),"◆",""))</f>
      </c>
      <c r="AB188" s="26">
        <f>IF(OR($A188="",AB$3=""),"",IF(AND($J188&lt;&gt;"",$K188&lt;&gt;"",$J188=$K188,$J188&gt;=AB$3,$J188&lt;=IF(param_mode_affichage="mois",EOMONTH(AB$3,0),AB$3+6)),"◆",""))</f>
      </c>
      <c r="AC188" s="26">
        <f>IF(OR($A188="",AC$3=""),"",IF(AND($J188&lt;&gt;"",$K188&lt;&gt;"",$J188=$K188,$J188&gt;=AC$3,$J188&lt;=IF(param_mode_affichage="mois",EOMONTH(AC$3,0),AC$3+6)),"◆",""))</f>
      </c>
      <c r="AD188" s="26">
        <f>IF(OR($A188="",AD$3=""),"",IF(AND($J188&lt;&gt;"",$K188&lt;&gt;"",$J188=$K188,$J188&gt;=AD$3,$J188&lt;=IF(param_mode_affichage="mois",EOMONTH(AD$3,0),AD$3+6)),"◆",""))</f>
      </c>
      <c r="AE188" s="26">
        <f>IF(OR($A188="",AE$3=""),"",IF(AND($J188&lt;&gt;"",$K188&lt;&gt;"",$J188=$K188,$J188&gt;=AE$3,$J188&lt;=IF(param_mode_affichage="mois",EOMONTH(AE$3,0),AE$3+6)),"◆",""))</f>
      </c>
      <c r="AF188" s="26">
        <f>IF(OR($A188="",AF$3=""),"",IF(AND($J188&lt;&gt;"",$K188&lt;&gt;"",$J188=$K188,$J188&gt;=AF$3,$J188&lt;=IF(param_mode_affichage="mois",EOMONTH(AF$3,0),AF$3+6)),"◆",""))</f>
      </c>
      <c r="AG188" s="26">
        <f>IF(OR($A188="",AG$3=""),"",IF(AND($J188&lt;&gt;"",$K188&lt;&gt;"",$J188=$K188,$J188&gt;=AG$3,$J188&lt;=IF(param_mode_affichage="mois",EOMONTH(AG$3,0),AG$3+6)),"◆",""))</f>
      </c>
      <c r="AH188" s="26">
        <f>IF(OR($A188="",AH$3=""),"",IF(AND($J188&lt;&gt;"",$K188&lt;&gt;"",$J188=$K188,$J188&gt;=AH$3,$J188&lt;=IF(param_mode_affichage="mois",EOMONTH(AH$3,0),AH$3+6)),"◆",""))</f>
      </c>
      <c r="AI188" s="26">
        <f>IF(OR($A188="",AI$3=""),"",IF(AND($J188&lt;&gt;"",$K188&lt;&gt;"",$J188=$K188,$J188&gt;=AI$3,$J188&lt;=IF(param_mode_affichage="mois",EOMONTH(AI$3,0),AI$3+6)),"◆",""))</f>
      </c>
      <c r="AJ188" s="26">
        <f>IF(OR($A188="",AJ$3=""),"",IF(AND($J188&lt;&gt;"",$K188&lt;&gt;"",$J188=$K188,$J188&gt;=AJ$3,$J188&lt;=IF(param_mode_affichage="mois",EOMONTH(AJ$3,0),AJ$3+6)),"◆",""))</f>
      </c>
      <c r="AK188" s="26">
        <f>IF(OR($A188="",AK$3=""),"",IF(AND($J188&lt;&gt;"",$K188&lt;&gt;"",$J188=$K188,$J188&gt;=AK$3,$J188&lt;=IF(param_mode_affichage="mois",EOMONTH(AK$3,0),AK$3+6)),"◆",""))</f>
      </c>
      <c r="AL188" s="26">
        <f>IF(OR($A188="",AL$3=""),"",IF(AND($J188&lt;&gt;"",$K188&lt;&gt;"",$J188=$K188,$J188&gt;=AL$3,$J188&lt;=IF(param_mode_affichage="mois",EOMONTH(AL$3,0),AL$3+6)),"◆",""))</f>
      </c>
      <c r="AM188" s="26">
        <f>IF(OR($A188="",AM$3=""),"",IF(AND($J188&lt;&gt;"",$K188&lt;&gt;"",$J188=$K188,$J188&gt;=AM$3,$J188&lt;=IF(param_mode_affichage="mois",EOMONTH(AM$3,0),AM$3+6)),"◆",""))</f>
      </c>
      <c r="AN188" s="26">
        <f>IF(OR($A188="",AN$3=""),"",IF(AND($J188&lt;&gt;"",$K188&lt;&gt;"",$J188=$K188,$J188&gt;=AN$3,$J188&lt;=IF(param_mode_affichage="mois",EOMONTH(AN$3,0),AN$3+6)),"◆",""))</f>
      </c>
      <c r="AO188" s="26">
        <f>IF(OR($A188="",AO$3=""),"",IF(AND($J188&lt;&gt;"",$K188&lt;&gt;"",$J188=$K188,$J188&gt;=AO$3,$J188&lt;=IF(param_mode_affichage="mois",EOMONTH(AO$3,0),AO$3+6)),"◆",""))</f>
      </c>
      <c r="AP188" s="26">
        <f>IF(OR($A188="",AP$3=""),"",IF(AND($J188&lt;&gt;"",$K188&lt;&gt;"",$J188=$K188,$J188&gt;=AP$3,$J188&lt;=IF(param_mode_affichage="mois",EOMONTH(AP$3,0),AP$3+6)),"◆",""))</f>
      </c>
      <c r="AQ188" s="26">
        <f>IF(OR($A188="",AQ$3=""),"",IF(AND($J188&lt;&gt;"",$K188&lt;&gt;"",$J188=$K188,$J188&gt;=AQ$3,$J188&lt;=IF(param_mode_affichage="mois",EOMONTH(AQ$3,0),AQ$3+6)),"◆",""))</f>
      </c>
      <c r="AR188" s="26">
        <f>IF(OR($A188="",AR$3=""),"",IF(AND($J188&lt;&gt;"",$K188&lt;&gt;"",$J188=$K188,$J188&gt;=AR$3,$J188&lt;=IF(param_mode_affichage="mois",EOMONTH(AR$3,0),AR$3+6)),"◆",""))</f>
      </c>
      <c r="AS188" s="26">
        <f>IF(OR($A188="",AS$3=""),"",IF(AND($J188&lt;&gt;"",$K188&lt;&gt;"",$J188=$K188,$J188&gt;=AS$3,$J188&lt;=IF(param_mode_affichage="mois",EOMONTH(AS$3,0),AS$3+6)),"◆",""))</f>
      </c>
      <c r="AT188" s="26">
        <f>IF(OR($A188="",AT$3=""),"",IF(AND($J188&lt;&gt;"",$K188&lt;&gt;"",$J188=$K188,$J188&gt;=AT$3,$J188&lt;=IF(param_mode_affichage="mois",EOMONTH(AT$3,0),AT$3+6)),"◆",""))</f>
      </c>
      <c r="AU188" s="26">
        <f>IF(OR($A188="",AU$3=""),"",IF(AND($J188&lt;&gt;"",$K188&lt;&gt;"",$J188=$K188,$J188&gt;=AU$3,$J188&lt;=IF(param_mode_affichage="mois",EOMONTH(AU$3,0),AU$3+6)),"◆",""))</f>
      </c>
      <c r="AV188" s="26">
        <f>IF(OR($A188="",AV$3=""),"",IF(AND($J188&lt;&gt;"",$K188&lt;&gt;"",$J188=$K188,$J188&gt;=AV$3,$J188&lt;=IF(param_mode_affichage="mois",EOMONTH(AV$3,0),AV$3+6)),"◆",""))</f>
      </c>
      <c r="AW188" s="26">
        <f>IF(OR($A188="",AW$3=""),"",IF(AND($J188&lt;&gt;"",$K188&lt;&gt;"",$J188=$K188,$J188&gt;=AW$3,$J188&lt;=IF(param_mode_affichage="mois",EOMONTH(AW$3,0),AW$3+6)),"◆",""))</f>
      </c>
      <c r="AX188" s="26">
        <f>IF(OR($A188="",AX$3=""),"",IF(AND($J188&lt;&gt;"",$K188&lt;&gt;"",$J188=$K188,$J188&gt;=AX$3,$J188&lt;=IF(param_mode_affichage="mois",EOMONTH(AX$3,0),AX$3+6)),"◆",""))</f>
      </c>
      <c r="AY188" s="26">
        <f>IF(OR($A188="",AY$3=""),"",IF(AND($J188&lt;&gt;"",$K188&lt;&gt;"",$J188=$K188,$J188&gt;=AY$3,$J188&lt;=IF(param_mode_affichage="mois",EOMONTH(AY$3,0),AY$3+6)),"◆",""))</f>
      </c>
      <c r="AZ188" s="26">
        <f>IF(OR($A188="",AZ$3=""),"",IF(AND($J188&lt;&gt;"",$K188&lt;&gt;"",$J188=$K188,$J188&gt;=AZ$3,$J188&lt;=IF(param_mode_affichage="mois",EOMONTH(AZ$3,0),AZ$3+6)),"◆",""))</f>
      </c>
      <c r="BA188" s="26">
        <f>IF(OR($A188="",BA$3=""),"",IF(AND($J188&lt;&gt;"",$K188&lt;&gt;"",$J188=$K188,$J188&gt;=BA$3,$J188&lt;=IF(param_mode_affichage="mois",EOMONTH(BA$3,0),BA$3+6)),"◆",""))</f>
      </c>
      <c r="BB188" s="26">
        <f>IF(OR($A188="",BB$3=""),"",IF(AND($J188&lt;&gt;"",$K188&lt;&gt;"",$J188=$K188,$J188&gt;=BB$3,$J188&lt;=IF(param_mode_affichage="mois",EOMONTH(BB$3,0),BB$3+6)),"◆",""))</f>
      </c>
      <c r="BC188" s="26">
        <f>IF(OR($A188="",BC$3=""),"",IF(AND($J188&lt;&gt;"",$K188&lt;&gt;"",$J188=$K188,$J188&gt;=BC$3,$J188&lt;=IF(param_mode_affichage="mois",EOMONTH(BC$3,0),BC$3+6)),"◆",""))</f>
      </c>
      <c r="BD188" s="26">
        <f>IF(OR($A188="",BD$3=""),"",IF(AND($J188&lt;&gt;"",$K188&lt;&gt;"",$J188=$K188,$J188&gt;=BD$3,$J188&lt;=IF(param_mode_affichage="mois",EOMONTH(BD$3,0),BD$3+6)),"◆",""))</f>
      </c>
      <c r="BE188" s="26">
        <f>IF(OR($A188="",BE$3=""),"",IF(AND($J188&lt;&gt;"",$K188&lt;&gt;"",$J188=$K188,$J188&gt;=BE$3,$J188&lt;=IF(param_mode_affichage="mois",EOMONTH(BE$3,0),BE$3+6)),"◆",""))</f>
      </c>
      <c r="BF188" s="26">
        <f>IF(OR($A188="",BF$3=""),"",IF(AND($J188&lt;&gt;"",$K188&lt;&gt;"",$J188=$K188,$J188&gt;=BF$3,$J188&lt;=IF(param_mode_affichage="mois",EOMONTH(BF$3,0),BF$3+6)),"◆",""))</f>
      </c>
      <c r="BG188" s="26">
        <f>IF(OR($A188="",BG$3=""),"",IF(AND($J188&lt;&gt;"",$K188&lt;&gt;"",$J188=$K188,$J188&gt;=BG$3,$J188&lt;=IF(param_mode_affichage="mois",EOMONTH(BG$3,0),BG$3+6)),"◆",""))</f>
      </c>
      <c r="BH188" s="26">
        <f>IF(OR($A188="",BH$3=""),"",IF(AND($J188&lt;&gt;"",$K188&lt;&gt;"",$J188=$K188,$J188&gt;=BH$3,$J188&lt;=IF(param_mode_affichage="mois",EOMONTH(BH$3,0),BH$3+6)),"◆",""))</f>
      </c>
      <c r="BI188" s="26">
        <f>IF(OR($A188="",BI$3=""),"",IF(AND($J188&lt;&gt;"",$K188&lt;&gt;"",$J188=$K188,$J188&gt;=BI$3,$J188&lt;=IF(param_mode_affichage="mois",EOMONTH(BI$3,0),BI$3+6)),"◆",""))</f>
      </c>
      <c r="BJ188" s="26">
        <f>IF(OR($A188="",BJ$3=""),"",IF(AND($J188&lt;&gt;"",$K188&lt;&gt;"",$J188=$K188,$J188&gt;=BJ$3,$J188&lt;=IF(param_mode_affichage="mois",EOMONTH(BJ$3,0),BJ$3+6)),"◆",""))</f>
      </c>
      <c r="BK188" s="26">
        <f>IF(OR($A188="",BK$3=""),"",IF(AND($J188&lt;&gt;"",$K188&lt;&gt;"",$J188=$K188,$J188&gt;=BK$3,$J188&lt;=IF(param_mode_affichage="mois",EOMONTH(BK$3,0),BK$3+6)),"◆",""))</f>
      </c>
      <c r="BL188" s="26">
        <f>IF(OR($A188="",BL$3=""),"",IF(AND($J188&lt;&gt;"",$K188&lt;&gt;"",$J188=$K188,$J188&gt;=BL$3,$J188&lt;=IF(param_mode_affichage="mois",EOMONTH(BL$3,0),BL$3+6)),"◆",""))</f>
      </c>
    </row>
    <row r="189" spans="1:64" x14ac:dyDescent="0.25">
      <c r="A189" s="23">
        <f>IFERROR(INDEX(tblTasks[ID],ROW()-4),"")</f>
      </c>
      <c r="B189" s="24">
        <f>IF($A189="","",INDEX(tblTasks[Sujet],ROW()-4))</f>
      </c>
      <c r="C189" s="23">
        <f>IF($A189="","",INDEX(tblTasks[Responsable],ROW()-4))</f>
      </c>
      <c r="D189" s="23">
        <f>IF($A189="","",INDEX(tblTasks[Statut],ROW()-4))</f>
      </c>
      <c r="E189" s="23">
        <f>IF($A189="","",INDEX(tblTasks[Depend_de],ROW()-4))</f>
      </c>
      <c r="F189" s="23">
        <f>IF($A189="","",INDEX(tblTasks[Blocage],ROW()-4))</f>
      </c>
      <c r="G189" s="23">
        <f>IF($A189="","",INDEX(tblTasks[Niveau_criticite],ROW()-4))</f>
      </c>
      <c r="H189" s="23">
        <f>IF($A189="","",INDEX(tblTasks[Goulot],ROW()-4))</f>
      </c>
      <c r="I189" s="23">
        <f>IF($A189="","",IF(LOWER($F189)="oui","non",IF($E189="","oui",IFERROR(IF(LOWER(INDEX(tblTasks[Statut],MATCH($E189,tblTasks[ID],0)))="clos","oui","non"),"non"))))</f>
      </c>
      <c r="J189" s="25">
        <f>IF($A189="","",INDEX(tblTasks[Date_debut_prevue],ROW()-4))</f>
      </c>
      <c r="K189" s="25">
        <f>IF($A189="","",INDEX(tblTasks[Date_fin_prevue],ROW()-4))</f>
      </c>
      <c r="L189" s="23">
        <f>IF($A189="","",INDEX(tblTasks[Irreversibilite],ROW()-4))</f>
      </c>
      <c r="M189" s="26">
        <f>IF(OR($A189="",M$3=""),"",IF(AND($J189&lt;&gt;"",$K189&lt;&gt;"",$J189=$K189,$J189&gt;=M$3,$J189&lt;=IF(param_mode_affichage="mois",EOMONTH(M$3,0),M$3+6)),"◆",""))</f>
      </c>
      <c r="N189" s="26">
        <f>IF(OR($A189="",N$3=""),"",IF(AND($J189&lt;&gt;"",$K189&lt;&gt;"",$J189=$K189,$J189&gt;=N$3,$J189&lt;=IF(param_mode_affichage="mois",EOMONTH(N$3,0),N$3+6)),"◆",""))</f>
      </c>
      <c r="O189" s="26">
        <f>IF(OR($A189="",O$3=""),"",IF(AND($J189&lt;&gt;"",$K189&lt;&gt;"",$J189=$K189,$J189&gt;=O$3,$J189&lt;=IF(param_mode_affichage="mois",EOMONTH(O$3,0),O$3+6)),"◆",""))</f>
      </c>
      <c r="P189" s="26">
        <f>IF(OR($A189="",P$3=""),"",IF(AND($J189&lt;&gt;"",$K189&lt;&gt;"",$J189=$K189,$J189&gt;=P$3,$J189&lt;=IF(param_mode_affichage="mois",EOMONTH(P$3,0),P$3+6)),"◆",""))</f>
      </c>
      <c r="Q189" s="26">
        <f>IF(OR($A189="",Q$3=""),"",IF(AND($J189&lt;&gt;"",$K189&lt;&gt;"",$J189=$K189,$J189&gt;=Q$3,$J189&lt;=IF(param_mode_affichage="mois",EOMONTH(Q$3,0),Q$3+6)),"◆",""))</f>
      </c>
      <c r="R189" s="26">
        <f>IF(OR($A189="",R$3=""),"",IF(AND($J189&lt;&gt;"",$K189&lt;&gt;"",$J189=$K189,$J189&gt;=R$3,$J189&lt;=IF(param_mode_affichage="mois",EOMONTH(R$3,0),R$3+6)),"◆",""))</f>
      </c>
      <c r="S189" s="26">
        <f>IF(OR($A189="",S$3=""),"",IF(AND($J189&lt;&gt;"",$K189&lt;&gt;"",$J189=$K189,$J189&gt;=S$3,$J189&lt;=IF(param_mode_affichage="mois",EOMONTH(S$3,0),S$3+6)),"◆",""))</f>
      </c>
      <c r="T189" s="26">
        <f>IF(OR($A189="",T$3=""),"",IF(AND($J189&lt;&gt;"",$K189&lt;&gt;"",$J189=$K189,$J189&gt;=T$3,$J189&lt;=IF(param_mode_affichage="mois",EOMONTH(T$3,0),T$3+6)),"◆",""))</f>
      </c>
      <c r="U189" s="26">
        <f>IF(OR($A189="",U$3=""),"",IF(AND($J189&lt;&gt;"",$K189&lt;&gt;"",$J189=$K189,$J189&gt;=U$3,$J189&lt;=IF(param_mode_affichage="mois",EOMONTH(U$3,0),U$3+6)),"◆",""))</f>
      </c>
      <c r="V189" s="26">
        <f>IF(OR($A189="",V$3=""),"",IF(AND($J189&lt;&gt;"",$K189&lt;&gt;"",$J189=$K189,$J189&gt;=V$3,$J189&lt;=IF(param_mode_affichage="mois",EOMONTH(V$3,0),V$3+6)),"◆",""))</f>
      </c>
      <c r="W189" s="26">
        <f>IF(OR($A189="",W$3=""),"",IF(AND($J189&lt;&gt;"",$K189&lt;&gt;"",$J189=$K189,$J189&gt;=W$3,$J189&lt;=IF(param_mode_affichage="mois",EOMONTH(W$3,0),W$3+6)),"◆",""))</f>
      </c>
      <c r="X189" s="26">
        <f>IF(OR($A189="",X$3=""),"",IF(AND($J189&lt;&gt;"",$K189&lt;&gt;"",$J189=$K189,$J189&gt;=X$3,$J189&lt;=IF(param_mode_affichage="mois",EOMONTH(X$3,0),X$3+6)),"◆",""))</f>
      </c>
      <c r="Y189" s="26">
        <f>IF(OR($A189="",Y$3=""),"",IF(AND($J189&lt;&gt;"",$K189&lt;&gt;"",$J189=$K189,$J189&gt;=Y$3,$J189&lt;=IF(param_mode_affichage="mois",EOMONTH(Y$3,0),Y$3+6)),"◆",""))</f>
      </c>
      <c r="Z189" s="26">
        <f>IF(OR($A189="",Z$3=""),"",IF(AND($J189&lt;&gt;"",$K189&lt;&gt;"",$J189=$K189,$J189&gt;=Z$3,$J189&lt;=IF(param_mode_affichage="mois",EOMONTH(Z$3,0),Z$3+6)),"◆",""))</f>
      </c>
      <c r="AA189" s="26">
        <f>IF(OR($A189="",AA$3=""),"",IF(AND($J189&lt;&gt;"",$K189&lt;&gt;"",$J189=$K189,$J189&gt;=AA$3,$J189&lt;=IF(param_mode_affichage="mois",EOMONTH(AA$3,0),AA$3+6)),"◆",""))</f>
      </c>
      <c r="AB189" s="26">
        <f>IF(OR($A189="",AB$3=""),"",IF(AND($J189&lt;&gt;"",$K189&lt;&gt;"",$J189=$K189,$J189&gt;=AB$3,$J189&lt;=IF(param_mode_affichage="mois",EOMONTH(AB$3,0),AB$3+6)),"◆",""))</f>
      </c>
      <c r="AC189" s="26">
        <f>IF(OR($A189="",AC$3=""),"",IF(AND($J189&lt;&gt;"",$K189&lt;&gt;"",$J189=$K189,$J189&gt;=AC$3,$J189&lt;=IF(param_mode_affichage="mois",EOMONTH(AC$3,0),AC$3+6)),"◆",""))</f>
      </c>
      <c r="AD189" s="26">
        <f>IF(OR($A189="",AD$3=""),"",IF(AND($J189&lt;&gt;"",$K189&lt;&gt;"",$J189=$K189,$J189&gt;=AD$3,$J189&lt;=IF(param_mode_affichage="mois",EOMONTH(AD$3,0),AD$3+6)),"◆",""))</f>
      </c>
      <c r="AE189" s="26">
        <f>IF(OR($A189="",AE$3=""),"",IF(AND($J189&lt;&gt;"",$K189&lt;&gt;"",$J189=$K189,$J189&gt;=AE$3,$J189&lt;=IF(param_mode_affichage="mois",EOMONTH(AE$3,0),AE$3+6)),"◆",""))</f>
      </c>
      <c r="AF189" s="26">
        <f>IF(OR($A189="",AF$3=""),"",IF(AND($J189&lt;&gt;"",$K189&lt;&gt;"",$J189=$K189,$J189&gt;=AF$3,$J189&lt;=IF(param_mode_affichage="mois",EOMONTH(AF$3,0),AF$3+6)),"◆",""))</f>
      </c>
      <c r="AG189" s="26">
        <f>IF(OR($A189="",AG$3=""),"",IF(AND($J189&lt;&gt;"",$K189&lt;&gt;"",$J189=$K189,$J189&gt;=AG$3,$J189&lt;=IF(param_mode_affichage="mois",EOMONTH(AG$3,0),AG$3+6)),"◆",""))</f>
      </c>
      <c r="AH189" s="26">
        <f>IF(OR($A189="",AH$3=""),"",IF(AND($J189&lt;&gt;"",$K189&lt;&gt;"",$J189=$K189,$J189&gt;=AH$3,$J189&lt;=IF(param_mode_affichage="mois",EOMONTH(AH$3,0),AH$3+6)),"◆",""))</f>
      </c>
      <c r="AI189" s="26">
        <f>IF(OR($A189="",AI$3=""),"",IF(AND($J189&lt;&gt;"",$K189&lt;&gt;"",$J189=$K189,$J189&gt;=AI$3,$J189&lt;=IF(param_mode_affichage="mois",EOMONTH(AI$3,0),AI$3+6)),"◆",""))</f>
      </c>
      <c r="AJ189" s="26">
        <f>IF(OR($A189="",AJ$3=""),"",IF(AND($J189&lt;&gt;"",$K189&lt;&gt;"",$J189=$K189,$J189&gt;=AJ$3,$J189&lt;=IF(param_mode_affichage="mois",EOMONTH(AJ$3,0),AJ$3+6)),"◆",""))</f>
      </c>
      <c r="AK189" s="26">
        <f>IF(OR($A189="",AK$3=""),"",IF(AND($J189&lt;&gt;"",$K189&lt;&gt;"",$J189=$K189,$J189&gt;=AK$3,$J189&lt;=IF(param_mode_affichage="mois",EOMONTH(AK$3,0),AK$3+6)),"◆",""))</f>
      </c>
      <c r="AL189" s="26">
        <f>IF(OR($A189="",AL$3=""),"",IF(AND($J189&lt;&gt;"",$K189&lt;&gt;"",$J189=$K189,$J189&gt;=AL$3,$J189&lt;=IF(param_mode_affichage="mois",EOMONTH(AL$3,0),AL$3+6)),"◆",""))</f>
      </c>
      <c r="AM189" s="26">
        <f>IF(OR($A189="",AM$3=""),"",IF(AND($J189&lt;&gt;"",$K189&lt;&gt;"",$J189=$K189,$J189&gt;=AM$3,$J189&lt;=IF(param_mode_affichage="mois",EOMONTH(AM$3,0),AM$3+6)),"◆",""))</f>
      </c>
      <c r="AN189" s="26">
        <f>IF(OR($A189="",AN$3=""),"",IF(AND($J189&lt;&gt;"",$K189&lt;&gt;"",$J189=$K189,$J189&gt;=AN$3,$J189&lt;=IF(param_mode_affichage="mois",EOMONTH(AN$3,0),AN$3+6)),"◆",""))</f>
      </c>
      <c r="AO189" s="26">
        <f>IF(OR($A189="",AO$3=""),"",IF(AND($J189&lt;&gt;"",$K189&lt;&gt;"",$J189=$K189,$J189&gt;=AO$3,$J189&lt;=IF(param_mode_affichage="mois",EOMONTH(AO$3,0),AO$3+6)),"◆",""))</f>
      </c>
      <c r="AP189" s="26">
        <f>IF(OR($A189="",AP$3=""),"",IF(AND($J189&lt;&gt;"",$K189&lt;&gt;"",$J189=$K189,$J189&gt;=AP$3,$J189&lt;=IF(param_mode_affichage="mois",EOMONTH(AP$3,0),AP$3+6)),"◆",""))</f>
      </c>
      <c r="AQ189" s="26">
        <f>IF(OR($A189="",AQ$3=""),"",IF(AND($J189&lt;&gt;"",$K189&lt;&gt;"",$J189=$K189,$J189&gt;=AQ$3,$J189&lt;=IF(param_mode_affichage="mois",EOMONTH(AQ$3,0),AQ$3+6)),"◆",""))</f>
      </c>
      <c r="AR189" s="26">
        <f>IF(OR($A189="",AR$3=""),"",IF(AND($J189&lt;&gt;"",$K189&lt;&gt;"",$J189=$K189,$J189&gt;=AR$3,$J189&lt;=IF(param_mode_affichage="mois",EOMONTH(AR$3,0),AR$3+6)),"◆",""))</f>
      </c>
      <c r="AS189" s="26">
        <f>IF(OR($A189="",AS$3=""),"",IF(AND($J189&lt;&gt;"",$K189&lt;&gt;"",$J189=$K189,$J189&gt;=AS$3,$J189&lt;=IF(param_mode_affichage="mois",EOMONTH(AS$3,0),AS$3+6)),"◆",""))</f>
      </c>
      <c r="AT189" s="26">
        <f>IF(OR($A189="",AT$3=""),"",IF(AND($J189&lt;&gt;"",$K189&lt;&gt;"",$J189=$K189,$J189&gt;=AT$3,$J189&lt;=IF(param_mode_affichage="mois",EOMONTH(AT$3,0),AT$3+6)),"◆",""))</f>
      </c>
      <c r="AU189" s="26">
        <f>IF(OR($A189="",AU$3=""),"",IF(AND($J189&lt;&gt;"",$K189&lt;&gt;"",$J189=$K189,$J189&gt;=AU$3,$J189&lt;=IF(param_mode_affichage="mois",EOMONTH(AU$3,0),AU$3+6)),"◆",""))</f>
      </c>
      <c r="AV189" s="26">
        <f>IF(OR($A189="",AV$3=""),"",IF(AND($J189&lt;&gt;"",$K189&lt;&gt;"",$J189=$K189,$J189&gt;=AV$3,$J189&lt;=IF(param_mode_affichage="mois",EOMONTH(AV$3,0),AV$3+6)),"◆",""))</f>
      </c>
      <c r="AW189" s="26">
        <f>IF(OR($A189="",AW$3=""),"",IF(AND($J189&lt;&gt;"",$K189&lt;&gt;"",$J189=$K189,$J189&gt;=AW$3,$J189&lt;=IF(param_mode_affichage="mois",EOMONTH(AW$3,0),AW$3+6)),"◆",""))</f>
      </c>
      <c r="AX189" s="26">
        <f>IF(OR($A189="",AX$3=""),"",IF(AND($J189&lt;&gt;"",$K189&lt;&gt;"",$J189=$K189,$J189&gt;=AX$3,$J189&lt;=IF(param_mode_affichage="mois",EOMONTH(AX$3,0),AX$3+6)),"◆",""))</f>
      </c>
      <c r="AY189" s="26">
        <f>IF(OR($A189="",AY$3=""),"",IF(AND($J189&lt;&gt;"",$K189&lt;&gt;"",$J189=$K189,$J189&gt;=AY$3,$J189&lt;=IF(param_mode_affichage="mois",EOMONTH(AY$3,0),AY$3+6)),"◆",""))</f>
      </c>
      <c r="AZ189" s="26">
        <f>IF(OR($A189="",AZ$3=""),"",IF(AND($J189&lt;&gt;"",$K189&lt;&gt;"",$J189=$K189,$J189&gt;=AZ$3,$J189&lt;=IF(param_mode_affichage="mois",EOMONTH(AZ$3,0),AZ$3+6)),"◆",""))</f>
      </c>
      <c r="BA189" s="26">
        <f>IF(OR($A189="",BA$3=""),"",IF(AND($J189&lt;&gt;"",$K189&lt;&gt;"",$J189=$K189,$J189&gt;=BA$3,$J189&lt;=IF(param_mode_affichage="mois",EOMONTH(BA$3,0),BA$3+6)),"◆",""))</f>
      </c>
      <c r="BB189" s="26">
        <f>IF(OR($A189="",BB$3=""),"",IF(AND($J189&lt;&gt;"",$K189&lt;&gt;"",$J189=$K189,$J189&gt;=BB$3,$J189&lt;=IF(param_mode_affichage="mois",EOMONTH(BB$3,0),BB$3+6)),"◆",""))</f>
      </c>
      <c r="BC189" s="26">
        <f>IF(OR($A189="",BC$3=""),"",IF(AND($J189&lt;&gt;"",$K189&lt;&gt;"",$J189=$K189,$J189&gt;=BC$3,$J189&lt;=IF(param_mode_affichage="mois",EOMONTH(BC$3,0),BC$3+6)),"◆",""))</f>
      </c>
      <c r="BD189" s="26">
        <f>IF(OR($A189="",BD$3=""),"",IF(AND($J189&lt;&gt;"",$K189&lt;&gt;"",$J189=$K189,$J189&gt;=BD$3,$J189&lt;=IF(param_mode_affichage="mois",EOMONTH(BD$3,0),BD$3+6)),"◆",""))</f>
      </c>
      <c r="BE189" s="26">
        <f>IF(OR($A189="",BE$3=""),"",IF(AND($J189&lt;&gt;"",$K189&lt;&gt;"",$J189=$K189,$J189&gt;=BE$3,$J189&lt;=IF(param_mode_affichage="mois",EOMONTH(BE$3,0),BE$3+6)),"◆",""))</f>
      </c>
      <c r="BF189" s="26">
        <f>IF(OR($A189="",BF$3=""),"",IF(AND($J189&lt;&gt;"",$K189&lt;&gt;"",$J189=$K189,$J189&gt;=BF$3,$J189&lt;=IF(param_mode_affichage="mois",EOMONTH(BF$3,0),BF$3+6)),"◆",""))</f>
      </c>
      <c r="BG189" s="26">
        <f>IF(OR($A189="",BG$3=""),"",IF(AND($J189&lt;&gt;"",$K189&lt;&gt;"",$J189=$K189,$J189&gt;=BG$3,$J189&lt;=IF(param_mode_affichage="mois",EOMONTH(BG$3,0),BG$3+6)),"◆",""))</f>
      </c>
      <c r="BH189" s="26">
        <f>IF(OR($A189="",BH$3=""),"",IF(AND($J189&lt;&gt;"",$K189&lt;&gt;"",$J189=$K189,$J189&gt;=BH$3,$J189&lt;=IF(param_mode_affichage="mois",EOMONTH(BH$3,0),BH$3+6)),"◆",""))</f>
      </c>
      <c r="BI189" s="26">
        <f>IF(OR($A189="",BI$3=""),"",IF(AND($J189&lt;&gt;"",$K189&lt;&gt;"",$J189=$K189,$J189&gt;=BI$3,$J189&lt;=IF(param_mode_affichage="mois",EOMONTH(BI$3,0),BI$3+6)),"◆",""))</f>
      </c>
      <c r="BJ189" s="26">
        <f>IF(OR($A189="",BJ$3=""),"",IF(AND($J189&lt;&gt;"",$K189&lt;&gt;"",$J189=$K189,$J189&gt;=BJ$3,$J189&lt;=IF(param_mode_affichage="mois",EOMONTH(BJ$3,0),BJ$3+6)),"◆",""))</f>
      </c>
      <c r="BK189" s="26">
        <f>IF(OR($A189="",BK$3=""),"",IF(AND($J189&lt;&gt;"",$K189&lt;&gt;"",$J189=$K189,$J189&gt;=BK$3,$J189&lt;=IF(param_mode_affichage="mois",EOMONTH(BK$3,0),BK$3+6)),"◆",""))</f>
      </c>
      <c r="BL189" s="26">
        <f>IF(OR($A189="",BL$3=""),"",IF(AND($J189&lt;&gt;"",$K189&lt;&gt;"",$J189=$K189,$J189&gt;=BL$3,$J189&lt;=IF(param_mode_affichage="mois",EOMONTH(BL$3,0),BL$3+6)),"◆",""))</f>
      </c>
    </row>
    <row r="190" spans="1:64" x14ac:dyDescent="0.25">
      <c r="A190" s="23">
        <f>IFERROR(INDEX(tblTasks[ID],ROW()-4),"")</f>
      </c>
      <c r="B190" s="24">
        <f>IF($A190="","",INDEX(tblTasks[Sujet],ROW()-4))</f>
      </c>
      <c r="C190" s="23">
        <f>IF($A190="","",INDEX(tblTasks[Responsable],ROW()-4))</f>
      </c>
      <c r="D190" s="23">
        <f>IF($A190="","",INDEX(tblTasks[Statut],ROW()-4))</f>
      </c>
      <c r="E190" s="23">
        <f>IF($A190="","",INDEX(tblTasks[Depend_de],ROW()-4))</f>
      </c>
      <c r="F190" s="23">
        <f>IF($A190="","",INDEX(tblTasks[Blocage],ROW()-4))</f>
      </c>
      <c r="G190" s="23">
        <f>IF($A190="","",INDEX(tblTasks[Niveau_criticite],ROW()-4))</f>
      </c>
      <c r="H190" s="23">
        <f>IF($A190="","",INDEX(tblTasks[Goulot],ROW()-4))</f>
      </c>
      <c r="I190" s="23">
        <f>IF($A190="","",IF(LOWER($F190)="oui","non",IF($E190="","oui",IFERROR(IF(LOWER(INDEX(tblTasks[Statut],MATCH($E190,tblTasks[ID],0)))="clos","oui","non"),"non"))))</f>
      </c>
      <c r="J190" s="25">
        <f>IF($A190="","",INDEX(tblTasks[Date_debut_prevue],ROW()-4))</f>
      </c>
      <c r="K190" s="25">
        <f>IF($A190="","",INDEX(tblTasks[Date_fin_prevue],ROW()-4))</f>
      </c>
      <c r="L190" s="23">
        <f>IF($A190="","",INDEX(tblTasks[Irreversibilite],ROW()-4))</f>
      </c>
      <c r="M190" s="26">
        <f>IF(OR($A190="",M$3=""),"",IF(AND($J190&lt;&gt;"",$K190&lt;&gt;"",$J190=$K190,$J190&gt;=M$3,$J190&lt;=IF(param_mode_affichage="mois",EOMONTH(M$3,0),M$3+6)),"◆",""))</f>
      </c>
      <c r="N190" s="26">
        <f>IF(OR($A190="",N$3=""),"",IF(AND($J190&lt;&gt;"",$K190&lt;&gt;"",$J190=$K190,$J190&gt;=N$3,$J190&lt;=IF(param_mode_affichage="mois",EOMONTH(N$3,0),N$3+6)),"◆",""))</f>
      </c>
      <c r="O190" s="26">
        <f>IF(OR($A190="",O$3=""),"",IF(AND($J190&lt;&gt;"",$K190&lt;&gt;"",$J190=$K190,$J190&gt;=O$3,$J190&lt;=IF(param_mode_affichage="mois",EOMONTH(O$3,0),O$3+6)),"◆",""))</f>
      </c>
      <c r="P190" s="26">
        <f>IF(OR($A190="",P$3=""),"",IF(AND($J190&lt;&gt;"",$K190&lt;&gt;"",$J190=$K190,$J190&gt;=P$3,$J190&lt;=IF(param_mode_affichage="mois",EOMONTH(P$3,0),P$3+6)),"◆",""))</f>
      </c>
      <c r="Q190" s="26">
        <f>IF(OR($A190="",Q$3=""),"",IF(AND($J190&lt;&gt;"",$K190&lt;&gt;"",$J190=$K190,$J190&gt;=Q$3,$J190&lt;=IF(param_mode_affichage="mois",EOMONTH(Q$3,0),Q$3+6)),"◆",""))</f>
      </c>
      <c r="R190" s="26">
        <f>IF(OR($A190="",R$3=""),"",IF(AND($J190&lt;&gt;"",$K190&lt;&gt;"",$J190=$K190,$J190&gt;=R$3,$J190&lt;=IF(param_mode_affichage="mois",EOMONTH(R$3,0),R$3+6)),"◆",""))</f>
      </c>
      <c r="S190" s="26">
        <f>IF(OR($A190="",S$3=""),"",IF(AND($J190&lt;&gt;"",$K190&lt;&gt;"",$J190=$K190,$J190&gt;=S$3,$J190&lt;=IF(param_mode_affichage="mois",EOMONTH(S$3,0),S$3+6)),"◆",""))</f>
      </c>
      <c r="T190" s="26">
        <f>IF(OR($A190="",T$3=""),"",IF(AND($J190&lt;&gt;"",$K190&lt;&gt;"",$J190=$K190,$J190&gt;=T$3,$J190&lt;=IF(param_mode_affichage="mois",EOMONTH(T$3,0),T$3+6)),"◆",""))</f>
      </c>
      <c r="U190" s="26">
        <f>IF(OR($A190="",U$3=""),"",IF(AND($J190&lt;&gt;"",$K190&lt;&gt;"",$J190=$K190,$J190&gt;=U$3,$J190&lt;=IF(param_mode_affichage="mois",EOMONTH(U$3,0),U$3+6)),"◆",""))</f>
      </c>
      <c r="V190" s="26">
        <f>IF(OR($A190="",V$3=""),"",IF(AND($J190&lt;&gt;"",$K190&lt;&gt;"",$J190=$K190,$J190&gt;=V$3,$J190&lt;=IF(param_mode_affichage="mois",EOMONTH(V$3,0),V$3+6)),"◆",""))</f>
      </c>
      <c r="W190" s="26">
        <f>IF(OR($A190="",W$3=""),"",IF(AND($J190&lt;&gt;"",$K190&lt;&gt;"",$J190=$K190,$J190&gt;=W$3,$J190&lt;=IF(param_mode_affichage="mois",EOMONTH(W$3,0),W$3+6)),"◆",""))</f>
      </c>
      <c r="X190" s="26">
        <f>IF(OR($A190="",X$3=""),"",IF(AND($J190&lt;&gt;"",$K190&lt;&gt;"",$J190=$K190,$J190&gt;=X$3,$J190&lt;=IF(param_mode_affichage="mois",EOMONTH(X$3,0),X$3+6)),"◆",""))</f>
      </c>
      <c r="Y190" s="26">
        <f>IF(OR($A190="",Y$3=""),"",IF(AND($J190&lt;&gt;"",$K190&lt;&gt;"",$J190=$K190,$J190&gt;=Y$3,$J190&lt;=IF(param_mode_affichage="mois",EOMONTH(Y$3,0),Y$3+6)),"◆",""))</f>
      </c>
      <c r="Z190" s="26">
        <f>IF(OR($A190="",Z$3=""),"",IF(AND($J190&lt;&gt;"",$K190&lt;&gt;"",$J190=$K190,$J190&gt;=Z$3,$J190&lt;=IF(param_mode_affichage="mois",EOMONTH(Z$3,0),Z$3+6)),"◆",""))</f>
      </c>
      <c r="AA190" s="26">
        <f>IF(OR($A190="",AA$3=""),"",IF(AND($J190&lt;&gt;"",$K190&lt;&gt;"",$J190=$K190,$J190&gt;=AA$3,$J190&lt;=IF(param_mode_affichage="mois",EOMONTH(AA$3,0),AA$3+6)),"◆",""))</f>
      </c>
      <c r="AB190" s="26">
        <f>IF(OR($A190="",AB$3=""),"",IF(AND($J190&lt;&gt;"",$K190&lt;&gt;"",$J190=$K190,$J190&gt;=AB$3,$J190&lt;=IF(param_mode_affichage="mois",EOMONTH(AB$3,0),AB$3+6)),"◆",""))</f>
      </c>
      <c r="AC190" s="26">
        <f>IF(OR($A190="",AC$3=""),"",IF(AND($J190&lt;&gt;"",$K190&lt;&gt;"",$J190=$K190,$J190&gt;=AC$3,$J190&lt;=IF(param_mode_affichage="mois",EOMONTH(AC$3,0),AC$3+6)),"◆",""))</f>
      </c>
      <c r="AD190" s="26">
        <f>IF(OR($A190="",AD$3=""),"",IF(AND($J190&lt;&gt;"",$K190&lt;&gt;"",$J190=$K190,$J190&gt;=AD$3,$J190&lt;=IF(param_mode_affichage="mois",EOMONTH(AD$3,0),AD$3+6)),"◆",""))</f>
      </c>
      <c r="AE190" s="26">
        <f>IF(OR($A190="",AE$3=""),"",IF(AND($J190&lt;&gt;"",$K190&lt;&gt;"",$J190=$K190,$J190&gt;=AE$3,$J190&lt;=IF(param_mode_affichage="mois",EOMONTH(AE$3,0),AE$3+6)),"◆",""))</f>
      </c>
      <c r="AF190" s="26">
        <f>IF(OR($A190="",AF$3=""),"",IF(AND($J190&lt;&gt;"",$K190&lt;&gt;"",$J190=$K190,$J190&gt;=AF$3,$J190&lt;=IF(param_mode_affichage="mois",EOMONTH(AF$3,0),AF$3+6)),"◆",""))</f>
      </c>
      <c r="AG190" s="26">
        <f>IF(OR($A190="",AG$3=""),"",IF(AND($J190&lt;&gt;"",$K190&lt;&gt;"",$J190=$K190,$J190&gt;=AG$3,$J190&lt;=IF(param_mode_affichage="mois",EOMONTH(AG$3,0),AG$3+6)),"◆",""))</f>
      </c>
      <c r="AH190" s="26">
        <f>IF(OR($A190="",AH$3=""),"",IF(AND($J190&lt;&gt;"",$K190&lt;&gt;"",$J190=$K190,$J190&gt;=AH$3,$J190&lt;=IF(param_mode_affichage="mois",EOMONTH(AH$3,0),AH$3+6)),"◆",""))</f>
      </c>
      <c r="AI190" s="26">
        <f>IF(OR($A190="",AI$3=""),"",IF(AND($J190&lt;&gt;"",$K190&lt;&gt;"",$J190=$K190,$J190&gt;=AI$3,$J190&lt;=IF(param_mode_affichage="mois",EOMONTH(AI$3,0),AI$3+6)),"◆",""))</f>
      </c>
      <c r="AJ190" s="26">
        <f>IF(OR($A190="",AJ$3=""),"",IF(AND($J190&lt;&gt;"",$K190&lt;&gt;"",$J190=$K190,$J190&gt;=AJ$3,$J190&lt;=IF(param_mode_affichage="mois",EOMONTH(AJ$3,0),AJ$3+6)),"◆",""))</f>
      </c>
      <c r="AK190" s="26">
        <f>IF(OR($A190="",AK$3=""),"",IF(AND($J190&lt;&gt;"",$K190&lt;&gt;"",$J190=$K190,$J190&gt;=AK$3,$J190&lt;=IF(param_mode_affichage="mois",EOMONTH(AK$3,0),AK$3+6)),"◆",""))</f>
      </c>
      <c r="AL190" s="26">
        <f>IF(OR($A190="",AL$3=""),"",IF(AND($J190&lt;&gt;"",$K190&lt;&gt;"",$J190=$K190,$J190&gt;=AL$3,$J190&lt;=IF(param_mode_affichage="mois",EOMONTH(AL$3,0),AL$3+6)),"◆",""))</f>
      </c>
      <c r="AM190" s="26">
        <f>IF(OR($A190="",AM$3=""),"",IF(AND($J190&lt;&gt;"",$K190&lt;&gt;"",$J190=$K190,$J190&gt;=AM$3,$J190&lt;=IF(param_mode_affichage="mois",EOMONTH(AM$3,0),AM$3+6)),"◆",""))</f>
      </c>
      <c r="AN190" s="26">
        <f>IF(OR($A190="",AN$3=""),"",IF(AND($J190&lt;&gt;"",$K190&lt;&gt;"",$J190=$K190,$J190&gt;=AN$3,$J190&lt;=IF(param_mode_affichage="mois",EOMONTH(AN$3,0),AN$3+6)),"◆",""))</f>
      </c>
      <c r="AO190" s="26">
        <f>IF(OR($A190="",AO$3=""),"",IF(AND($J190&lt;&gt;"",$K190&lt;&gt;"",$J190=$K190,$J190&gt;=AO$3,$J190&lt;=IF(param_mode_affichage="mois",EOMONTH(AO$3,0),AO$3+6)),"◆",""))</f>
      </c>
      <c r="AP190" s="26">
        <f>IF(OR($A190="",AP$3=""),"",IF(AND($J190&lt;&gt;"",$K190&lt;&gt;"",$J190=$K190,$J190&gt;=AP$3,$J190&lt;=IF(param_mode_affichage="mois",EOMONTH(AP$3,0),AP$3+6)),"◆",""))</f>
      </c>
      <c r="AQ190" s="26">
        <f>IF(OR($A190="",AQ$3=""),"",IF(AND($J190&lt;&gt;"",$K190&lt;&gt;"",$J190=$K190,$J190&gt;=AQ$3,$J190&lt;=IF(param_mode_affichage="mois",EOMONTH(AQ$3,0),AQ$3+6)),"◆",""))</f>
      </c>
      <c r="AR190" s="26">
        <f>IF(OR($A190="",AR$3=""),"",IF(AND($J190&lt;&gt;"",$K190&lt;&gt;"",$J190=$K190,$J190&gt;=AR$3,$J190&lt;=IF(param_mode_affichage="mois",EOMONTH(AR$3,0),AR$3+6)),"◆",""))</f>
      </c>
      <c r="AS190" s="26">
        <f>IF(OR($A190="",AS$3=""),"",IF(AND($J190&lt;&gt;"",$K190&lt;&gt;"",$J190=$K190,$J190&gt;=AS$3,$J190&lt;=IF(param_mode_affichage="mois",EOMONTH(AS$3,0),AS$3+6)),"◆",""))</f>
      </c>
      <c r="AT190" s="26">
        <f>IF(OR($A190="",AT$3=""),"",IF(AND($J190&lt;&gt;"",$K190&lt;&gt;"",$J190=$K190,$J190&gt;=AT$3,$J190&lt;=IF(param_mode_affichage="mois",EOMONTH(AT$3,0),AT$3+6)),"◆",""))</f>
      </c>
      <c r="AU190" s="26">
        <f>IF(OR($A190="",AU$3=""),"",IF(AND($J190&lt;&gt;"",$K190&lt;&gt;"",$J190=$K190,$J190&gt;=AU$3,$J190&lt;=IF(param_mode_affichage="mois",EOMONTH(AU$3,0),AU$3+6)),"◆",""))</f>
      </c>
      <c r="AV190" s="26">
        <f>IF(OR($A190="",AV$3=""),"",IF(AND($J190&lt;&gt;"",$K190&lt;&gt;"",$J190=$K190,$J190&gt;=AV$3,$J190&lt;=IF(param_mode_affichage="mois",EOMONTH(AV$3,0),AV$3+6)),"◆",""))</f>
      </c>
      <c r="AW190" s="26">
        <f>IF(OR($A190="",AW$3=""),"",IF(AND($J190&lt;&gt;"",$K190&lt;&gt;"",$J190=$K190,$J190&gt;=AW$3,$J190&lt;=IF(param_mode_affichage="mois",EOMONTH(AW$3,0),AW$3+6)),"◆",""))</f>
      </c>
      <c r="AX190" s="26">
        <f>IF(OR($A190="",AX$3=""),"",IF(AND($J190&lt;&gt;"",$K190&lt;&gt;"",$J190=$K190,$J190&gt;=AX$3,$J190&lt;=IF(param_mode_affichage="mois",EOMONTH(AX$3,0),AX$3+6)),"◆",""))</f>
      </c>
      <c r="AY190" s="26">
        <f>IF(OR($A190="",AY$3=""),"",IF(AND($J190&lt;&gt;"",$K190&lt;&gt;"",$J190=$K190,$J190&gt;=AY$3,$J190&lt;=IF(param_mode_affichage="mois",EOMONTH(AY$3,0),AY$3+6)),"◆",""))</f>
      </c>
      <c r="AZ190" s="26">
        <f>IF(OR($A190="",AZ$3=""),"",IF(AND($J190&lt;&gt;"",$K190&lt;&gt;"",$J190=$K190,$J190&gt;=AZ$3,$J190&lt;=IF(param_mode_affichage="mois",EOMONTH(AZ$3,0),AZ$3+6)),"◆",""))</f>
      </c>
      <c r="BA190" s="26">
        <f>IF(OR($A190="",BA$3=""),"",IF(AND($J190&lt;&gt;"",$K190&lt;&gt;"",$J190=$K190,$J190&gt;=BA$3,$J190&lt;=IF(param_mode_affichage="mois",EOMONTH(BA$3,0),BA$3+6)),"◆",""))</f>
      </c>
      <c r="BB190" s="26">
        <f>IF(OR($A190="",BB$3=""),"",IF(AND($J190&lt;&gt;"",$K190&lt;&gt;"",$J190=$K190,$J190&gt;=BB$3,$J190&lt;=IF(param_mode_affichage="mois",EOMONTH(BB$3,0),BB$3+6)),"◆",""))</f>
      </c>
      <c r="BC190" s="26">
        <f>IF(OR($A190="",BC$3=""),"",IF(AND($J190&lt;&gt;"",$K190&lt;&gt;"",$J190=$K190,$J190&gt;=BC$3,$J190&lt;=IF(param_mode_affichage="mois",EOMONTH(BC$3,0),BC$3+6)),"◆",""))</f>
      </c>
      <c r="BD190" s="26">
        <f>IF(OR($A190="",BD$3=""),"",IF(AND($J190&lt;&gt;"",$K190&lt;&gt;"",$J190=$K190,$J190&gt;=BD$3,$J190&lt;=IF(param_mode_affichage="mois",EOMONTH(BD$3,0),BD$3+6)),"◆",""))</f>
      </c>
      <c r="BE190" s="26">
        <f>IF(OR($A190="",BE$3=""),"",IF(AND($J190&lt;&gt;"",$K190&lt;&gt;"",$J190=$K190,$J190&gt;=BE$3,$J190&lt;=IF(param_mode_affichage="mois",EOMONTH(BE$3,0),BE$3+6)),"◆",""))</f>
      </c>
      <c r="BF190" s="26">
        <f>IF(OR($A190="",BF$3=""),"",IF(AND($J190&lt;&gt;"",$K190&lt;&gt;"",$J190=$K190,$J190&gt;=BF$3,$J190&lt;=IF(param_mode_affichage="mois",EOMONTH(BF$3,0),BF$3+6)),"◆",""))</f>
      </c>
      <c r="BG190" s="26">
        <f>IF(OR($A190="",BG$3=""),"",IF(AND($J190&lt;&gt;"",$K190&lt;&gt;"",$J190=$K190,$J190&gt;=BG$3,$J190&lt;=IF(param_mode_affichage="mois",EOMONTH(BG$3,0),BG$3+6)),"◆",""))</f>
      </c>
      <c r="BH190" s="26">
        <f>IF(OR($A190="",BH$3=""),"",IF(AND($J190&lt;&gt;"",$K190&lt;&gt;"",$J190=$K190,$J190&gt;=BH$3,$J190&lt;=IF(param_mode_affichage="mois",EOMONTH(BH$3,0),BH$3+6)),"◆",""))</f>
      </c>
      <c r="BI190" s="26">
        <f>IF(OR($A190="",BI$3=""),"",IF(AND($J190&lt;&gt;"",$K190&lt;&gt;"",$J190=$K190,$J190&gt;=BI$3,$J190&lt;=IF(param_mode_affichage="mois",EOMONTH(BI$3,0),BI$3+6)),"◆",""))</f>
      </c>
      <c r="BJ190" s="26">
        <f>IF(OR($A190="",BJ$3=""),"",IF(AND($J190&lt;&gt;"",$K190&lt;&gt;"",$J190=$K190,$J190&gt;=BJ$3,$J190&lt;=IF(param_mode_affichage="mois",EOMONTH(BJ$3,0),BJ$3+6)),"◆",""))</f>
      </c>
      <c r="BK190" s="26">
        <f>IF(OR($A190="",BK$3=""),"",IF(AND($J190&lt;&gt;"",$K190&lt;&gt;"",$J190=$K190,$J190&gt;=BK$3,$J190&lt;=IF(param_mode_affichage="mois",EOMONTH(BK$3,0),BK$3+6)),"◆",""))</f>
      </c>
      <c r="BL190" s="26">
        <f>IF(OR($A190="",BL$3=""),"",IF(AND($J190&lt;&gt;"",$K190&lt;&gt;"",$J190=$K190,$J190&gt;=BL$3,$J190&lt;=IF(param_mode_affichage="mois",EOMONTH(BL$3,0),BL$3+6)),"◆",""))</f>
      </c>
    </row>
    <row r="191" spans="1:64" x14ac:dyDescent="0.25">
      <c r="A191" s="23">
        <f>IFERROR(INDEX(tblTasks[ID],ROW()-4),"")</f>
      </c>
      <c r="B191" s="24">
        <f>IF($A191="","",INDEX(tblTasks[Sujet],ROW()-4))</f>
      </c>
      <c r="C191" s="23">
        <f>IF($A191="","",INDEX(tblTasks[Responsable],ROW()-4))</f>
      </c>
      <c r="D191" s="23">
        <f>IF($A191="","",INDEX(tblTasks[Statut],ROW()-4))</f>
      </c>
      <c r="E191" s="23">
        <f>IF($A191="","",INDEX(tblTasks[Depend_de],ROW()-4))</f>
      </c>
      <c r="F191" s="23">
        <f>IF($A191="","",INDEX(tblTasks[Blocage],ROW()-4))</f>
      </c>
      <c r="G191" s="23">
        <f>IF($A191="","",INDEX(tblTasks[Niveau_criticite],ROW()-4))</f>
      </c>
      <c r="H191" s="23">
        <f>IF($A191="","",INDEX(tblTasks[Goulot],ROW()-4))</f>
      </c>
      <c r="I191" s="23">
        <f>IF($A191="","",IF(LOWER($F191)="oui","non",IF($E191="","oui",IFERROR(IF(LOWER(INDEX(tblTasks[Statut],MATCH($E191,tblTasks[ID],0)))="clos","oui","non"),"non"))))</f>
      </c>
      <c r="J191" s="25">
        <f>IF($A191="","",INDEX(tblTasks[Date_debut_prevue],ROW()-4))</f>
      </c>
      <c r="K191" s="25">
        <f>IF($A191="","",INDEX(tblTasks[Date_fin_prevue],ROW()-4))</f>
      </c>
      <c r="L191" s="23">
        <f>IF($A191="","",INDEX(tblTasks[Irreversibilite],ROW()-4))</f>
      </c>
      <c r="M191" s="26">
        <f>IF(OR($A191="",M$3=""),"",IF(AND($J191&lt;&gt;"",$K191&lt;&gt;"",$J191=$K191,$J191&gt;=M$3,$J191&lt;=IF(param_mode_affichage="mois",EOMONTH(M$3,0),M$3+6)),"◆",""))</f>
      </c>
      <c r="N191" s="26">
        <f>IF(OR($A191="",N$3=""),"",IF(AND($J191&lt;&gt;"",$K191&lt;&gt;"",$J191=$K191,$J191&gt;=N$3,$J191&lt;=IF(param_mode_affichage="mois",EOMONTH(N$3,0),N$3+6)),"◆",""))</f>
      </c>
      <c r="O191" s="26">
        <f>IF(OR($A191="",O$3=""),"",IF(AND($J191&lt;&gt;"",$K191&lt;&gt;"",$J191=$K191,$J191&gt;=O$3,$J191&lt;=IF(param_mode_affichage="mois",EOMONTH(O$3,0),O$3+6)),"◆",""))</f>
      </c>
      <c r="P191" s="26">
        <f>IF(OR($A191="",P$3=""),"",IF(AND($J191&lt;&gt;"",$K191&lt;&gt;"",$J191=$K191,$J191&gt;=P$3,$J191&lt;=IF(param_mode_affichage="mois",EOMONTH(P$3,0),P$3+6)),"◆",""))</f>
      </c>
      <c r="Q191" s="26">
        <f>IF(OR($A191="",Q$3=""),"",IF(AND($J191&lt;&gt;"",$K191&lt;&gt;"",$J191=$K191,$J191&gt;=Q$3,$J191&lt;=IF(param_mode_affichage="mois",EOMONTH(Q$3,0),Q$3+6)),"◆",""))</f>
      </c>
      <c r="R191" s="26">
        <f>IF(OR($A191="",R$3=""),"",IF(AND($J191&lt;&gt;"",$K191&lt;&gt;"",$J191=$K191,$J191&gt;=R$3,$J191&lt;=IF(param_mode_affichage="mois",EOMONTH(R$3,0),R$3+6)),"◆",""))</f>
      </c>
      <c r="S191" s="26">
        <f>IF(OR($A191="",S$3=""),"",IF(AND($J191&lt;&gt;"",$K191&lt;&gt;"",$J191=$K191,$J191&gt;=S$3,$J191&lt;=IF(param_mode_affichage="mois",EOMONTH(S$3,0),S$3+6)),"◆",""))</f>
      </c>
      <c r="T191" s="26">
        <f>IF(OR($A191="",T$3=""),"",IF(AND($J191&lt;&gt;"",$K191&lt;&gt;"",$J191=$K191,$J191&gt;=T$3,$J191&lt;=IF(param_mode_affichage="mois",EOMONTH(T$3,0),T$3+6)),"◆",""))</f>
      </c>
      <c r="U191" s="26">
        <f>IF(OR($A191="",U$3=""),"",IF(AND($J191&lt;&gt;"",$K191&lt;&gt;"",$J191=$K191,$J191&gt;=U$3,$J191&lt;=IF(param_mode_affichage="mois",EOMONTH(U$3,0),U$3+6)),"◆",""))</f>
      </c>
      <c r="V191" s="26">
        <f>IF(OR($A191="",V$3=""),"",IF(AND($J191&lt;&gt;"",$K191&lt;&gt;"",$J191=$K191,$J191&gt;=V$3,$J191&lt;=IF(param_mode_affichage="mois",EOMONTH(V$3,0),V$3+6)),"◆",""))</f>
      </c>
      <c r="W191" s="26">
        <f>IF(OR($A191="",W$3=""),"",IF(AND($J191&lt;&gt;"",$K191&lt;&gt;"",$J191=$K191,$J191&gt;=W$3,$J191&lt;=IF(param_mode_affichage="mois",EOMONTH(W$3,0),W$3+6)),"◆",""))</f>
      </c>
      <c r="X191" s="26">
        <f>IF(OR($A191="",X$3=""),"",IF(AND($J191&lt;&gt;"",$K191&lt;&gt;"",$J191=$K191,$J191&gt;=X$3,$J191&lt;=IF(param_mode_affichage="mois",EOMONTH(X$3,0),X$3+6)),"◆",""))</f>
      </c>
      <c r="Y191" s="26">
        <f>IF(OR($A191="",Y$3=""),"",IF(AND($J191&lt;&gt;"",$K191&lt;&gt;"",$J191=$K191,$J191&gt;=Y$3,$J191&lt;=IF(param_mode_affichage="mois",EOMONTH(Y$3,0),Y$3+6)),"◆",""))</f>
      </c>
      <c r="Z191" s="26">
        <f>IF(OR($A191="",Z$3=""),"",IF(AND($J191&lt;&gt;"",$K191&lt;&gt;"",$J191=$K191,$J191&gt;=Z$3,$J191&lt;=IF(param_mode_affichage="mois",EOMONTH(Z$3,0),Z$3+6)),"◆",""))</f>
      </c>
      <c r="AA191" s="26">
        <f>IF(OR($A191="",AA$3=""),"",IF(AND($J191&lt;&gt;"",$K191&lt;&gt;"",$J191=$K191,$J191&gt;=AA$3,$J191&lt;=IF(param_mode_affichage="mois",EOMONTH(AA$3,0),AA$3+6)),"◆",""))</f>
      </c>
      <c r="AB191" s="26">
        <f>IF(OR($A191="",AB$3=""),"",IF(AND($J191&lt;&gt;"",$K191&lt;&gt;"",$J191=$K191,$J191&gt;=AB$3,$J191&lt;=IF(param_mode_affichage="mois",EOMONTH(AB$3,0),AB$3+6)),"◆",""))</f>
      </c>
      <c r="AC191" s="26">
        <f>IF(OR($A191="",AC$3=""),"",IF(AND($J191&lt;&gt;"",$K191&lt;&gt;"",$J191=$K191,$J191&gt;=AC$3,$J191&lt;=IF(param_mode_affichage="mois",EOMONTH(AC$3,0),AC$3+6)),"◆",""))</f>
      </c>
      <c r="AD191" s="26">
        <f>IF(OR($A191="",AD$3=""),"",IF(AND($J191&lt;&gt;"",$K191&lt;&gt;"",$J191=$K191,$J191&gt;=AD$3,$J191&lt;=IF(param_mode_affichage="mois",EOMONTH(AD$3,0),AD$3+6)),"◆",""))</f>
      </c>
      <c r="AE191" s="26">
        <f>IF(OR($A191="",AE$3=""),"",IF(AND($J191&lt;&gt;"",$K191&lt;&gt;"",$J191=$K191,$J191&gt;=AE$3,$J191&lt;=IF(param_mode_affichage="mois",EOMONTH(AE$3,0),AE$3+6)),"◆",""))</f>
      </c>
      <c r="AF191" s="26">
        <f>IF(OR($A191="",AF$3=""),"",IF(AND($J191&lt;&gt;"",$K191&lt;&gt;"",$J191=$K191,$J191&gt;=AF$3,$J191&lt;=IF(param_mode_affichage="mois",EOMONTH(AF$3,0),AF$3+6)),"◆",""))</f>
      </c>
      <c r="AG191" s="26">
        <f>IF(OR($A191="",AG$3=""),"",IF(AND($J191&lt;&gt;"",$K191&lt;&gt;"",$J191=$K191,$J191&gt;=AG$3,$J191&lt;=IF(param_mode_affichage="mois",EOMONTH(AG$3,0),AG$3+6)),"◆",""))</f>
      </c>
      <c r="AH191" s="26">
        <f>IF(OR($A191="",AH$3=""),"",IF(AND($J191&lt;&gt;"",$K191&lt;&gt;"",$J191=$K191,$J191&gt;=AH$3,$J191&lt;=IF(param_mode_affichage="mois",EOMONTH(AH$3,0),AH$3+6)),"◆",""))</f>
      </c>
      <c r="AI191" s="26">
        <f>IF(OR($A191="",AI$3=""),"",IF(AND($J191&lt;&gt;"",$K191&lt;&gt;"",$J191=$K191,$J191&gt;=AI$3,$J191&lt;=IF(param_mode_affichage="mois",EOMONTH(AI$3,0),AI$3+6)),"◆",""))</f>
      </c>
      <c r="AJ191" s="26">
        <f>IF(OR($A191="",AJ$3=""),"",IF(AND($J191&lt;&gt;"",$K191&lt;&gt;"",$J191=$K191,$J191&gt;=AJ$3,$J191&lt;=IF(param_mode_affichage="mois",EOMONTH(AJ$3,0),AJ$3+6)),"◆",""))</f>
      </c>
      <c r="AK191" s="26">
        <f>IF(OR($A191="",AK$3=""),"",IF(AND($J191&lt;&gt;"",$K191&lt;&gt;"",$J191=$K191,$J191&gt;=AK$3,$J191&lt;=IF(param_mode_affichage="mois",EOMONTH(AK$3,0),AK$3+6)),"◆",""))</f>
      </c>
      <c r="AL191" s="26">
        <f>IF(OR($A191="",AL$3=""),"",IF(AND($J191&lt;&gt;"",$K191&lt;&gt;"",$J191=$K191,$J191&gt;=AL$3,$J191&lt;=IF(param_mode_affichage="mois",EOMONTH(AL$3,0),AL$3+6)),"◆",""))</f>
      </c>
      <c r="AM191" s="26">
        <f>IF(OR($A191="",AM$3=""),"",IF(AND($J191&lt;&gt;"",$K191&lt;&gt;"",$J191=$K191,$J191&gt;=AM$3,$J191&lt;=IF(param_mode_affichage="mois",EOMONTH(AM$3,0),AM$3+6)),"◆",""))</f>
      </c>
      <c r="AN191" s="26">
        <f>IF(OR($A191="",AN$3=""),"",IF(AND($J191&lt;&gt;"",$K191&lt;&gt;"",$J191=$K191,$J191&gt;=AN$3,$J191&lt;=IF(param_mode_affichage="mois",EOMONTH(AN$3,0),AN$3+6)),"◆",""))</f>
      </c>
      <c r="AO191" s="26">
        <f>IF(OR($A191="",AO$3=""),"",IF(AND($J191&lt;&gt;"",$K191&lt;&gt;"",$J191=$K191,$J191&gt;=AO$3,$J191&lt;=IF(param_mode_affichage="mois",EOMONTH(AO$3,0),AO$3+6)),"◆",""))</f>
      </c>
      <c r="AP191" s="26">
        <f>IF(OR($A191="",AP$3=""),"",IF(AND($J191&lt;&gt;"",$K191&lt;&gt;"",$J191=$K191,$J191&gt;=AP$3,$J191&lt;=IF(param_mode_affichage="mois",EOMONTH(AP$3,0),AP$3+6)),"◆",""))</f>
      </c>
      <c r="AQ191" s="26">
        <f>IF(OR($A191="",AQ$3=""),"",IF(AND($J191&lt;&gt;"",$K191&lt;&gt;"",$J191=$K191,$J191&gt;=AQ$3,$J191&lt;=IF(param_mode_affichage="mois",EOMONTH(AQ$3,0),AQ$3+6)),"◆",""))</f>
      </c>
      <c r="AR191" s="26">
        <f>IF(OR($A191="",AR$3=""),"",IF(AND($J191&lt;&gt;"",$K191&lt;&gt;"",$J191=$K191,$J191&gt;=AR$3,$J191&lt;=IF(param_mode_affichage="mois",EOMONTH(AR$3,0),AR$3+6)),"◆",""))</f>
      </c>
      <c r="AS191" s="26">
        <f>IF(OR($A191="",AS$3=""),"",IF(AND($J191&lt;&gt;"",$K191&lt;&gt;"",$J191=$K191,$J191&gt;=AS$3,$J191&lt;=IF(param_mode_affichage="mois",EOMONTH(AS$3,0),AS$3+6)),"◆",""))</f>
      </c>
      <c r="AT191" s="26">
        <f>IF(OR($A191="",AT$3=""),"",IF(AND($J191&lt;&gt;"",$K191&lt;&gt;"",$J191=$K191,$J191&gt;=AT$3,$J191&lt;=IF(param_mode_affichage="mois",EOMONTH(AT$3,0),AT$3+6)),"◆",""))</f>
      </c>
      <c r="AU191" s="26">
        <f>IF(OR($A191="",AU$3=""),"",IF(AND($J191&lt;&gt;"",$K191&lt;&gt;"",$J191=$K191,$J191&gt;=AU$3,$J191&lt;=IF(param_mode_affichage="mois",EOMONTH(AU$3,0),AU$3+6)),"◆",""))</f>
      </c>
      <c r="AV191" s="26">
        <f>IF(OR($A191="",AV$3=""),"",IF(AND($J191&lt;&gt;"",$K191&lt;&gt;"",$J191=$K191,$J191&gt;=AV$3,$J191&lt;=IF(param_mode_affichage="mois",EOMONTH(AV$3,0),AV$3+6)),"◆",""))</f>
      </c>
      <c r="AW191" s="26">
        <f>IF(OR($A191="",AW$3=""),"",IF(AND($J191&lt;&gt;"",$K191&lt;&gt;"",$J191=$K191,$J191&gt;=AW$3,$J191&lt;=IF(param_mode_affichage="mois",EOMONTH(AW$3,0),AW$3+6)),"◆",""))</f>
      </c>
      <c r="AX191" s="26">
        <f>IF(OR($A191="",AX$3=""),"",IF(AND($J191&lt;&gt;"",$K191&lt;&gt;"",$J191=$K191,$J191&gt;=AX$3,$J191&lt;=IF(param_mode_affichage="mois",EOMONTH(AX$3,0),AX$3+6)),"◆",""))</f>
      </c>
      <c r="AY191" s="26">
        <f>IF(OR($A191="",AY$3=""),"",IF(AND($J191&lt;&gt;"",$K191&lt;&gt;"",$J191=$K191,$J191&gt;=AY$3,$J191&lt;=IF(param_mode_affichage="mois",EOMONTH(AY$3,0),AY$3+6)),"◆",""))</f>
      </c>
      <c r="AZ191" s="26">
        <f>IF(OR($A191="",AZ$3=""),"",IF(AND($J191&lt;&gt;"",$K191&lt;&gt;"",$J191=$K191,$J191&gt;=AZ$3,$J191&lt;=IF(param_mode_affichage="mois",EOMONTH(AZ$3,0),AZ$3+6)),"◆",""))</f>
      </c>
      <c r="BA191" s="26">
        <f>IF(OR($A191="",BA$3=""),"",IF(AND($J191&lt;&gt;"",$K191&lt;&gt;"",$J191=$K191,$J191&gt;=BA$3,$J191&lt;=IF(param_mode_affichage="mois",EOMONTH(BA$3,0),BA$3+6)),"◆",""))</f>
      </c>
      <c r="BB191" s="26">
        <f>IF(OR($A191="",BB$3=""),"",IF(AND($J191&lt;&gt;"",$K191&lt;&gt;"",$J191=$K191,$J191&gt;=BB$3,$J191&lt;=IF(param_mode_affichage="mois",EOMONTH(BB$3,0),BB$3+6)),"◆",""))</f>
      </c>
      <c r="BC191" s="26">
        <f>IF(OR($A191="",BC$3=""),"",IF(AND($J191&lt;&gt;"",$K191&lt;&gt;"",$J191=$K191,$J191&gt;=BC$3,$J191&lt;=IF(param_mode_affichage="mois",EOMONTH(BC$3,0),BC$3+6)),"◆",""))</f>
      </c>
      <c r="BD191" s="26">
        <f>IF(OR($A191="",BD$3=""),"",IF(AND($J191&lt;&gt;"",$K191&lt;&gt;"",$J191=$K191,$J191&gt;=BD$3,$J191&lt;=IF(param_mode_affichage="mois",EOMONTH(BD$3,0),BD$3+6)),"◆",""))</f>
      </c>
      <c r="BE191" s="26">
        <f>IF(OR($A191="",BE$3=""),"",IF(AND($J191&lt;&gt;"",$K191&lt;&gt;"",$J191=$K191,$J191&gt;=BE$3,$J191&lt;=IF(param_mode_affichage="mois",EOMONTH(BE$3,0),BE$3+6)),"◆",""))</f>
      </c>
      <c r="BF191" s="26">
        <f>IF(OR($A191="",BF$3=""),"",IF(AND($J191&lt;&gt;"",$K191&lt;&gt;"",$J191=$K191,$J191&gt;=BF$3,$J191&lt;=IF(param_mode_affichage="mois",EOMONTH(BF$3,0),BF$3+6)),"◆",""))</f>
      </c>
      <c r="BG191" s="26">
        <f>IF(OR($A191="",BG$3=""),"",IF(AND($J191&lt;&gt;"",$K191&lt;&gt;"",$J191=$K191,$J191&gt;=BG$3,$J191&lt;=IF(param_mode_affichage="mois",EOMONTH(BG$3,0),BG$3+6)),"◆",""))</f>
      </c>
      <c r="BH191" s="26">
        <f>IF(OR($A191="",BH$3=""),"",IF(AND($J191&lt;&gt;"",$K191&lt;&gt;"",$J191=$K191,$J191&gt;=BH$3,$J191&lt;=IF(param_mode_affichage="mois",EOMONTH(BH$3,0),BH$3+6)),"◆",""))</f>
      </c>
      <c r="BI191" s="26">
        <f>IF(OR($A191="",BI$3=""),"",IF(AND($J191&lt;&gt;"",$K191&lt;&gt;"",$J191=$K191,$J191&gt;=BI$3,$J191&lt;=IF(param_mode_affichage="mois",EOMONTH(BI$3,0),BI$3+6)),"◆",""))</f>
      </c>
      <c r="BJ191" s="26">
        <f>IF(OR($A191="",BJ$3=""),"",IF(AND($J191&lt;&gt;"",$K191&lt;&gt;"",$J191=$K191,$J191&gt;=BJ$3,$J191&lt;=IF(param_mode_affichage="mois",EOMONTH(BJ$3,0),BJ$3+6)),"◆",""))</f>
      </c>
      <c r="BK191" s="26">
        <f>IF(OR($A191="",BK$3=""),"",IF(AND($J191&lt;&gt;"",$K191&lt;&gt;"",$J191=$K191,$J191&gt;=BK$3,$J191&lt;=IF(param_mode_affichage="mois",EOMONTH(BK$3,0),BK$3+6)),"◆",""))</f>
      </c>
      <c r="BL191" s="26">
        <f>IF(OR($A191="",BL$3=""),"",IF(AND($J191&lt;&gt;"",$K191&lt;&gt;"",$J191=$K191,$J191&gt;=BL$3,$J191&lt;=IF(param_mode_affichage="mois",EOMONTH(BL$3,0),BL$3+6)),"◆",""))</f>
      </c>
    </row>
    <row r="192" spans="1:64" x14ac:dyDescent="0.25">
      <c r="A192" s="23">
        <f>IFERROR(INDEX(tblTasks[ID],ROW()-4),"")</f>
      </c>
      <c r="B192" s="24">
        <f>IF($A192="","",INDEX(tblTasks[Sujet],ROW()-4))</f>
      </c>
      <c r="C192" s="23">
        <f>IF($A192="","",INDEX(tblTasks[Responsable],ROW()-4))</f>
      </c>
      <c r="D192" s="23">
        <f>IF($A192="","",INDEX(tblTasks[Statut],ROW()-4))</f>
      </c>
      <c r="E192" s="23">
        <f>IF($A192="","",INDEX(tblTasks[Depend_de],ROW()-4))</f>
      </c>
      <c r="F192" s="23">
        <f>IF($A192="","",INDEX(tblTasks[Blocage],ROW()-4))</f>
      </c>
      <c r="G192" s="23">
        <f>IF($A192="","",INDEX(tblTasks[Niveau_criticite],ROW()-4))</f>
      </c>
      <c r="H192" s="23">
        <f>IF($A192="","",INDEX(tblTasks[Goulot],ROW()-4))</f>
      </c>
      <c r="I192" s="23">
        <f>IF($A192="","",IF(LOWER($F192)="oui","non",IF($E192="","oui",IFERROR(IF(LOWER(INDEX(tblTasks[Statut],MATCH($E192,tblTasks[ID],0)))="clos","oui","non"),"non"))))</f>
      </c>
      <c r="J192" s="25">
        <f>IF($A192="","",INDEX(tblTasks[Date_debut_prevue],ROW()-4))</f>
      </c>
      <c r="K192" s="25">
        <f>IF($A192="","",INDEX(tblTasks[Date_fin_prevue],ROW()-4))</f>
      </c>
      <c r="L192" s="23">
        <f>IF($A192="","",INDEX(tblTasks[Irreversibilite],ROW()-4))</f>
      </c>
      <c r="M192" s="26">
        <f>IF(OR($A192="",M$3=""),"",IF(AND($J192&lt;&gt;"",$K192&lt;&gt;"",$J192=$K192,$J192&gt;=M$3,$J192&lt;=IF(param_mode_affichage="mois",EOMONTH(M$3,0),M$3+6)),"◆",""))</f>
      </c>
      <c r="N192" s="26">
        <f>IF(OR($A192="",N$3=""),"",IF(AND($J192&lt;&gt;"",$K192&lt;&gt;"",$J192=$K192,$J192&gt;=N$3,$J192&lt;=IF(param_mode_affichage="mois",EOMONTH(N$3,0),N$3+6)),"◆",""))</f>
      </c>
      <c r="O192" s="26">
        <f>IF(OR($A192="",O$3=""),"",IF(AND($J192&lt;&gt;"",$K192&lt;&gt;"",$J192=$K192,$J192&gt;=O$3,$J192&lt;=IF(param_mode_affichage="mois",EOMONTH(O$3,0),O$3+6)),"◆",""))</f>
      </c>
      <c r="P192" s="26">
        <f>IF(OR($A192="",P$3=""),"",IF(AND($J192&lt;&gt;"",$K192&lt;&gt;"",$J192=$K192,$J192&gt;=P$3,$J192&lt;=IF(param_mode_affichage="mois",EOMONTH(P$3,0),P$3+6)),"◆",""))</f>
      </c>
      <c r="Q192" s="26">
        <f>IF(OR($A192="",Q$3=""),"",IF(AND($J192&lt;&gt;"",$K192&lt;&gt;"",$J192=$K192,$J192&gt;=Q$3,$J192&lt;=IF(param_mode_affichage="mois",EOMONTH(Q$3,0),Q$3+6)),"◆",""))</f>
      </c>
      <c r="R192" s="26">
        <f>IF(OR($A192="",R$3=""),"",IF(AND($J192&lt;&gt;"",$K192&lt;&gt;"",$J192=$K192,$J192&gt;=R$3,$J192&lt;=IF(param_mode_affichage="mois",EOMONTH(R$3,0),R$3+6)),"◆",""))</f>
      </c>
      <c r="S192" s="26">
        <f>IF(OR($A192="",S$3=""),"",IF(AND($J192&lt;&gt;"",$K192&lt;&gt;"",$J192=$K192,$J192&gt;=S$3,$J192&lt;=IF(param_mode_affichage="mois",EOMONTH(S$3,0),S$3+6)),"◆",""))</f>
      </c>
      <c r="T192" s="26">
        <f>IF(OR($A192="",T$3=""),"",IF(AND($J192&lt;&gt;"",$K192&lt;&gt;"",$J192=$K192,$J192&gt;=T$3,$J192&lt;=IF(param_mode_affichage="mois",EOMONTH(T$3,0),T$3+6)),"◆",""))</f>
      </c>
      <c r="U192" s="26">
        <f>IF(OR($A192="",U$3=""),"",IF(AND($J192&lt;&gt;"",$K192&lt;&gt;"",$J192=$K192,$J192&gt;=U$3,$J192&lt;=IF(param_mode_affichage="mois",EOMONTH(U$3,0),U$3+6)),"◆",""))</f>
      </c>
      <c r="V192" s="26">
        <f>IF(OR($A192="",V$3=""),"",IF(AND($J192&lt;&gt;"",$K192&lt;&gt;"",$J192=$K192,$J192&gt;=V$3,$J192&lt;=IF(param_mode_affichage="mois",EOMONTH(V$3,0),V$3+6)),"◆",""))</f>
      </c>
      <c r="W192" s="26">
        <f>IF(OR($A192="",W$3=""),"",IF(AND($J192&lt;&gt;"",$K192&lt;&gt;"",$J192=$K192,$J192&gt;=W$3,$J192&lt;=IF(param_mode_affichage="mois",EOMONTH(W$3,0),W$3+6)),"◆",""))</f>
      </c>
      <c r="X192" s="26">
        <f>IF(OR($A192="",X$3=""),"",IF(AND($J192&lt;&gt;"",$K192&lt;&gt;"",$J192=$K192,$J192&gt;=X$3,$J192&lt;=IF(param_mode_affichage="mois",EOMONTH(X$3,0),X$3+6)),"◆",""))</f>
      </c>
      <c r="Y192" s="26">
        <f>IF(OR($A192="",Y$3=""),"",IF(AND($J192&lt;&gt;"",$K192&lt;&gt;"",$J192=$K192,$J192&gt;=Y$3,$J192&lt;=IF(param_mode_affichage="mois",EOMONTH(Y$3,0),Y$3+6)),"◆",""))</f>
      </c>
      <c r="Z192" s="26">
        <f>IF(OR($A192="",Z$3=""),"",IF(AND($J192&lt;&gt;"",$K192&lt;&gt;"",$J192=$K192,$J192&gt;=Z$3,$J192&lt;=IF(param_mode_affichage="mois",EOMONTH(Z$3,0),Z$3+6)),"◆",""))</f>
      </c>
      <c r="AA192" s="26">
        <f>IF(OR($A192="",AA$3=""),"",IF(AND($J192&lt;&gt;"",$K192&lt;&gt;"",$J192=$K192,$J192&gt;=AA$3,$J192&lt;=IF(param_mode_affichage="mois",EOMONTH(AA$3,0),AA$3+6)),"◆",""))</f>
      </c>
      <c r="AB192" s="26">
        <f>IF(OR($A192="",AB$3=""),"",IF(AND($J192&lt;&gt;"",$K192&lt;&gt;"",$J192=$K192,$J192&gt;=AB$3,$J192&lt;=IF(param_mode_affichage="mois",EOMONTH(AB$3,0),AB$3+6)),"◆",""))</f>
      </c>
      <c r="AC192" s="26">
        <f>IF(OR($A192="",AC$3=""),"",IF(AND($J192&lt;&gt;"",$K192&lt;&gt;"",$J192=$K192,$J192&gt;=AC$3,$J192&lt;=IF(param_mode_affichage="mois",EOMONTH(AC$3,0),AC$3+6)),"◆",""))</f>
      </c>
      <c r="AD192" s="26">
        <f>IF(OR($A192="",AD$3=""),"",IF(AND($J192&lt;&gt;"",$K192&lt;&gt;"",$J192=$K192,$J192&gt;=AD$3,$J192&lt;=IF(param_mode_affichage="mois",EOMONTH(AD$3,0),AD$3+6)),"◆",""))</f>
      </c>
      <c r="AE192" s="26">
        <f>IF(OR($A192="",AE$3=""),"",IF(AND($J192&lt;&gt;"",$K192&lt;&gt;"",$J192=$K192,$J192&gt;=AE$3,$J192&lt;=IF(param_mode_affichage="mois",EOMONTH(AE$3,0),AE$3+6)),"◆",""))</f>
      </c>
      <c r="AF192" s="26">
        <f>IF(OR($A192="",AF$3=""),"",IF(AND($J192&lt;&gt;"",$K192&lt;&gt;"",$J192=$K192,$J192&gt;=AF$3,$J192&lt;=IF(param_mode_affichage="mois",EOMONTH(AF$3,0),AF$3+6)),"◆",""))</f>
      </c>
      <c r="AG192" s="26">
        <f>IF(OR($A192="",AG$3=""),"",IF(AND($J192&lt;&gt;"",$K192&lt;&gt;"",$J192=$K192,$J192&gt;=AG$3,$J192&lt;=IF(param_mode_affichage="mois",EOMONTH(AG$3,0),AG$3+6)),"◆",""))</f>
      </c>
      <c r="AH192" s="26">
        <f>IF(OR($A192="",AH$3=""),"",IF(AND($J192&lt;&gt;"",$K192&lt;&gt;"",$J192=$K192,$J192&gt;=AH$3,$J192&lt;=IF(param_mode_affichage="mois",EOMONTH(AH$3,0),AH$3+6)),"◆",""))</f>
      </c>
      <c r="AI192" s="26">
        <f>IF(OR($A192="",AI$3=""),"",IF(AND($J192&lt;&gt;"",$K192&lt;&gt;"",$J192=$K192,$J192&gt;=AI$3,$J192&lt;=IF(param_mode_affichage="mois",EOMONTH(AI$3,0),AI$3+6)),"◆",""))</f>
      </c>
      <c r="AJ192" s="26">
        <f>IF(OR($A192="",AJ$3=""),"",IF(AND($J192&lt;&gt;"",$K192&lt;&gt;"",$J192=$K192,$J192&gt;=AJ$3,$J192&lt;=IF(param_mode_affichage="mois",EOMONTH(AJ$3,0),AJ$3+6)),"◆",""))</f>
      </c>
      <c r="AK192" s="26">
        <f>IF(OR($A192="",AK$3=""),"",IF(AND($J192&lt;&gt;"",$K192&lt;&gt;"",$J192=$K192,$J192&gt;=AK$3,$J192&lt;=IF(param_mode_affichage="mois",EOMONTH(AK$3,0),AK$3+6)),"◆",""))</f>
      </c>
      <c r="AL192" s="26">
        <f>IF(OR($A192="",AL$3=""),"",IF(AND($J192&lt;&gt;"",$K192&lt;&gt;"",$J192=$K192,$J192&gt;=AL$3,$J192&lt;=IF(param_mode_affichage="mois",EOMONTH(AL$3,0),AL$3+6)),"◆",""))</f>
      </c>
      <c r="AM192" s="26">
        <f>IF(OR($A192="",AM$3=""),"",IF(AND($J192&lt;&gt;"",$K192&lt;&gt;"",$J192=$K192,$J192&gt;=AM$3,$J192&lt;=IF(param_mode_affichage="mois",EOMONTH(AM$3,0),AM$3+6)),"◆",""))</f>
      </c>
      <c r="AN192" s="26">
        <f>IF(OR($A192="",AN$3=""),"",IF(AND($J192&lt;&gt;"",$K192&lt;&gt;"",$J192=$K192,$J192&gt;=AN$3,$J192&lt;=IF(param_mode_affichage="mois",EOMONTH(AN$3,0),AN$3+6)),"◆",""))</f>
      </c>
      <c r="AO192" s="26">
        <f>IF(OR($A192="",AO$3=""),"",IF(AND($J192&lt;&gt;"",$K192&lt;&gt;"",$J192=$K192,$J192&gt;=AO$3,$J192&lt;=IF(param_mode_affichage="mois",EOMONTH(AO$3,0),AO$3+6)),"◆",""))</f>
      </c>
      <c r="AP192" s="26">
        <f>IF(OR($A192="",AP$3=""),"",IF(AND($J192&lt;&gt;"",$K192&lt;&gt;"",$J192=$K192,$J192&gt;=AP$3,$J192&lt;=IF(param_mode_affichage="mois",EOMONTH(AP$3,0),AP$3+6)),"◆",""))</f>
      </c>
      <c r="AQ192" s="26">
        <f>IF(OR($A192="",AQ$3=""),"",IF(AND($J192&lt;&gt;"",$K192&lt;&gt;"",$J192=$K192,$J192&gt;=AQ$3,$J192&lt;=IF(param_mode_affichage="mois",EOMONTH(AQ$3,0),AQ$3+6)),"◆",""))</f>
      </c>
      <c r="AR192" s="26">
        <f>IF(OR($A192="",AR$3=""),"",IF(AND($J192&lt;&gt;"",$K192&lt;&gt;"",$J192=$K192,$J192&gt;=AR$3,$J192&lt;=IF(param_mode_affichage="mois",EOMONTH(AR$3,0),AR$3+6)),"◆",""))</f>
      </c>
      <c r="AS192" s="26">
        <f>IF(OR($A192="",AS$3=""),"",IF(AND($J192&lt;&gt;"",$K192&lt;&gt;"",$J192=$K192,$J192&gt;=AS$3,$J192&lt;=IF(param_mode_affichage="mois",EOMONTH(AS$3,0),AS$3+6)),"◆",""))</f>
      </c>
      <c r="AT192" s="26">
        <f>IF(OR($A192="",AT$3=""),"",IF(AND($J192&lt;&gt;"",$K192&lt;&gt;"",$J192=$K192,$J192&gt;=AT$3,$J192&lt;=IF(param_mode_affichage="mois",EOMONTH(AT$3,0),AT$3+6)),"◆",""))</f>
      </c>
      <c r="AU192" s="26">
        <f>IF(OR($A192="",AU$3=""),"",IF(AND($J192&lt;&gt;"",$K192&lt;&gt;"",$J192=$K192,$J192&gt;=AU$3,$J192&lt;=IF(param_mode_affichage="mois",EOMONTH(AU$3,0),AU$3+6)),"◆",""))</f>
      </c>
      <c r="AV192" s="26">
        <f>IF(OR($A192="",AV$3=""),"",IF(AND($J192&lt;&gt;"",$K192&lt;&gt;"",$J192=$K192,$J192&gt;=AV$3,$J192&lt;=IF(param_mode_affichage="mois",EOMONTH(AV$3,0),AV$3+6)),"◆",""))</f>
      </c>
      <c r="AW192" s="26">
        <f>IF(OR($A192="",AW$3=""),"",IF(AND($J192&lt;&gt;"",$K192&lt;&gt;"",$J192=$K192,$J192&gt;=AW$3,$J192&lt;=IF(param_mode_affichage="mois",EOMONTH(AW$3,0),AW$3+6)),"◆",""))</f>
      </c>
      <c r="AX192" s="26">
        <f>IF(OR($A192="",AX$3=""),"",IF(AND($J192&lt;&gt;"",$K192&lt;&gt;"",$J192=$K192,$J192&gt;=AX$3,$J192&lt;=IF(param_mode_affichage="mois",EOMONTH(AX$3,0),AX$3+6)),"◆",""))</f>
      </c>
      <c r="AY192" s="26">
        <f>IF(OR($A192="",AY$3=""),"",IF(AND($J192&lt;&gt;"",$K192&lt;&gt;"",$J192=$K192,$J192&gt;=AY$3,$J192&lt;=IF(param_mode_affichage="mois",EOMONTH(AY$3,0),AY$3+6)),"◆",""))</f>
      </c>
      <c r="AZ192" s="26">
        <f>IF(OR($A192="",AZ$3=""),"",IF(AND($J192&lt;&gt;"",$K192&lt;&gt;"",$J192=$K192,$J192&gt;=AZ$3,$J192&lt;=IF(param_mode_affichage="mois",EOMONTH(AZ$3,0),AZ$3+6)),"◆",""))</f>
      </c>
      <c r="BA192" s="26">
        <f>IF(OR($A192="",BA$3=""),"",IF(AND($J192&lt;&gt;"",$K192&lt;&gt;"",$J192=$K192,$J192&gt;=BA$3,$J192&lt;=IF(param_mode_affichage="mois",EOMONTH(BA$3,0),BA$3+6)),"◆",""))</f>
      </c>
      <c r="BB192" s="26">
        <f>IF(OR($A192="",BB$3=""),"",IF(AND($J192&lt;&gt;"",$K192&lt;&gt;"",$J192=$K192,$J192&gt;=BB$3,$J192&lt;=IF(param_mode_affichage="mois",EOMONTH(BB$3,0),BB$3+6)),"◆",""))</f>
      </c>
      <c r="BC192" s="26">
        <f>IF(OR($A192="",BC$3=""),"",IF(AND($J192&lt;&gt;"",$K192&lt;&gt;"",$J192=$K192,$J192&gt;=BC$3,$J192&lt;=IF(param_mode_affichage="mois",EOMONTH(BC$3,0),BC$3+6)),"◆",""))</f>
      </c>
      <c r="BD192" s="26">
        <f>IF(OR($A192="",BD$3=""),"",IF(AND($J192&lt;&gt;"",$K192&lt;&gt;"",$J192=$K192,$J192&gt;=BD$3,$J192&lt;=IF(param_mode_affichage="mois",EOMONTH(BD$3,0),BD$3+6)),"◆",""))</f>
      </c>
      <c r="BE192" s="26">
        <f>IF(OR($A192="",BE$3=""),"",IF(AND($J192&lt;&gt;"",$K192&lt;&gt;"",$J192=$K192,$J192&gt;=BE$3,$J192&lt;=IF(param_mode_affichage="mois",EOMONTH(BE$3,0),BE$3+6)),"◆",""))</f>
      </c>
      <c r="BF192" s="26">
        <f>IF(OR($A192="",BF$3=""),"",IF(AND($J192&lt;&gt;"",$K192&lt;&gt;"",$J192=$K192,$J192&gt;=BF$3,$J192&lt;=IF(param_mode_affichage="mois",EOMONTH(BF$3,0),BF$3+6)),"◆",""))</f>
      </c>
      <c r="BG192" s="26">
        <f>IF(OR($A192="",BG$3=""),"",IF(AND($J192&lt;&gt;"",$K192&lt;&gt;"",$J192=$K192,$J192&gt;=BG$3,$J192&lt;=IF(param_mode_affichage="mois",EOMONTH(BG$3,0),BG$3+6)),"◆",""))</f>
      </c>
      <c r="BH192" s="26">
        <f>IF(OR($A192="",BH$3=""),"",IF(AND($J192&lt;&gt;"",$K192&lt;&gt;"",$J192=$K192,$J192&gt;=BH$3,$J192&lt;=IF(param_mode_affichage="mois",EOMONTH(BH$3,0),BH$3+6)),"◆",""))</f>
      </c>
      <c r="BI192" s="26">
        <f>IF(OR($A192="",BI$3=""),"",IF(AND($J192&lt;&gt;"",$K192&lt;&gt;"",$J192=$K192,$J192&gt;=BI$3,$J192&lt;=IF(param_mode_affichage="mois",EOMONTH(BI$3,0),BI$3+6)),"◆",""))</f>
      </c>
      <c r="BJ192" s="26">
        <f>IF(OR($A192="",BJ$3=""),"",IF(AND($J192&lt;&gt;"",$K192&lt;&gt;"",$J192=$K192,$J192&gt;=BJ$3,$J192&lt;=IF(param_mode_affichage="mois",EOMONTH(BJ$3,0),BJ$3+6)),"◆",""))</f>
      </c>
      <c r="BK192" s="26">
        <f>IF(OR($A192="",BK$3=""),"",IF(AND($J192&lt;&gt;"",$K192&lt;&gt;"",$J192=$K192,$J192&gt;=BK$3,$J192&lt;=IF(param_mode_affichage="mois",EOMONTH(BK$3,0),BK$3+6)),"◆",""))</f>
      </c>
      <c r="BL192" s="26">
        <f>IF(OR($A192="",BL$3=""),"",IF(AND($J192&lt;&gt;"",$K192&lt;&gt;"",$J192=$K192,$J192&gt;=BL$3,$J192&lt;=IF(param_mode_affichage="mois",EOMONTH(BL$3,0),BL$3+6)),"◆",""))</f>
      </c>
    </row>
    <row r="193" spans="1:64" x14ac:dyDescent="0.25">
      <c r="A193" s="23">
        <f>IFERROR(INDEX(tblTasks[ID],ROW()-4),"")</f>
      </c>
      <c r="B193" s="24">
        <f>IF($A193="","",INDEX(tblTasks[Sujet],ROW()-4))</f>
      </c>
      <c r="C193" s="23">
        <f>IF($A193="","",INDEX(tblTasks[Responsable],ROW()-4))</f>
      </c>
      <c r="D193" s="23">
        <f>IF($A193="","",INDEX(tblTasks[Statut],ROW()-4))</f>
      </c>
      <c r="E193" s="23">
        <f>IF($A193="","",INDEX(tblTasks[Depend_de],ROW()-4))</f>
      </c>
      <c r="F193" s="23">
        <f>IF($A193="","",INDEX(tblTasks[Blocage],ROW()-4))</f>
      </c>
      <c r="G193" s="23">
        <f>IF($A193="","",INDEX(tblTasks[Niveau_criticite],ROW()-4))</f>
      </c>
      <c r="H193" s="23">
        <f>IF($A193="","",INDEX(tblTasks[Goulot],ROW()-4))</f>
      </c>
      <c r="I193" s="23">
        <f>IF($A193="","",IF(LOWER($F193)="oui","non",IF($E193="","oui",IFERROR(IF(LOWER(INDEX(tblTasks[Statut],MATCH($E193,tblTasks[ID],0)))="clos","oui","non"),"non"))))</f>
      </c>
      <c r="J193" s="25">
        <f>IF($A193="","",INDEX(tblTasks[Date_debut_prevue],ROW()-4))</f>
      </c>
      <c r="K193" s="25">
        <f>IF($A193="","",INDEX(tblTasks[Date_fin_prevue],ROW()-4))</f>
      </c>
      <c r="L193" s="23">
        <f>IF($A193="","",INDEX(tblTasks[Irreversibilite],ROW()-4))</f>
      </c>
      <c r="M193" s="26">
        <f>IF(OR($A193="",M$3=""),"",IF(AND($J193&lt;&gt;"",$K193&lt;&gt;"",$J193=$K193,$J193&gt;=M$3,$J193&lt;=IF(param_mode_affichage="mois",EOMONTH(M$3,0),M$3+6)),"◆",""))</f>
      </c>
      <c r="N193" s="26">
        <f>IF(OR($A193="",N$3=""),"",IF(AND($J193&lt;&gt;"",$K193&lt;&gt;"",$J193=$K193,$J193&gt;=N$3,$J193&lt;=IF(param_mode_affichage="mois",EOMONTH(N$3,0),N$3+6)),"◆",""))</f>
      </c>
      <c r="O193" s="26">
        <f>IF(OR($A193="",O$3=""),"",IF(AND($J193&lt;&gt;"",$K193&lt;&gt;"",$J193=$K193,$J193&gt;=O$3,$J193&lt;=IF(param_mode_affichage="mois",EOMONTH(O$3,0),O$3+6)),"◆",""))</f>
      </c>
      <c r="P193" s="26">
        <f>IF(OR($A193="",P$3=""),"",IF(AND($J193&lt;&gt;"",$K193&lt;&gt;"",$J193=$K193,$J193&gt;=P$3,$J193&lt;=IF(param_mode_affichage="mois",EOMONTH(P$3,0),P$3+6)),"◆",""))</f>
      </c>
      <c r="Q193" s="26">
        <f>IF(OR($A193="",Q$3=""),"",IF(AND($J193&lt;&gt;"",$K193&lt;&gt;"",$J193=$K193,$J193&gt;=Q$3,$J193&lt;=IF(param_mode_affichage="mois",EOMONTH(Q$3,0),Q$3+6)),"◆",""))</f>
      </c>
      <c r="R193" s="26">
        <f>IF(OR($A193="",R$3=""),"",IF(AND($J193&lt;&gt;"",$K193&lt;&gt;"",$J193=$K193,$J193&gt;=R$3,$J193&lt;=IF(param_mode_affichage="mois",EOMONTH(R$3,0),R$3+6)),"◆",""))</f>
      </c>
      <c r="S193" s="26">
        <f>IF(OR($A193="",S$3=""),"",IF(AND($J193&lt;&gt;"",$K193&lt;&gt;"",$J193=$K193,$J193&gt;=S$3,$J193&lt;=IF(param_mode_affichage="mois",EOMONTH(S$3,0),S$3+6)),"◆",""))</f>
      </c>
      <c r="T193" s="26">
        <f>IF(OR($A193="",T$3=""),"",IF(AND($J193&lt;&gt;"",$K193&lt;&gt;"",$J193=$K193,$J193&gt;=T$3,$J193&lt;=IF(param_mode_affichage="mois",EOMONTH(T$3,0),T$3+6)),"◆",""))</f>
      </c>
      <c r="U193" s="26">
        <f>IF(OR($A193="",U$3=""),"",IF(AND($J193&lt;&gt;"",$K193&lt;&gt;"",$J193=$K193,$J193&gt;=U$3,$J193&lt;=IF(param_mode_affichage="mois",EOMONTH(U$3,0),U$3+6)),"◆",""))</f>
      </c>
      <c r="V193" s="26">
        <f>IF(OR($A193="",V$3=""),"",IF(AND($J193&lt;&gt;"",$K193&lt;&gt;"",$J193=$K193,$J193&gt;=V$3,$J193&lt;=IF(param_mode_affichage="mois",EOMONTH(V$3,0),V$3+6)),"◆",""))</f>
      </c>
      <c r="W193" s="26">
        <f>IF(OR($A193="",W$3=""),"",IF(AND($J193&lt;&gt;"",$K193&lt;&gt;"",$J193=$K193,$J193&gt;=W$3,$J193&lt;=IF(param_mode_affichage="mois",EOMONTH(W$3,0),W$3+6)),"◆",""))</f>
      </c>
      <c r="X193" s="26">
        <f>IF(OR($A193="",X$3=""),"",IF(AND($J193&lt;&gt;"",$K193&lt;&gt;"",$J193=$K193,$J193&gt;=X$3,$J193&lt;=IF(param_mode_affichage="mois",EOMONTH(X$3,0),X$3+6)),"◆",""))</f>
      </c>
      <c r="Y193" s="26">
        <f>IF(OR($A193="",Y$3=""),"",IF(AND($J193&lt;&gt;"",$K193&lt;&gt;"",$J193=$K193,$J193&gt;=Y$3,$J193&lt;=IF(param_mode_affichage="mois",EOMONTH(Y$3,0),Y$3+6)),"◆",""))</f>
      </c>
      <c r="Z193" s="26">
        <f>IF(OR($A193="",Z$3=""),"",IF(AND($J193&lt;&gt;"",$K193&lt;&gt;"",$J193=$K193,$J193&gt;=Z$3,$J193&lt;=IF(param_mode_affichage="mois",EOMONTH(Z$3,0),Z$3+6)),"◆",""))</f>
      </c>
      <c r="AA193" s="26">
        <f>IF(OR($A193="",AA$3=""),"",IF(AND($J193&lt;&gt;"",$K193&lt;&gt;"",$J193=$K193,$J193&gt;=AA$3,$J193&lt;=IF(param_mode_affichage="mois",EOMONTH(AA$3,0),AA$3+6)),"◆",""))</f>
      </c>
      <c r="AB193" s="26">
        <f>IF(OR($A193="",AB$3=""),"",IF(AND($J193&lt;&gt;"",$K193&lt;&gt;"",$J193=$K193,$J193&gt;=AB$3,$J193&lt;=IF(param_mode_affichage="mois",EOMONTH(AB$3,0),AB$3+6)),"◆",""))</f>
      </c>
      <c r="AC193" s="26">
        <f>IF(OR($A193="",AC$3=""),"",IF(AND($J193&lt;&gt;"",$K193&lt;&gt;"",$J193=$K193,$J193&gt;=AC$3,$J193&lt;=IF(param_mode_affichage="mois",EOMONTH(AC$3,0),AC$3+6)),"◆",""))</f>
      </c>
      <c r="AD193" s="26">
        <f>IF(OR($A193="",AD$3=""),"",IF(AND($J193&lt;&gt;"",$K193&lt;&gt;"",$J193=$K193,$J193&gt;=AD$3,$J193&lt;=IF(param_mode_affichage="mois",EOMONTH(AD$3,0),AD$3+6)),"◆",""))</f>
      </c>
      <c r="AE193" s="26">
        <f>IF(OR($A193="",AE$3=""),"",IF(AND($J193&lt;&gt;"",$K193&lt;&gt;"",$J193=$K193,$J193&gt;=AE$3,$J193&lt;=IF(param_mode_affichage="mois",EOMONTH(AE$3,0),AE$3+6)),"◆",""))</f>
      </c>
      <c r="AF193" s="26">
        <f>IF(OR($A193="",AF$3=""),"",IF(AND($J193&lt;&gt;"",$K193&lt;&gt;"",$J193=$K193,$J193&gt;=AF$3,$J193&lt;=IF(param_mode_affichage="mois",EOMONTH(AF$3,0),AF$3+6)),"◆",""))</f>
      </c>
      <c r="AG193" s="26">
        <f>IF(OR($A193="",AG$3=""),"",IF(AND($J193&lt;&gt;"",$K193&lt;&gt;"",$J193=$K193,$J193&gt;=AG$3,$J193&lt;=IF(param_mode_affichage="mois",EOMONTH(AG$3,0),AG$3+6)),"◆",""))</f>
      </c>
      <c r="AH193" s="26">
        <f>IF(OR($A193="",AH$3=""),"",IF(AND($J193&lt;&gt;"",$K193&lt;&gt;"",$J193=$K193,$J193&gt;=AH$3,$J193&lt;=IF(param_mode_affichage="mois",EOMONTH(AH$3,0),AH$3+6)),"◆",""))</f>
      </c>
      <c r="AI193" s="26">
        <f>IF(OR($A193="",AI$3=""),"",IF(AND($J193&lt;&gt;"",$K193&lt;&gt;"",$J193=$K193,$J193&gt;=AI$3,$J193&lt;=IF(param_mode_affichage="mois",EOMONTH(AI$3,0),AI$3+6)),"◆",""))</f>
      </c>
      <c r="AJ193" s="26">
        <f>IF(OR($A193="",AJ$3=""),"",IF(AND($J193&lt;&gt;"",$K193&lt;&gt;"",$J193=$K193,$J193&gt;=AJ$3,$J193&lt;=IF(param_mode_affichage="mois",EOMONTH(AJ$3,0),AJ$3+6)),"◆",""))</f>
      </c>
      <c r="AK193" s="26">
        <f>IF(OR($A193="",AK$3=""),"",IF(AND($J193&lt;&gt;"",$K193&lt;&gt;"",$J193=$K193,$J193&gt;=AK$3,$J193&lt;=IF(param_mode_affichage="mois",EOMONTH(AK$3,0),AK$3+6)),"◆",""))</f>
      </c>
      <c r="AL193" s="26">
        <f>IF(OR($A193="",AL$3=""),"",IF(AND($J193&lt;&gt;"",$K193&lt;&gt;"",$J193=$K193,$J193&gt;=AL$3,$J193&lt;=IF(param_mode_affichage="mois",EOMONTH(AL$3,0),AL$3+6)),"◆",""))</f>
      </c>
      <c r="AM193" s="26">
        <f>IF(OR($A193="",AM$3=""),"",IF(AND($J193&lt;&gt;"",$K193&lt;&gt;"",$J193=$K193,$J193&gt;=AM$3,$J193&lt;=IF(param_mode_affichage="mois",EOMONTH(AM$3,0),AM$3+6)),"◆",""))</f>
      </c>
      <c r="AN193" s="26">
        <f>IF(OR($A193="",AN$3=""),"",IF(AND($J193&lt;&gt;"",$K193&lt;&gt;"",$J193=$K193,$J193&gt;=AN$3,$J193&lt;=IF(param_mode_affichage="mois",EOMONTH(AN$3,0),AN$3+6)),"◆",""))</f>
      </c>
      <c r="AO193" s="26">
        <f>IF(OR($A193="",AO$3=""),"",IF(AND($J193&lt;&gt;"",$K193&lt;&gt;"",$J193=$K193,$J193&gt;=AO$3,$J193&lt;=IF(param_mode_affichage="mois",EOMONTH(AO$3,0),AO$3+6)),"◆",""))</f>
      </c>
      <c r="AP193" s="26">
        <f>IF(OR($A193="",AP$3=""),"",IF(AND($J193&lt;&gt;"",$K193&lt;&gt;"",$J193=$K193,$J193&gt;=AP$3,$J193&lt;=IF(param_mode_affichage="mois",EOMONTH(AP$3,0),AP$3+6)),"◆",""))</f>
      </c>
      <c r="AQ193" s="26">
        <f>IF(OR($A193="",AQ$3=""),"",IF(AND($J193&lt;&gt;"",$K193&lt;&gt;"",$J193=$K193,$J193&gt;=AQ$3,$J193&lt;=IF(param_mode_affichage="mois",EOMONTH(AQ$3,0),AQ$3+6)),"◆",""))</f>
      </c>
      <c r="AR193" s="26">
        <f>IF(OR($A193="",AR$3=""),"",IF(AND($J193&lt;&gt;"",$K193&lt;&gt;"",$J193=$K193,$J193&gt;=AR$3,$J193&lt;=IF(param_mode_affichage="mois",EOMONTH(AR$3,0),AR$3+6)),"◆",""))</f>
      </c>
      <c r="AS193" s="26">
        <f>IF(OR($A193="",AS$3=""),"",IF(AND($J193&lt;&gt;"",$K193&lt;&gt;"",$J193=$K193,$J193&gt;=AS$3,$J193&lt;=IF(param_mode_affichage="mois",EOMONTH(AS$3,0),AS$3+6)),"◆",""))</f>
      </c>
      <c r="AT193" s="26">
        <f>IF(OR($A193="",AT$3=""),"",IF(AND($J193&lt;&gt;"",$K193&lt;&gt;"",$J193=$K193,$J193&gt;=AT$3,$J193&lt;=IF(param_mode_affichage="mois",EOMONTH(AT$3,0),AT$3+6)),"◆",""))</f>
      </c>
      <c r="AU193" s="26">
        <f>IF(OR($A193="",AU$3=""),"",IF(AND($J193&lt;&gt;"",$K193&lt;&gt;"",$J193=$K193,$J193&gt;=AU$3,$J193&lt;=IF(param_mode_affichage="mois",EOMONTH(AU$3,0),AU$3+6)),"◆",""))</f>
      </c>
      <c r="AV193" s="26">
        <f>IF(OR($A193="",AV$3=""),"",IF(AND($J193&lt;&gt;"",$K193&lt;&gt;"",$J193=$K193,$J193&gt;=AV$3,$J193&lt;=IF(param_mode_affichage="mois",EOMONTH(AV$3,0),AV$3+6)),"◆",""))</f>
      </c>
      <c r="AW193" s="26">
        <f>IF(OR($A193="",AW$3=""),"",IF(AND($J193&lt;&gt;"",$K193&lt;&gt;"",$J193=$K193,$J193&gt;=AW$3,$J193&lt;=IF(param_mode_affichage="mois",EOMONTH(AW$3,0),AW$3+6)),"◆",""))</f>
      </c>
      <c r="AX193" s="26">
        <f>IF(OR($A193="",AX$3=""),"",IF(AND($J193&lt;&gt;"",$K193&lt;&gt;"",$J193=$K193,$J193&gt;=AX$3,$J193&lt;=IF(param_mode_affichage="mois",EOMONTH(AX$3,0),AX$3+6)),"◆",""))</f>
      </c>
      <c r="AY193" s="26">
        <f>IF(OR($A193="",AY$3=""),"",IF(AND($J193&lt;&gt;"",$K193&lt;&gt;"",$J193=$K193,$J193&gt;=AY$3,$J193&lt;=IF(param_mode_affichage="mois",EOMONTH(AY$3,0),AY$3+6)),"◆",""))</f>
      </c>
      <c r="AZ193" s="26">
        <f>IF(OR($A193="",AZ$3=""),"",IF(AND($J193&lt;&gt;"",$K193&lt;&gt;"",$J193=$K193,$J193&gt;=AZ$3,$J193&lt;=IF(param_mode_affichage="mois",EOMONTH(AZ$3,0),AZ$3+6)),"◆",""))</f>
      </c>
      <c r="BA193" s="26">
        <f>IF(OR($A193="",BA$3=""),"",IF(AND($J193&lt;&gt;"",$K193&lt;&gt;"",$J193=$K193,$J193&gt;=BA$3,$J193&lt;=IF(param_mode_affichage="mois",EOMONTH(BA$3,0),BA$3+6)),"◆",""))</f>
      </c>
      <c r="BB193" s="26">
        <f>IF(OR($A193="",BB$3=""),"",IF(AND($J193&lt;&gt;"",$K193&lt;&gt;"",$J193=$K193,$J193&gt;=BB$3,$J193&lt;=IF(param_mode_affichage="mois",EOMONTH(BB$3,0),BB$3+6)),"◆",""))</f>
      </c>
      <c r="BC193" s="26">
        <f>IF(OR($A193="",BC$3=""),"",IF(AND($J193&lt;&gt;"",$K193&lt;&gt;"",$J193=$K193,$J193&gt;=BC$3,$J193&lt;=IF(param_mode_affichage="mois",EOMONTH(BC$3,0),BC$3+6)),"◆",""))</f>
      </c>
      <c r="BD193" s="26">
        <f>IF(OR($A193="",BD$3=""),"",IF(AND($J193&lt;&gt;"",$K193&lt;&gt;"",$J193=$K193,$J193&gt;=BD$3,$J193&lt;=IF(param_mode_affichage="mois",EOMONTH(BD$3,0),BD$3+6)),"◆",""))</f>
      </c>
      <c r="BE193" s="26">
        <f>IF(OR($A193="",BE$3=""),"",IF(AND($J193&lt;&gt;"",$K193&lt;&gt;"",$J193=$K193,$J193&gt;=BE$3,$J193&lt;=IF(param_mode_affichage="mois",EOMONTH(BE$3,0),BE$3+6)),"◆",""))</f>
      </c>
      <c r="BF193" s="26">
        <f>IF(OR($A193="",BF$3=""),"",IF(AND($J193&lt;&gt;"",$K193&lt;&gt;"",$J193=$K193,$J193&gt;=BF$3,$J193&lt;=IF(param_mode_affichage="mois",EOMONTH(BF$3,0),BF$3+6)),"◆",""))</f>
      </c>
      <c r="BG193" s="26">
        <f>IF(OR($A193="",BG$3=""),"",IF(AND($J193&lt;&gt;"",$K193&lt;&gt;"",$J193=$K193,$J193&gt;=BG$3,$J193&lt;=IF(param_mode_affichage="mois",EOMONTH(BG$3,0),BG$3+6)),"◆",""))</f>
      </c>
      <c r="BH193" s="26">
        <f>IF(OR($A193="",BH$3=""),"",IF(AND($J193&lt;&gt;"",$K193&lt;&gt;"",$J193=$K193,$J193&gt;=BH$3,$J193&lt;=IF(param_mode_affichage="mois",EOMONTH(BH$3,0),BH$3+6)),"◆",""))</f>
      </c>
      <c r="BI193" s="26">
        <f>IF(OR($A193="",BI$3=""),"",IF(AND($J193&lt;&gt;"",$K193&lt;&gt;"",$J193=$K193,$J193&gt;=BI$3,$J193&lt;=IF(param_mode_affichage="mois",EOMONTH(BI$3,0),BI$3+6)),"◆",""))</f>
      </c>
      <c r="BJ193" s="26">
        <f>IF(OR($A193="",BJ$3=""),"",IF(AND($J193&lt;&gt;"",$K193&lt;&gt;"",$J193=$K193,$J193&gt;=BJ$3,$J193&lt;=IF(param_mode_affichage="mois",EOMONTH(BJ$3,0),BJ$3+6)),"◆",""))</f>
      </c>
      <c r="BK193" s="26">
        <f>IF(OR($A193="",BK$3=""),"",IF(AND($J193&lt;&gt;"",$K193&lt;&gt;"",$J193=$K193,$J193&gt;=BK$3,$J193&lt;=IF(param_mode_affichage="mois",EOMONTH(BK$3,0),BK$3+6)),"◆",""))</f>
      </c>
      <c r="BL193" s="26">
        <f>IF(OR($A193="",BL$3=""),"",IF(AND($J193&lt;&gt;"",$K193&lt;&gt;"",$J193=$K193,$J193&gt;=BL$3,$J193&lt;=IF(param_mode_affichage="mois",EOMONTH(BL$3,0),BL$3+6)),"◆",""))</f>
      </c>
    </row>
    <row r="194" spans="1:64" x14ac:dyDescent="0.25">
      <c r="A194" s="23">
        <f>IFERROR(INDEX(tblTasks[ID],ROW()-4),"")</f>
      </c>
      <c r="B194" s="24">
        <f>IF($A194="","",INDEX(tblTasks[Sujet],ROW()-4))</f>
      </c>
      <c r="C194" s="23">
        <f>IF($A194="","",INDEX(tblTasks[Responsable],ROW()-4))</f>
      </c>
      <c r="D194" s="23">
        <f>IF($A194="","",INDEX(tblTasks[Statut],ROW()-4))</f>
      </c>
      <c r="E194" s="23">
        <f>IF($A194="","",INDEX(tblTasks[Depend_de],ROW()-4))</f>
      </c>
      <c r="F194" s="23">
        <f>IF($A194="","",INDEX(tblTasks[Blocage],ROW()-4))</f>
      </c>
      <c r="G194" s="23">
        <f>IF($A194="","",INDEX(tblTasks[Niveau_criticite],ROW()-4))</f>
      </c>
      <c r="H194" s="23">
        <f>IF($A194="","",INDEX(tblTasks[Goulot],ROW()-4))</f>
      </c>
      <c r="I194" s="23">
        <f>IF($A194="","",IF(LOWER($F194)="oui","non",IF($E194="","oui",IFERROR(IF(LOWER(INDEX(tblTasks[Statut],MATCH($E194,tblTasks[ID],0)))="clos","oui","non"),"non"))))</f>
      </c>
      <c r="J194" s="25">
        <f>IF($A194="","",INDEX(tblTasks[Date_debut_prevue],ROW()-4))</f>
      </c>
      <c r="K194" s="25">
        <f>IF($A194="","",INDEX(tblTasks[Date_fin_prevue],ROW()-4))</f>
      </c>
      <c r="L194" s="23">
        <f>IF($A194="","",INDEX(tblTasks[Irreversibilite],ROW()-4))</f>
      </c>
      <c r="M194" s="26">
        <f>IF(OR($A194="",M$3=""),"",IF(AND($J194&lt;&gt;"",$K194&lt;&gt;"",$J194=$K194,$J194&gt;=M$3,$J194&lt;=IF(param_mode_affichage="mois",EOMONTH(M$3,0),M$3+6)),"◆",""))</f>
      </c>
      <c r="N194" s="26">
        <f>IF(OR($A194="",N$3=""),"",IF(AND($J194&lt;&gt;"",$K194&lt;&gt;"",$J194=$K194,$J194&gt;=N$3,$J194&lt;=IF(param_mode_affichage="mois",EOMONTH(N$3,0),N$3+6)),"◆",""))</f>
      </c>
      <c r="O194" s="26">
        <f>IF(OR($A194="",O$3=""),"",IF(AND($J194&lt;&gt;"",$K194&lt;&gt;"",$J194=$K194,$J194&gt;=O$3,$J194&lt;=IF(param_mode_affichage="mois",EOMONTH(O$3,0),O$3+6)),"◆",""))</f>
      </c>
      <c r="P194" s="26">
        <f>IF(OR($A194="",P$3=""),"",IF(AND($J194&lt;&gt;"",$K194&lt;&gt;"",$J194=$K194,$J194&gt;=P$3,$J194&lt;=IF(param_mode_affichage="mois",EOMONTH(P$3,0),P$3+6)),"◆",""))</f>
      </c>
      <c r="Q194" s="26">
        <f>IF(OR($A194="",Q$3=""),"",IF(AND($J194&lt;&gt;"",$K194&lt;&gt;"",$J194=$K194,$J194&gt;=Q$3,$J194&lt;=IF(param_mode_affichage="mois",EOMONTH(Q$3,0),Q$3+6)),"◆",""))</f>
      </c>
      <c r="R194" s="26">
        <f>IF(OR($A194="",R$3=""),"",IF(AND($J194&lt;&gt;"",$K194&lt;&gt;"",$J194=$K194,$J194&gt;=R$3,$J194&lt;=IF(param_mode_affichage="mois",EOMONTH(R$3,0),R$3+6)),"◆",""))</f>
      </c>
      <c r="S194" s="26">
        <f>IF(OR($A194="",S$3=""),"",IF(AND($J194&lt;&gt;"",$K194&lt;&gt;"",$J194=$K194,$J194&gt;=S$3,$J194&lt;=IF(param_mode_affichage="mois",EOMONTH(S$3,0),S$3+6)),"◆",""))</f>
      </c>
      <c r="T194" s="26">
        <f>IF(OR($A194="",T$3=""),"",IF(AND($J194&lt;&gt;"",$K194&lt;&gt;"",$J194=$K194,$J194&gt;=T$3,$J194&lt;=IF(param_mode_affichage="mois",EOMONTH(T$3,0),T$3+6)),"◆",""))</f>
      </c>
      <c r="U194" s="26">
        <f>IF(OR($A194="",U$3=""),"",IF(AND($J194&lt;&gt;"",$K194&lt;&gt;"",$J194=$K194,$J194&gt;=U$3,$J194&lt;=IF(param_mode_affichage="mois",EOMONTH(U$3,0),U$3+6)),"◆",""))</f>
      </c>
      <c r="V194" s="26">
        <f>IF(OR($A194="",V$3=""),"",IF(AND($J194&lt;&gt;"",$K194&lt;&gt;"",$J194=$K194,$J194&gt;=V$3,$J194&lt;=IF(param_mode_affichage="mois",EOMONTH(V$3,0),V$3+6)),"◆",""))</f>
      </c>
      <c r="W194" s="26">
        <f>IF(OR($A194="",W$3=""),"",IF(AND($J194&lt;&gt;"",$K194&lt;&gt;"",$J194=$K194,$J194&gt;=W$3,$J194&lt;=IF(param_mode_affichage="mois",EOMONTH(W$3,0),W$3+6)),"◆",""))</f>
      </c>
      <c r="X194" s="26">
        <f>IF(OR($A194="",X$3=""),"",IF(AND($J194&lt;&gt;"",$K194&lt;&gt;"",$J194=$K194,$J194&gt;=X$3,$J194&lt;=IF(param_mode_affichage="mois",EOMONTH(X$3,0),X$3+6)),"◆",""))</f>
      </c>
      <c r="Y194" s="26">
        <f>IF(OR($A194="",Y$3=""),"",IF(AND($J194&lt;&gt;"",$K194&lt;&gt;"",$J194=$K194,$J194&gt;=Y$3,$J194&lt;=IF(param_mode_affichage="mois",EOMONTH(Y$3,0),Y$3+6)),"◆",""))</f>
      </c>
      <c r="Z194" s="26">
        <f>IF(OR($A194="",Z$3=""),"",IF(AND($J194&lt;&gt;"",$K194&lt;&gt;"",$J194=$K194,$J194&gt;=Z$3,$J194&lt;=IF(param_mode_affichage="mois",EOMONTH(Z$3,0),Z$3+6)),"◆",""))</f>
      </c>
      <c r="AA194" s="26">
        <f>IF(OR($A194="",AA$3=""),"",IF(AND($J194&lt;&gt;"",$K194&lt;&gt;"",$J194=$K194,$J194&gt;=AA$3,$J194&lt;=IF(param_mode_affichage="mois",EOMONTH(AA$3,0),AA$3+6)),"◆",""))</f>
      </c>
      <c r="AB194" s="26">
        <f>IF(OR($A194="",AB$3=""),"",IF(AND($J194&lt;&gt;"",$K194&lt;&gt;"",$J194=$K194,$J194&gt;=AB$3,$J194&lt;=IF(param_mode_affichage="mois",EOMONTH(AB$3,0),AB$3+6)),"◆",""))</f>
      </c>
      <c r="AC194" s="26">
        <f>IF(OR($A194="",AC$3=""),"",IF(AND($J194&lt;&gt;"",$K194&lt;&gt;"",$J194=$K194,$J194&gt;=AC$3,$J194&lt;=IF(param_mode_affichage="mois",EOMONTH(AC$3,0),AC$3+6)),"◆",""))</f>
      </c>
      <c r="AD194" s="26">
        <f>IF(OR($A194="",AD$3=""),"",IF(AND($J194&lt;&gt;"",$K194&lt;&gt;"",$J194=$K194,$J194&gt;=AD$3,$J194&lt;=IF(param_mode_affichage="mois",EOMONTH(AD$3,0),AD$3+6)),"◆",""))</f>
      </c>
      <c r="AE194" s="26">
        <f>IF(OR($A194="",AE$3=""),"",IF(AND($J194&lt;&gt;"",$K194&lt;&gt;"",$J194=$K194,$J194&gt;=AE$3,$J194&lt;=IF(param_mode_affichage="mois",EOMONTH(AE$3,0),AE$3+6)),"◆",""))</f>
      </c>
      <c r="AF194" s="26">
        <f>IF(OR($A194="",AF$3=""),"",IF(AND($J194&lt;&gt;"",$K194&lt;&gt;"",$J194=$K194,$J194&gt;=AF$3,$J194&lt;=IF(param_mode_affichage="mois",EOMONTH(AF$3,0),AF$3+6)),"◆",""))</f>
      </c>
      <c r="AG194" s="26">
        <f>IF(OR($A194="",AG$3=""),"",IF(AND($J194&lt;&gt;"",$K194&lt;&gt;"",$J194=$K194,$J194&gt;=AG$3,$J194&lt;=IF(param_mode_affichage="mois",EOMONTH(AG$3,0),AG$3+6)),"◆",""))</f>
      </c>
      <c r="AH194" s="26">
        <f>IF(OR($A194="",AH$3=""),"",IF(AND($J194&lt;&gt;"",$K194&lt;&gt;"",$J194=$K194,$J194&gt;=AH$3,$J194&lt;=IF(param_mode_affichage="mois",EOMONTH(AH$3,0),AH$3+6)),"◆",""))</f>
      </c>
      <c r="AI194" s="26">
        <f>IF(OR($A194="",AI$3=""),"",IF(AND($J194&lt;&gt;"",$K194&lt;&gt;"",$J194=$K194,$J194&gt;=AI$3,$J194&lt;=IF(param_mode_affichage="mois",EOMONTH(AI$3,0),AI$3+6)),"◆",""))</f>
      </c>
      <c r="AJ194" s="26">
        <f>IF(OR($A194="",AJ$3=""),"",IF(AND($J194&lt;&gt;"",$K194&lt;&gt;"",$J194=$K194,$J194&gt;=AJ$3,$J194&lt;=IF(param_mode_affichage="mois",EOMONTH(AJ$3,0),AJ$3+6)),"◆",""))</f>
      </c>
      <c r="AK194" s="26">
        <f>IF(OR($A194="",AK$3=""),"",IF(AND($J194&lt;&gt;"",$K194&lt;&gt;"",$J194=$K194,$J194&gt;=AK$3,$J194&lt;=IF(param_mode_affichage="mois",EOMONTH(AK$3,0),AK$3+6)),"◆",""))</f>
      </c>
      <c r="AL194" s="26">
        <f>IF(OR($A194="",AL$3=""),"",IF(AND($J194&lt;&gt;"",$K194&lt;&gt;"",$J194=$K194,$J194&gt;=AL$3,$J194&lt;=IF(param_mode_affichage="mois",EOMONTH(AL$3,0),AL$3+6)),"◆",""))</f>
      </c>
      <c r="AM194" s="26">
        <f>IF(OR($A194="",AM$3=""),"",IF(AND($J194&lt;&gt;"",$K194&lt;&gt;"",$J194=$K194,$J194&gt;=AM$3,$J194&lt;=IF(param_mode_affichage="mois",EOMONTH(AM$3,0),AM$3+6)),"◆",""))</f>
      </c>
      <c r="AN194" s="26">
        <f>IF(OR($A194="",AN$3=""),"",IF(AND($J194&lt;&gt;"",$K194&lt;&gt;"",$J194=$K194,$J194&gt;=AN$3,$J194&lt;=IF(param_mode_affichage="mois",EOMONTH(AN$3,0),AN$3+6)),"◆",""))</f>
      </c>
      <c r="AO194" s="26">
        <f>IF(OR($A194="",AO$3=""),"",IF(AND($J194&lt;&gt;"",$K194&lt;&gt;"",$J194=$K194,$J194&gt;=AO$3,$J194&lt;=IF(param_mode_affichage="mois",EOMONTH(AO$3,0),AO$3+6)),"◆",""))</f>
      </c>
      <c r="AP194" s="26">
        <f>IF(OR($A194="",AP$3=""),"",IF(AND($J194&lt;&gt;"",$K194&lt;&gt;"",$J194=$K194,$J194&gt;=AP$3,$J194&lt;=IF(param_mode_affichage="mois",EOMONTH(AP$3,0),AP$3+6)),"◆",""))</f>
      </c>
      <c r="AQ194" s="26">
        <f>IF(OR($A194="",AQ$3=""),"",IF(AND($J194&lt;&gt;"",$K194&lt;&gt;"",$J194=$K194,$J194&gt;=AQ$3,$J194&lt;=IF(param_mode_affichage="mois",EOMONTH(AQ$3,0),AQ$3+6)),"◆",""))</f>
      </c>
      <c r="AR194" s="26">
        <f>IF(OR($A194="",AR$3=""),"",IF(AND($J194&lt;&gt;"",$K194&lt;&gt;"",$J194=$K194,$J194&gt;=AR$3,$J194&lt;=IF(param_mode_affichage="mois",EOMONTH(AR$3,0),AR$3+6)),"◆",""))</f>
      </c>
      <c r="AS194" s="26">
        <f>IF(OR($A194="",AS$3=""),"",IF(AND($J194&lt;&gt;"",$K194&lt;&gt;"",$J194=$K194,$J194&gt;=AS$3,$J194&lt;=IF(param_mode_affichage="mois",EOMONTH(AS$3,0),AS$3+6)),"◆",""))</f>
      </c>
      <c r="AT194" s="26">
        <f>IF(OR($A194="",AT$3=""),"",IF(AND($J194&lt;&gt;"",$K194&lt;&gt;"",$J194=$K194,$J194&gt;=AT$3,$J194&lt;=IF(param_mode_affichage="mois",EOMONTH(AT$3,0),AT$3+6)),"◆",""))</f>
      </c>
      <c r="AU194" s="26">
        <f>IF(OR($A194="",AU$3=""),"",IF(AND($J194&lt;&gt;"",$K194&lt;&gt;"",$J194=$K194,$J194&gt;=AU$3,$J194&lt;=IF(param_mode_affichage="mois",EOMONTH(AU$3,0),AU$3+6)),"◆",""))</f>
      </c>
      <c r="AV194" s="26">
        <f>IF(OR($A194="",AV$3=""),"",IF(AND($J194&lt;&gt;"",$K194&lt;&gt;"",$J194=$K194,$J194&gt;=AV$3,$J194&lt;=IF(param_mode_affichage="mois",EOMONTH(AV$3,0),AV$3+6)),"◆",""))</f>
      </c>
      <c r="AW194" s="26">
        <f>IF(OR($A194="",AW$3=""),"",IF(AND($J194&lt;&gt;"",$K194&lt;&gt;"",$J194=$K194,$J194&gt;=AW$3,$J194&lt;=IF(param_mode_affichage="mois",EOMONTH(AW$3,0),AW$3+6)),"◆",""))</f>
      </c>
      <c r="AX194" s="26">
        <f>IF(OR($A194="",AX$3=""),"",IF(AND($J194&lt;&gt;"",$K194&lt;&gt;"",$J194=$K194,$J194&gt;=AX$3,$J194&lt;=IF(param_mode_affichage="mois",EOMONTH(AX$3,0),AX$3+6)),"◆",""))</f>
      </c>
      <c r="AY194" s="26">
        <f>IF(OR($A194="",AY$3=""),"",IF(AND($J194&lt;&gt;"",$K194&lt;&gt;"",$J194=$K194,$J194&gt;=AY$3,$J194&lt;=IF(param_mode_affichage="mois",EOMONTH(AY$3,0),AY$3+6)),"◆",""))</f>
      </c>
      <c r="AZ194" s="26">
        <f>IF(OR($A194="",AZ$3=""),"",IF(AND($J194&lt;&gt;"",$K194&lt;&gt;"",$J194=$K194,$J194&gt;=AZ$3,$J194&lt;=IF(param_mode_affichage="mois",EOMONTH(AZ$3,0),AZ$3+6)),"◆",""))</f>
      </c>
      <c r="BA194" s="26">
        <f>IF(OR($A194="",BA$3=""),"",IF(AND($J194&lt;&gt;"",$K194&lt;&gt;"",$J194=$K194,$J194&gt;=BA$3,$J194&lt;=IF(param_mode_affichage="mois",EOMONTH(BA$3,0),BA$3+6)),"◆",""))</f>
      </c>
      <c r="BB194" s="26">
        <f>IF(OR($A194="",BB$3=""),"",IF(AND($J194&lt;&gt;"",$K194&lt;&gt;"",$J194=$K194,$J194&gt;=BB$3,$J194&lt;=IF(param_mode_affichage="mois",EOMONTH(BB$3,0),BB$3+6)),"◆",""))</f>
      </c>
      <c r="BC194" s="26">
        <f>IF(OR($A194="",BC$3=""),"",IF(AND($J194&lt;&gt;"",$K194&lt;&gt;"",$J194=$K194,$J194&gt;=BC$3,$J194&lt;=IF(param_mode_affichage="mois",EOMONTH(BC$3,0),BC$3+6)),"◆",""))</f>
      </c>
      <c r="BD194" s="26">
        <f>IF(OR($A194="",BD$3=""),"",IF(AND($J194&lt;&gt;"",$K194&lt;&gt;"",$J194=$K194,$J194&gt;=BD$3,$J194&lt;=IF(param_mode_affichage="mois",EOMONTH(BD$3,0),BD$3+6)),"◆",""))</f>
      </c>
      <c r="BE194" s="26">
        <f>IF(OR($A194="",BE$3=""),"",IF(AND($J194&lt;&gt;"",$K194&lt;&gt;"",$J194=$K194,$J194&gt;=BE$3,$J194&lt;=IF(param_mode_affichage="mois",EOMONTH(BE$3,0),BE$3+6)),"◆",""))</f>
      </c>
      <c r="BF194" s="26">
        <f>IF(OR($A194="",BF$3=""),"",IF(AND($J194&lt;&gt;"",$K194&lt;&gt;"",$J194=$K194,$J194&gt;=BF$3,$J194&lt;=IF(param_mode_affichage="mois",EOMONTH(BF$3,0),BF$3+6)),"◆",""))</f>
      </c>
      <c r="BG194" s="26">
        <f>IF(OR($A194="",BG$3=""),"",IF(AND($J194&lt;&gt;"",$K194&lt;&gt;"",$J194=$K194,$J194&gt;=BG$3,$J194&lt;=IF(param_mode_affichage="mois",EOMONTH(BG$3,0),BG$3+6)),"◆",""))</f>
      </c>
      <c r="BH194" s="26">
        <f>IF(OR($A194="",BH$3=""),"",IF(AND($J194&lt;&gt;"",$K194&lt;&gt;"",$J194=$K194,$J194&gt;=BH$3,$J194&lt;=IF(param_mode_affichage="mois",EOMONTH(BH$3,0),BH$3+6)),"◆",""))</f>
      </c>
      <c r="BI194" s="26">
        <f>IF(OR($A194="",BI$3=""),"",IF(AND($J194&lt;&gt;"",$K194&lt;&gt;"",$J194=$K194,$J194&gt;=BI$3,$J194&lt;=IF(param_mode_affichage="mois",EOMONTH(BI$3,0),BI$3+6)),"◆",""))</f>
      </c>
      <c r="BJ194" s="26">
        <f>IF(OR($A194="",BJ$3=""),"",IF(AND($J194&lt;&gt;"",$K194&lt;&gt;"",$J194=$K194,$J194&gt;=BJ$3,$J194&lt;=IF(param_mode_affichage="mois",EOMONTH(BJ$3,0),BJ$3+6)),"◆",""))</f>
      </c>
      <c r="BK194" s="26">
        <f>IF(OR($A194="",BK$3=""),"",IF(AND($J194&lt;&gt;"",$K194&lt;&gt;"",$J194=$K194,$J194&gt;=BK$3,$J194&lt;=IF(param_mode_affichage="mois",EOMONTH(BK$3,0),BK$3+6)),"◆",""))</f>
      </c>
      <c r="BL194" s="26">
        <f>IF(OR($A194="",BL$3=""),"",IF(AND($J194&lt;&gt;"",$K194&lt;&gt;"",$J194=$K194,$J194&gt;=BL$3,$J194&lt;=IF(param_mode_affichage="mois",EOMONTH(BL$3,0),BL$3+6)),"◆",""))</f>
      </c>
    </row>
    <row r="195" spans="1:64" x14ac:dyDescent="0.25">
      <c r="A195" s="23">
        <f>IFERROR(INDEX(tblTasks[ID],ROW()-4),"")</f>
      </c>
      <c r="B195" s="24">
        <f>IF($A195="","",INDEX(tblTasks[Sujet],ROW()-4))</f>
      </c>
      <c r="C195" s="23">
        <f>IF($A195="","",INDEX(tblTasks[Responsable],ROW()-4))</f>
      </c>
      <c r="D195" s="23">
        <f>IF($A195="","",INDEX(tblTasks[Statut],ROW()-4))</f>
      </c>
      <c r="E195" s="23">
        <f>IF($A195="","",INDEX(tblTasks[Depend_de],ROW()-4))</f>
      </c>
      <c r="F195" s="23">
        <f>IF($A195="","",INDEX(tblTasks[Blocage],ROW()-4))</f>
      </c>
      <c r="G195" s="23">
        <f>IF($A195="","",INDEX(tblTasks[Niveau_criticite],ROW()-4))</f>
      </c>
      <c r="H195" s="23">
        <f>IF($A195="","",INDEX(tblTasks[Goulot],ROW()-4))</f>
      </c>
      <c r="I195" s="23">
        <f>IF($A195="","",IF(LOWER($F195)="oui","non",IF($E195="","oui",IFERROR(IF(LOWER(INDEX(tblTasks[Statut],MATCH($E195,tblTasks[ID],0)))="clos","oui","non"),"non"))))</f>
      </c>
      <c r="J195" s="25">
        <f>IF($A195="","",INDEX(tblTasks[Date_debut_prevue],ROW()-4))</f>
      </c>
      <c r="K195" s="25">
        <f>IF($A195="","",INDEX(tblTasks[Date_fin_prevue],ROW()-4))</f>
      </c>
      <c r="L195" s="23">
        <f>IF($A195="","",INDEX(tblTasks[Irreversibilite],ROW()-4))</f>
      </c>
      <c r="M195" s="26">
        <f>IF(OR($A195="",M$3=""),"",IF(AND($J195&lt;&gt;"",$K195&lt;&gt;"",$J195=$K195,$J195&gt;=M$3,$J195&lt;=IF(param_mode_affichage="mois",EOMONTH(M$3,0),M$3+6)),"◆",""))</f>
      </c>
      <c r="N195" s="26">
        <f>IF(OR($A195="",N$3=""),"",IF(AND($J195&lt;&gt;"",$K195&lt;&gt;"",$J195=$K195,$J195&gt;=N$3,$J195&lt;=IF(param_mode_affichage="mois",EOMONTH(N$3,0),N$3+6)),"◆",""))</f>
      </c>
      <c r="O195" s="26">
        <f>IF(OR($A195="",O$3=""),"",IF(AND($J195&lt;&gt;"",$K195&lt;&gt;"",$J195=$K195,$J195&gt;=O$3,$J195&lt;=IF(param_mode_affichage="mois",EOMONTH(O$3,0),O$3+6)),"◆",""))</f>
      </c>
      <c r="P195" s="26">
        <f>IF(OR($A195="",P$3=""),"",IF(AND($J195&lt;&gt;"",$K195&lt;&gt;"",$J195=$K195,$J195&gt;=P$3,$J195&lt;=IF(param_mode_affichage="mois",EOMONTH(P$3,0),P$3+6)),"◆",""))</f>
      </c>
      <c r="Q195" s="26">
        <f>IF(OR($A195="",Q$3=""),"",IF(AND($J195&lt;&gt;"",$K195&lt;&gt;"",$J195=$K195,$J195&gt;=Q$3,$J195&lt;=IF(param_mode_affichage="mois",EOMONTH(Q$3,0),Q$3+6)),"◆",""))</f>
      </c>
      <c r="R195" s="26">
        <f>IF(OR($A195="",R$3=""),"",IF(AND($J195&lt;&gt;"",$K195&lt;&gt;"",$J195=$K195,$J195&gt;=R$3,$J195&lt;=IF(param_mode_affichage="mois",EOMONTH(R$3,0),R$3+6)),"◆",""))</f>
      </c>
      <c r="S195" s="26">
        <f>IF(OR($A195="",S$3=""),"",IF(AND($J195&lt;&gt;"",$K195&lt;&gt;"",$J195=$K195,$J195&gt;=S$3,$J195&lt;=IF(param_mode_affichage="mois",EOMONTH(S$3,0),S$3+6)),"◆",""))</f>
      </c>
      <c r="T195" s="26">
        <f>IF(OR($A195="",T$3=""),"",IF(AND($J195&lt;&gt;"",$K195&lt;&gt;"",$J195=$K195,$J195&gt;=T$3,$J195&lt;=IF(param_mode_affichage="mois",EOMONTH(T$3,0),T$3+6)),"◆",""))</f>
      </c>
      <c r="U195" s="26">
        <f>IF(OR($A195="",U$3=""),"",IF(AND($J195&lt;&gt;"",$K195&lt;&gt;"",$J195=$K195,$J195&gt;=U$3,$J195&lt;=IF(param_mode_affichage="mois",EOMONTH(U$3,0),U$3+6)),"◆",""))</f>
      </c>
      <c r="V195" s="26">
        <f>IF(OR($A195="",V$3=""),"",IF(AND($J195&lt;&gt;"",$K195&lt;&gt;"",$J195=$K195,$J195&gt;=V$3,$J195&lt;=IF(param_mode_affichage="mois",EOMONTH(V$3,0),V$3+6)),"◆",""))</f>
      </c>
      <c r="W195" s="26">
        <f>IF(OR($A195="",W$3=""),"",IF(AND($J195&lt;&gt;"",$K195&lt;&gt;"",$J195=$K195,$J195&gt;=W$3,$J195&lt;=IF(param_mode_affichage="mois",EOMONTH(W$3,0),W$3+6)),"◆",""))</f>
      </c>
      <c r="X195" s="26">
        <f>IF(OR($A195="",X$3=""),"",IF(AND($J195&lt;&gt;"",$K195&lt;&gt;"",$J195=$K195,$J195&gt;=X$3,$J195&lt;=IF(param_mode_affichage="mois",EOMONTH(X$3,0),X$3+6)),"◆",""))</f>
      </c>
      <c r="Y195" s="26">
        <f>IF(OR($A195="",Y$3=""),"",IF(AND($J195&lt;&gt;"",$K195&lt;&gt;"",$J195=$K195,$J195&gt;=Y$3,$J195&lt;=IF(param_mode_affichage="mois",EOMONTH(Y$3,0),Y$3+6)),"◆",""))</f>
      </c>
      <c r="Z195" s="26">
        <f>IF(OR($A195="",Z$3=""),"",IF(AND($J195&lt;&gt;"",$K195&lt;&gt;"",$J195=$K195,$J195&gt;=Z$3,$J195&lt;=IF(param_mode_affichage="mois",EOMONTH(Z$3,0),Z$3+6)),"◆",""))</f>
      </c>
      <c r="AA195" s="26">
        <f>IF(OR($A195="",AA$3=""),"",IF(AND($J195&lt;&gt;"",$K195&lt;&gt;"",$J195=$K195,$J195&gt;=AA$3,$J195&lt;=IF(param_mode_affichage="mois",EOMONTH(AA$3,0),AA$3+6)),"◆",""))</f>
      </c>
      <c r="AB195" s="26">
        <f>IF(OR($A195="",AB$3=""),"",IF(AND($J195&lt;&gt;"",$K195&lt;&gt;"",$J195=$K195,$J195&gt;=AB$3,$J195&lt;=IF(param_mode_affichage="mois",EOMONTH(AB$3,0),AB$3+6)),"◆",""))</f>
      </c>
      <c r="AC195" s="26">
        <f>IF(OR($A195="",AC$3=""),"",IF(AND($J195&lt;&gt;"",$K195&lt;&gt;"",$J195=$K195,$J195&gt;=AC$3,$J195&lt;=IF(param_mode_affichage="mois",EOMONTH(AC$3,0),AC$3+6)),"◆",""))</f>
      </c>
      <c r="AD195" s="26">
        <f>IF(OR($A195="",AD$3=""),"",IF(AND($J195&lt;&gt;"",$K195&lt;&gt;"",$J195=$K195,$J195&gt;=AD$3,$J195&lt;=IF(param_mode_affichage="mois",EOMONTH(AD$3,0),AD$3+6)),"◆",""))</f>
      </c>
      <c r="AE195" s="26">
        <f>IF(OR($A195="",AE$3=""),"",IF(AND($J195&lt;&gt;"",$K195&lt;&gt;"",$J195=$K195,$J195&gt;=AE$3,$J195&lt;=IF(param_mode_affichage="mois",EOMONTH(AE$3,0),AE$3+6)),"◆",""))</f>
      </c>
      <c r="AF195" s="26">
        <f>IF(OR($A195="",AF$3=""),"",IF(AND($J195&lt;&gt;"",$K195&lt;&gt;"",$J195=$K195,$J195&gt;=AF$3,$J195&lt;=IF(param_mode_affichage="mois",EOMONTH(AF$3,0),AF$3+6)),"◆",""))</f>
      </c>
      <c r="AG195" s="26">
        <f>IF(OR($A195="",AG$3=""),"",IF(AND($J195&lt;&gt;"",$K195&lt;&gt;"",$J195=$K195,$J195&gt;=AG$3,$J195&lt;=IF(param_mode_affichage="mois",EOMONTH(AG$3,0),AG$3+6)),"◆",""))</f>
      </c>
      <c r="AH195" s="26">
        <f>IF(OR($A195="",AH$3=""),"",IF(AND($J195&lt;&gt;"",$K195&lt;&gt;"",$J195=$K195,$J195&gt;=AH$3,$J195&lt;=IF(param_mode_affichage="mois",EOMONTH(AH$3,0),AH$3+6)),"◆",""))</f>
      </c>
      <c r="AI195" s="26">
        <f>IF(OR($A195="",AI$3=""),"",IF(AND($J195&lt;&gt;"",$K195&lt;&gt;"",$J195=$K195,$J195&gt;=AI$3,$J195&lt;=IF(param_mode_affichage="mois",EOMONTH(AI$3,0),AI$3+6)),"◆",""))</f>
      </c>
      <c r="AJ195" s="26">
        <f>IF(OR($A195="",AJ$3=""),"",IF(AND($J195&lt;&gt;"",$K195&lt;&gt;"",$J195=$K195,$J195&gt;=AJ$3,$J195&lt;=IF(param_mode_affichage="mois",EOMONTH(AJ$3,0),AJ$3+6)),"◆",""))</f>
      </c>
      <c r="AK195" s="26">
        <f>IF(OR($A195="",AK$3=""),"",IF(AND($J195&lt;&gt;"",$K195&lt;&gt;"",$J195=$K195,$J195&gt;=AK$3,$J195&lt;=IF(param_mode_affichage="mois",EOMONTH(AK$3,0),AK$3+6)),"◆",""))</f>
      </c>
      <c r="AL195" s="26">
        <f>IF(OR($A195="",AL$3=""),"",IF(AND($J195&lt;&gt;"",$K195&lt;&gt;"",$J195=$K195,$J195&gt;=AL$3,$J195&lt;=IF(param_mode_affichage="mois",EOMONTH(AL$3,0),AL$3+6)),"◆",""))</f>
      </c>
      <c r="AM195" s="26">
        <f>IF(OR($A195="",AM$3=""),"",IF(AND($J195&lt;&gt;"",$K195&lt;&gt;"",$J195=$K195,$J195&gt;=AM$3,$J195&lt;=IF(param_mode_affichage="mois",EOMONTH(AM$3,0),AM$3+6)),"◆",""))</f>
      </c>
      <c r="AN195" s="26">
        <f>IF(OR($A195="",AN$3=""),"",IF(AND($J195&lt;&gt;"",$K195&lt;&gt;"",$J195=$K195,$J195&gt;=AN$3,$J195&lt;=IF(param_mode_affichage="mois",EOMONTH(AN$3,0),AN$3+6)),"◆",""))</f>
      </c>
      <c r="AO195" s="26">
        <f>IF(OR($A195="",AO$3=""),"",IF(AND($J195&lt;&gt;"",$K195&lt;&gt;"",$J195=$K195,$J195&gt;=AO$3,$J195&lt;=IF(param_mode_affichage="mois",EOMONTH(AO$3,0),AO$3+6)),"◆",""))</f>
      </c>
      <c r="AP195" s="26">
        <f>IF(OR($A195="",AP$3=""),"",IF(AND($J195&lt;&gt;"",$K195&lt;&gt;"",$J195=$K195,$J195&gt;=AP$3,$J195&lt;=IF(param_mode_affichage="mois",EOMONTH(AP$3,0),AP$3+6)),"◆",""))</f>
      </c>
      <c r="AQ195" s="26">
        <f>IF(OR($A195="",AQ$3=""),"",IF(AND($J195&lt;&gt;"",$K195&lt;&gt;"",$J195=$K195,$J195&gt;=AQ$3,$J195&lt;=IF(param_mode_affichage="mois",EOMONTH(AQ$3,0),AQ$3+6)),"◆",""))</f>
      </c>
      <c r="AR195" s="26">
        <f>IF(OR($A195="",AR$3=""),"",IF(AND($J195&lt;&gt;"",$K195&lt;&gt;"",$J195=$K195,$J195&gt;=AR$3,$J195&lt;=IF(param_mode_affichage="mois",EOMONTH(AR$3,0),AR$3+6)),"◆",""))</f>
      </c>
      <c r="AS195" s="26">
        <f>IF(OR($A195="",AS$3=""),"",IF(AND($J195&lt;&gt;"",$K195&lt;&gt;"",$J195=$K195,$J195&gt;=AS$3,$J195&lt;=IF(param_mode_affichage="mois",EOMONTH(AS$3,0),AS$3+6)),"◆",""))</f>
      </c>
      <c r="AT195" s="26">
        <f>IF(OR($A195="",AT$3=""),"",IF(AND($J195&lt;&gt;"",$K195&lt;&gt;"",$J195=$K195,$J195&gt;=AT$3,$J195&lt;=IF(param_mode_affichage="mois",EOMONTH(AT$3,0),AT$3+6)),"◆",""))</f>
      </c>
      <c r="AU195" s="26">
        <f>IF(OR($A195="",AU$3=""),"",IF(AND($J195&lt;&gt;"",$K195&lt;&gt;"",$J195=$K195,$J195&gt;=AU$3,$J195&lt;=IF(param_mode_affichage="mois",EOMONTH(AU$3,0),AU$3+6)),"◆",""))</f>
      </c>
      <c r="AV195" s="26">
        <f>IF(OR($A195="",AV$3=""),"",IF(AND($J195&lt;&gt;"",$K195&lt;&gt;"",$J195=$K195,$J195&gt;=AV$3,$J195&lt;=IF(param_mode_affichage="mois",EOMONTH(AV$3,0),AV$3+6)),"◆",""))</f>
      </c>
      <c r="AW195" s="26">
        <f>IF(OR($A195="",AW$3=""),"",IF(AND($J195&lt;&gt;"",$K195&lt;&gt;"",$J195=$K195,$J195&gt;=AW$3,$J195&lt;=IF(param_mode_affichage="mois",EOMONTH(AW$3,0),AW$3+6)),"◆",""))</f>
      </c>
      <c r="AX195" s="26">
        <f>IF(OR($A195="",AX$3=""),"",IF(AND($J195&lt;&gt;"",$K195&lt;&gt;"",$J195=$K195,$J195&gt;=AX$3,$J195&lt;=IF(param_mode_affichage="mois",EOMONTH(AX$3,0),AX$3+6)),"◆",""))</f>
      </c>
      <c r="AY195" s="26">
        <f>IF(OR($A195="",AY$3=""),"",IF(AND($J195&lt;&gt;"",$K195&lt;&gt;"",$J195=$K195,$J195&gt;=AY$3,$J195&lt;=IF(param_mode_affichage="mois",EOMONTH(AY$3,0),AY$3+6)),"◆",""))</f>
      </c>
      <c r="AZ195" s="26">
        <f>IF(OR($A195="",AZ$3=""),"",IF(AND($J195&lt;&gt;"",$K195&lt;&gt;"",$J195=$K195,$J195&gt;=AZ$3,$J195&lt;=IF(param_mode_affichage="mois",EOMONTH(AZ$3,0),AZ$3+6)),"◆",""))</f>
      </c>
      <c r="BA195" s="26">
        <f>IF(OR($A195="",BA$3=""),"",IF(AND($J195&lt;&gt;"",$K195&lt;&gt;"",$J195=$K195,$J195&gt;=BA$3,$J195&lt;=IF(param_mode_affichage="mois",EOMONTH(BA$3,0),BA$3+6)),"◆",""))</f>
      </c>
      <c r="BB195" s="26">
        <f>IF(OR($A195="",BB$3=""),"",IF(AND($J195&lt;&gt;"",$K195&lt;&gt;"",$J195=$K195,$J195&gt;=BB$3,$J195&lt;=IF(param_mode_affichage="mois",EOMONTH(BB$3,0),BB$3+6)),"◆",""))</f>
      </c>
      <c r="BC195" s="26">
        <f>IF(OR($A195="",BC$3=""),"",IF(AND($J195&lt;&gt;"",$K195&lt;&gt;"",$J195=$K195,$J195&gt;=BC$3,$J195&lt;=IF(param_mode_affichage="mois",EOMONTH(BC$3,0),BC$3+6)),"◆",""))</f>
      </c>
      <c r="BD195" s="26">
        <f>IF(OR($A195="",BD$3=""),"",IF(AND($J195&lt;&gt;"",$K195&lt;&gt;"",$J195=$K195,$J195&gt;=BD$3,$J195&lt;=IF(param_mode_affichage="mois",EOMONTH(BD$3,0),BD$3+6)),"◆",""))</f>
      </c>
      <c r="BE195" s="26">
        <f>IF(OR($A195="",BE$3=""),"",IF(AND($J195&lt;&gt;"",$K195&lt;&gt;"",$J195=$K195,$J195&gt;=BE$3,$J195&lt;=IF(param_mode_affichage="mois",EOMONTH(BE$3,0),BE$3+6)),"◆",""))</f>
      </c>
      <c r="BF195" s="26">
        <f>IF(OR($A195="",BF$3=""),"",IF(AND($J195&lt;&gt;"",$K195&lt;&gt;"",$J195=$K195,$J195&gt;=BF$3,$J195&lt;=IF(param_mode_affichage="mois",EOMONTH(BF$3,0),BF$3+6)),"◆",""))</f>
      </c>
      <c r="BG195" s="26">
        <f>IF(OR($A195="",BG$3=""),"",IF(AND($J195&lt;&gt;"",$K195&lt;&gt;"",$J195=$K195,$J195&gt;=BG$3,$J195&lt;=IF(param_mode_affichage="mois",EOMONTH(BG$3,0),BG$3+6)),"◆",""))</f>
      </c>
      <c r="BH195" s="26">
        <f>IF(OR($A195="",BH$3=""),"",IF(AND($J195&lt;&gt;"",$K195&lt;&gt;"",$J195=$K195,$J195&gt;=BH$3,$J195&lt;=IF(param_mode_affichage="mois",EOMONTH(BH$3,0),BH$3+6)),"◆",""))</f>
      </c>
      <c r="BI195" s="26">
        <f>IF(OR($A195="",BI$3=""),"",IF(AND($J195&lt;&gt;"",$K195&lt;&gt;"",$J195=$K195,$J195&gt;=BI$3,$J195&lt;=IF(param_mode_affichage="mois",EOMONTH(BI$3,0),BI$3+6)),"◆",""))</f>
      </c>
      <c r="BJ195" s="26">
        <f>IF(OR($A195="",BJ$3=""),"",IF(AND($J195&lt;&gt;"",$K195&lt;&gt;"",$J195=$K195,$J195&gt;=BJ$3,$J195&lt;=IF(param_mode_affichage="mois",EOMONTH(BJ$3,0),BJ$3+6)),"◆",""))</f>
      </c>
      <c r="BK195" s="26">
        <f>IF(OR($A195="",BK$3=""),"",IF(AND($J195&lt;&gt;"",$K195&lt;&gt;"",$J195=$K195,$J195&gt;=BK$3,$J195&lt;=IF(param_mode_affichage="mois",EOMONTH(BK$3,0),BK$3+6)),"◆",""))</f>
      </c>
      <c r="BL195" s="26">
        <f>IF(OR($A195="",BL$3=""),"",IF(AND($J195&lt;&gt;"",$K195&lt;&gt;"",$J195=$K195,$J195&gt;=BL$3,$J195&lt;=IF(param_mode_affichage="mois",EOMONTH(BL$3,0),BL$3+6)),"◆",""))</f>
      </c>
    </row>
    <row r="196" spans="1:64" x14ac:dyDescent="0.25">
      <c r="A196" s="23">
        <f>IFERROR(INDEX(tblTasks[ID],ROW()-4),"")</f>
      </c>
      <c r="B196" s="24">
        <f>IF($A196="","",INDEX(tblTasks[Sujet],ROW()-4))</f>
      </c>
      <c r="C196" s="23">
        <f>IF($A196="","",INDEX(tblTasks[Responsable],ROW()-4))</f>
      </c>
      <c r="D196" s="23">
        <f>IF($A196="","",INDEX(tblTasks[Statut],ROW()-4))</f>
      </c>
      <c r="E196" s="23">
        <f>IF($A196="","",INDEX(tblTasks[Depend_de],ROW()-4))</f>
      </c>
      <c r="F196" s="23">
        <f>IF($A196="","",INDEX(tblTasks[Blocage],ROW()-4))</f>
      </c>
      <c r="G196" s="23">
        <f>IF($A196="","",INDEX(tblTasks[Niveau_criticite],ROW()-4))</f>
      </c>
      <c r="H196" s="23">
        <f>IF($A196="","",INDEX(tblTasks[Goulot],ROW()-4))</f>
      </c>
      <c r="I196" s="23">
        <f>IF($A196="","",IF(LOWER($F196)="oui","non",IF($E196="","oui",IFERROR(IF(LOWER(INDEX(tblTasks[Statut],MATCH($E196,tblTasks[ID],0)))="clos","oui","non"),"non"))))</f>
      </c>
      <c r="J196" s="25">
        <f>IF($A196="","",INDEX(tblTasks[Date_debut_prevue],ROW()-4))</f>
      </c>
      <c r="K196" s="25">
        <f>IF($A196="","",INDEX(tblTasks[Date_fin_prevue],ROW()-4))</f>
      </c>
      <c r="L196" s="23">
        <f>IF($A196="","",INDEX(tblTasks[Irreversibilite],ROW()-4))</f>
      </c>
      <c r="M196" s="26">
        <f>IF(OR($A196="",M$3=""),"",IF(AND($J196&lt;&gt;"",$K196&lt;&gt;"",$J196=$K196,$J196&gt;=M$3,$J196&lt;=IF(param_mode_affichage="mois",EOMONTH(M$3,0),M$3+6)),"◆",""))</f>
      </c>
      <c r="N196" s="26">
        <f>IF(OR($A196="",N$3=""),"",IF(AND($J196&lt;&gt;"",$K196&lt;&gt;"",$J196=$K196,$J196&gt;=N$3,$J196&lt;=IF(param_mode_affichage="mois",EOMONTH(N$3,0),N$3+6)),"◆",""))</f>
      </c>
      <c r="O196" s="26">
        <f>IF(OR($A196="",O$3=""),"",IF(AND($J196&lt;&gt;"",$K196&lt;&gt;"",$J196=$K196,$J196&gt;=O$3,$J196&lt;=IF(param_mode_affichage="mois",EOMONTH(O$3,0),O$3+6)),"◆",""))</f>
      </c>
      <c r="P196" s="26">
        <f>IF(OR($A196="",P$3=""),"",IF(AND($J196&lt;&gt;"",$K196&lt;&gt;"",$J196=$K196,$J196&gt;=P$3,$J196&lt;=IF(param_mode_affichage="mois",EOMONTH(P$3,0),P$3+6)),"◆",""))</f>
      </c>
      <c r="Q196" s="26">
        <f>IF(OR($A196="",Q$3=""),"",IF(AND($J196&lt;&gt;"",$K196&lt;&gt;"",$J196=$K196,$J196&gt;=Q$3,$J196&lt;=IF(param_mode_affichage="mois",EOMONTH(Q$3,0),Q$3+6)),"◆",""))</f>
      </c>
      <c r="R196" s="26">
        <f>IF(OR($A196="",R$3=""),"",IF(AND($J196&lt;&gt;"",$K196&lt;&gt;"",$J196=$K196,$J196&gt;=R$3,$J196&lt;=IF(param_mode_affichage="mois",EOMONTH(R$3,0),R$3+6)),"◆",""))</f>
      </c>
      <c r="S196" s="26">
        <f>IF(OR($A196="",S$3=""),"",IF(AND($J196&lt;&gt;"",$K196&lt;&gt;"",$J196=$K196,$J196&gt;=S$3,$J196&lt;=IF(param_mode_affichage="mois",EOMONTH(S$3,0),S$3+6)),"◆",""))</f>
      </c>
      <c r="T196" s="26">
        <f>IF(OR($A196="",T$3=""),"",IF(AND($J196&lt;&gt;"",$K196&lt;&gt;"",$J196=$K196,$J196&gt;=T$3,$J196&lt;=IF(param_mode_affichage="mois",EOMONTH(T$3,0),T$3+6)),"◆",""))</f>
      </c>
      <c r="U196" s="26">
        <f>IF(OR($A196="",U$3=""),"",IF(AND($J196&lt;&gt;"",$K196&lt;&gt;"",$J196=$K196,$J196&gt;=U$3,$J196&lt;=IF(param_mode_affichage="mois",EOMONTH(U$3,0),U$3+6)),"◆",""))</f>
      </c>
      <c r="V196" s="26">
        <f>IF(OR($A196="",V$3=""),"",IF(AND($J196&lt;&gt;"",$K196&lt;&gt;"",$J196=$K196,$J196&gt;=V$3,$J196&lt;=IF(param_mode_affichage="mois",EOMONTH(V$3,0),V$3+6)),"◆",""))</f>
      </c>
      <c r="W196" s="26">
        <f>IF(OR($A196="",W$3=""),"",IF(AND($J196&lt;&gt;"",$K196&lt;&gt;"",$J196=$K196,$J196&gt;=W$3,$J196&lt;=IF(param_mode_affichage="mois",EOMONTH(W$3,0),W$3+6)),"◆",""))</f>
      </c>
      <c r="X196" s="26">
        <f>IF(OR($A196="",X$3=""),"",IF(AND($J196&lt;&gt;"",$K196&lt;&gt;"",$J196=$K196,$J196&gt;=X$3,$J196&lt;=IF(param_mode_affichage="mois",EOMONTH(X$3,0),X$3+6)),"◆",""))</f>
      </c>
      <c r="Y196" s="26">
        <f>IF(OR($A196="",Y$3=""),"",IF(AND($J196&lt;&gt;"",$K196&lt;&gt;"",$J196=$K196,$J196&gt;=Y$3,$J196&lt;=IF(param_mode_affichage="mois",EOMONTH(Y$3,0),Y$3+6)),"◆",""))</f>
      </c>
      <c r="Z196" s="26">
        <f>IF(OR($A196="",Z$3=""),"",IF(AND($J196&lt;&gt;"",$K196&lt;&gt;"",$J196=$K196,$J196&gt;=Z$3,$J196&lt;=IF(param_mode_affichage="mois",EOMONTH(Z$3,0),Z$3+6)),"◆",""))</f>
      </c>
      <c r="AA196" s="26">
        <f>IF(OR($A196="",AA$3=""),"",IF(AND($J196&lt;&gt;"",$K196&lt;&gt;"",$J196=$K196,$J196&gt;=AA$3,$J196&lt;=IF(param_mode_affichage="mois",EOMONTH(AA$3,0),AA$3+6)),"◆",""))</f>
      </c>
      <c r="AB196" s="26">
        <f>IF(OR($A196="",AB$3=""),"",IF(AND($J196&lt;&gt;"",$K196&lt;&gt;"",$J196=$K196,$J196&gt;=AB$3,$J196&lt;=IF(param_mode_affichage="mois",EOMONTH(AB$3,0),AB$3+6)),"◆",""))</f>
      </c>
      <c r="AC196" s="26">
        <f>IF(OR($A196="",AC$3=""),"",IF(AND($J196&lt;&gt;"",$K196&lt;&gt;"",$J196=$K196,$J196&gt;=AC$3,$J196&lt;=IF(param_mode_affichage="mois",EOMONTH(AC$3,0),AC$3+6)),"◆",""))</f>
      </c>
      <c r="AD196" s="26">
        <f>IF(OR($A196="",AD$3=""),"",IF(AND($J196&lt;&gt;"",$K196&lt;&gt;"",$J196=$K196,$J196&gt;=AD$3,$J196&lt;=IF(param_mode_affichage="mois",EOMONTH(AD$3,0),AD$3+6)),"◆",""))</f>
      </c>
      <c r="AE196" s="26">
        <f>IF(OR($A196="",AE$3=""),"",IF(AND($J196&lt;&gt;"",$K196&lt;&gt;"",$J196=$K196,$J196&gt;=AE$3,$J196&lt;=IF(param_mode_affichage="mois",EOMONTH(AE$3,0),AE$3+6)),"◆",""))</f>
      </c>
      <c r="AF196" s="26">
        <f>IF(OR($A196="",AF$3=""),"",IF(AND($J196&lt;&gt;"",$K196&lt;&gt;"",$J196=$K196,$J196&gt;=AF$3,$J196&lt;=IF(param_mode_affichage="mois",EOMONTH(AF$3,0),AF$3+6)),"◆",""))</f>
      </c>
      <c r="AG196" s="26">
        <f>IF(OR($A196="",AG$3=""),"",IF(AND($J196&lt;&gt;"",$K196&lt;&gt;"",$J196=$K196,$J196&gt;=AG$3,$J196&lt;=IF(param_mode_affichage="mois",EOMONTH(AG$3,0),AG$3+6)),"◆",""))</f>
      </c>
      <c r="AH196" s="26">
        <f>IF(OR($A196="",AH$3=""),"",IF(AND($J196&lt;&gt;"",$K196&lt;&gt;"",$J196=$K196,$J196&gt;=AH$3,$J196&lt;=IF(param_mode_affichage="mois",EOMONTH(AH$3,0),AH$3+6)),"◆",""))</f>
      </c>
      <c r="AI196" s="26">
        <f>IF(OR($A196="",AI$3=""),"",IF(AND($J196&lt;&gt;"",$K196&lt;&gt;"",$J196=$K196,$J196&gt;=AI$3,$J196&lt;=IF(param_mode_affichage="mois",EOMONTH(AI$3,0),AI$3+6)),"◆",""))</f>
      </c>
      <c r="AJ196" s="26">
        <f>IF(OR($A196="",AJ$3=""),"",IF(AND($J196&lt;&gt;"",$K196&lt;&gt;"",$J196=$K196,$J196&gt;=AJ$3,$J196&lt;=IF(param_mode_affichage="mois",EOMONTH(AJ$3,0),AJ$3+6)),"◆",""))</f>
      </c>
      <c r="AK196" s="26">
        <f>IF(OR($A196="",AK$3=""),"",IF(AND($J196&lt;&gt;"",$K196&lt;&gt;"",$J196=$K196,$J196&gt;=AK$3,$J196&lt;=IF(param_mode_affichage="mois",EOMONTH(AK$3,0),AK$3+6)),"◆",""))</f>
      </c>
      <c r="AL196" s="26">
        <f>IF(OR($A196="",AL$3=""),"",IF(AND($J196&lt;&gt;"",$K196&lt;&gt;"",$J196=$K196,$J196&gt;=AL$3,$J196&lt;=IF(param_mode_affichage="mois",EOMONTH(AL$3,0),AL$3+6)),"◆",""))</f>
      </c>
      <c r="AM196" s="26">
        <f>IF(OR($A196="",AM$3=""),"",IF(AND($J196&lt;&gt;"",$K196&lt;&gt;"",$J196=$K196,$J196&gt;=AM$3,$J196&lt;=IF(param_mode_affichage="mois",EOMONTH(AM$3,0),AM$3+6)),"◆",""))</f>
      </c>
      <c r="AN196" s="26">
        <f>IF(OR($A196="",AN$3=""),"",IF(AND($J196&lt;&gt;"",$K196&lt;&gt;"",$J196=$K196,$J196&gt;=AN$3,$J196&lt;=IF(param_mode_affichage="mois",EOMONTH(AN$3,0),AN$3+6)),"◆",""))</f>
      </c>
      <c r="AO196" s="26">
        <f>IF(OR($A196="",AO$3=""),"",IF(AND($J196&lt;&gt;"",$K196&lt;&gt;"",$J196=$K196,$J196&gt;=AO$3,$J196&lt;=IF(param_mode_affichage="mois",EOMONTH(AO$3,0),AO$3+6)),"◆",""))</f>
      </c>
      <c r="AP196" s="26">
        <f>IF(OR($A196="",AP$3=""),"",IF(AND($J196&lt;&gt;"",$K196&lt;&gt;"",$J196=$K196,$J196&gt;=AP$3,$J196&lt;=IF(param_mode_affichage="mois",EOMONTH(AP$3,0),AP$3+6)),"◆",""))</f>
      </c>
      <c r="AQ196" s="26">
        <f>IF(OR($A196="",AQ$3=""),"",IF(AND($J196&lt;&gt;"",$K196&lt;&gt;"",$J196=$K196,$J196&gt;=AQ$3,$J196&lt;=IF(param_mode_affichage="mois",EOMONTH(AQ$3,0),AQ$3+6)),"◆",""))</f>
      </c>
      <c r="AR196" s="26">
        <f>IF(OR($A196="",AR$3=""),"",IF(AND($J196&lt;&gt;"",$K196&lt;&gt;"",$J196=$K196,$J196&gt;=AR$3,$J196&lt;=IF(param_mode_affichage="mois",EOMONTH(AR$3,0),AR$3+6)),"◆",""))</f>
      </c>
      <c r="AS196" s="26">
        <f>IF(OR($A196="",AS$3=""),"",IF(AND($J196&lt;&gt;"",$K196&lt;&gt;"",$J196=$K196,$J196&gt;=AS$3,$J196&lt;=IF(param_mode_affichage="mois",EOMONTH(AS$3,0),AS$3+6)),"◆",""))</f>
      </c>
      <c r="AT196" s="26">
        <f>IF(OR($A196="",AT$3=""),"",IF(AND($J196&lt;&gt;"",$K196&lt;&gt;"",$J196=$K196,$J196&gt;=AT$3,$J196&lt;=IF(param_mode_affichage="mois",EOMONTH(AT$3,0),AT$3+6)),"◆",""))</f>
      </c>
      <c r="AU196" s="26">
        <f>IF(OR($A196="",AU$3=""),"",IF(AND($J196&lt;&gt;"",$K196&lt;&gt;"",$J196=$K196,$J196&gt;=AU$3,$J196&lt;=IF(param_mode_affichage="mois",EOMONTH(AU$3,0),AU$3+6)),"◆",""))</f>
      </c>
      <c r="AV196" s="26">
        <f>IF(OR($A196="",AV$3=""),"",IF(AND($J196&lt;&gt;"",$K196&lt;&gt;"",$J196=$K196,$J196&gt;=AV$3,$J196&lt;=IF(param_mode_affichage="mois",EOMONTH(AV$3,0),AV$3+6)),"◆",""))</f>
      </c>
      <c r="AW196" s="26">
        <f>IF(OR($A196="",AW$3=""),"",IF(AND($J196&lt;&gt;"",$K196&lt;&gt;"",$J196=$K196,$J196&gt;=AW$3,$J196&lt;=IF(param_mode_affichage="mois",EOMONTH(AW$3,0),AW$3+6)),"◆",""))</f>
      </c>
      <c r="AX196" s="26">
        <f>IF(OR($A196="",AX$3=""),"",IF(AND($J196&lt;&gt;"",$K196&lt;&gt;"",$J196=$K196,$J196&gt;=AX$3,$J196&lt;=IF(param_mode_affichage="mois",EOMONTH(AX$3,0),AX$3+6)),"◆",""))</f>
      </c>
      <c r="AY196" s="26">
        <f>IF(OR($A196="",AY$3=""),"",IF(AND($J196&lt;&gt;"",$K196&lt;&gt;"",$J196=$K196,$J196&gt;=AY$3,$J196&lt;=IF(param_mode_affichage="mois",EOMONTH(AY$3,0),AY$3+6)),"◆",""))</f>
      </c>
      <c r="AZ196" s="26">
        <f>IF(OR($A196="",AZ$3=""),"",IF(AND($J196&lt;&gt;"",$K196&lt;&gt;"",$J196=$K196,$J196&gt;=AZ$3,$J196&lt;=IF(param_mode_affichage="mois",EOMONTH(AZ$3,0),AZ$3+6)),"◆",""))</f>
      </c>
      <c r="BA196" s="26">
        <f>IF(OR($A196="",BA$3=""),"",IF(AND($J196&lt;&gt;"",$K196&lt;&gt;"",$J196=$K196,$J196&gt;=BA$3,$J196&lt;=IF(param_mode_affichage="mois",EOMONTH(BA$3,0),BA$3+6)),"◆",""))</f>
      </c>
      <c r="BB196" s="26">
        <f>IF(OR($A196="",BB$3=""),"",IF(AND($J196&lt;&gt;"",$K196&lt;&gt;"",$J196=$K196,$J196&gt;=BB$3,$J196&lt;=IF(param_mode_affichage="mois",EOMONTH(BB$3,0),BB$3+6)),"◆",""))</f>
      </c>
      <c r="BC196" s="26">
        <f>IF(OR($A196="",BC$3=""),"",IF(AND($J196&lt;&gt;"",$K196&lt;&gt;"",$J196=$K196,$J196&gt;=BC$3,$J196&lt;=IF(param_mode_affichage="mois",EOMONTH(BC$3,0),BC$3+6)),"◆",""))</f>
      </c>
      <c r="BD196" s="26">
        <f>IF(OR($A196="",BD$3=""),"",IF(AND($J196&lt;&gt;"",$K196&lt;&gt;"",$J196=$K196,$J196&gt;=BD$3,$J196&lt;=IF(param_mode_affichage="mois",EOMONTH(BD$3,0),BD$3+6)),"◆",""))</f>
      </c>
      <c r="BE196" s="26">
        <f>IF(OR($A196="",BE$3=""),"",IF(AND($J196&lt;&gt;"",$K196&lt;&gt;"",$J196=$K196,$J196&gt;=BE$3,$J196&lt;=IF(param_mode_affichage="mois",EOMONTH(BE$3,0),BE$3+6)),"◆",""))</f>
      </c>
      <c r="BF196" s="26">
        <f>IF(OR($A196="",BF$3=""),"",IF(AND($J196&lt;&gt;"",$K196&lt;&gt;"",$J196=$K196,$J196&gt;=BF$3,$J196&lt;=IF(param_mode_affichage="mois",EOMONTH(BF$3,0),BF$3+6)),"◆",""))</f>
      </c>
      <c r="BG196" s="26">
        <f>IF(OR($A196="",BG$3=""),"",IF(AND($J196&lt;&gt;"",$K196&lt;&gt;"",$J196=$K196,$J196&gt;=BG$3,$J196&lt;=IF(param_mode_affichage="mois",EOMONTH(BG$3,0),BG$3+6)),"◆",""))</f>
      </c>
      <c r="BH196" s="26">
        <f>IF(OR($A196="",BH$3=""),"",IF(AND($J196&lt;&gt;"",$K196&lt;&gt;"",$J196=$K196,$J196&gt;=BH$3,$J196&lt;=IF(param_mode_affichage="mois",EOMONTH(BH$3,0),BH$3+6)),"◆",""))</f>
      </c>
      <c r="BI196" s="26">
        <f>IF(OR($A196="",BI$3=""),"",IF(AND($J196&lt;&gt;"",$K196&lt;&gt;"",$J196=$K196,$J196&gt;=BI$3,$J196&lt;=IF(param_mode_affichage="mois",EOMONTH(BI$3,0),BI$3+6)),"◆",""))</f>
      </c>
      <c r="BJ196" s="26">
        <f>IF(OR($A196="",BJ$3=""),"",IF(AND($J196&lt;&gt;"",$K196&lt;&gt;"",$J196=$K196,$J196&gt;=BJ$3,$J196&lt;=IF(param_mode_affichage="mois",EOMONTH(BJ$3,0),BJ$3+6)),"◆",""))</f>
      </c>
      <c r="BK196" s="26">
        <f>IF(OR($A196="",BK$3=""),"",IF(AND($J196&lt;&gt;"",$K196&lt;&gt;"",$J196=$K196,$J196&gt;=BK$3,$J196&lt;=IF(param_mode_affichage="mois",EOMONTH(BK$3,0),BK$3+6)),"◆",""))</f>
      </c>
      <c r="BL196" s="26">
        <f>IF(OR($A196="",BL$3=""),"",IF(AND($J196&lt;&gt;"",$K196&lt;&gt;"",$J196=$K196,$J196&gt;=BL$3,$J196&lt;=IF(param_mode_affichage="mois",EOMONTH(BL$3,0),BL$3+6)),"◆",""))</f>
      </c>
    </row>
    <row r="197" spans="1:64" x14ac:dyDescent="0.25">
      <c r="A197" s="23">
        <f>IFERROR(INDEX(tblTasks[ID],ROW()-4),"")</f>
      </c>
      <c r="B197" s="24">
        <f>IF($A197="","",INDEX(tblTasks[Sujet],ROW()-4))</f>
      </c>
      <c r="C197" s="23">
        <f>IF($A197="","",INDEX(tblTasks[Responsable],ROW()-4))</f>
      </c>
      <c r="D197" s="23">
        <f>IF($A197="","",INDEX(tblTasks[Statut],ROW()-4))</f>
      </c>
      <c r="E197" s="23">
        <f>IF($A197="","",INDEX(tblTasks[Depend_de],ROW()-4))</f>
      </c>
      <c r="F197" s="23">
        <f>IF($A197="","",INDEX(tblTasks[Blocage],ROW()-4))</f>
      </c>
      <c r="G197" s="23">
        <f>IF($A197="","",INDEX(tblTasks[Niveau_criticite],ROW()-4))</f>
      </c>
      <c r="H197" s="23">
        <f>IF($A197="","",INDEX(tblTasks[Goulot],ROW()-4))</f>
      </c>
      <c r="I197" s="23">
        <f>IF($A197="","",IF(LOWER($F197)="oui","non",IF($E197="","oui",IFERROR(IF(LOWER(INDEX(tblTasks[Statut],MATCH($E197,tblTasks[ID],0)))="clos","oui","non"),"non"))))</f>
      </c>
      <c r="J197" s="25">
        <f>IF($A197="","",INDEX(tblTasks[Date_debut_prevue],ROW()-4))</f>
      </c>
      <c r="K197" s="25">
        <f>IF($A197="","",INDEX(tblTasks[Date_fin_prevue],ROW()-4))</f>
      </c>
      <c r="L197" s="23">
        <f>IF($A197="","",INDEX(tblTasks[Irreversibilite],ROW()-4))</f>
      </c>
      <c r="M197" s="26">
        <f>IF(OR($A197="",M$3=""),"",IF(AND($J197&lt;&gt;"",$K197&lt;&gt;"",$J197=$K197,$J197&gt;=M$3,$J197&lt;=IF(param_mode_affichage="mois",EOMONTH(M$3,0),M$3+6)),"◆",""))</f>
      </c>
      <c r="N197" s="26">
        <f>IF(OR($A197="",N$3=""),"",IF(AND($J197&lt;&gt;"",$K197&lt;&gt;"",$J197=$K197,$J197&gt;=N$3,$J197&lt;=IF(param_mode_affichage="mois",EOMONTH(N$3,0),N$3+6)),"◆",""))</f>
      </c>
      <c r="O197" s="26">
        <f>IF(OR($A197="",O$3=""),"",IF(AND($J197&lt;&gt;"",$K197&lt;&gt;"",$J197=$K197,$J197&gt;=O$3,$J197&lt;=IF(param_mode_affichage="mois",EOMONTH(O$3,0),O$3+6)),"◆",""))</f>
      </c>
      <c r="P197" s="26">
        <f>IF(OR($A197="",P$3=""),"",IF(AND($J197&lt;&gt;"",$K197&lt;&gt;"",$J197=$K197,$J197&gt;=P$3,$J197&lt;=IF(param_mode_affichage="mois",EOMONTH(P$3,0),P$3+6)),"◆",""))</f>
      </c>
      <c r="Q197" s="26">
        <f>IF(OR($A197="",Q$3=""),"",IF(AND($J197&lt;&gt;"",$K197&lt;&gt;"",$J197=$K197,$J197&gt;=Q$3,$J197&lt;=IF(param_mode_affichage="mois",EOMONTH(Q$3,0),Q$3+6)),"◆",""))</f>
      </c>
      <c r="R197" s="26">
        <f>IF(OR($A197="",R$3=""),"",IF(AND($J197&lt;&gt;"",$K197&lt;&gt;"",$J197=$K197,$J197&gt;=R$3,$J197&lt;=IF(param_mode_affichage="mois",EOMONTH(R$3,0),R$3+6)),"◆",""))</f>
      </c>
      <c r="S197" s="26">
        <f>IF(OR($A197="",S$3=""),"",IF(AND($J197&lt;&gt;"",$K197&lt;&gt;"",$J197=$K197,$J197&gt;=S$3,$J197&lt;=IF(param_mode_affichage="mois",EOMONTH(S$3,0),S$3+6)),"◆",""))</f>
      </c>
      <c r="T197" s="26">
        <f>IF(OR($A197="",T$3=""),"",IF(AND($J197&lt;&gt;"",$K197&lt;&gt;"",$J197=$K197,$J197&gt;=T$3,$J197&lt;=IF(param_mode_affichage="mois",EOMONTH(T$3,0),T$3+6)),"◆",""))</f>
      </c>
      <c r="U197" s="26">
        <f>IF(OR($A197="",U$3=""),"",IF(AND($J197&lt;&gt;"",$K197&lt;&gt;"",$J197=$K197,$J197&gt;=U$3,$J197&lt;=IF(param_mode_affichage="mois",EOMONTH(U$3,0),U$3+6)),"◆",""))</f>
      </c>
      <c r="V197" s="26">
        <f>IF(OR($A197="",V$3=""),"",IF(AND($J197&lt;&gt;"",$K197&lt;&gt;"",$J197=$K197,$J197&gt;=V$3,$J197&lt;=IF(param_mode_affichage="mois",EOMONTH(V$3,0),V$3+6)),"◆",""))</f>
      </c>
      <c r="W197" s="26">
        <f>IF(OR($A197="",W$3=""),"",IF(AND($J197&lt;&gt;"",$K197&lt;&gt;"",$J197=$K197,$J197&gt;=W$3,$J197&lt;=IF(param_mode_affichage="mois",EOMONTH(W$3,0),W$3+6)),"◆",""))</f>
      </c>
      <c r="X197" s="26">
        <f>IF(OR($A197="",X$3=""),"",IF(AND($J197&lt;&gt;"",$K197&lt;&gt;"",$J197=$K197,$J197&gt;=X$3,$J197&lt;=IF(param_mode_affichage="mois",EOMONTH(X$3,0),X$3+6)),"◆",""))</f>
      </c>
      <c r="Y197" s="26">
        <f>IF(OR($A197="",Y$3=""),"",IF(AND($J197&lt;&gt;"",$K197&lt;&gt;"",$J197=$K197,$J197&gt;=Y$3,$J197&lt;=IF(param_mode_affichage="mois",EOMONTH(Y$3,0),Y$3+6)),"◆",""))</f>
      </c>
      <c r="Z197" s="26">
        <f>IF(OR($A197="",Z$3=""),"",IF(AND($J197&lt;&gt;"",$K197&lt;&gt;"",$J197=$K197,$J197&gt;=Z$3,$J197&lt;=IF(param_mode_affichage="mois",EOMONTH(Z$3,0),Z$3+6)),"◆",""))</f>
      </c>
      <c r="AA197" s="26">
        <f>IF(OR($A197="",AA$3=""),"",IF(AND($J197&lt;&gt;"",$K197&lt;&gt;"",$J197=$K197,$J197&gt;=AA$3,$J197&lt;=IF(param_mode_affichage="mois",EOMONTH(AA$3,0),AA$3+6)),"◆",""))</f>
      </c>
      <c r="AB197" s="26">
        <f>IF(OR($A197="",AB$3=""),"",IF(AND($J197&lt;&gt;"",$K197&lt;&gt;"",$J197=$K197,$J197&gt;=AB$3,$J197&lt;=IF(param_mode_affichage="mois",EOMONTH(AB$3,0),AB$3+6)),"◆",""))</f>
      </c>
      <c r="AC197" s="26">
        <f>IF(OR($A197="",AC$3=""),"",IF(AND($J197&lt;&gt;"",$K197&lt;&gt;"",$J197=$K197,$J197&gt;=AC$3,$J197&lt;=IF(param_mode_affichage="mois",EOMONTH(AC$3,0),AC$3+6)),"◆",""))</f>
      </c>
      <c r="AD197" s="26">
        <f>IF(OR($A197="",AD$3=""),"",IF(AND($J197&lt;&gt;"",$K197&lt;&gt;"",$J197=$K197,$J197&gt;=AD$3,$J197&lt;=IF(param_mode_affichage="mois",EOMONTH(AD$3,0),AD$3+6)),"◆",""))</f>
      </c>
      <c r="AE197" s="26">
        <f>IF(OR($A197="",AE$3=""),"",IF(AND($J197&lt;&gt;"",$K197&lt;&gt;"",$J197=$K197,$J197&gt;=AE$3,$J197&lt;=IF(param_mode_affichage="mois",EOMONTH(AE$3,0),AE$3+6)),"◆",""))</f>
      </c>
      <c r="AF197" s="26">
        <f>IF(OR($A197="",AF$3=""),"",IF(AND($J197&lt;&gt;"",$K197&lt;&gt;"",$J197=$K197,$J197&gt;=AF$3,$J197&lt;=IF(param_mode_affichage="mois",EOMONTH(AF$3,0),AF$3+6)),"◆",""))</f>
      </c>
      <c r="AG197" s="26">
        <f>IF(OR($A197="",AG$3=""),"",IF(AND($J197&lt;&gt;"",$K197&lt;&gt;"",$J197=$K197,$J197&gt;=AG$3,$J197&lt;=IF(param_mode_affichage="mois",EOMONTH(AG$3,0),AG$3+6)),"◆",""))</f>
      </c>
      <c r="AH197" s="26">
        <f>IF(OR($A197="",AH$3=""),"",IF(AND($J197&lt;&gt;"",$K197&lt;&gt;"",$J197=$K197,$J197&gt;=AH$3,$J197&lt;=IF(param_mode_affichage="mois",EOMONTH(AH$3,0),AH$3+6)),"◆",""))</f>
      </c>
      <c r="AI197" s="26">
        <f>IF(OR($A197="",AI$3=""),"",IF(AND($J197&lt;&gt;"",$K197&lt;&gt;"",$J197=$K197,$J197&gt;=AI$3,$J197&lt;=IF(param_mode_affichage="mois",EOMONTH(AI$3,0),AI$3+6)),"◆",""))</f>
      </c>
      <c r="AJ197" s="26">
        <f>IF(OR($A197="",AJ$3=""),"",IF(AND($J197&lt;&gt;"",$K197&lt;&gt;"",$J197=$K197,$J197&gt;=AJ$3,$J197&lt;=IF(param_mode_affichage="mois",EOMONTH(AJ$3,0),AJ$3+6)),"◆",""))</f>
      </c>
      <c r="AK197" s="26">
        <f>IF(OR($A197="",AK$3=""),"",IF(AND($J197&lt;&gt;"",$K197&lt;&gt;"",$J197=$K197,$J197&gt;=AK$3,$J197&lt;=IF(param_mode_affichage="mois",EOMONTH(AK$3,0),AK$3+6)),"◆",""))</f>
      </c>
      <c r="AL197" s="26">
        <f>IF(OR($A197="",AL$3=""),"",IF(AND($J197&lt;&gt;"",$K197&lt;&gt;"",$J197=$K197,$J197&gt;=AL$3,$J197&lt;=IF(param_mode_affichage="mois",EOMONTH(AL$3,0),AL$3+6)),"◆",""))</f>
      </c>
      <c r="AM197" s="26">
        <f>IF(OR($A197="",AM$3=""),"",IF(AND($J197&lt;&gt;"",$K197&lt;&gt;"",$J197=$K197,$J197&gt;=AM$3,$J197&lt;=IF(param_mode_affichage="mois",EOMONTH(AM$3,0),AM$3+6)),"◆",""))</f>
      </c>
      <c r="AN197" s="26">
        <f>IF(OR($A197="",AN$3=""),"",IF(AND($J197&lt;&gt;"",$K197&lt;&gt;"",$J197=$K197,$J197&gt;=AN$3,$J197&lt;=IF(param_mode_affichage="mois",EOMONTH(AN$3,0),AN$3+6)),"◆",""))</f>
      </c>
      <c r="AO197" s="26">
        <f>IF(OR($A197="",AO$3=""),"",IF(AND($J197&lt;&gt;"",$K197&lt;&gt;"",$J197=$K197,$J197&gt;=AO$3,$J197&lt;=IF(param_mode_affichage="mois",EOMONTH(AO$3,0),AO$3+6)),"◆",""))</f>
      </c>
      <c r="AP197" s="26">
        <f>IF(OR($A197="",AP$3=""),"",IF(AND($J197&lt;&gt;"",$K197&lt;&gt;"",$J197=$K197,$J197&gt;=AP$3,$J197&lt;=IF(param_mode_affichage="mois",EOMONTH(AP$3,0),AP$3+6)),"◆",""))</f>
      </c>
      <c r="AQ197" s="26">
        <f>IF(OR($A197="",AQ$3=""),"",IF(AND($J197&lt;&gt;"",$K197&lt;&gt;"",$J197=$K197,$J197&gt;=AQ$3,$J197&lt;=IF(param_mode_affichage="mois",EOMONTH(AQ$3,0),AQ$3+6)),"◆",""))</f>
      </c>
      <c r="AR197" s="26">
        <f>IF(OR($A197="",AR$3=""),"",IF(AND($J197&lt;&gt;"",$K197&lt;&gt;"",$J197=$K197,$J197&gt;=AR$3,$J197&lt;=IF(param_mode_affichage="mois",EOMONTH(AR$3,0),AR$3+6)),"◆",""))</f>
      </c>
      <c r="AS197" s="26">
        <f>IF(OR($A197="",AS$3=""),"",IF(AND($J197&lt;&gt;"",$K197&lt;&gt;"",$J197=$K197,$J197&gt;=AS$3,$J197&lt;=IF(param_mode_affichage="mois",EOMONTH(AS$3,0),AS$3+6)),"◆",""))</f>
      </c>
      <c r="AT197" s="26">
        <f>IF(OR($A197="",AT$3=""),"",IF(AND($J197&lt;&gt;"",$K197&lt;&gt;"",$J197=$K197,$J197&gt;=AT$3,$J197&lt;=IF(param_mode_affichage="mois",EOMONTH(AT$3,0),AT$3+6)),"◆",""))</f>
      </c>
      <c r="AU197" s="26">
        <f>IF(OR($A197="",AU$3=""),"",IF(AND($J197&lt;&gt;"",$K197&lt;&gt;"",$J197=$K197,$J197&gt;=AU$3,$J197&lt;=IF(param_mode_affichage="mois",EOMONTH(AU$3,0),AU$3+6)),"◆",""))</f>
      </c>
      <c r="AV197" s="26">
        <f>IF(OR($A197="",AV$3=""),"",IF(AND($J197&lt;&gt;"",$K197&lt;&gt;"",$J197=$K197,$J197&gt;=AV$3,$J197&lt;=IF(param_mode_affichage="mois",EOMONTH(AV$3,0),AV$3+6)),"◆",""))</f>
      </c>
      <c r="AW197" s="26">
        <f>IF(OR($A197="",AW$3=""),"",IF(AND($J197&lt;&gt;"",$K197&lt;&gt;"",$J197=$K197,$J197&gt;=AW$3,$J197&lt;=IF(param_mode_affichage="mois",EOMONTH(AW$3,0),AW$3+6)),"◆",""))</f>
      </c>
      <c r="AX197" s="26">
        <f>IF(OR($A197="",AX$3=""),"",IF(AND($J197&lt;&gt;"",$K197&lt;&gt;"",$J197=$K197,$J197&gt;=AX$3,$J197&lt;=IF(param_mode_affichage="mois",EOMONTH(AX$3,0),AX$3+6)),"◆",""))</f>
      </c>
      <c r="AY197" s="26">
        <f>IF(OR($A197="",AY$3=""),"",IF(AND($J197&lt;&gt;"",$K197&lt;&gt;"",$J197=$K197,$J197&gt;=AY$3,$J197&lt;=IF(param_mode_affichage="mois",EOMONTH(AY$3,0),AY$3+6)),"◆",""))</f>
      </c>
      <c r="AZ197" s="26">
        <f>IF(OR($A197="",AZ$3=""),"",IF(AND($J197&lt;&gt;"",$K197&lt;&gt;"",$J197=$K197,$J197&gt;=AZ$3,$J197&lt;=IF(param_mode_affichage="mois",EOMONTH(AZ$3,0),AZ$3+6)),"◆",""))</f>
      </c>
      <c r="BA197" s="26">
        <f>IF(OR($A197="",BA$3=""),"",IF(AND($J197&lt;&gt;"",$K197&lt;&gt;"",$J197=$K197,$J197&gt;=BA$3,$J197&lt;=IF(param_mode_affichage="mois",EOMONTH(BA$3,0),BA$3+6)),"◆",""))</f>
      </c>
      <c r="BB197" s="26">
        <f>IF(OR($A197="",BB$3=""),"",IF(AND($J197&lt;&gt;"",$K197&lt;&gt;"",$J197=$K197,$J197&gt;=BB$3,$J197&lt;=IF(param_mode_affichage="mois",EOMONTH(BB$3,0),BB$3+6)),"◆",""))</f>
      </c>
      <c r="BC197" s="26">
        <f>IF(OR($A197="",BC$3=""),"",IF(AND($J197&lt;&gt;"",$K197&lt;&gt;"",$J197=$K197,$J197&gt;=BC$3,$J197&lt;=IF(param_mode_affichage="mois",EOMONTH(BC$3,0),BC$3+6)),"◆",""))</f>
      </c>
      <c r="BD197" s="26">
        <f>IF(OR($A197="",BD$3=""),"",IF(AND($J197&lt;&gt;"",$K197&lt;&gt;"",$J197=$K197,$J197&gt;=BD$3,$J197&lt;=IF(param_mode_affichage="mois",EOMONTH(BD$3,0),BD$3+6)),"◆",""))</f>
      </c>
      <c r="BE197" s="26">
        <f>IF(OR($A197="",BE$3=""),"",IF(AND($J197&lt;&gt;"",$K197&lt;&gt;"",$J197=$K197,$J197&gt;=BE$3,$J197&lt;=IF(param_mode_affichage="mois",EOMONTH(BE$3,0),BE$3+6)),"◆",""))</f>
      </c>
      <c r="BF197" s="26">
        <f>IF(OR($A197="",BF$3=""),"",IF(AND($J197&lt;&gt;"",$K197&lt;&gt;"",$J197=$K197,$J197&gt;=BF$3,$J197&lt;=IF(param_mode_affichage="mois",EOMONTH(BF$3,0),BF$3+6)),"◆",""))</f>
      </c>
      <c r="BG197" s="26">
        <f>IF(OR($A197="",BG$3=""),"",IF(AND($J197&lt;&gt;"",$K197&lt;&gt;"",$J197=$K197,$J197&gt;=BG$3,$J197&lt;=IF(param_mode_affichage="mois",EOMONTH(BG$3,0),BG$3+6)),"◆",""))</f>
      </c>
      <c r="BH197" s="26">
        <f>IF(OR($A197="",BH$3=""),"",IF(AND($J197&lt;&gt;"",$K197&lt;&gt;"",$J197=$K197,$J197&gt;=BH$3,$J197&lt;=IF(param_mode_affichage="mois",EOMONTH(BH$3,0),BH$3+6)),"◆",""))</f>
      </c>
      <c r="BI197" s="26">
        <f>IF(OR($A197="",BI$3=""),"",IF(AND($J197&lt;&gt;"",$K197&lt;&gt;"",$J197=$K197,$J197&gt;=BI$3,$J197&lt;=IF(param_mode_affichage="mois",EOMONTH(BI$3,0),BI$3+6)),"◆",""))</f>
      </c>
      <c r="BJ197" s="26">
        <f>IF(OR($A197="",BJ$3=""),"",IF(AND($J197&lt;&gt;"",$K197&lt;&gt;"",$J197=$K197,$J197&gt;=BJ$3,$J197&lt;=IF(param_mode_affichage="mois",EOMONTH(BJ$3,0),BJ$3+6)),"◆",""))</f>
      </c>
      <c r="BK197" s="26">
        <f>IF(OR($A197="",BK$3=""),"",IF(AND($J197&lt;&gt;"",$K197&lt;&gt;"",$J197=$K197,$J197&gt;=BK$3,$J197&lt;=IF(param_mode_affichage="mois",EOMONTH(BK$3,0),BK$3+6)),"◆",""))</f>
      </c>
      <c r="BL197" s="26">
        <f>IF(OR($A197="",BL$3=""),"",IF(AND($J197&lt;&gt;"",$K197&lt;&gt;"",$J197=$K197,$J197&gt;=BL$3,$J197&lt;=IF(param_mode_affichage="mois",EOMONTH(BL$3,0),BL$3+6)),"◆",""))</f>
      </c>
    </row>
    <row r="198" spans="1:64" x14ac:dyDescent="0.25">
      <c r="A198" s="23">
        <f>IFERROR(INDEX(tblTasks[ID],ROW()-4),"")</f>
      </c>
      <c r="B198" s="24">
        <f>IF($A198="","",INDEX(tblTasks[Sujet],ROW()-4))</f>
      </c>
      <c r="C198" s="23">
        <f>IF($A198="","",INDEX(tblTasks[Responsable],ROW()-4))</f>
      </c>
      <c r="D198" s="23">
        <f>IF($A198="","",INDEX(tblTasks[Statut],ROW()-4))</f>
      </c>
      <c r="E198" s="23">
        <f>IF($A198="","",INDEX(tblTasks[Depend_de],ROW()-4))</f>
      </c>
      <c r="F198" s="23">
        <f>IF($A198="","",INDEX(tblTasks[Blocage],ROW()-4))</f>
      </c>
      <c r="G198" s="23">
        <f>IF($A198="","",INDEX(tblTasks[Niveau_criticite],ROW()-4))</f>
      </c>
      <c r="H198" s="23">
        <f>IF($A198="","",INDEX(tblTasks[Goulot],ROW()-4))</f>
      </c>
      <c r="I198" s="23">
        <f>IF($A198="","",IF(LOWER($F198)="oui","non",IF($E198="","oui",IFERROR(IF(LOWER(INDEX(tblTasks[Statut],MATCH($E198,tblTasks[ID],0)))="clos","oui","non"),"non"))))</f>
      </c>
      <c r="J198" s="25">
        <f>IF($A198="","",INDEX(tblTasks[Date_debut_prevue],ROW()-4))</f>
      </c>
      <c r="K198" s="25">
        <f>IF($A198="","",INDEX(tblTasks[Date_fin_prevue],ROW()-4))</f>
      </c>
      <c r="L198" s="23">
        <f>IF($A198="","",INDEX(tblTasks[Irreversibilite],ROW()-4))</f>
      </c>
      <c r="M198" s="26">
        <f>IF(OR($A198="",M$3=""),"",IF(AND($J198&lt;&gt;"",$K198&lt;&gt;"",$J198=$K198,$J198&gt;=M$3,$J198&lt;=IF(param_mode_affichage="mois",EOMONTH(M$3,0),M$3+6)),"◆",""))</f>
      </c>
      <c r="N198" s="26">
        <f>IF(OR($A198="",N$3=""),"",IF(AND($J198&lt;&gt;"",$K198&lt;&gt;"",$J198=$K198,$J198&gt;=N$3,$J198&lt;=IF(param_mode_affichage="mois",EOMONTH(N$3,0),N$3+6)),"◆",""))</f>
      </c>
      <c r="O198" s="26">
        <f>IF(OR($A198="",O$3=""),"",IF(AND($J198&lt;&gt;"",$K198&lt;&gt;"",$J198=$K198,$J198&gt;=O$3,$J198&lt;=IF(param_mode_affichage="mois",EOMONTH(O$3,0),O$3+6)),"◆",""))</f>
      </c>
      <c r="P198" s="26">
        <f>IF(OR($A198="",P$3=""),"",IF(AND($J198&lt;&gt;"",$K198&lt;&gt;"",$J198=$K198,$J198&gt;=P$3,$J198&lt;=IF(param_mode_affichage="mois",EOMONTH(P$3,0),P$3+6)),"◆",""))</f>
      </c>
      <c r="Q198" s="26">
        <f>IF(OR($A198="",Q$3=""),"",IF(AND($J198&lt;&gt;"",$K198&lt;&gt;"",$J198=$K198,$J198&gt;=Q$3,$J198&lt;=IF(param_mode_affichage="mois",EOMONTH(Q$3,0),Q$3+6)),"◆",""))</f>
      </c>
      <c r="R198" s="26">
        <f>IF(OR($A198="",R$3=""),"",IF(AND($J198&lt;&gt;"",$K198&lt;&gt;"",$J198=$K198,$J198&gt;=R$3,$J198&lt;=IF(param_mode_affichage="mois",EOMONTH(R$3,0),R$3+6)),"◆",""))</f>
      </c>
      <c r="S198" s="26">
        <f>IF(OR($A198="",S$3=""),"",IF(AND($J198&lt;&gt;"",$K198&lt;&gt;"",$J198=$K198,$J198&gt;=S$3,$J198&lt;=IF(param_mode_affichage="mois",EOMONTH(S$3,0),S$3+6)),"◆",""))</f>
      </c>
      <c r="T198" s="26">
        <f>IF(OR($A198="",T$3=""),"",IF(AND($J198&lt;&gt;"",$K198&lt;&gt;"",$J198=$K198,$J198&gt;=T$3,$J198&lt;=IF(param_mode_affichage="mois",EOMONTH(T$3,0),T$3+6)),"◆",""))</f>
      </c>
      <c r="U198" s="26">
        <f>IF(OR($A198="",U$3=""),"",IF(AND($J198&lt;&gt;"",$K198&lt;&gt;"",$J198=$K198,$J198&gt;=U$3,$J198&lt;=IF(param_mode_affichage="mois",EOMONTH(U$3,0),U$3+6)),"◆",""))</f>
      </c>
      <c r="V198" s="26">
        <f>IF(OR($A198="",V$3=""),"",IF(AND($J198&lt;&gt;"",$K198&lt;&gt;"",$J198=$K198,$J198&gt;=V$3,$J198&lt;=IF(param_mode_affichage="mois",EOMONTH(V$3,0),V$3+6)),"◆",""))</f>
      </c>
      <c r="W198" s="26">
        <f>IF(OR($A198="",W$3=""),"",IF(AND($J198&lt;&gt;"",$K198&lt;&gt;"",$J198=$K198,$J198&gt;=W$3,$J198&lt;=IF(param_mode_affichage="mois",EOMONTH(W$3,0),W$3+6)),"◆",""))</f>
      </c>
      <c r="X198" s="26">
        <f>IF(OR($A198="",X$3=""),"",IF(AND($J198&lt;&gt;"",$K198&lt;&gt;"",$J198=$K198,$J198&gt;=X$3,$J198&lt;=IF(param_mode_affichage="mois",EOMONTH(X$3,0),X$3+6)),"◆",""))</f>
      </c>
      <c r="Y198" s="26">
        <f>IF(OR($A198="",Y$3=""),"",IF(AND($J198&lt;&gt;"",$K198&lt;&gt;"",$J198=$K198,$J198&gt;=Y$3,$J198&lt;=IF(param_mode_affichage="mois",EOMONTH(Y$3,0),Y$3+6)),"◆",""))</f>
      </c>
      <c r="Z198" s="26">
        <f>IF(OR($A198="",Z$3=""),"",IF(AND($J198&lt;&gt;"",$K198&lt;&gt;"",$J198=$K198,$J198&gt;=Z$3,$J198&lt;=IF(param_mode_affichage="mois",EOMONTH(Z$3,0),Z$3+6)),"◆",""))</f>
      </c>
      <c r="AA198" s="26">
        <f>IF(OR($A198="",AA$3=""),"",IF(AND($J198&lt;&gt;"",$K198&lt;&gt;"",$J198=$K198,$J198&gt;=AA$3,$J198&lt;=IF(param_mode_affichage="mois",EOMONTH(AA$3,0),AA$3+6)),"◆",""))</f>
      </c>
      <c r="AB198" s="26">
        <f>IF(OR($A198="",AB$3=""),"",IF(AND($J198&lt;&gt;"",$K198&lt;&gt;"",$J198=$K198,$J198&gt;=AB$3,$J198&lt;=IF(param_mode_affichage="mois",EOMONTH(AB$3,0),AB$3+6)),"◆",""))</f>
      </c>
      <c r="AC198" s="26">
        <f>IF(OR($A198="",AC$3=""),"",IF(AND($J198&lt;&gt;"",$K198&lt;&gt;"",$J198=$K198,$J198&gt;=AC$3,$J198&lt;=IF(param_mode_affichage="mois",EOMONTH(AC$3,0),AC$3+6)),"◆",""))</f>
      </c>
      <c r="AD198" s="26">
        <f>IF(OR($A198="",AD$3=""),"",IF(AND($J198&lt;&gt;"",$K198&lt;&gt;"",$J198=$K198,$J198&gt;=AD$3,$J198&lt;=IF(param_mode_affichage="mois",EOMONTH(AD$3,0),AD$3+6)),"◆",""))</f>
      </c>
      <c r="AE198" s="26">
        <f>IF(OR($A198="",AE$3=""),"",IF(AND($J198&lt;&gt;"",$K198&lt;&gt;"",$J198=$K198,$J198&gt;=AE$3,$J198&lt;=IF(param_mode_affichage="mois",EOMONTH(AE$3,0),AE$3+6)),"◆",""))</f>
      </c>
      <c r="AF198" s="26">
        <f>IF(OR($A198="",AF$3=""),"",IF(AND($J198&lt;&gt;"",$K198&lt;&gt;"",$J198=$K198,$J198&gt;=AF$3,$J198&lt;=IF(param_mode_affichage="mois",EOMONTH(AF$3,0),AF$3+6)),"◆",""))</f>
      </c>
      <c r="AG198" s="26">
        <f>IF(OR($A198="",AG$3=""),"",IF(AND($J198&lt;&gt;"",$K198&lt;&gt;"",$J198=$K198,$J198&gt;=AG$3,$J198&lt;=IF(param_mode_affichage="mois",EOMONTH(AG$3,0),AG$3+6)),"◆",""))</f>
      </c>
      <c r="AH198" s="26">
        <f>IF(OR($A198="",AH$3=""),"",IF(AND($J198&lt;&gt;"",$K198&lt;&gt;"",$J198=$K198,$J198&gt;=AH$3,$J198&lt;=IF(param_mode_affichage="mois",EOMONTH(AH$3,0),AH$3+6)),"◆",""))</f>
      </c>
      <c r="AI198" s="26">
        <f>IF(OR($A198="",AI$3=""),"",IF(AND($J198&lt;&gt;"",$K198&lt;&gt;"",$J198=$K198,$J198&gt;=AI$3,$J198&lt;=IF(param_mode_affichage="mois",EOMONTH(AI$3,0),AI$3+6)),"◆",""))</f>
      </c>
      <c r="AJ198" s="26">
        <f>IF(OR($A198="",AJ$3=""),"",IF(AND($J198&lt;&gt;"",$K198&lt;&gt;"",$J198=$K198,$J198&gt;=AJ$3,$J198&lt;=IF(param_mode_affichage="mois",EOMONTH(AJ$3,0),AJ$3+6)),"◆",""))</f>
      </c>
      <c r="AK198" s="26">
        <f>IF(OR($A198="",AK$3=""),"",IF(AND($J198&lt;&gt;"",$K198&lt;&gt;"",$J198=$K198,$J198&gt;=AK$3,$J198&lt;=IF(param_mode_affichage="mois",EOMONTH(AK$3,0),AK$3+6)),"◆",""))</f>
      </c>
      <c r="AL198" s="26">
        <f>IF(OR($A198="",AL$3=""),"",IF(AND($J198&lt;&gt;"",$K198&lt;&gt;"",$J198=$K198,$J198&gt;=AL$3,$J198&lt;=IF(param_mode_affichage="mois",EOMONTH(AL$3,0),AL$3+6)),"◆",""))</f>
      </c>
      <c r="AM198" s="26">
        <f>IF(OR($A198="",AM$3=""),"",IF(AND($J198&lt;&gt;"",$K198&lt;&gt;"",$J198=$K198,$J198&gt;=AM$3,$J198&lt;=IF(param_mode_affichage="mois",EOMONTH(AM$3,0),AM$3+6)),"◆",""))</f>
      </c>
      <c r="AN198" s="26">
        <f>IF(OR($A198="",AN$3=""),"",IF(AND($J198&lt;&gt;"",$K198&lt;&gt;"",$J198=$K198,$J198&gt;=AN$3,$J198&lt;=IF(param_mode_affichage="mois",EOMONTH(AN$3,0),AN$3+6)),"◆",""))</f>
      </c>
      <c r="AO198" s="26">
        <f>IF(OR($A198="",AO$3=""),"",IF(AND($J198&lt;&gt;"",$K198&lt;&gt;"",$J198=$K198,$J198&gt;=AO$3,$J198&lt;=IF(param_mode_affichage="mois",EOMONTH(AO$3,0),AO$3+6)),"◆",""))</f>
      </c>
      <c r="AP198" s="26">
        <f>IF(OR($A198="",AP$3=""),"",IF(AND($J198&lt;&gt;"",$K198&lt;&gt;"",$J198=$K198,$J198&gt;=AP$3,$J198&lt;=IF(param_mode_affichage="mois",EOMONTH(AP$3,0),AP$3+6)),"◆",""))</f>
      </c>
      <c r="AQ198" s="26">
        <f>IF(OR($A198="",AQ$3=""),"",IF(AND($J198&lt;&gt;"",$K198&lt;&gt;"",$J198=$K198,$J198&gt;=AQ$3,$J198&lt;=IF(param_mode_affichage="mois",EOMONTH(AQ$3,0),AQ$3+6)),"◆",""))</f>
      </c>
      <c r="AR198" s="26">
        <f>IF(OR($A198="",AR$3=""),"",IF(AND($J198&lt;&gt;"",$K198&lt;&gt;"",$J198=$K198,$J198&gt;=AR$3,$J198&lt;=IF(param_mode_affichage="mois",EOMONTH(AR$3,0),AR$3+6)),"◆",""))</f>
      </c>
      <c r="AS198" s="26">
        <f>IF(OR($A198="",AS$3=""),"",IF(AND($J198&lt;&gt;"",$K198&lt;&gt;"",$J198=$K198,$J198&gt;=AS$3,$J198&lt;=IF(param_mode_affichage="mois",EOMONTH(AS$3,0),AS$3+6)),"◆",""))</f>
      </c>
      <c r="AT198" s="26">
        <f>IF(OR($A198="",AT$3=""),"",IF(AND($J198&lt;&gt;"",$K198&lt;&gt;"",$J198=$K198,$J198&gt;=AT$3,$J198&lt;=IF(param_mode_affichage="mois",EOMONTH(AT$3,0),AT$3+6)),"◆",""))</f>
      </c>
      <c r="AU198" s="26">
        <f>IF(OR($A198="",AU$3=""),"",IF(AND($J198&lt;&gt;"",$K198&lt;&gt;"",$J198=$K198,$J198&gt;=AU$3,$J198&lt;=IF(param_mode_affichage="mois",EOMONTH(AU$3,0),AU$3+6)),"◆",""))</f>
      </c>
      <c r="AV198" s="26">
        <f>IF(OR($A198="",AV$3=""),"",IF(AND($J198&lt;&gt;"",$K198&lt;&gt;"",$J198=$K198,$J198&gt;=AV$3,$J198&lt;=IF(param_mode_affichage="mois",EOMONTH(AV$3,0),AV$3+6)),"◆",""))</f>
      </c>
      <c r="AW198" s="26">
        <f>IF(OR($A198="",AW$3=""),"",IF(AND($J198&lt;&gt;"",$K198&lt;&gt;"",$J198=$K198,$J198&gt;=AW$3,$J198&lt;=IF(param_mode_affichage="mois",EOMONTH(AW$3,0),AW$3+6)),"◆",""))</f>
      </c>
      <c r="AX198" s="26">
        <f>IF(OR($A198="",AX$3=""),"",IF(AND($J198&lt;&gt;"",$K198&lt;&gt;"",$J198=$K198,$J198&gt;=AX$3,$J198&lt;=IF(param_mode_affichage="mois",EOMONTH(AX$3,0),AX$3+6)),"◆",""))</f>
      </c>
      <c r="AY198" s="26">
        <f>IF(OR($A198="",AY$3=""),"",IF(AND($J198&lt;&gt;"",$K198&lt;&gt;"",$J198=$K198,$J198&gt;=AY$3,$J198&lt;=IF(param_mode_affichage="mois",EOMONTH(AY$3,0),AY$3+6)),"◆",""))</f>
      </c>
      <c r="AZ198" s="26">
        <f>IF(OR($A198="",AZ$3=""),"",IF(AND($J198&lt;&gt;"",$K198&lt;&gt;"",$J198=$K198,$J198&gt;=AZ$3,$J198&lt;=IF(param_mode_affichage="mois",EOMONTH(AZ$3,0),AZ$3+6)),"◆",""))</f>
      </c>
      <c r="BA198" s="26">
        <f>IF(OR($A198="",BA$3=""),"",IF(AND($J198&lt;&gt;"",$K198&lt;&gt;"",$J198=$K198,$J198&gt;=BA$3,$J198&lt;=IF(param_mode_affichage="mois",EOMONTH(BA$3,0),BA$3+6)),"◆",""))</f>
      </c>
      <c r="BB198" s="26">
        <f>IF(OR($A198="",BB$3=""),"",IF(AND($J198&lt;&gt;"",$K198&lt;&gt;"",$J198=$K198,$J198&gt;=BB$3,$J198&lt;=IF(param_mode_affichage="mois",EOMONTH(BB$3,0),BB$3+6)),"◆",""))</f>
      </c>
      <c r="BC198" s="26">
        <f>IF(OR($A198="",BC$3=""),"",IF(AND($J198&lt;&gt;"",$K198&lt;&gt;"",$J198=$K198,$J198&gt;=BC$3,$J198&lt;=IF(param_mode_affichage="mois",EOMONTH(BC$3,0),BC$3+6)),"◆",""))</f>
      </c>
      <c r="BD198" s="26">
        <f>IF(OR($A198="",BD$3=""),"",IF(AND($J198&lt;&gt;"",$K198&lt;&gt;"",$J198=$K198,$J198&gt;=BD$3,$J198&lt;=IF(param_mode_affichage="mois",EOMONTH(BD$3,0),BD$3+6)),"◆",""))</f>
      </c>
      <c r="BE198" s="26">
        <f>IF(OR($A198="",BE$3=""),"",IF(AND($J198&lt;&gt;"",$K198&lt;&gt;"",$J198=$K198,$J198&gt;=BE$3,$J198&lt;=IF(param_mode_affichage="mois",EOMONTH(BE$3,0),BE$3+6)),"◆",""))</f>
      </c>
      <c r="BF198" s="26">
        <f>IF(OR($A198="",BF$3=""),"",IF(AND($J198&lt;&gt;"",$K198&lt;&gt;"",$J198=$K198,$J198&gt;=BF$3,$J198&lt;=IF(param_mode_affichage="mois",EOMONTH(BF$3,0),BF$3+6)),"◆",""))</f>
      </c>
      <c r="BG198" s="26">
        <f>IF(OR($A198="",BG$3=""),"",IF(AND($J198&lt;&gt;"",$K198&lt;&gt;"",$J198=$K198,$J198&gt;=BG$3,$J198&lt;=IF(param_mode_affichage="mois",EOMONTH(BG$3,0),BG$3+6)),"◆",""))</f>
      </c>
      <c r="BH198" s="26">
        <f>IF(OR($A198="",BH$3=""),"",IF(AND($J198&lt;&gt;"",$K198&lt;&gt;"",$J198=$K198,$J198&gt;=BH$3,$J198&lt;=IF(param_mode_affichage="mois",EOMONTH(BH$3,0),BH$3+6)),"◆",""))</f>
      </c>
      <c r="BI198" s="26">
        <f>IF(OR($A198="",BI$3=""),"",IF(AND($J198&lt;&gt;"",$K198&lt;&gt;"",$J198=$K198,$J198&gt;=BI$3,$J198&lt;=IF(param_mode_affichage="mois",EOMONTH(BI$3,0),BI$3+6)),"◆",""))</f>
      </c>
      <c r="BJ198" s="26">
        <f>IF(OR($A198="",BJ$3=""),"",IF(AND($J198&lt;&gt;"",$K198&lt;&gt;"",$J198=$K198,$J198&gt;=BJ$3,$J198&lt;=IF(param_mode_affichage="mois",EOMONTH(BJ$3,0),BJ$3+6)),"◆",""))</f>
      </c>
      <c r="BK198" s="26">
        <f>IF(OR($A198="",BK$3=""),"",IF(AND($J198&lt;&gt;"",$K198&lt;&gt;"",$J198=$K198,$J198&gt;=BK$3,$J198&lt;=IF(param_mode_affichage="mois",EOMONTH(BK$3,0),BK$3+6)),"◆",""))</f>
      </c>
      <c r="BL198" s="26">
        <f>IF(OR($A198="",BL$3=""),"",IF(AND($J198&lt;&gt;"",$K198&lt;&gt;"",$J198=$K198,$J198&gt;=BL$3,$J198&lt;=IF(param_mode_affichage="mois",EOMONTH(BL$3,0),BL$3+6)),"◆",""))</f>
      </c>
    </row>
    <row r="199" spans="1:64" x14ac:dyDescent="0.25">
      <c r="A199" s="23">
        <f>IFERROR(INDEX(tblTasks[ID],ROW()-4),"")</f>
      </c>
      <c r="B199" s="24">
        <f>IF($A199="","",INDEX(tblTasks[Sujet],ROW()-4))</f>
      </c>
      <c r="C199" s="23">
        <f>IF($A199="","",INDEX(tblTasks[Responsable],ROW()-4))</f>
      </c>
      <c r="D199" s="23">
        <f>IF($A199="","",INDEX(tblTasks[Statut],ROW()-4))</f>
      </c>
      <c r="E199" s="23">
        <f>IF($A199="","",INDEX(tblTasks[Depend_de],ROW()-4))</f>
      </c>
      <c r="F199" s="23">
        <f>IF($A199="","",INDEX(tblTasks[Blocage],ROW()-4))</f>
      </c>
      <c r="G199" s="23">
        <f>IF($A199="","",INDEX(tblTasks[Niveau_criticite],ROW()-4))</f>
      </c>
      <c r="H199" s="23">
        <f>IF($A199="","",INDEX(tblTasks[Goulot],ROW()-4))</f>
      </c>
      <c r="I199" s="23">
        <f>IF($A199="","",IF(LOWER($F199)="oui","non",IF($E199="","oui",IFERROR(IF(LOWER(INDEX(tblTasks[Statut],MATCH($E199,tblTasks[ID],0)))="clos","oui","non"),"non"))))</f>
      </c>
      <c r="J199" s="25">
        <f>IF($A199="","",INDEX(tblTasks[Date_debut_prevue],ROW()-4))</f>
      </c>
      <c r="K199" s="25">
        <f>IF($A199="","",INDEX(tblTasks[Date_fin_prevue],ROW()-4))</f>
      </c>
      <c r="L199" s="23">
        <f>IF($A199="","",INDEX(tblTasks[Irreversibilite],ROW()-4))</f>
      </c>
      <c r="M199" s="26">
        <f>IF(OR($A199="",M$3=""),"",IF(AND($J199&lt;&gt;"",$K199&lt;&gt;"",$J199=$K199,$J199&gt;=M$3,$J199&lt;=IF(param_mode_affichage="mois",EOMONTH(M$3,0),M$3+6)),"◆",""))</f>
      </c>
      <c r="N199" s="26">
        <f>IF(OR($A199="",N$3=""),"",IF(AND($J199&lt;&gt;"",$K199&lt;&gt;"",$J199=$K199,$J199&gt;=N$3,$J199&lt;=IF(param_mode_affichage="mois",EOMONTH(N$3,0),N$3+6)),"◆",""))</f>
      </c>
      <c r="O199" s="26">
        <f>IF(OR($A199="",O$3=""),"",IF(AND($J199&lt;&gt;"",$K199&lt;&gt;"",$J199=$K199,$J199&gt;=O$3,$J199&lt;=IF(param_mode_affichage="mois",EOMONTH(O$3,0),O$3+6)),"◆",""))</f>
      </c>
      <c r="P199" s="26">
        <f>IF(OR($A199="",P$3=""),"",IF(AND($J199&lt;&gt;"",$K199&lt;&gt;"",$J199=$K199,$J199&gt;=P$3,$J199&lt;=IF(param_mode_affichage="mois",EOMONTH(P$3,0),P$3+6)),"◆",""))</f>
      </c>
      <c r="Q199" s="26">
        <f>IF(OR($A199="",Q$3=""),"",IF(AND($J199&lt;&gt;"",$K199&lt;&gt;"",$J199=$K199,$J199&gt;=Q$3,$J199&lt;=IF(param_mode_affichage="mois",EOMONTH(Q$3,0),Q$3+6)),"◆",""))</f>
      </c>
      <c r="R199" s="26">
        <f>IF(OR($A199="",R$3=""),"",IF(AND($J199&lt;&gt;"",$K199&lt;&gt;"",$J199=$K199,$J199&gt;=R$3,$J199&lt;=IF(param_mode_affichage="mois",EOMONTH(R$3,0),R$3+6)),"◆",""))</f>
      </c>
      <c r="S199" s="26">
        <f>IF(OR($A199="",S$3=""),"",IF(AND($J199&lt;&gt;"",$K199&lt;&gt;"",$J199=$K199,$J199&gt;=S$3,$J199&lt;=IF(param_mode_affichage="mois",EOMONTH(S$3,0),S$3+6)),"◆",""))</f>
      </c>
      <c r="T199" s="26">
        <f>IF(OR($A199="",T$3=""),"",IF(AND($J199&lt;&gt;"",$K199&lt;&gt;"",$J199=$K199,$J199&gt;=T$3,$J199&lt;=IF(param_mode_affichage="mois",EOMONTH(T$3,0),T$3+6)),"◆",""))</f>
      </c>
      <c r="U199" s="26">
        <f>IF(OR($A199="",U$3=""),"",IF(AND($J199&lt;&gt;"",$K199&lt;&gt;"",$J199=$K199,$J199&gt;=U$3,$J199&lt;=IF(param_mode_affichage="mois",EOMONTH(U$3,0),U$3+6)),"◆",""))</f>
      </c>
      <c r="V199" s="26">
        <f>IF(OR($A199="",V$3=""),"",IF(AND($J199&lt;&gt;"",$K199&lt;&gt;"",$J199=$K199,$J199&gt;=V$3,$J199&lt;=IF(param_mode_affichage="mois",EOMONTH(V$3,0),V$3+6)),"◆",""))</f>
      </c>
      <c r="W199" s="26">
        <f>IF(OR($A199="",W$3=""),"",IF(AND($J199&lt;&gt;"",$K199&lt;&gt;"",$J199=$K199,$J199&gt;=W$3,$J199&lt;=IF(param_mode_affichage="mois",EOMONTH(W$3,0),W$3+6)),"◆",""))</f>
      </c>
      <c r="X199" s="26">
        <f>IF(OR($A199="",X$3=""),"",IF(AND($J199&lt;&gt;"",$K199&lt;&gt;"",$J199=$K199,$J199&gt;=X$3,$J199&lt;=IF(param_mode_affichage="mois",EOMONTH(X$3,0),X$3+6)),"◆",""))</f>
      </c>
      <c r="Y199" s="26">
        <f>IF(OR($A199="",Y$3=""),"",IF(AND($J199&lt;&gt;"",$K199&lt;&gt;"",$J199=$K199,$J199&gt;=Y$3,$J199&lt;=IF(param_mode_affichage="mois",EOMONTH(Y$3,0),Y$3+6)),"◆",""))</f>
      </c>
      <c r="Z199" s="26">
        <f>IF(OR($A199="",Z$3=""),"",IF(AND($J199&lt;&gt;"",$K199&lt;&gt;"",$J199=$K199,$J199&gt;=Z$3,$J199&lt;=IF(param_mode_affichage="mois",EOMONTH(Z$3,0),Z$3+6)),"◆",""))</f>
      </c>
      <c r="AA199" s="26">
        <f>IF(OR($A199="",AA$3=""),"",IF(AND($J199&lt;&gt;"",$K199&lt;&gt;"",$J199=$K199,$J199&gt;=AA$3,$J199&lt;=IF(param_mode_affichage="mois",EOMONTH(AA$3,0),AA$3+6)),"◆",""))</f>
      </c>
      <c r="AB199" s="26">
        <f>IF(OR($A199="",AB$3=""),"",IF(AND($J199&lt;&gt;"",$K199&lt;&gt;"",$J199=$K199,$J199&gt;=AB$3,$J199&lt;=IF(param_mode_affichage="mois",EOMONTH(AB$3,0),AB$3+6)),"◆",""))</f>
      </c>
      <c r="AC199" s="26">
        <f>IF(OR($A199="",AC$3=""),"",IF(AND($J199&lt;&gt;"",$K199&lt;&gt;"",$J199=$K199,$J199&gt;=AC$3,$J199&lt;=IF(param_mode_affichage="mois",EOMONTH(AC$3,0),AC$3+6)),"◆",""))</f>
      </c>
      <c r="AD199" s="26">
        <f>IF(OR($A199="",AD$3=""),"",IF(AND($J199&lt;&gt;"",$K199&lt;&gt;"",$J199=$K199,$J199&gt;=AD$3,$J199&lt;=IF(param_mode_affichage="mois",EOMONTH(AD$3,0),AD$3+6)),"◆",""))</f>
      </c>
      <c r="AE199" s="26">
        <f>IF(OR($A199="",AE$3=""),"",IF(AND($J199&lt;&gt;"",$K199&lt;&gt;"",$J199=$K199,$J199&gt;=AE$3,$J199&lt;=IF(param_mode_affichage="mois",EOMONTH(AE$3,0),AE$3+6)),"◆",""))</f>
      </c>
      <c r="AF199" s="26">
        <f>IF(OR($A199="",AF$3=""),"",IF(AND($J199&lt;&gt;"",$K199&lt;&gt;"",$J199=$K199,$J199&gt;=AF$3,$J199&lt;=IF(param_mode_affichage="mois",EOMONTH(AF$3,0),AF$3+6)),"◆",""))</f>
      </c>
      <c r="AG199" s="26">
        <f>IF(OR($A199="",AG$3=""),"",IF(AND($J199&lt;&gt;"",$K199&lt;&gt;"",$J199=$K199,$J199&gt;=AG$3,$J199&lt;=IF(param_mode_affichage="mois",EOMONTH(AG$3,0),AG$3+6)),"◆",""))</f>
      </c>
      <c r="AH199" s="26">
        <f>IF(OR($A199="",AH$3=""),"",IF(AND($J199&lt;&gt;"",$K199&lt;&gt;"",$J199=$K199,$J199&gt;=AH$3,$J199&lt;=IF(param_mode_affichage="mois",EOMONTH(AH$3,0),AH$3+6)),"◆",""))</f>
      </c>
      <c r="AI199" s="26">
        <f>IF(OR($A199="",AI$3=""),"",IF(AND($J199&lt;&gt;"",$K199&lt;&gt;"",$J199=$K199,$J199&gt;=AI$3,$J199&lt;=IF(param_mode_affichage="mois",EOMONTH(AI$3,0),AI$3+6)),"◆",""))</f>
      </c>
      <c r="AJ199" s="26">
        <f>IF(OR($A199="",AJ$3=""),"",IF(AND($J199&lt;&gt;"",$K199&lt;&gt;"",$J199=$K199,$J199&gt;=AJ$3,$J199&lt;=IF(param_mode_affichage="mois",EOMONTH(AJ$3,0),AJ$3+6)),"◆",""))</f>
      </c>
      <c r="AK199" s="26">
        <f>IF(OR($A199="",AK$3=""),"",IF(AND($J199&lt;&gt;"",$K199&lt;&gt;"",$J199=$K199,$J199&gt;=AK$3,$J199&lt;=IF(param_mode_affichage="mois",EOMONTH(AK$3,0),AK$3+6)),"◆",""))</f>
      </c>
      <c r="AL199" s="26">
        <f>IF(OR($A199="",AL$3=""),"",IF(AND($J199&lt;&gt;"",$K199&lt;&gt;"",$J199=$K199,$J199&gt;=AL$3,$J199&lt;=IF(param_mode_affichage="mois",EOMONTH(AL$3,0),AL$3+6)),"◆",""))</f>
      </c>
      <c r="AM199" s="26">
        <f>IF(OR($A199="",AM$3=""),"",IF(AND($J199&lt;&gt;"",$K199&lt;&gt;"",$J199=$K199,$J199&gt;=AM$3,$J199&lt;=IF(param_mode_affichage="mois",EOMONTH(AM$3,0),AM$3+6)),"◆",""))</f>
      </c>
      <c r="AN199" s="26">
        <f>IF(OR($A199="",AN$3=""),"",IF(AND($J199&lt;&gt;"",$K199&lt;&gt;"",$J199=$K199,$J199&gt;=AN$3,$J199&lt;=IF(param_mode_affichage="mois",EOMONTH(AN$3,0),AN$3+6)),"◆",""))</f>
      </c>
      <c r="AO199" s="26">
        <f>IF(OR($A199="",AO$3=""),"",IF(AND($J199&lt;&gt;"",$K199&lt;&gt;"",$J199=$K199,$J199&gt;=AO$3,$J199&lt;=IF(param_mode_affichage="mois",EOMONTH(AO$3,0),AO$3+6)),"◆",""))</f>
      </c>
      <c r="AP199" s="26">
        <f>IF(OR($A199="",AP$3=""),"",IF(AND($J199&lt;&gt;"",$K199&lt;&gt;"",$J199=$K199,$J199&gt;=AP$3,$J199&lt;=IF(param_mode_affichage="mois",EOMONTH(AP$3,0),AP$3+6)),"◆",""))</f>
      </c>
      <c r="AQ199" s="26">
        <f>IF(OR($A199="",AQ$3=""),"",IF(AND($J199&lt;&gt;"",$K199&lt;&gt;"",$J199=$K199,$J199&gt;=AQ$3,$J199&lt;=IF(param_mode_affichage="mois",EOMONTH(AQ$3,0),AQ$3+6)),"◆",""))</f>
      </c>
      <c r="AR199" s="26">
        <f>IF(OR($A199="",AR$3=""),"",IF(AND($J199&lt;&gt;"",$K199&lt;&gt;"",$J199=$K199,$J199&gt;=AR$3,$J199&lt;=IF(param_mode_affichage="mois",EOMONTH(AR$3,0),AR$3+6)),"◆",""))</f>
      </c>
      <c r="AS199" s="26">
        <f>IF(OR($A199="",AS$3=""),"",IF(AND($J199&lt;&gt;"",$K199&lt;&gt;"",$J199=$K199,$J199&gt;=AS$3,$J199&lt;=IF(param_mode_affichage="mois",EOMONTH(AS$3,0),AS$3+6)),"◆",""))</f>
      </c>
      <c r="AT199" s="26">
        <f>IF(OR($A199="",AT$3=""),"",IF(AND($J199&lt;&gt;"",$K199&lt;&gt;"",$J199=$K199,$J199&gt;=AT$3,$J199&lt;=IF(param_mode_affichage="mois",EOMONTH(AT$3,0),AT$3+6)),"◆",""))</f>
      </c>
      <c r="AU199" s="26">
        <f>IF(OR($A199="",AU$3=""),"",IF(AND($J199&lt;&gt;"",$K199&lt;&gt;"",$J199=$K199,$J199&gt;=AU$3,$J199&lt;=IF(param_mode_affichage="mois",EOMONTH(AU$3,0),AU$3+6)),"◆",""))</f>
      </c>
      <c r="AV199" s="26">
        <f>IF(OR($A199="",AV$3=""),"",IF(AND($J199&lt;&gt;"",$K199&lt;&gt;"",$J199=$K199,$J199&gt;=AV$3,$J199&lt;=IF(param_mode_affichage="mois",EOMONTH(AV$3,0),AV$3+6)),"◆",""))</f>
      </c>
      <c r="AW199" s="26">
        <f>IF(OR($A199="",AW$3=""),"",IF(AND($J199&lt;&gt;"",$K199&lt;&gt;"",$J199=$K199,$J199&gt;=AW$3,$J199&lt;=IF(param_mode_affichage="mois",EOMONTH(AW$3,0),AW$3+6)),"◆",""))</f>
      </c>
      <c r="AX199" s="26">
        <f>IF(OR($A199="",AX$3=""),"",IF(AND($J199&lt;&gt;"",$K199&lt;&gt;"",$J199=$K199,$J199&gt;=AX$3,$J199&lt;=IF(param_mode_affichage="mois",EOMONTH(AX$3,0),AX$3+6)),"◆",""))</f>
      </c>
      <c r="AY199" s="26">
        <f>IF(OR($A199="",AY$3=""),"",IF(AND($J199&lt;&gt;"",$K199&lt;&gt;"",$J199=$K199,$J199&gt;=AY$3,$J199&lt;=IF(param_mode_affichage="mois",EOMONTH(AY$3,0),AY$3+6)),"◆",""))</f>
      </c>
      <c r="AZ199" s="26">
        <f>IF(OR($A199="",AZ$3=""),"",IF(AND($J199&lt;&gt;"",$K199&lt;&gt;"",$J199=$K199,$J199&gt;=AZ$3,$J199&lt;=IF(param_mode_affichage="mois",EOMONTH(AZ$3,0),AZ$3+6)),"◆",""))</f>
      </c>
      <c r="BA199" s="26">
        <f>IF(OR($A199="",BA$3=""),"",IF(AND($J199&lt;&gt;"",$K199&lt;&gt;"",$J199=$K199,$J199&gt;=BA$3,$J199&lt;=IF(param_mode_affichage="mois",EOMONTH(BA$3,0),BA$3+6)),"◆",""))</f>
      </c>
      <c r="BB199" s="26">
        <f>IF(OR($A199="",BB$3=""),"",IF(AND($J199&lt;&gt;"",$K199&lt;&gt;"",$J199=$K199,$J199&gt;=BB$3,$J199&lt;=IF(param_mode_affichage="mois",EOMONTH(BB$3,0),BB$3+6)),"◆",""))</f>
      </c>
      <c r="BC199" s="26">
        <f>IF(OR($A199="",BC$3=""),"",IF(AND($J199&lt;&gt;"",$K199&lt;&gt;"",$J199=$K199,$J199&gt;=BC$3,$J199&lt;=IF(param_mode_affichage="mois",EOMONTH(BC$3,0),BC$3+6)),"◆",""))</f>
      </c>
      <c r="BD199" s="26">
        <f>IF(OR($A199="",BD$3=""),"",IF(AND($J199&lt;&gt;"",$K199&lt;&gt;"",$J199=$K199,$J199&gt;=BD$3,$J199&lt;=IF(param_mode_affichage="mois",EOMONTH(BD$3,0),BD$3+6)),"◆",""))</f>
      </c>
      <c r="BE199" s="26">
        <f>IF(OR($A199="",BE$3=""),"",IF(AND($J199&lt;&gt;"",$K199&lt;&gt;"",$J199=$K199,$J199&gt;=BE$3,$J199&lt;=IF(param_mode_affichage="mois",EOMONTH(BE$3,0),BE$3+6)),"◆",""))</f>
      </c>
      <c r="BF199" s="26">
        <f>IF(OR($A199="",BF$3=""),"",IF(AND($J199&lt;&gt;"",$K199&lt;&gt;"",$J199=$K199,$J199&gt;=BF$3,$J199&lt;=IF(param_mode_affichage="mois",EOMONTH(BF$3,0),BF$3+6)),"◆",""))</f>
      </c>
      <c r="BG199" s="26">
        <f>IF(OR($A199="",BG$3=""),"",IF(AND($J199&lt;&gt;"",$K199&lt;&gt;"",$J199=$K199,$J199&gt;=BG$3,$J199&lt;=IF(param_mode_affichage="mois",EOMONTH(BG$3,0),BG$3+6)),"◆",""))</f>
      </c>
      <c r="BH199" s="26">
        <f>IF(OR($A199="",BH$3=""),"",IF(AND($J199&lt;&gt;"",$K199&lt;&gt;"",$J199=$K199,$J199&gt;=BH$3,$J199&lt;=IF(param_mode_affichage="mois",EOMONTH(BH$3,0),BH$3+6)),"◆",""))</f>
      </c>
      <c r="BI199" s="26">
        <f>IF(OR($A199="",BI$3=""),"",IF(AND($J199&lt;&gt;"",$K199&lt;&gt;"",$J199=$K199,$J199&gt;=BI$3,$J199&lt;=IF(param_mode_affichage="mois",EOMONTH(BI$3,0),BI$3+6)),"◆",""))</f>
      </c>
      <c r="BJ199" s="26">
        <f>IF(OR($A199="",BJ$3=""),"",IF(AND($J199&lt;&gt;"",$K199&lt;&gt;"",$J199=$K199,$J199&gt;=BJ$3,$J199&lt;=IF(param_mode_affichage="mois",EOMONTH(BJ$3,0),BJ$3+6)),"◆",""))</f>
      </c>
      <c r="BK199" s="26">
        <f>IF(OR($A199="",BK$3=""),"",IF(AND($J199&lt;&gt;"",$K199&lt;&gt;"",$J199=$K199,$J199&gt;=BK$3,$J199&lt;=IF(param_mode_affichage="mois",EOMONTH(BK$3,0),BK$3+6)),"◆",""))</f>
      </c>
      <c r="BL199" s="26">
        <f>IF(OR($A199="",BL$3=""),"",IF(AND($J199&lt;&gt;"",$K199&lt;&gt;"",$J199=$K199,$J199&gt;=BL$3,$J199&lt;=IF(param_mode_affichage="mois",EOMONTH(BL$3,0),BL$3+6)),"◆",""))</f>
      </c>
    </row>
    <row r="200" spans="1:64" x14ac:dyDescent="0.25">
      <c r="A200" s="23">
        <f>IFERROR(INDEX(tblTasks[ID],ROW()-4),"")</f>
      </c>
      <c r="B200" s="24">
        <f>IF($A200="","",INDEX(tblTasks[Sujet],ROW()-4))</f>
      </c>
      <c r="C200" s="23">
        <f>IF($A200="","",INDEX(tblTasks[Responsable],ROW()-4))</f>
      </c>
      <c r="D200" s="23">
        <f>IF($A200="","",INDEX(tblTasks[Statut],ROW()-4))</f>
      </c>
      <c r="E200" s="23">
        <f>IF($A200="","",INDEX(tblTasks[Depend_de],ROW()-4))</f>
      </c>
      <c r="F200" s="23">
        <f>IF($A200="","",INDEX(tblTasks[Blocage],ROW()-4))</f>
      </c>
      <c r="G200" s="23">
        <f>IF($A200="","",INDEX(tblTasks[Niveau_criticite],ROW()-4))</f>
      </c>
      <c r="H200" s="23">
        <f>IF($A200="","",INDEX(tblTasks[Goulot],ROW()-4))</f>
      </c>
      <c r="I200" s="23">
        <f>IF($A200="","",IF(LOWER($F200)="oui","non",IF($E200="","oui",IFERROR(IF(LOWER(INDEX(tblTasks[Statut],MATCH($E200,tblTasks[ID],0)))="clos","oui","non"),"non"))))</f>
      </c>
      <c r="J200" s="25">
        <f>IF($A200="","",INDEX(tblTasks[Date_debut_prevue],ROW()-4))</f>
      </c>
      <c r="K200" s="25">
        <f>IF($A200="","",INDEX(tblTasks[Date_fin_prevue],ROW()-4))</f>
      </c>
      <c r="L200" s="23">
        <f>IF($A200="","",INDEX(tblTasks[Irreversibilite],ROW()-4))</f>
      </c>
      <c r="M200" s="26">
        <f>IF(OR($A200="",M$3=""),"",IF(AND($J200&lt;&gt;"",$K200&lt;&gt;"",$J200=$K200,$J200&gt;=M$3,$J200&lt;=IF(param_mode_affichage="mois",EOMONTH(M$3,0),M$3+6)),"◆",""))</f>
      </c>
      <c r="N200" s="26">
        <f>IF(OR($A200="",N$3=""),"",IF(AND($J200&lt;&gt;"",$K200&lt;&gt;"",$J200=$K200,$J200&gt;=N$3,$J200&lt;=IF(param_mode_affichage="mois",EOMONTH(N$3,0),N$3+6)),"◆",""))</f>
      </c>
      <c r="O200" s="26">
        <f>IF(OR($A200="",O$3=""),"",IF(AND($J200&lt;&gt;"",$K200&lt;&gt;"",$J200=$K200,$J200&gt;=O$3,$J200&lt;=IF(param_mode_affichage="mois",EOMONTH(O$3,0),O$3+6)),"◆",""))</f>
      </c>
      <c r="P200" s="26">
        <f>IF(OR($A200="",P$3=""),"",IF(AND($J200&lt;&gt;"",$K200&lt;&gt;"",$J200=$K200,$J200&gt;=P$3,$J200&lt;=IF(param_mode_affichage="mois",EOMONTH(P$3,0),P$3+6)),"◆",""))</f>
      </c>
      <c r="Q200" s="26">
        <f>IF(OR($A200="",Q$3=""),"",IF(AND($J200&lt;&gt;"",$K200&lt;&gt;"",$J200=$K200,$J200&gt;=Q$3,$J200&lt;=IF(param_mode_affichage="mois",EOMONTH(Q$3,0),Q$3+6)),"◆",""))</f>
      </c>
      <c r="R200" s="26">
        <f>IF(OR($A200="",R$3=""),"",IF(AND($J200&lt;&gt;"",$K200&lt;&gt;"",$J200=$K200,$J200&gt;=R$3,$J200&lt;=IF(param_mode_affichage="mois",EOMONTH(R$3,0),R$3+6)),"◆",""))</f>
      </c>
      <c r="S200" s="26">
        <f>IF(OR($A200="",S$3=""),"",IF(AND($J200&lt;&gt;"",$K200&lt;&gt;"",$J200=$K200,$J200&gt;=S$3,$J200&lt;=IF(param_mode_affichage="mois",EOMONTH(S$3,0),S$3+6)),"◆",""))</f>
      </c>
      <c r="T200" s="26">
        <f>IF(OR($A200="",T$3=""),"",IF(AND($J200&lt;&gt;"",$K200&lt;&gt;"",$J200=$K200,$J200&gt;=T$3,$J200&lt;=IF(param_mode_affichage="mois",EOMONTH(T$3,0),T$3+6)),"◆",""))</f>
      </c>
      <c r="U200" s="26">
        <f>IF(OR($A200="",U$3=""),"",IF(AND($J200&lt;&gt;"",$K200&lt;&gt;"",$J200=$K200,$J200&gt;=U$3,$J200&lt;=IF(param_mode_affichage="mois",EOMONTH(U$3,0),U$3+6)),"◆",""))</f>
      </c>
      <c r="V200" s="26">
        <f>IF(OR($A200="",V$3=""),"",IF(AND($J200&lt;&gt;"",$K200&lt;&gt;"",$J200=$K200,$J200&gt;=V$3,$J200&lt;=IF(param_mode_affichage="mois",EOMONTH(V$3,0),V$3+6)),"◆",""))</f>
      </c>
      <c r="W200" s="26">
        <f>IF(OR($A200="",W$3=""),"",IF(AND($J200&lt;&gt;"",$K200&lt;&gt;"",$J200=$K200,$J200&gt;=W$3,$J200&lt;=IF(param_mode_affichage="mois",EOMONTH(W$3,0),W$3+6)),"◆",""))</f>
      </c>
      <c r="X200" s="26">
        <f>IF(OR($A200="",X$3=""),"",IF(AND($J200&lt;&gt;"",$K200&lt;&gt;"",$J200=$K200,$J200&gt;=X$3,$J200&lt;=IF(param_mode_affichage="mois",EOMONTH(X$3,0),X$3+6)),"◆",""))</f>
      </c>
      <c r="Y200" s="26">
        <f>IF(OR($A200="",Y$3=""),"",IF(AND($J200&lt;&gt;"",$K200&lt;&gt;"",$J200=$K200,$J200&gt;=Y$3,$J200&lt;=IF(param_mode_affichage="mois",EOMONTH(Y$3,0),Y$3+6)),"◆",""))</f>
      </c>
      <c r="Z200" s="26">
        <f>IF(OR($A200="",Z$3=""),"",IF(AND($J200&lt;&gt;"",$K200&lt;&gt;"",$J200=$K200,$J200&gt;=Z$3,$J200&lt;=IF(param_mode_affichage="mois",EOMONTH(Z$3,0),Z$3+6)),"◆",""))</f>
      </c>
      <c r="AA200" s="26">
        <f>IF(OR($A200="",AA$3=""),"",IF(AND($J200&lt;&gt;"",$K200&lt;&gt;"",$J200=$K200,$J200&gt;=AA$3,$J200&lt;=IF(param_mode_affichage="mois",EOMONTH(AA$3,0),AA$3+6)),"◆",""))</f>
      </c>
      <c r="AB200" s="26">
        <f>IF(OR($A200="",AB$3=""),"",IF(AND($J200&lt;&gt;"",$K200&lt;&gt;"",$J200=$K200,$J200&gt;=AB$3,$J200&lt;=IF(param_mode_affichage="mois",EOMONTH(AB$3,0),AB$3+6)),"◆",""))</f>
      </c>
      <c r="AC200" s="26">
        <f>IF(OR($A200="",AC$3=""),"",IF(AND($J200&lt;&gt;"",$K200&lt;&gt;"",$J200=$K200,$J200&gt;=AC$3,$J200&lt;=IF(param_mode_affichage="mois",EOMONTH(AC$3,0),AC$3+6)),"◆",""))</f>
      </c>
      <c r="AD200" s="26">
        <f>IF(OR($A200="",AD$3=""),"",IF(AND($J200&lt;&gt;"",$K200&lt;&gt;"",$J200=$K200,$J200&gt;=AD$3,$J200&lt;=IF(param_mode_affichage="mois",EOMONTH(AD$3,0),AD$3+6)),"◆",""))</f>
      </c>
      <c r="AE200" s="26">
        <f>IF(OR($A200="",AE$3=""),"",IF(AND($J200&lt;&gt;"",$K200&lt;&gt;"",$J200=$K200,$J200&gt;=AE$3,$J200&lt;=IF(param_mode_affichage="mois",EOMONTH(AE$3,0),AE$3+6)),"◆",""))</f>
      </c>
      <c r="AF200" s="26">
        <f>IF(OR($A200="",AF$3=""),"",IF(AND($J200&lt;&gt;"",$K200&lt;&gt;"",$J200=$K200,$J200&gt;=AF$3,$J200&lt;=IF(param_mode_affichage="mois",EOMONTH(AF$3,0),AF$3+6)),"◆",""))</f>
      </c>
      <c r="AG200" s="26">
        <f>IF(OR($A200="",AG$3=""),"",IF(AND($J200&lt;&gt;"",$K200&lt;&gt;"",$J200=$K200,$J200&gt;=AG$3,$J200&lt;=IF(param_mode_affichage="mois",EOMONTH(AG$3,0),AG$3+6)),"◆",""))</f>
      </c>
      <c r="AH200" s="26">
        <f>IF(OR($A200="",AH$3=""),"",IF(AND($J200&lt;&gt;"",$K200&lt;&gt;"",$J200=$K200,$J200&gt;=AH$3,$J200&lt;=IF(param_mode_affichage="mois",EOMONTH(AH$3,0),AH$3+6)),"◆",""))</f>
      </c>
      <c r="AI200" s="26">
        <f>IF(OR($A200="",AI$3=""),"",IF(AND($J200&lt;&gt;"",$K200&lt;&gt;"",$J200=$K200,$J200&gt;=AI$3,$J200&lt;=IF(param_mode_affichage="mois",EOMONTH(AI$3,0),AI$3+6)),"◆",""))</f>
      </c>
      <c r="AJ200" s="26">
        <f>IF(OR($A200="",AJ$3=""),"",IF(AND($J200&lt;&gt;"",$K200&lt;&gt;"",$J200=$K200,$J200&gt;=AJ$3,$J200&lt;=IF(param_mode_affichage="mois",EOMONTH(AJ$3,0),AJ$3+6)),"◆",""))</f>
      </c>
      <c r="AK200" s="26">
        <f>IF(OR($A200="",AK$3=""),"",IF(AND($J200&lt;&gt;"",$K200&lt;&gt;"",$J200=$K200,$J200&gt;=AK$3,$J200&lt;=IF(param_mode_affichage="mois",EOMONTH(AK$3,0),AK$3+6)),"◆",""))</f>
      </c>
      <c r="AL200" s="26">
        <f>IF(OR($A200="",AL$3=""),"",IF(AND($J200&lt;&gt;"",$K200&lt;&gt;"",$J200=$K200,$J200&gt;=AL$3,$J200&lt;=IF(param_mode_affichage="mois",EOMONTH(AL$3,0),AL$3+6)),"◆",""))</f>
      </c>
      <c r="AM200" s="26">
        <f>IF(OR($A200="",AM$3=""),"",IF(AND($J200&lt;&gt;"",$K200&lt;&gt;"",$J200=$K200,$J200&gt;=AM$3,$J200&lt;=IF(param_mode_affichage="mois",EOMONTH(AM$3,0),AM$3+6)),"◆",""))</f>
      </c>
      <c r="AN200" s="26">
        <f>IF(OR($A200="",AN$3=""),"",IF(AND($J200&lt;&gt;"",$K200&lt;&gt;"",$J200=$K200,$J200&gt;=AN$3,$J200&lt;=IF(param_mode_affichage="mois",EOMONTH(AN$3,0),AN$3+6)),"◆",""))</f>
      </c>
      <c r="AO200" s="26">
        <f>IF(OR($A200="",AO$3=""),"",IF(AND($J200&lt;&gt;"",$K200&lt;&gt;"",$J200=$K200,$J200&gt;=AO$3,$J200&lt;=IF(param_mode_affichage="mois",EOMONTH(AO$3,0),AO$3+6)),"◆",""))</f>
      </c>
      <c r="AP200" s="26">
        <f>IF(OR($A200="",AP$3=""),"",IF(AND($J200&lt;&gt;"",$K200&lt;&gt;"",$J200=$K200,$J200&gt;=AP$3,$J200&lt;=IF(param_mode_affichage="mois",EOMONTH(AP$3,0),AP$3+6)),"◆",""))</f>
      </c>
      <c r="AQ200" s="26">
        <f>IF(OR($A200="",AQ$3=""),"",IF(AND($J200&lt;&gt;"",$K200&lt;&gt;"",$J200=$K200,$J200&gt;=AQ$3,$J200&lt;=IF(param_mode_affichage="mois",EOMONTH(AQ$3,0),AQ$3+6)),"◆",""))</f>
      </c>
      <c r="AR200" s="26">
        <f>IF(OR($A200="",AR$3=""),"",IF(AND($J200&lt;&gt;"",$K200&lt;&gt;"",$J200=$K200,$J200&gt;=AR$3,$J200&lt;=IF(param_mode_affichage="mois",EOMONTH(AR$3,0),AR$3+6)),"◆",""))</f>
      </c>
      <c r="AS200" s="26">
        <f>IF(OR($A200="",AS$3=""),"",IF(AND($J200&lt;&gt;"",$K200&lt;&gt;"",$J200=$K200,$J200&gt;=AS$3,$J200&lt;=IF(param_mode_affichage="mois",EOMONTH(AS$3,0),AS$3+6)),"◆",""))</f>
      </c>
      <c r="AT200" s="26">
        <f>IF(OR($A200="",AT$3=""),"",IF(AND($J200&lt;&gt;"",$K200&lt;&gt;"",$J200=$K200,$J200&gt;=AT$3,$J200&lt;=IF(param_mode_affichage="mois",EOMONTH(AT$3,0),AT$3+6)),"◆",""))</f>
      </c>
      <c r="AU200" s="26">
        <f>IF(OR($A200="",AU$3=""),"",IF(AND($J200&lt;&gt;"",$K200&lt;&gt;"",$J200=$K200,$J200&gt;=AU$3,$J200&lt;=IF(param_mode_affichage="mois",EOMONTH(AU$3,0),AU$3+6)),"◆",""))</f>
      </c>
      <c r="AV200" s="26">
        <f>IF(OR($A200="",AV$3=""),"",IF(AND($J200&lt;&gt;"",$K200&lt;&gt;"",$J200=$K200,$J200&gt;=AV$3,$J200&lt;=IF(param_mode_affichage="mois",EOMONTH(AV$3,0),AV$3+6)),"◆",""))</f>
      </c>
      <c r="AW200" s="26">
        <f>IF(OR($A200="",AW$3=""),"",IF(AND($J200&lt;&gt;"",$K200&lt;&gt;"",$J200=$K200,$J200&gt;=AW$3,$J200&lt;=IF(param_mode_affichage="mois",EOMONTH(AW$3,0),AW$3+6)),"◆",""))</f>
      </c>
      <c r="AX200" s="26">
        <f>IF(OR($A200="",AX$3=""),"",IF(AND($J200&lt;&gt;"",$K200&lt;&gt;"",$J200=$K200,$J200&gt;=AX$3,$J200&lt;=IF(param_mode_affichage="mois",EOMONTH(AX$3,0),AX$3+6)),"◆",""))</f>
      </c>
      <c r="AY200" s="26">
        <f>IF(OR($A200="",AY$3=""),"",IF(AND($J200&lt;&gt;"",$K200&lt;&gt;"",$J200=$K200,$J200&gt;=AY$3,$J200&lt;=IF(param_mode_affichage="mois",EOMONTH(AY$3,0),AY$3+6)),"◆",""))</f>
      </c>
      <c r="AZ200" s="26">
        <f>IF(OR($A200="",AZ$3=""),"",IF(AND($J200&lt;&gt;"",$K200&lt;&gt;"",$J200=$K200,$J200&gt;=AZ$3,$J200&lt;=IF(param_mode_affichage="mois",EOMONTH(AZ$3,0),AZ$3+6)),"◆",""))</f>
      </c>
      <c r="BA200" s="26">
        <f>IF(OR($A200="",BA$3=""),"",IF(AND($J200&lt;&gt;"",$K200&lt;&gt;"",$J200=$K200,$J200&gt;=BA$3,$J200&lt;=IF(param_mode_affichage="mois",EOMONTH(BA$3,0),BA$3+6)),"◆",""))</f>
      </c>
      <c r="BB200" s="26">
        <f>IF(OR($A200="",BB$3=""),"",IF(AND($J200&lt;&gt;"",$K200&lt;&gt;"",$J200=$K200,$J200&gt;=BB$3,$J200&lt;=IF(param_mode_affichage="mois",EOMONTH(BB$3,0),BB$3+6)),"◆",""))</f>
      </c>
      <c r="BC200" s="26">
        <f>IF(OR($A200="",BC$3=""),"",IF(AND($J200&lt;&gt;"",$K200&lt;&gt;"",$J200=$K200,$J200&gt;=BC$3,$J200&lt;=IF(param_mode_affichage="mois",EOMONTH(BC$3,0),BC$3+6)),"◆",""))</f>
      </c>
      <c r="BD200" s="26">
        <f>IF(OR($A200="",BD$3=""),"",IF(AND($J200&lt;&gt;"",$K200&lt;&gt;"",$J200=$K200,$J200&gt;=BD$3,$J200&lt;=IF(param_mode_affichage="mois",EOMONTH(BD$3,0),BD$3+6)),"◆",""))</f>
      </c>
      <c r="BE200" s="26">
        <f>IF(OR($A200="",BE$3=""),"",IF(AND($J200&lt;&gt;"",$K200&lt;&gt;"",$J200=$K200,$J200&gt;=BE$3,$J200&lt;=IF(param_mode_affichage="mois",EOMONTH(BE$3,0),BE$3+6)),"◆",""))</f>
      </c>
      <c r="BF200" s="26">
        <f>IF(OR($A200="",BF$3=""),"",IF(AND($J200&lt;&gt;"",$K200&lt;&gt;"",$J200=$K200,$J200&gt;=BF$3,$J200&lt;=IF(param_mode_affichage="mois",EOMONTH(BF$3,0),BF$3+6)),"◆",""))</f>
      </c>
      <c r="BG200" s="26">
        <f>IF(OR($A200="",BG$3=""),"",IF(AND($J200&lt;&gt;"",$K200&lt;&gt;"",$J200=$K200,$J200&gt;=BG$3,$J200&lt;=IF(param_mode_affichage="mois",EOMONTH(BG$3,0),BG$3+6)),"◆",""))</f>
      </c>
      <c r="BH200" s="26">
        <f>IF(OR($A200="",BH$3=""),"",IF(AND($J200&lt;&gt;"",$K200&lt;&gt;"",$J200=$K200,$J200&gt;=BH$3,$J200&lt;=IF(param_mode_affichage="mois",EOMONTH(BH$3,0),BH$3+6)),"◆",""))</f>
      </c>
      <c r="BI200" s="26">
        <f>IF(OR($A200="",BI$3=""),"",IF(AND($J200&lt;&gt;"",$K200&lt;&gt;"",$J200=$K200,$J200&gt;=BI$3,$J200&lt;=IF(param_mode_affichage="mois",EOMONTH(BI$3,0),BI$3+6)),"◆",""))</f>
      </c>
      <c r="BJ200" s="26">
        <f>IF(OR($A200="",BJ$3=""),"",IF(AND($J200&lt;&gt;"",$K200&lt;&gt;"",$J200=$K200,$J200&gt;=BJ$3,$J200&lt;=IF(param_mode_affichage="mois",EOMONTH(BJ$3,0),BJ$3+6)),"◆",""))</f>
      </c>
      <c r="BK200" s="26">
        <f>IF(OR($A200="",BK$3=""),"",IF(AND($J200&lt;&gt;"",$K200&lt;&gt;"",$J200=$K200,$J200&gt;=BK$3,$J200&lt;=IF(param_mode_affichage="mois",EOMONTH(BK$3,0),BK$3+6)),"◆",""))</f>
      </c>
      <c r="BL200" s="26">
        <f>IF(OR($A200="",BL$3=""),"",IF(AND($J200&lt;&gt;"",$K200&lt;&gt;"",$J200=$K200,$J200&gt;=BL$3,$J200&lt;=IF(param_mode_affichage="mois",EOMONTH(BL$3,0),BL$3+6)),"◆",""))</f>
      </c>
    </row>
    <row r="201" spans="1:64" x14ac:dyDescent="0.25">
      <c r="A201" s="23">
        <f>IFERROR(INDEX(tblTasks[ID],ROW()-4),"")</f>
      </c>
      <c r="B201" s="24">
        <f>IF($A201="","",INDEX(tblTasks[Sujet],ROW()-4))</f>
      </c>
      <c r="C201" s="23">
        <f>IF($A201="","",INDEX(tblTasks[Responsable],ROW()-4))</f>
      </c>
      <c r="D201" s="23">
        <f>IF($A201="","",INDEX(tblTasks[Statut],ROW()-4))</f>
      </c>
      <c r="E201" s="23">
        <f>IF($A201="","",INDEX(tblTasks[Depend_de],ROW()-4))</f>
      </c>
      <c r="F201" s="23">
        <f>IF($A201="","",INDEX(tblTasks[Blocage],ROW()-4))</f>
      </c>
      <c r="G201" s="23">
        <f>IF($A201="","",INDEX(tblTasks[Niveau_criticite],ROW()-4))</f>
      </c>
      <c r="H201" s="23">
        <f>IF($A201="","",INDEX(tblTasks[Goulot],ROW()-4))</f>
      </c>
      <c r="I201" s="23">
        <f>IF($A201="","",IF(LOWER($F201)="oui","non",IF($E201="","oui",IFERROR(IF(LOWER(INDEX(tblTasks[Statut],MATCH($E201,tblTasks[ID],0)))="clos","oui","non"),"non"))))</f>
      </c>
      <c r="J201" s="25">
        <f>IF($A201="","",INDEX(tblTasks[Date_debut_prevue],ROW()-4))</f>
      </c>
      <c r="K201" s="25">
        <f>IF($A201="","",INDEX(tblTasks[Date_fin_prevue],ROW()-4))</f>
      </c>
      <c r="L201" s="23">
        <f>IF($A201="","",INDEX(tblTasks[Irreversibilite],ROW()-4))</f>
      </c>
      <c r="M201" s="26">
        <f>IF(OR($A201="",M$3=""),"",IF(AND($J201&lt;&gt;"",$K201&lt;&gt;"",$J201=$K201,$J201&gt;=M$3,$J201&lt;=IF(param_mode_affichage="mois",EOMONTH(M$3,0),M$3+6)),"◆",""))</f>
      </c>
      <c r="N201" s="26">
        <f>IF(OR($A201="",N$3=""),"",IF(AND($J201&lt;&gt;"",$K201&lt;&gt;"",$J201=$K201,$J201&gt;=N$3,$J201&lt;=IF(param_mode_affichage="mois",EOMONTH(N$3,0),N$3+6)),"◆",""))</f>
      </c>
      <c r="O201" s="26">
        <f>IF(OR($A201="",O$3=""),"",IF(AND($J201&lt;&gt;"",$K201&lt;&gt;"",$J201=$K201,$J201&gt;=O$3,$J201&lt;=IF(param_mode_affichage="mois",EOMONTH(O$3,0),O$3+6)),"◆",""))</f>
      </c>
      <c r="P201" s="26">
        <f>IF(OR($A201="",P$3=""),"",IF(AND($J201&lt;&gt;"",$K201&lt;&gt;"",$J201=$K201,$J201&gt;=P$3,$J201&lt;=IF(param_mode_affichage="mois",EOMONTH(P$3,0),P$3+6)),"◆",""))</f>
      </c>
      <c r="Q201" s="26">
        <f>IF(OR($A201="",Q$3=""),"",IF(AND($J201&lt;&gt;"",$K201&lt;&gt;"",$J201=$K201,$J201&gt;=Q$3,$J201&lt;=IF(param_mode_affichage="mois",EOMONTH(Q$3,0),Q$3+6)),"◆",""))</f>
      </c>
      <c r="R201" s="26">
        <f>IF(OR($A201="",R$3=""),"",IF(AND($J201&lt;&gt;"",$K201&lt;&gt;"",$J201=$K201,$J201&gt;=R$3,$J201&lt;=IF(param_mode_affichage="mois",EOMONTH(R$3,0),R$3+6)),"◆",""))</f>
      </c>
      <c r="S201" s="26">
        <f>IF(OR($A201="",S$3=""),"",IF(AND($J201&lt;&gt;"",$K201&lt;&gt;"",$J201=$K201,$J201&gt;=S$3,$J201&lt;=IF(param_mode_affichage="mois",EOMONTH(S$3,0),S$3+6)),"◆",""))</f>
      </c>
      <c r="T201" s="26">
        <f>IF(OR($A201="",T$3=""),"",IF(AND($J201&lt;&gt;"",$K201&lt;&gt;"",$J201=$K201,$J201&gt;=T$3,$J201&lt;=IF(param_mode_affichage="mois",EOMONTH(T$3,0),T$3+6)),"◆",""))</f>
      </c>
      <c r="U201" s="26">
        <f>IF(OR($A201="",U$3=""),"",IF(AND($J201&lt;&gt;"",$K201&lt;&gt;"",$J201=$K201,$J201&gt;=U$3,$J201&lt;=IF(param_mode_affichage="mois",EOMONTH(U$3,0),U$3+6)),"◆",""))</f>
      </c>
      <c r="V201" s="26">
        <f>IF(OR($A201="",V$3=""),"",IF(AND($J201&lt;&gt;"",$K201&lt;&gt;"",$J201=$K201,$J201&gt;=V$3,$J201&lt;=IF(param_mode_affichage="mois",EOMONTH(V$3,0),V$3+6)),"◆",""))</f>
      </c>
      <c r="W201" s="26">
        <f>IF(OR($A201="",W$3=""),"",IF(AND($J201&lt;&gt;"",$K201&lt;&gt;"",$J201=$K201,$J201&gt;=W$3,$J201&lt;=IF(param_mode_affichage="mois",EOMONTH(W$3,0),W$3+6)),"◆",""))</f>
      </c>
      <c r="X201" s="26">
        <f>IF(OR($A201="",X$3=""),"",IF(AND($J201&lt;&gt;"",$K201&lt;&gt;"",$J201=$K201,$J201&gt;=X$3,$J201&lt;=IF(param_mode_affichage="mois",EOMONTH(X$3,0),X$3+6)),"◆",""))</f>
      </c>
      <c r="Y201" s="26">
        <f>IF(OR($A201="",Y$3=""),"",IF(AND($J201&lt;&gt;"",$K201&lt;&gt;"",$J201=$K201,$J201&gt;=Y$3,$J201&lt;=IF(param_mode_affichage="mois",EOMONTH(Y$3,0),Y$3+6)),"◆",""))</f>
      </c>
      <c r="Z201" s="26">
        <f>IF(OR($A201="",Z$3=""),"",IF(AND($J201&lt;&gt;"",$K201&lt;&gt;"",$J201=$K201,$J201&gt;=Z$3,$J201&lt;=IF(param_mode_affichage="mois",EOMONTH(Z$3,0),Z$3+6)),"◆",""))</f>
      </c>
      <c r="AA201" s="26">
        <f>IF(OR($A201="",AA$3=""),"",IF(AND($J201&lt;&gt;"",$K201&lt;&gt;"",$J201=$K201,$J201&gt;=AA$3,$J201&lt;=IF(param_mode_affichage="mois",EOMONTH(AA$3,0),AA$3+6)),"◆",""))</f>
      </c>
      <c r="AB201" s="26">
        <f>IF(OR($A201="",AB$3=""),"",IF(AND($J201&lt;&gt;"",$K201&lt;&gt;"",$J201=$K201,$J201&gt;=AB$3,$J201&lt;=IF(param_mode_affichage="mois",EOMONTH(AB$3,0),AB$3+6)),"◆",""))</f>
      </c>
      <c r="AC201" s="26">
        <f>IF(OR($A201="",AC$3=""),"",IF(AND($J201&lt;&gt;"",$K201&lt;&gt;"",$J201=$K201,$J201&gt;=AC$3,$J201&lt;=IF(param_mode_affichage="mois",EOMONTH(AC$3,0),AC$3+6)),"◆",""))</f>
      </c>
      <c r="AD201" s="26">
        <f>IF(OR($A201="",AD$3=""),"",IF(AND($J201&lt;&gt;"",$K201&lt;&gt;"",$J201=$K201,$J201&gt;=AD$3,$J201&lt;=IF(param_mode_affichage="mois",EOMONTH(AD$3,0),AD$3+6)),"◆",""))</f>
      </c>
      <c r="AE201" s="26">
        <f>IF(OR($A201="",AE$3=""),"",IF(AND($J201&lt;&gt;"",$K201&lt;&gt;"",$J201=$K201,$J201&gt;=AE$3,$J201&lt;=IF(param_mode_affichage="mois",EOMONTH(AE$3,0),AE$3+6)),"◆",""))</f>
      </c>
      <c r="AF201" s="26">
        <f>IF(OR($A201="",AF$3=""),"",IF(AND($J201&lt;&gt;"",$K201&lt;&gt;"",$J201=$K201,$J201&gt;=AF$3,$J201&lt;=IF(param_mode_affichage="mois",EOMONTH(AF$3,0),AF$3+6)),"◆",""))</f>
      </c>
      <c r="AG201" s="26">
        <f>IF(OR($A201="",AG$3=""),"",IF(AND($J201&lt;&gt;"",$K201&lt;&gt;"",$J201=$K201,$J201&gt;=AG$3,$J201&lt;=IF(param_mode_affichage="mois",EOMONTH(AG$3,0),AG$3+6)),"◆",""))</f>
      </c>
      <c r="AH201" s="26">
        <f>IF(OR($A201="",AH$3=""),"",IF(AND($J201&lt;&gt;"",$K201&lt;&gt;"",$J201=$K201,$J201&gt;=AH$3,$J201&lt;=IF(param_mode_affichage="mois",EOMONTH(AH$3,0),AH$3+6)),"◆",""))</f>
      </c>
      <c r="AI201" s="26">
        <f>IF(OR($A201="",AI$3=""),"",IF(AND($J201&lt;&gt;"",$K201&lt;&gt;"",$J201=$K201,$J201&gt;=AI$3,$J201&lt;=IF(param_mode_affichage="mois",EOMONTH(AI$3,0),AI$3+6)),"◆",""))</f>
      </c>
      <c r="AJ201" s="26">
        <f>IF(OR($A201="",AJ$3=""),"",IF(AND($J201&lt;&gt;"",$K201&lt;&gt;"",$J201=$K201,$J201&gt;=AJ$3,$J201&lt;=IF(param_mode_affichage="mois",EOMONTH(AJ$3,0),AJ$3+6)),"◆",""))</f>
      </c>
      <c r="AK201" s="26">
        <f>IF(OR($A201="",AK$3=""),"",IF(AND($J201&lt;&gt;"",$K201&lt;&gt;"",$J201=$K201,$J201&gt;=AK$3,$J201&lt;=IF(param_mode_affichage="mois",EOMONTH(AK$3,0),AK$3+6)),"◆",""))</f>
      </c>
      <c r="AL201" s="26">
        <f>IF(OR($A201="",AL$3=""),"",IF(AND($J201&lt;&gt;"",$K201&lt;&gt;"",$J201=$K201,$J201&gt;=AL$3,$J201&lt;=IF(param_mode_affichage="mois",EOMONTH(AL$3,0),AL$3+6)),"◆",""))</f>
      </c>
      <c r="AM201" s="26">
        <f>IF(OR($A201="",AM$3=""),"",IF(AND($J201&lt;&gt;"",$K201&lt;&gt;"",$J201=$K201,$J201&gt;=AM$3,$J201&lt;=IF(param_mode_affichage="mois",EOMONTH(AM$3,0),AM$3+6)),"◆",""))</f>
      </c>
      <c r="AN201" s="26">
        <f>IF(OR($A201="",AN$3=""),"",IF(AND($J201&lt;&gt;"",$K201&lt;&gt;"",$J201=$K201,$J201&gt;=AN$3,$J201&lt;=IF(param_mode_affichage="mois",EOMONTH(AN$3,0),AN$3+6)),"◆",""))</f>
      </c>
      <c r="AO201" s="26">
        <f>IF(OR($A201="",AO$3=""),"",IF(AND($J201&lt;&gt;"",$K201&lt;&gt;"",$J201=$K201,$J201&gt;=AO$3,$J201&lt;=IF(param_mode_affichage="mois",EOMONTH(AO$3,0),AO$3+6)),"◆",""))</f>
      </c>
      <c r="AP201" s="26">
        <f>IF(OR($A201="",AP$3=""),"",IF(AND($J201&lt;&gt;"",$K201&lt;&gt;"",$J201=$K201,$J201&gt;=AP$3,$J201&lt;=IF(param_mode_affichage="mois",EOMONTH(AP$3,0),AP$3+6)),"◆",""))</f>
      </c>
      <c r="AQ201" s="26">
        <f>IF(OR($A201="",AQ$3=""),"",IF(AND($J201&lt;&gt;"",$K201&lt;&gt;"",$J201=$K201,$J201&gt;=AQ$3,$J201&lt;=IF(param_mode_affichage="mois",EOMONTH(AQ$3,0),AQ$3+6)),"◆",""))</f>
      </c>
      <c r="AR201" s="26">
        <f>IF(OR($A201="",AR$3=""),"",IF(AND($J201&lt;&gt;"",$K201&lt;&gt;"",$J201=$K201,$J201&gt;=AR$3,$J201&lt;=IF(param_mode_affichage="mois",EOMONTH(AR$3,0),AR$3+6)),"◆",""))</f>
      </c>
      <c r="AS201" s="26">
        <f>IF(OR($A201="",AS$3=""),"",IF(AND($J201&lt;&gt;"",$K201&lt;&gt;"",$J201=$K201,$J201&gt;=AS$3,$J201&lt;=IF(param_mode_affichage="mois",EOMONTH(AS$3,0),AS$3+6)),"◆",""))</f>
      </c>
      <c r="AT201" s="26">
        <f>IF(OR($A201="",AT$3=""),"",IF(AND($J201&lt;&gt;"",$K201&lt;&gt;"",$J201=$K201,$J201&gt;=AT$3,$J201&lt;=IF(param_mode_affichage="mois",EOMONTH(AT$3,0),AT$3+6)),"◆",""))</f>
      </c>
      <c r="AU201" s="26">
        <f>IF(OR($A201="",AU$3=""),"",IF(AND($J201&lt;&gt;"",$K201&lt;&gt;"",$J201=$K201,$J201&gt;=AU$3,$J201&lt;=IF(param_mode_affichage="mois",EOMONTH(AU$3,0),AU$3+6)),"◆",""))</f>
      </c>
      <c r="AV201" s="26">
        <f>IF(OR($A201="",AV$3=""),"",IF(AND($J201&lt;&gt;"",$K201&lt;&gt;"",$J201=$K201,$J201&gt;=AV$3,$J201&lt;=IF(param_mode_affichage="mois",EOMONTH(AV$3,0),AV$3+6)),"◆",""))</f>
      </c>
      <c r="AW201" s="26">
        <f>IF(OR($A201="",AW$3=""),"",IF(AND($J201&lt;&gt;"",$K201&lt;&gt;"",$J201=$K201,$J201&gt;=AW$3,$J201&lt;=IF(param_mode_affichage="mois",EOMONTH(AW$3,0),AW$3+6)),"◆",""))</f>
      </c>
      <c r="AX201" s="26">
        <f>IF(OR($A201="",AX$3=""),"",IF(AND($J201&lt;&gt;"",$K201&lt;&gt;"",$J201=$K201,$J201&gt;=AX$3,$J201&lt;=IF(param_mode_affichage="mois",EOMONTH(AX$3,0),AX$3+6)),"◆",""))</f>
      </c>
      <c r="AY201" s="26">
        <f>IF(OR($A201="",AY$3=""),"",IF(AND($J201&lt;&gt;"",$K201&lt;&gt;"",$J201=$K201,$J201&gt;=AY$3,$J201&lt;=IF(param_mode_affichage="mois",EOMONTH(AY$3,0),AY$3+6)),"◆",""))</f>
      </c>
      <c r="AZ201" s="26">
        <f>IF(OR($A201="",AZ$3=""),"",IF(AND($J201&lt;&gt;"",$K201&lt;&gt;"",$J201=$K201,$J201&gt;=AZ$3,$J201&lt;=IF(param_mode_affichage="mois",EOMONTH(AZ$3,0),AZ$3+6)),"◆",""))</f>
      </c>
      <c r="BA201" s="26">
        <f>IF(OR($A201="",BA$3=""),"",IF(AND($J201&lt;&gt;"",$K201&lt;&gt;"",$J201=$K201,$J201&gt;=BA$3,$J201&lt;=IF(param_mode_affichage="mois",EOMONTH(BA$3,0),BA$3+6)),"◆",""))</f>
      </c>
      <c r="BB201" s="26">
        <f>IF(OR($A201="",BB$3=""),"",IF(AND($J201&lt;&gt;"",$K201&lt;&gt;"",$J201=$K201,$J201&gt;=BB$3,$J201&lt;=IF(param_mode_affichage="mois",EOMONTH(BB$3,0),BB$3+6)),"◆",""))</f>
      </c>
      <c r="BC201" s="26">
        <f>IF(OR($A201="",BC$3=""),"",IF(AND($J201&lt;&gt;"",$K201&lt;&gt;"",$J201=$K201,$J201&gt;=BC$3,$J201&lt;=IF(param_mode_affichage="mois",EOMONTH(BC$3,0),BC$3+6)),"◆",""))</f>
      </c>
      <c r="BD201" s="26">
        <f>IF(OR($A201="",BD$3=""),"",IF(AND($J201&lt;&gt;"",$K201&lt;&gt;"",$J201=$K201,$J201&gt;=BD$3,$J201&lt;=IF(param_mode_affichage="mois",EOMONTH(BD$3,0),BD$3+6)),"◆",""))</f>
      </c>
      <c r="BE201" s="26">
        <f>IF(OR($A201="",BE$3=""),"",IF(AND($J201&lt;&gt;"",$K201&lt;&gt;"",$J201=$K201,$J201&gt;=BE$3,$J201&lt;=IF(param_mode_affichage="mois",EOMONTH(BE$3,0),BE$3+6)),"◆",""))</f>
      </c>
      <c r="BF201" s="26">
        <f>IF(OR($A201="",BF$3=""),"",IF(AND($J201&lt;&gt;"",$K201&lt;&gt;"",$J201=$K201,$J201&gt;=BF$3,$J201&lt;=IF(param_mode_affichage="mois",EOMONTH(BF$3,0),BF$3+6)),"◆",""))</f>
      </c>
      <c r="BG201" s="26">
        <f>IF(OR($A201="",BG$3=""),"",IF(AND($J201&lt;&gt;"",$K201&lt;&gt;"",$J201=$K201,$J201&gt;=BG$3,$J201&lt;=IF(param_mode_affichage="mois",EOMONTH(BG$3,0),BG$3+6)),"◆",""))</f>
      </c>
      <c r="BH201" s="26">
        <f>IF(OR($A201="",BH$3=""),"",IF(AND($J201&lt;&gt;"",$K201&lt;&gt;"",$J201=$K201,$J201&gt;=BH$3,$J201&lt;=IF(param_mode_affichage="mois",EOMONTH(BH$3,0),BH$3+6)),"◆",""))</f>
      </c>
      <c r="BI201" s="26">
        <f>IF(OR($A201="",BI$3=""),"",IF(AND($J201&lt;&gt;"",$K201&lt;&gt;"",$J201=$K201,$J201&gt;=BI$3,$J201&lt;=IF(param_mode_affichage="mois",EOMONTH(BI$3,0),BI$3+6)),"◆",""))</f>
      </c>
      <c r="BJ201" s="26">
        <f>IF(OR($A201="",BJ$3=""),"",IF(AND($J201&lt;&gt;"",$K201&lt;&gt;"",$J201=$K201,$J201&gt;=BJ$3,$J201&lt;=IF(param_mode_affichage="mois",EOMONTH(BJ$3,0),BJ$3+6)),"◆",""))</f>
      </c>
      <c r="BK201" s="26">
        <f>IF(OR($A201="",BK$3=""),"",IF(AND($J201&lt;&gt;"",$K201&lt;&gt;"",$J201=$K201,$J201&gt;=BK$3,$J201&lt;=IF(param_mode_affichage="mois",EOMONTH(BK$3,0),BK$3+6)),"◆",""))</f>
      </c>
      <c r="BL201" s="26">
        <f>IF(OR($A201="",BL$3=""),"",IF(AND($J201&lt;&gt;"",$K201&lt;&gt;"",$J201=$K201,$J201&gt;=BL$3,$J201&lt;=IF(param_mode_affichage="mois",EOMONTH(BL$3,0),BL$3+6)),"◆",""))</f>
      </c>
    </row>
    <row r="202" spans="1:64" x14ac:dyDescent="0.25">
      <c r="A202" s="23">
        <f>IFERROR(INDEX(tblTasks[ID],ROW()-4),"")</f>
      </c>
      <c r="B202" s="24">
        <f>IF($A202="","",INDEX(tblTasks[Sujet],ROW()-4))</f>
      </c>
      <c r="C202" s="23">
        <f>IF($A202="","",INDEX(tblTasks[Responsable],ROW()-4))</f>
      </c>
      <c r="D202" s="23">
        <f>IF($A202="","",INDEX(tblTasks[Statut],ROW()-4))</f>
      </c>
      <c r="E202" s="23">
        <f>IF($A202="","",INDEX(tblTasks[Depend_de],ROW()-4))</f>
      </c>
      <c r="F202" s="23">
        <f>IF($A202="","",INDEX(tblTasks[Blocage],ROW()-4))</f>
      </c>
      <c r="G202" s="23">
        <f>IF($A202="","",INDEX(tblTasks[Niveau_criticite],ROW()-4))</f>
      </c>
      <c r="H202" s="23">
        <f>IF($A202="","",INDEX(tblTasks[Goulot],ROW()-4))</f>
      </c>
      <c r="I202" s="23">
        <f>IF($A202="","",IF(LOWER($F202)="oui","non",IF($E202="","oui",IFERROR(IF(LOWER(INDEX(tblTasks[Statut],MATCH($E202,tblTasks[ID],0)))="clos","oui","non"),"non"))))</f>
      </c>
      <c r="J202" s="25">
        <f>IF($A202="","",INDEX(tblTasks[Date_debut_prevue],ROW()-4))</f>
      </c>
      <c r="K202" s="25">
        <f>IF($A202="","",INDEX(tblTasks[Date_fin_prevue],ROW()-4))</f>
      </c>
      <c r="L202" s="23">
        <f>IF($A202="","",INDEX(tblTasks[Irreversibilite],ROW()-4))</f>
      </c>
      <c r="M202" s="26">
        <f>IF(OR($A202="",M$3=""),"",IF(AND($J202&lt;&gt;"",$K202&lt;&gt;"",$J202=$K202,$J202&gt;=M$3,$J202&lt;=IF(param_mode_affichage="mois",EOMONTH(M$3,0),M$3+6)),"◆",""))</f>
      </c>
      <c r="N202" s="26">
        <f>IF(OR($A202="",N$3=""),"",IF(AND($J202&lt;&gt;"",$K202&lt;&gt;"",$J202=$K202,$J202&gt;=N$3,$J202&lt;=IF(param_mode_affichage="mois",EOMONTH(N$3,0),N$3+6)),"◆",""))</f>
      </c>
      <c r="O202" s="26">
        <f>IF(OR($A202="",O$3=""),"",IF(AND($J202&lt;&gt;"",$K202&lt;&gt;"",$J202=$K202,$J202&gt;=O$3,$J202&lt;=IF(param_mode_affichage="mois",EOMONTH(O$3,0),O$3+6)),"◆",""))</f>
      </c>
      <c r="P202" s="26">
        <f>IF(OR($A202="",P$3=""),"",IF(AND($J202&lt;&gt;"",$K202&lt;&gt;"",$J202=$K202,$J202&gt;=P$3,$J202&lt;=IF(param_mode_affichage="mois",EOMONTH(P$3,0),P$3+6)),"◆",""))</f>
      </c>
      <c r="Q202" s="26">
        <f>IF(OR($A202="",Q$3=""),"",IF(AND($J202&lt;&gt;"",$K202&lt;&gt;"",$J202=$K202,$J202&gt;=Q$3,$J202&lt;=IF(param_mode_affichage="mois",EOMONTH(Q$3,0),Q$3+6)),"◆",""))</f>
      </c>
      <c r="R202" s="26">
        <f>IF(OR($A202="",R$3=""),"",IF(AND($J202&lt;&gt;"",$K202&lt;&gt;"",$J202=$K202,$J202&gt;=R$3,$J202&lt;=IF(param_mode_affichage="mois",EOMONTH(R$3,0),R$3+6)),"◆",""))</f>
      </c>
      <c r="S202" s="26">
        <f>IF(OR($A202="",S$3=""),"",IF(AND($J202&lt;&gt;"",$K202&lt;&gt;"",$J202=$K202,$J202&gt;=S$3,$J202&lt;=IF(param_mode_affichage="mois",EOMONTH(S$3,0),S$3+6)),"◆",""))</f>
      </c>
      <c r="T202" s="26">
        <f>IF(OR($A202="",T$3=""),"",IF(AND($J202&lt;&gt;"",$K202&lt;&gt;"",$J202=$K202,$J202&gt;=T$3,$J202&lt;=IF(param_mode_affichage="mois",EOMONTH(T$3,0),T$3+6)),"◆",""))</f>
      </c>
      <c r="U202" s="26">
        <f>IF(OR($A202="",U$3=""),"",IF(AND($J202&lt;&gt;"",$K202&lt;&gt;"",$J202=$K202,$J202&gt;=U$3,$J202&lt;=IF(param_mode_affichage="mois",EOMONTH(U$3,0),U$3+6)),"◆",""))</f>
      </c>
      <c r="V202" s="26">
        <f>IF(OR($A202="",V$3=""),"",IF(AND($J202&lt;&gt;"",$K202&lt;&gt;"",$J202=$K202,$J202&gt;=V$3,$J202&lt;=IF(param_mode_affichage="mois",EOMONTH(V$3,0),V$3+6)),"◆",""))</f>
      </c>
      <c r="W202" s="26">
        <f>IF(OR($A202="",W$3=""),"",IF(AND($J202&lt;&gt;"",$K202&lt;&gt;"",$J202=$K202,$J202&gt;=W$3,$J202&lt;=IF(param_mode_affichage="mois",EOMONTH(W$3,0),W$3+6)),"◆",""))</f>
      </c>
      <c r="X202" s="26">
        <f>IF(OR($A202="",X$3=""),"",IF(AND($J202&lt;&gt;"",$K202&lt;&gt;"",$J202=$K202,$J202&gt;=X$3,$J202&lt;=IF(param_mode_affichage="mois",EOMONTH(X$3,0),X$3+6)),"◆",""))</f>
      </c>
      <c r="Y202" s="26">
        <f>IF(OR($A202="",Y$3=""),"",IF(AND($J202&lt;&gt;"",$K202&lt;&gt;"",$J202=$K202,$J202&gt;=Y$3,$J202&lt;=IF(param_mode_affichage="mois",EOMONTH(Y$3,0),Y$3+6)),"◆",""))</f>
      </c>
      <c r="Z202" s="26">
        <f>IF(OR($A202="",Z$3=""),"",IF(AND($J202&lt;&gt;"",$K202&lt;&gt;"",$J202=$K202,$J202&gt;=Z$3,$J202&lt;=IF(param_mode_affichage="mois",EOMONTH(Z$3,0),Z$3+6)),"◆",""))</f>
      </c>
      <c r="AA202" s="26">
        <f>IF(OR($A202="",AA$3=""),"",IF(AND($J202&lt;&gt;"",$K202&lt;&gt;"",$J202=$K202,$J202&gt;=AA$3,$J202&lt;=IF(param_mode_affichage="mois",EOMONTH(AA$3,0),AA$3+6)),"◆",""))</f>
      </c>
      <c r="AB202" s="26">
        <f>IF(OR($A202="",AB$3=""),"",IF(AND($J202&lt;&gt;"",$K202&lt;&gt;"",$J202=$K202,$J202&gt;=AB$3,$J202&lt;=IF(param_mode_affichage="mois",EOMONTH(AB$3,0),AB$3+6)),"◆",""))</f>
      </c>
      <c r="AC202" s="26">
        <f>IF(OR($A202="",AC$3=""),"",IF(AND($J202&lt;&gt;"",$K202&lt;&gt;"",$J202=$K202,$J202&gt;=AC$3,$J202&lt;=IF(param_mode_affichage="mois",EOMONTH(AC$3,0),AC$3+6)),"◆",""))</f>
      </c>
      <c r="AD202" s="26">
        <f>IF(OR($A202="",AD$3=""),"",IF(AND($J202&lt;&gt;"",$K202&lt;&gt;"",$J202=$K202,$J202&gt;=AD$3,$J202&lt;=IF(param_mode_affichage="mois",EOMONTH(AD$3,0),AD$3+6)),"◆",""))</f>
      </c>
      <c r="AE202" s="26">
        <f>IF(OR($A202="",AE$3=""),"",IF(AND($J202&lt;&gt;"",$K202&lt;&gt;"",$J202=$K202,$J202&gt;=AE$3,$J202&lt;=IF(param_mode_affichage="mois",EOMONTH(AE$3,0),AE$3+6)),"◆",""))</f>
      </c>
      <c r="AF202" s="26">
        <f>IF(OR($A202="",AF$3=""),"",IF(AND($J202&lt;&gt;"",$K202&lt;&gt;"",$J202=$K202,$J202&gt;=AF$3,$J202&lt;=IF(param_mode_affichage="mois",EOMONTH(AF$3,0),AF$3+6)),"◆",""))</f>
      </c>
      <c r="AG202" s="26">
        <f>IF(OR($A202="",AG$3=""),"",IF(AND($J202&lt;&gt;"",$K202&lt;&gt;"",$J202=$K202,$J202&gt;=AG$3,$J202&lt;=IF(param_mode_affichage="mois",EOMONTH(AG$3,0),AG$3+6)),"◆",""))</f>
      </c>
      <c r="AH202" s="26">
        <f>IF(OR($A202="",AH$3=""),"",IF(AND($J202&lt;&gt;"",$K202&lt;&gt;"",$J202=$K202,$J202&gt;=AH$3,$J202&lt;=IF(param_mode_affichage="mois",EOMONTH(AH$3,0),AH$3+6)),"◆",""))</f>
      </c>
      <c r="AI202" s="26">
        <f>IF(OR($A202="",AI$3=""),"",IF(AND($J202&lt;&gt;"",$K202&lt;&gt;"",$J202=$K202,$J202&gt;=AI$3,$J202&lt;=IF(param_mode_affichage="mois",EOMONTH(AI$3,0),AI$3+6)),"◆",""))</f>
      </c>
      <c r="AJ202" s="26">
        <f>IF(OR($A202="",AJ$3=""),"",IF(AND($J202&lt;&gt;"",$K202&lt;&gt;"",$J202=$K202,$J202&gt;=AJ$3,$J202&lt;=IF(param_mode_affichage="mois",EOMONTH(AJ$3,0),AJ$3+6)),"◆",""))</f>
      </c>
      <c r="AK202" s="26">
        <f>IF(OR($A202="",AK$3=""),"",IF(AND($J202&lt;&gt;"",$K202&lt;&gt;"",$J202=$K202,$J202&gt;=AK$3,$J202&lt;=IF(param_mode_affichage="mois",EOMONTH(AK$3,0),AK$3+6)),"◆",""))</f>
      </c>
      <c r="AL202" s="26">
        <f>IF(OR($A202="",AL$3=""),"",IF(AND($J202&lt;&gt;"",$K202&lt;&gt;"",$J202=$K202,$J202&gt;=AL$3,$J202&lt;=IF(param_mode_affichage="mois",EOMONTH(AL$3,0),AL$3+6)),"◆",""))</f>
      </c>
      <c r="AM202" s="26">
        <f>IF(OR($A202="",AM$3=""),"",IF(AND($J202&lt;&gt;"",$K202&lt;&gt;"",$J202=$K202,$J202&gt;=AM$3,$J202&lt;=IF(param_mode_affichage="mois",EOMONTH(AM$3,0),AM$3+6)),"◆",""))</f>
      </c>
      <c r="AN202" s="26">
        <f>IF(OR($A202="",AN$3=""),"",IF(AND($J202&lt;&gt;"",$K202&lt;&gt;"",$J202=$K202,$J202&gt;=AN$3,$J202&lt;=IF(param_mode_affichage="mois",EOMONTH(AN$3,0),AN$3+6)),"◆",""))</f>
      </c>
      <c r="AO202" s="26">
        <f>IF(OR($A202="",AO$3=""),"",IF(AND($J202&lt;&gt;"",$K202&lt;&gt;"",$J202=$K202,$J202&gt;=AO$3,$J202&lt;=IF(param_mode_affichage="mois",EOMONTH(AO$3,0),AO$3+6)),"◆",""))</f>
      </c>
      <c r="AP202" s="26">
        <f>IF(OR($A202="",AP$3=""),"",IF(AND($J202&lt;&gt;"",$K202&lt;&gt;"",$J202=$K202,$J202&gt;=AP$3,$J202&lt;=IF(param_mode_affichage="mois",EOMONTH(AP$3,0),AP$3+6)),"◆",""))</f>
      </c>
      <c r="AQ202" s="26">
        <f>IF(OR($A202="",AQ$3=""),"",IF(AND($J202&lt;&gt;"",$K202&lt;&gt;"",$J202=$K202,$J202&gt;=AQ$3,$J202&lt;=IF(param_mode_affichage="mois",EOMONTH(AQ$3,0),AQ$3+6)),"◆",""))</f>
      </c>
      <c r="AR202" s="26">
        <f>IF(OR($A202="",AR$3=""),"",IF(AND($J202&lt;&gt;"",$K202&lt;&gt;"",$J202=$K202,$J202&gt;=AR$3,$J202&lt;=IF(param_mode_affichage="mois",EOMONTH(AR$3,0),AR$3+6)),"◆",""))</f>
      </c>
      <c r="AS202" s="26">
        <f>IF(OR($A202="",AS$3=""),"",IF(AND($J202&lt;&gt;"",$K202&lt;&gt;"",$J202=$K202,$J202&gt;=AS$3,$J202&lt;=IF(param_mode_affichage="mois",EOMONTH(AS$3,0),AS$3+6)),"◆",""))</f>
      </c>
      <c r="AT202" s="26">
        <f>IF(OR($A202="",AT$3=""),"",IF(AND($J202&lt;&gt;"",$K202&lt;&gt;"",$J202=$K202,$J202&gt;=AT$3,$J202&lt;=IF(param_mode_affichage="mois",EOMONTH(AT$3,0),AT$3+6)),"◆",""))</f>
      </c>
      <c r="AU202" s="26">
        <f>IF(OR($A202="",AU$3=""),"",IF(AND($J202&lt;&gt;"",$K202&lt;&gt;"",$J202=$K202,$J202&gt;=AU$3,$J202&lt;=IF(param_mode_affichage="mois",EOMONTH(AU$3,0),AU$3+6)),"◆",""))</f>
      </c>
      <c r="AV202" s="26">
        <f>IF(OR($A202="",AV$3=""),"",IF(AND($J202&lt;&gt;"",$K202&lt;&gt;"",$J202=$K202,$J202&gt;=AV$3,$J202&lt;=IF(param_mode_affichage="mois",EOMONTH(AV$3,0),AV$3+6)),"◆",""))</f>
      </c>
      <c r="AW202" s="26">
        <f>IF(OR($A202="",AW$3=""),"",IF(AND($J202&lt;&gt;"",$K202&lt;&gt;"",$J202=$K202,$J202&gt;=AW$3,$J202&lt;=IF(param_mode_affichage="mois",EOMONTH(AW$3,0),AW$3+6)),"◆",""))</f>
      </c>
      <c r="AX202" s="26">
        <f>IF(OR($A202="",AX$3=""),"",IF(AND($J202&lt;&gt;"",$K202&lt;&gt;"",$J202=$K202,$J202&gt;=AX$3,$J202&lt;=IF(param_mode_affichage="mois",EOMONTH(AX$3,0),AX$3+6)),"◆",""))</f>
      </c>
      <c r="AY202" s="26">
        <f>IF(OR($A202="",AY$3=""),"",IF(AND($J202&lt;&gt;"",$K202&lt;&gt;"",$J202=$K202,$J202&gt;=AY$3,$J202&lt;=IF(param_mode_affichage="mois",EOMONTH(AY$3,0),AY$3+6)),"◆",""))</f>
      </c>
      <c r="AZ202" s="26">
        <f>IF(OR($A202="",AZ$3=""),"",IF(AND($J202&lt;&gt;"",$K202&lt;&gt;"",$J202=$K202,$J202&gt;=AZ$3,$J202&lt;=IF(param_mode_affichage="mois",EOMONTH(AZ$3,0),AZ$3+6)),"◆",""))</f>
      </c>
      <c r="BA202" s="26">
        <f>IF(OR($A202="",BA$3=""),"",IF(AND($J202&lt;&gt;"",$K202&lt;&gt;"",$J202=$K202,$J202&gt;=BA$3,$J202&lt;=IF(param_mode_affichage="mois",EOMONTH(BA$3,0),BA$3+6)),"◆",""))</f>
      </c>
      <c r="BB202" s="26">
        <f>IF(OR($A202="",BB$3=""),"",IF(AND($J202&lt;&gt;"",$K202&lt;&gt;"",$J202=$K202,$J202&gt;=BB$3,$J202&lt;=IF(param_mode_affichage="mois",EOMONTH(BB$3,0),BB$3+6)),"◆",""))</f>
      </c>
      <c r="BC202" s="26">
        <f>IF(OR($A202="",BC$3=""),"",IF(AND($J202&lt;&gt;"",$K202&lt;&gt;"",$J202=$K202,$J202&gt;=BC$3,$J202&lt;=IF(param_mode_affichage="mois",EOMONTH(BC$3,0),BC$3+6)),"◆",""))</f>
      </c>
      <c r="BD202" s="26">
        <f>IF(OR($A202="",BD$3=""),"",IF(AND($J202&lt;&gt;"",$K202&lt;&gt;"",$J202=$K202,$J202&gt;=BD$3,$J202&lt;=IF(param_mode_affichage="mois",EOMONTH(BD$3,0),BD$3+6)),"◆",""))</f>
      </c>
      <c r="BE202" s="26">
        <f>IF(OR($A202="",BE$3=""),"",IF(AND($J202&lt;&gt;"",$K202&lt;&gt;"",$J202=$K202,$J202&gt;=BE$3,$J202&lt;=IF(param_mode_affichage="mois",EOMONTH(BE$3,0),BE$3+6)),"◆",""))</f>
      </c>
      <c r="BF202" s="26">
        <f>IF(OR($A202="",BF$3=""),"",IF(AND($J202&lt;&gt;"",$K202&lt;&gt;"",$J202=$K202,$J202&gt;=BF$3,$J202&lt;=IF(param_mode_affichage="mois",EOMONTH(BF$3,0),BF$3+6)),"◆",""))</f>
      </c>
      <c r="BG202" s="26">
        <f>IF(OR($A202="",BG$3=""),"",IF(AND($J202&lt;&gt;"",$K202&lt;&gt;"",$J202=$K202,$J202&gt;=BG$3,$J202&lt;=IF(param_mode_affichage="mois",EOMONTH(BG$3,0),BG$3+6)),"◆",""))</f>
      </c>
      <c r="BH202" s="26">
        <f>IF(OR($A202="",BH$3=""),"",IF(AND($J202&lt;&gt;"",$K202&lt;&gt;"",$J202=$K202,$J202&gt;=BH$3,$J202&lt;=IF(param_mode_affichage="mois",EOMONTH(BH$3,0),BH$3+6)),"◆",""))</f>
      </c>
      <c r="BI202" s="26">
        <f>IF(OR($A202="",BI$3=""),"",IF(AND($J202&lt;&gt;"",$K202&lt;&gt;"",$J202=$K202,$J202&gt;=BI$3,$J202&lt;=IF(param_mode_affichage="mois",EOMONTH(BI$3,0),BI$3+6)),"◆",""))</f>
      </c>
      <c r="BJ202" s="26">
        <f>IF(OR($A202="",BJ$3=""),"",IF(AND($J202&lt;&gt;"",$K202&lt;&gt;"",$J202=$K202,$J202&gt;=BJ$3,$J202&lt;=IF(param_mode_affichage="mois",EOMONTH(BJ$3,0),BJ$3+6)),"◆",""))</f>
      </c>
      <c r="BK202" s="26">
        <f>IF(OR($A202="",BK$3=""),"",IF(AND($J202&lt;&gt;"",$K202&lt;&gt;"",$J202=$K202,$J202&gt;=BK$3,$J202&lt;=IF(param_mode_affichage="mois",EOMONTH(BK$3,0),BK$3+6)),"◆",""))</f>
      </c>
      <c r="BL202" s="26">
        <f>IF(OR($A202="",BL$3=""),"",IF(AND($J202&lt;&gt;"",$K202&lt;&gt;"",$J202=$K202,$J202&gt;=BL$3,$J202&lt;=IF(param_mode_affichage="mois",EOMONTH(BL$3,0),BL$3+6)),"◆",""))</f>
      </c>
    </row>
    <row r="203" spans="1:64" x14ac:dyDescent="0.25">
      <c r="A203" s="23">
        <f>IFERROR(INDEX(tblTasks[ID],ROW()-4),"")</f>
      </c>
      <c r="B203" s="24">
        <f>IF($A203="","",INDEX(tblTasks[Sujet],ROW()-4))</f>
      </c>
      <c r="C203" s="23">
        <f>IF($A203="","",INDEX(tblTasks[Responsable],ROW()-4))</f>
      </c>
      <c r="D203" s="23">
        <f>IF($A203="","",INDEX(tblTasks[Statut],ROW()-4))</f>
      </c>
      <c r="E203" s="23">
        <f>IF($A203="","",INDEX(tblTasks[Depend_de],ROW()-4))</f>
      </c>
      <c r="F203" s="23">
        <f>IF($A203="","",INDEX(tblTasks[Blocage],ROW()-4))</f>
      </c>
      <c r="G203" s="23">
        <f>IF($A203="","",INDEX(tblTasks[Niveau_criticite],ROW()-4))</f>
      </c>
      <c r="H203" s="23">
        <f>IF($A203="","",INDEX(tblTasks[Goulot],ROW()-4))</f>
      </c>
      <c r="I203" s="23">
        <f>IF($A203="","",IF(LOWER($F203)="oui","non",IF($E203="","oui",IFERROR(IF(LOWER(INDEX(tblTasks[Statut],MATCH($E203,tblTasks[ID],0)))="clos","oui","non"),"non"))))</f>
      </c>
      <c r="J203" s="25">
        <f>IF($A203="","",INDEX(tblTasks[Date_debut_prevue],ROW()-4))</f>
      </c>
      <c r="K203" s="25">
        <f>IF($A203="","",INDEX(tblTasks[Date_fin_prevue],ROW()-4))</f>
      </c>
      <c r="L203" s="23">
        <f>IF($A203="","",INDEX(tblTasks[Irreversibilite],ROW()-4))</f>
      </c>
      <c r="M203" s="26">
        <f>IF(OR($A203="",M$3=""),"",IF(AND($J203&lt;&gt;"",$K203&lt;&gt;"",$J203=$K203,$J203&gt;=M$3,$J203&lt;=IF(param_mode_affichage="mois",EOMONTH(M$3,0),M$3+6)),"◆",""))</f>
      </c>
      <c r="N203" s="26">
        <f>IF(OR($A203="",N$3=""),"",IF(AND($J203&lt;&gt;"",$K203&lt;&gt;"",$J203=$K203,$J203&gt;=N$3,$J203&lt;=IF(param_mode_affichage="mois",EOMONTH(N$3,0),N$3+6)),"◆",""))</f>
      </c>
      <c r="O203" s="26">
        <f>IF(OR($A203="",O$3=""),"",IF(AND($J203&lt;&gt;"",$K203&lt;&gt;"",$J203=$K203,$J203&gt;=O$3,$J203&lt;=IF(param_mode_affichage="mois",EOMONTH(O$3,0),O$3+6)),"◆",""))</f>
      </c>
      <c r="P203" s="26">
        <f>IF(OR($A203="",P$3=""),"",IF(AND($J203&lt;&gt;"",$K203&lt;&gt;"",$J203=$K203,$J203&gt;=P$3,$J203&lt;=IF(param_mode_affichage="mois",EOMONTH(P$3,0),P$3+6)),"◆",""))</f>
      </c>
      <c r="Q203" s="26">
        <f>IF(OR($A203="",Q$3=""),"",IF(AND($J203&lt;&gt;"",$K203&lt;&gt;"",$J203=$K203,$J203&gt;=Q$3,$J203&lt;=IF(param_mode_affichage="mois",EOMONTH(Q$3,0),Q$3+6)),"◆",""))</f>
      </c>
      <c r="R203" s="26">
        <f>IF(OR($A203="",R$3=""),"",IF(AND($J203&lt;&gt;"",$K203&lt;&gt;"",$J203=$K203,$J203&gt;=R$3,$J203&lt;=IF(param_mode_affichage="mois",EOMONTH(R$3,0),R$3+6)),"◆",""))</f>
      </c>
      <c r="S203" s="26">
        <f>IF(OR($A203="",S$3=""),"",IF(AND($J203&lt;&gt;"",$K203&lt;&gt;"",$J203=$K203,$J203&gt;=S$3,$J203&lt;=IF(param_mode_affichage="mois",EOMONTH(S$3,0),S$3+6)),"◆",""))</f>
      </c>
      <c r="T203" s="26">
        <f>IF(OR($A203="",T$3=""),"",IF(AND($J203&lt;&gt;"",$K203&lt;&gt;"",$J203=$K203,$J203&gt;=T$3,$J203&lt;=IF(param_mode_affichage="mois",EOMONTH(T$3,0),T$3+6)),"◆",""))</f>
      </c>
      <c r="U203" s="26">
        <f>IF(OR($A203="",U$3=""),"",IF(AND($J203&lt;&gt;"",$K203&lt;&gt;"",$J203=$K203,$J203&gt;=U$3,$J203&lt;=IF(param_mode_affichage="mois",EOMONTH(U$3,0),U$3+6)),"◆",""))</f>
      </c>
      <c r="V203" s="26">
        <f>IF(OR($A203="",V$3=""),"",IF(AND($J203&lt;&gt;"",$K203&lt;&gt;"",$J203=$K203,$J203&gt;=V$3,$J203&lt;=IF(param_mode_affichage="mois",EOMONTH(V$3,0),V$3+6)),"◆",""))</f>
      </c>
      <c r="W203" s="26">
        <f>IF(OR($A203="",W$3=""),"",IF(AND($J203&lt;&gt;"",$K203&lt;&gt;"",$J203=$K203,$J203&gt;=W$3,$J203&lt;=IF(param_mode_affichage="mois",EOMONTH(W$3,0),W$3+6)),"◆",""))</f>
      </c>
      <c r="X203" s="26">
        <f>IF(OR($A203="",X$3=""),"",IF(AND($J203&lt;&gt;"",$K203&lt;&gt;"",$J203=$K203,$J203&gt;=X$3,$J203&lt;=IF(param_mode_affichage="mois",EOMONTH(X$3,0),X$3+6)),"◆",""))</f>
      </c>
      <c r="Y203" s="26">
        <f>IF(OR($A203="",Y$3=""),"",IF(AND($J203&lt;&gt;"",$K203&lt;&gt;"",$J203=$K203,$J203&gt;=Y$3,$J203&lt;=IF(param_mode_affichage="mois",EOMONTH(Y$3,0),Y$3+6)),"◆",""))</f>
      </c>
      <c r="Z203" s="26">
        <f>IF(OR($A203="",Z$3=""),"",IF(AND($J203&lt;&gt;"",$K203&lt;&gt;"",$J203=$K203,$J203&gt;=Z$3,$J203&lt;=IF(param_mode_affichage="mois",EOMONTH(Z$3,0),Z$3+6)),"◆",""))</f>
      </c>
      <c r="AA203" s="26">
        <f>IF(OR($A203="",AA$3=""),"",IF(AND($J203&lt;&gt;"",$K203&lt;&gt;"",$J203=$K203,$J203&gt;=AA$3,$J203&lt;=IF(param_mode_affichage="mois",EOMONTH(AA$3,0),AA$3+6)),"◆",""))</f>
      </c>
      <c r="AB203" s="26">
        <f>IF(OR($A203="",AB$3=""),"",IF(AND($J203&lt;&gt;"",$K203&lt;&gt;"",$J203=$K203,$J203&gt;=AB$3,$J203&lt;=IF(param_mode_affichage="mois",EOMONTH(AB$3,0),AB$3+6)),"◆",""))</f>
      </c>
      <c r="AC203" s="26">
        <f>IF(OR($A203="",AC$3=""),"",IF(AND($J203&lt;&gt;"",$K203&lt;&gt;"",$J203=$K203,$J203&gt;=AC$3,$J203&lt;=IF(param_mode_affichage="mois",EOMONTH(AC$3,0),AC$3+6)),"◆",""))</f>
      </c>
      <c r="AD203" s="26">
        <f>IF(OR($A203="",AD$3=""),"",IF(AND($J203&lt;&gt;"",$K203&lt;&gt;"",$J203=$K203,$J203&gt;=AD$3,$J203&lt;=IF(param_mode_affichage="mois",EOMONTH(AD$3,0),AD$3+6)),"◆",""))</f>
      </c>
      <c r="AE203" s="26">
        <f>IF(OR($A203="",AE$3=""),"",IF(AND($J203&lt;&gt;"",$K203&lt;&gt;"",$J203=$K203,$J203&gt;=AE$3,$J203&lt;=IF(param_mode_affichage="mois",EOMONTH(AE$3,0),AE$3+6)),"◆",""))</f>
      </c>
      <c r="AF203" s="26">
        <f>IF(OR($A203="",AF$3=""),"",IF(AND($J203&lt;&gt;"",$K203&lt;&gt;"",$J203=$K203,$J203&gt;=AF$3,$J203&lt;=IF(param_mode_affichage="mois",EOMONTH(AF$3,0),AF$3+6)),"◆",""))</f>
      </c>
      <c r="AG203" s="26">
        <f>IF(OR($A203="",AG$3=""),"",IF(AND($J203&lt;&gt;"",$K203&lt;&gt;"",$J203=$K203,$J203&gt;=AG$3,$J203&lt;=IF(param_mode_affichage="mois",EOMONTH(AG$3,0),AG$3+6)),"◆",""))</f>
      </c>
      <c r="AH203" s="26">
        <f>IF(OR($A203="",AH$3=""),"",IF(AND($J203&lt;&gt;"",$K203&lt;&gt;"",$J203=$K203,$J203&gt;=AH$3,$J203&lt;=IF(param_mode_affichage="mois",EOMONTH(AH$3,0),AH$3+6)),"◆",""))</f>
      </c>
      <c r="AI203" s="26">
        <f>IF(OR($A203="",AI$3=""),"",IF(AND($J203&lt;&gt;"",$K203&lt;&gt;"",$J203=$K203,$J203&gt;=AI$3,$J203&lt;=IF(param_mode_affichage="mois",EOMONTH(AI$3,0),AI$3+6)),"◆",""))</f>
      </c>
      <c r="AJ203" s="26">
        <f>IF(OR($A203="",AJ$3=""),"",IF(AND($J203&lt;&gt;"",$K203&lt;&gt;"",$J203=$K203,$J203&gt;=AJ$3,$J203&lt;=IF(param_mode_affichage="mois",EOMONTH(AJ$3,0),AJ$3+6)),"◆",""))</f>
      </c>
      <c r="AK203" s="26">
        <f>IF(OR($A203="",AK$3=""),"",IF(AND($J203&lt;&gt;"",$K203&lt;&gt;"",$J203=$K203,$J203&gt;=AK$3,$J203&lt;=IF(param_mode_affichage="mois",EOMONTH(AK$3,0),AK$3+6)),"◆",""))</f>
      </c>
      <c r="AL203" s="26">
        <f>IF(OR($A203="",AL$3=""),"",IF(AND($J203&lt;&gt;"",$K203&lt;&gt;"",$J203=$K203,$J203&gt;=AL$3,$J203&lt;=IF(param_mode_affichage="mois",EOMONTH(AL$3,0),AL$3+6)),"◆",""))</f>
      </c>
      <c r="AM203" s="26">
        <f>IF(OR($A203="",AM$3=""),"",IF(AND($J203&lt;&gt;"",$K203&lt;&gt;"",$J203=$K203,$J203&gt;=AM$3,$J203&lt;=IF(param_mode_affichage="mois",EOMONTH(AM$3,0),AM$3+6)),"◆",""))</f>
      </c>
      <c r="AN203" s="26">
        <f>IF(OR($A203="",AN$3=""),"",IF(AND($J203&lt;&gt;"",$K203&lt;&gt;"",$J203=$K203,$J203&gt;=AN$3,$J203&lt;=IF(param_mode_affichage="mois",EOMONTH(AN$3,0),AN$3+6)),"◆",""))</f>
      </c>
      <c r="AO203" s="26">
        <f>IF(OR($A203="",AO$3=""),"",IF(AND($J203&lt;&gt;"",$K203&lt;&gt;"",$J203=$K203,$J203&gt;=AO$3,$J203&lt;=IF(param_mode_affichage="mois",EOMONTH(AO$3,0),AO$3+6)),"◆",""))</f>
      </c>
      <c r="AP203" s="26">
        <f>IF(OR($A203="",AP$3=""),"",IF(AND($J203&lt;&gt;"",$K203&lt;&gt;"",$J203=$K203,$J203&gt;=AP$3,$J203&lt;=IF(param_mode_affichage="mois",EOMONTH(AP$3,0),AP$3+6)),"◆",""))</f>
      </c>
      <c r="AQ203" s="26">
        <f>IF(OR($A203="",AQ$3=""),"",IF(AND($J203&lt;&gt;"",$K203&lt;&gt;"",$J203=$K203,$J203&gt;=AQ$3,$J203&lt;=IF(param_mode_affichage="mois",EOMONTH(AQ$3,0),AQ$3+6)),"◆",""))</f>
      </c>
      <c r="AR203" s="26">
        <f>IF(OR($A203="",AR$3=""),"",IF(AND($J203&lt;&gt;"",$K203&lt;&gt;"",$J203=$K203,$J203&gt;=AR$3,$J203&lt;=IF(param_mode_affichage="mois",EOMONTH(AR$3,0),AR$3+6)),"◆",""))</f>
      </c>
      <c r="AS203" s="26">
        <f>IF(OR($A203="",AS$3=""),"",IF(AND($J203&lt;&gt;"",$K203&lt;&gt;"",$J203=$K203,$J203&gt;=AS$3,$J203&lt;=IF(param_mode_affichage="mois",EOMONTH(AS$3,0),AS$3+6)),"◆",""))</f>
      </c>
      <c r="AT203" s="26">
        <f>IF(OR($A203="",AT$3=""),"",IF(AND($J203&lt;&gt;"",$K203&lt;&gt;"",$J203=$K203,$J203&gt;=AT$3,$J203&lt;=IF(param_mode_affichage="mois",EOMONTH(AT$3,0),AT$3+6)),"◆",""))</f>
      </c>
      <c r="AU203" s="26">
        <f>IF(OR($A203="",AU$3=""),"",IF(AND($J203&lt;&gt;"",$K203&lt;&gt;"",$J203=$K203,$J203&gt;=AU$3,$J203&lt;=IF(param_mode_affichage="mois",EOMONTH(AU$3,0),AU$3+6)),"◆",""))</f>
      </c>
      <c r="AV203" s="26">
        <f>IF(OR($A203="",AV$3=""),"",IF(AND($J203&lt;&gt;"",$K203&lt;&gt;"",$J203=$K203,$J203&gt;=AV$3,$J203&lt;=IF(param_mode_affichage="mois",EOMONTH(AV$3,0),AV$3+6)),"◆",""))</f>
      </c>
      <c r="AW203" s="26">
        <f>IF(OR($A203="",AW$3=""),"",IF(AND($J203&lt;&gt;"",$K203&lt;&gt;"",$J203=$K203,$J203&gt;=AW$3,$J203&lt;=IF(param_mode_affichage="mois",EOMONTH(AW$3,0),AW$3+6)),"◆",""))</f>
      </c>
      <c r="AX203" s="26">
        <f>IF(OR($A203="",AX$3=""),"",IF(AND($J203&lt;&gt;"",$K203&lt;&gt;"",$J203=$K203,$J203&gt;=AX$3,$J203&lt;=IF(param_mode_affichage="mois",EOMONTH(AX$3,0),AX$3+6)),"◆",""))</f>
      </c>
      <c r="AY203" s="26">
        <f>IF(OR($A203="",AY$3=""),"",IF(AND($J203&lt;&gt;"",$K203&lt;&gt;"",$J203=$K203,$J203&gt;=AY$3,$J203&lt;=IF(param_mode_affichage="mois",EOMONTH(AY$3,0),AY$3+6)),"◆",""))</f>
      </c>
      <c r="AZ203" s="26">
        <f>IF(OR($A203="",AZ$3=""),"",IF(AND($J203&lt;&gt;"",$K203&lt;&gt;"",$J203=$K203,$J203&gt;=AZ$3,$J203&lt;=IF(param_mode_affichage="mois",EOMONTH(AZ$3,0),AZ$3+6)),"◆",""))</f>
      </c>
      <c r="BA203" s="26">
        <f>IF(OR($A203="",BA$3=""),"",IF(AND($J203&lt;&gt;"",$K203&lt;&gt;"",$J203=$K203,$J203&gt;=BA$3,$J203&lt;=IF(param_mode_affichage="mois",EOMONTH(BA$3,0),BA$3+6)),"◆",""))</f>
      </c>
      <c r="BB203" s="26">
        <f>IF(OR($A203="",BB$3=""),"",IF(AND($J203&lt;&gt;"",$K203&lt;&gt;"",$J203=$K203,$J203&gt;=BB$3,$J203&lt;=IF(param_mode_affichage="mois",EOMONTH(BB$3,0),BB$3+6)),"◆",""))</f>
      </c>
      <c r="BC203" s="26">
        <f>IF(OR($A203="",BC$3=""),"",IF(AND($J203&lt;&gt;"",$K203&lt;&gt;"",$J203=$K203,$J203&gt;=BC$3,$J203&lt;=IF(param_mode_affichage="mois",EOMONTH(BC$3,0),BC$3+6)),"◆",""))</f>
      </c>
      <c r="BD203" s="26">
        <f>IF(OR($A203="",BD$3=""),"",IF(AND($J203&lt;&gt;"",$K203&lt;&gt;"",$J203=$K203,$J203&gt;=BD$3,$J203&lt;=IF(param_mode_affichage="mois",EOMONTH(BD$3,0),BD$3+6)),"◆",""))</f>
      </c>
      <c r="BE203" s="26">
        <f>IF(OR($A203="",BE$3=""),"",IF(AND($J203&lt;&gt;"",$K203&lt;&gt;"",$J203=$K203,$J203&gt;=BE$3,$J203&lt;=IF(param_mode_affichage="mois",EOMONTH(BE$3,0),BE$3+6)),"◆",""))</f>
      </c>
      <c r="BF203" s="26">
        <f>IF(OR($A203="",BF$3=""),"",IF(AND($J203&lt;&gt;"",$K203&lt;&gt;"",$J203=$K203,$J203&gt;=BF$3,$J203&lt;=IF(param_mode_affichage="mois",EOMONTH(BF$3,0),BF$3+6)),"◆",""))</f>
      </c>
      <c r="BG203" s="26">
        <f>IF(OR($A203="",BG$3=""),"",IF(AND($J203&lt;&gt;"",$K203&lt;&gt;"",$J203=$K203,$J203&gt;=BG$3,$J203&lt;=IF(param_mode_affichage="mois",EOMONTH(BG$3,0),BG$3+6)),"◆",""))</f>
      </c>
      <c r="BH203" s="26">
        <f>IF(OR($A203="",BH$3=""),"",IF(AND($J203&lt;&gt;"",$K203&lt;&gt;"",$J203=$K203,$J203&gt;=BH$3,$J203&lt;=IF(param_mode_affichage="mois",EOMONTH(BH$3,0),BH$3+6)),"◆",""))</f>
      </c>
      <c r="BI203" s="26">
        <f>IF(OR($A203="",BI$3=""),"",IF(AND($J203&lt;&gt;"",$K203&lt;&gt;"",$J203=$K203,$J203&gt;=BI$3,$J203&lt;=IF(param_mode_affichage="mois",EOMONTH(BI$3,0),BI$3+6)),"◆",""))</f>
      </c>
      <c r="BJ203" s="26">
        <f>IF(OR($A203="",BJ$3=""),"",IF(AND($J203&lt;&gt;"",$K203&lt;&gt;"",$J203=$K203,$J203&gt;=BJ$3,$J203&lt;=IF(param_mode_affichage="mois",EOMONTH(BJ$3,0),BJ$3+6)),"◆",""))</f>
      </c>
      <c r="BK203" s="26">
        <f>IF(OR($A203="",BK$3=""),"",IF(AND($J203&lt;&gt;"",$K203&lt;&gt;"",$J203=$K203,$J203&gt;=BK$3,$J203&lt;=IF(param_mode_affichage="mois",EOMONTH(BK$3,0),BK$3+6)),"◆",""))</f>
      </c>
      <c r="BL203" s="26">
        <f>IF(OR($A203="",BL$3=""),"",IF(AND($J203&lt;&gt;"",$K203&lt;&gt;"",$J203=$K203,$J203&gt;=BL$3,$J203&lt;=IF(param_mode_affichage="mois",EOMONTH(BL$3,0),BL$3+6)),"◆",""))</f>
      </c>
    </row>
    <row r="204" spans="1:64" x14ac:dyDescent="0.25">
      <c r="A204" s="23">
        <f>IFERROR(INDEX(tblTasks[ID],ROW()-4),"")</f>
      </c>
      <c r="B204" s="24">
        <f>IF($A204="","",INDEX(tblTasks[Sujet],ROW()-4))</f>
      </c>
      <c r="C204" s="23">
        <f>IF($A204="","",INDEX(tblTasks[Responsable],ROW()-4))</f>
      </c>
      <c r="D204" s="23">
        <f>IF($A204="","",INDEX(tblTasks[Statut],ROW()-4))</f>
      </c>
      <c r="E204" s="23">
        <f>IF($A204="","",INDEX(tblTasks[Depend_de],ROW()-4))</f>
      </c>
      <c r="F204" s="23">
        <f>IF($A204="","",INDEX(tblTasks[Blocage],ROW()-4))</f>
      </c>
      <c r="G204" s="23">
        <f>IF($A204="","",INDEX(tblTasks[Niveau_criticite],ROW()-4))</f>
      </c>
      <c r="H204" s="23">
        <f>IF($A204="","",INDEX(tblTasks[Goulot],ROW()-4))</f>
      </c>
      <c r="I204" s="23">
        <f>IF($A204="","",IF(LOWER($F204)="oui","non",IF($E204="","oui",IFERROR(IF(LOWER(INDEX(tblTasks[Statut],MATCH($E204,tblTasks[ID],0)))="clos","oui","non"),"non"))))</f>
      </c>
      <c r="J204" s="25">
        <f>IF($A204="","",INDEX(tblTasks[Date_debut_prevue],ROW()-4))</f>
      </c>
      <c r="K204" s="25">
        <f>IF($A204="","",INDEX(tblTasks[Date_fin_prevue],ROW()-4))</f>
      </c>
      <c r="L204" s="23">
        <f>IF($A204="","",INDEX(tblTasks[Irreversibilite],ROW()-4))</f>
      </c>
      <c r="M204" s="26">
        <f>IF(OR($A204="",M$3=""),"",IF(AND($J204&lt;&gt;"",$K204&lt;&gt;"",$J204=$K204,$J204&gt;=M$3,$J204&lt;=IF(param_mode_affichage="mois",EOMONTH(M$3,0),M$3+6)),"◆",""))</f>
      </c>
      <c r="N204" s="26">
        <f>IF(OR($A204="",N$3=""),"",IF(AND($J204&lt;&gt;"",$K204&lt;&gt;"",$J204=$K204,$J204&gt;=N$3,$J204&lt;=IF(param_mode_affichage="mois",EOMONTH(N$3,0),N$3+6)),"◆",""))</f>
      </c>
      <c r="O204" s="26">
        <f>IF(OR($A204="",O$3=""),"",IF(AND($J204&lt;&gt;"",$K204&lt;&gt;"",$J204=$K204,$J204&gt;=O$3,$J204&lt;=IF(param_mode_affichage="mois",EOMONTH(O$3,0),O$3+6)),"◆",""))</f>
      </c>
      <c r="P204" s="26">
        <f>IF(OR($A204="",P$3=""),"",IF(AND($J204&lt;&gt;"",$K204&lt;&gt;"",$J204=$K204,$J204&gt;=P$3,$J204&lt;=IF(param_mode_affichage="mois",EOMONTH(P$3,0),P$3+6)),"◆",""))</f>
      </c>
      <c r="Q204" s="26">
        <f>IF(OR($A204="",Q$3=""),"",IF(AND($J204&lt;&gt;"",$K204&lt;&gt;"",$J204=$K204,$J204&gt;=Q$3,$J204&lt;=IF(param_mode_affichage="mois",EOMONTH(Q$3,0),Q$3+6)),"◆",""))</f>
      </c>
      <c r="R204" s="26">
        <f>IF(OR($A204="",R$3=""),"",IF(AND($J204&lt;&gt;"",$K204&lt;&gt;"",$J204=$K204,$J204&gt;=R$3,$J204&lt;=IF(param_mode_affichage="mois",EOMONTH(R$3,0),R$3+6)),"◆",""))</f>
      </c>
      <c r="S204" s="26">
        <f>IF(OR($A204="",S$3=""),"",IF(AND($J204&lt;&gt;"",$K204&lt;&gt;"",$J204=$K204,$J204&gt;=S$3,$J204&lt;=IF(param_mode_affichage="mois",EOMONTH(S$3,0),S$3+6)),"◆",""))</f>
      </c>
      <c r="T204" s="26">
        <f>IF(OR($A204="",T$3=""),"",IF(AND($J204&lt;&gt;"",$K204&lt;&gt;"",$J204=$K204,$J204&gt;=T$3,$J204&lt;=IF(param_mode_affichage="mois",EOMONTH(T$3,0),T$3+6)),"◆",""))</f>
      </c>
      <c r="U204" s="26">
        <f>IF(OR($A204="",U$3=""),"",IF(AND($J204&lt;&gt;"",$K204&lt;&gt;"",$J204=$K204,$J204&gt;=U$3,$J204&lt;=IF(param_mode_affichage="mois",EOMONTH(U$3,0),U$3+6)),"◆",""))</f>
      </c>
      <c r="V204" s="26">
        <f>IF(OR($A204="",V$3=""),"",IF(AND($J204&lt;&gt;"",$K204&lt;&gt;"",$J204=$K204,$J204&gt;=V$3,$J204&lt;=IF(param_mode_affichage="mois",EOMONTH(V$3,0),V$3+6)),"◆",""))</f>
      </c>
      <c r="W204" s="26">
        <f>IF(OR($A204="",W$3=""),"",IF(AND($J204&lt;&gt;"",$K204&lt;&gt;"",$J204=$K204,$J204&gt;=W$3,$J204&lt;=IF(param_mode_affichage="mois",EOMONTH(W$3,0),W$3+6)),"◆",""))</f>
      </c>
      <c r="X204" s="26">
        <f>IF(OR($A204="",X$3=""),"",IF(AND($J204&lt;&gt;"",$K204&lt;&gt;"",$J204=$K204,$J204&gt;=X$3,$J204&lt;=IF(param_mode_affichage="mois",EOMONTH(X$3,0),X$3+6)),"◆",""))</f>
      </c>
      <c r="Y204" s="26">
        <f>IF(OR($A204="",Y$3=""),"",IF(AND($J204&lt;&gt;"",$K204&lt;&gt;"",$J204=$K204,$J204&gt;=Y$3,$J204&lt;=IF(param_mode_affichage="mois",EOMONTH(Y$3,0),Y$3+6)),"◆",""))</f>
      </c>
      <c r="Z204" s="26">
        <f>IF(OR($A204="",Z$3=""),"",IF(AND($J204&lt;&gt;"",$K204&lt;&gt;"",$J204=$K204,$J204&gt;=Z$3,$J204&lt;=IF(param_mode_affichage="mois",EOMONTH(Z$3,0),Z$3+6)),"◆",""))</f>
      </c>
      <c r="AA204" s="26">
        <f>IF(OR($A204="",AA$3=""),"",IF(AND($J204&lt;&gt;"",$K204&lt;&gt;"",$J204=$K204,$J204&gt;=AA$3,$J204&lt;=IF(param_mode_affichage="mois",EOMONTH(AA$3,0),AA$3+6)),"◆",""))</f>
      </c>
      <c r="AB204" s="26">
        <f>IF(OR($A204="",AB$3=""),"",IF(AND($J204&lt;&gt;"",$K204&lt;&gt;"",$J204=$K204,$J204&gt;=AB$3,$J204&lt;=IF(param_mode_affichage="mois",EOMONTH(AB$3,0),AB$3+6)),"◆",""))</f>
      </c>
      <c r="AC204" s="26">
        <f>IF(OR($A204="",AC$3=""),"",IF(AND($J204&lt;&gt;"",$K204&lt;&gt;"",$J204=$K204,$J204&gt;=AC$3,$J204&lt;=IF(param_mode_affichage="mois",EOMONTH(AC$3,0),AC$3+6)),"◆",""))</f>
      </c>
      <c r="AD204" s="26">
        <f>IF(OR($A204="",AD$3=""),"",IF(AND($J204&lt;&gt;"",$K204&lt;&gt;"",$J204=$K204,$J204&gt;=AD$3,$J204&lt;=IF(param_mode_affichage="mois",EOMONTH(AD$3,0),AD$3+6)),"◆",""))</f>
      </c>
      <c r="AE204" s="26">
        <f>IF(OR($A204="",AE$3=""),"",IF(AND($J204&lt;&gt;"",$K204&lt;&gt;"",$J204=$K204,$J204&gt;=AE$3,$J204&lt;=IF(param_mode_affichage="mois",EOMONTH(AE$3,0),AE$3+6)),"◆",""))</f>
      </c>
      <c r="AF204" s="26">
        <f>IF(OR($A204="",AF$3=""),"",IF(AND($J204&lt;&gt;"",$K204&lt;&gt;"",$J204=$K204,$J204&gt;=AF$3,$J204&lt;=IF(param_mode_affichage="mois",EOMONTH(AF$3,0),AF$3+6)),"◆",""))</f>
      </c>
      <c r="AG204" s="26">
        <f>IF(OR($A204="",AG$3=""),"",IF(AND($J204&lt;&gt;"",$K204&lt;&gt;"",$J204=$K204,$J204&gt;=AG$3,$J204&lt;=IF(param_mode_affichage="mois",EOMONTH(AG$3,0),AG$3+6)),"◆",""))</f>
      </c>
      <c r="AH204" s="26">
        <f>IF(OR($A204="",AH$3=""),"",IF(AND($J204&lt;&gt;"",$K204&lt;&gt;"",$J204=$K204,$J204&gt;=AH$3,$J204&lt;=IF(param_mode_affichage="mois",EOMONTH(AH$3,0),AH$3+6)),"◆",""))</f>
      </c>
      <c r="AI204" s="26">
        <f>IF(OR($A204="",AI$3=""),"",IF(AND($J204&lt;&gt;"",$K204&lt;&gt;"",$J204=$K204,$J204&gt;=AI$3,$J204&lt;=IF(param_mode_affichage="mois",EOMONTH(AI$3,0),AI$3+6)),"◆",""))</f>
      </c>
      <c r="AJ204" s="26">
        <f>IF(OR($A204="",AJ$3=""),"",IF(AND($J204&lt;&gt;"",$K204&lt;&gt;"",$J204=$K204,$J204&gt;=AJ$3,$J204&lt;=IF(param_mode_affichage="mois",EOMONTH(AJ$3,0),AJ$3+6)),"◆",""))</f>
      </c>
      <c r="AK204" s="26">
        <f>IF(OR($A204="",AK$3=""),"",IF(AND($J204&lt;&gt;"",$K204&lt;&gt;"",$J204=$K204,$J204&gt;=AK$3,$J204&lt;=IF(param_mode_affichage="mois",EOMONTH(AK$3,0),AK$3+6)),"◆",""))</f>
      </c>
      <c r="AL204" s="26">
        <f>IF(OR($A204="",AL$3=""),"",IF(AND($J204&lt;&gt;"",$K204&lt;&gt;"",$J204=$K204,$J204&gt;=AL$3,$J204&lt;=IF(param_mode_affichage="mois",EOMONTH(AL$3,0),AL$3+6)),"◆",""))</f>
      </c>
      <c r="AM204" s="26">
        <f>IF(OR($A204="",AM$3=""),"",IF(AND($J204&lt;&gt;"",$K204&lt;&gt;"",$J204=$K204,$J204&gt;=AM$3,$J204&lt;=IF(param_mode_affichage="mois",EOMONTH(AM$3,0),AM$3+6)),"◆",""))</f>
      </c>
      <c r="AN204" s="26">
        <f>IF(OR($A204="",AN$3=""),"",IF(AND($J204&lt;&gt;"",$K204&lt;&gt;"",$J204=$K204,$J204&gt;=AN$3,$J204&lt;=IF(param_mode_affichage="mois",EOMONTH(AN$3,0),AN$3+6)),"◆",""))</f>
      </c>
      <c r="AO204" s="26">
        <f>IF(OR($A204="",AO$3=""),"",IF(AND($J204&lt;&gt;"",$K204&lt;&gt;"",$J204=$K204,$J204&gt;=AO$3,$J204&lt;=IF(param_mode_affichage="mois",EOMONTH(AO$3,0),AO$3+6)),"◆",""))</f>
      </c>
      <c r="AP204" s="26">
        <f>IF(OR($A204="",AP$3=""),"",IF(AND($J204&lt;&gt;"",$K204&lt;&gt;"",$J204=$K204,$J204&gt;=AP$3,$J204&lt;=IF(param_mode_affichage="mois",EOMONTH(AP$3,0),AP$3+6)),"◆",""))</f>
      </c>
      <c r="AQ204" s="26">
        <f>IF(OR($A204="",AQ$3=""),"",IF(AND($J204&lt;&gt;"",$K204&lt;&gt;"",$J204=$K204,$J204&gt;=AQ$3,$J204&lt;=IF(param_mode_affichage="mois",EOMONTH(AQ$3,0),AQ$3+6)),"◆",""))</f>
      </c>
      <c r="AR204" s="26">
        <f>IF(OR($A204="",AR$3=""),"",IF(AND($J204&lt;&gt;"",$K204&lt;&gt;"",$J204=$K204,$J204&gt;=AR$3,$J204&lt;=IF(param_mode_affichage="mois",EOMONTH(AR$3,0),AR$3+6)),"◆",""))</f>
      </c>
      <c r="AS204" s="26">
        <f>IF(OR($A204="",AS$3=""),"",IF(AND($J204&lt;&gt;"",$K204&lt;&gt;"",$J204=$K204,$J204&gt;=AS$3,$J204&lt;=IF(param_mode_affichage="mois",EOMONTH(AS$3,0),AS$3+6)),"◆",""))</f>
      </c>
      <c r="AT204" s="26">
        <f>IF(OR($A204="",AT$3=""),"",IF(AND($J204&lt;&gt;"",$K204&lt;&gt;"",$J204=$K204,$J204&gt;=AT$3,$J204&lt;=IF(param_mode_affichage="mois",EOMONTH(AT$3,0),AT$3+6)),"◆",""))</f>
      </c>
      <c r="AU204" s="26">
        <f>IF(OR($A204="",AU$3=""),"",IF(AND($J204&lt;&gt;"",$K204&lt;&gt;"",$J204=$K204,$J204&gt;=AU$3,$J204&lt;=IF(param_mode_affichage="mois",EOMONTH(AU$3,0),AU$3+6)),"◆",""))</f>
      </c>
      <c r="AV204" s="26">
        <f>IF(OR($A204="",AV$3=""),"",IF(AND($J204&lt;&gt;"",$K204&lt;&gt;"",$J204=$K204,$J204&gt;=AV$3,$J204&lt;=IF(param_mode_affichage="mois",EOMONTH(AV$3,0),AV$3+6)),"◆",""))</f>
      </c>
      <c r="AW204" s="26">
        <f>IF(OR($A204="",AW$3=""),"",IF(AND($J204&lt;&gt;"",$K204&lt;&gt;"",$J204=$K204,$J204&gt;=AW$3,$J204&lt;=IF(param_mode_affichage="mois",EOMONTH(AW$3,0),AW$3+6)),"◆",""))</f>
      </c>
      <c r="AX204" s="26">
        <f>IF(OR($A204="",AX$3=""),"",IF(AND($J204&lt;&gt;"",$K204&lt;&gt;"",$J204=$K204,$J204&gt;=AX$3,$J204&lt;=IF(param_mode_affichage="mois",EOMONTH(AX$3,0),AX$3+6)),"◆",""))</f>
      </c>
      <c r="AY204" s="26">
        <f>IF(OR($A204="",AY$3=""),"",IF(AND($J204&lt;&gt;"",$K204&lt;&gt;"",$J204=$K204,$J204&gt;=AY$3,$J204&lt;=IF(param_mode_affichage="mois",EOMONTH(AY$3,0),AY$3+6)),"◆",""))</f>
      </c>
      <c r="AZ204" s="26">
        <f>IF(OR($A204="",AZ$3=""),"",IF(AND($J204&lt;&gt;"",$K204&lt;&gt;"",$J204=$K204,$J204&gt;=AZ$3,$J204&lt;=IF(param_mode_affichage="mois",EOMONTH(AZ$3,0),AZ$3+6)),"◆",""))</f>
      </c>
      <c r="BA204" s="26">
        <f>IF(OR($A204="",BA$3=""),"",IF(AND($J204&lt;&gt;"",$K204&lt;&gt;"",$J204=$K204,$J204&gt;=BA$3,$J204&lt;=IF(param_mode_affichage="mois",EOMONTH(BA$3,0),BA$3+6)),"◆",""))</f>
      </c>
      <c r="BB204" s="26">
        <f>IF(OR($A204="",BB$3=""),"",IF(AND($J204&lt;&gt;"",$K204&lt;&gt;"",$J204=$K204,$J204&gt;=BB$3,$J204&lt;=IF(param_mode_affichage="mois",EOMONTH(BB$3,0),BB$3+6)),"◆",""))</f>
      </c>
      <c r="BC204" s="26">
        <f>IF(OR($A204="",BC$3=""),"",IF(AND($J204&lt;&gt;"",$K204&lt;&gt;"",$J204=$K204,$J204&gt;=BC$3,$J204&lt;=IF(param_mode_affichage="mois",EOMONTH(BC$3,0),BC$3+6)),"◆",""))</f>
      </c>
      <c r="BD204" s="26">
        <f>IF(OR($A204="",BD$3=""),"",IF(AND($J204&lt;&gt;"",$K204&lt;&gt;"",$J204=$K204,$J204&gt;=BD$3,$J204&lt;=IF(param_mode_affichage="mois",EOMONTH(BD$3,0),BD$3+6)),"◆",""))</f>
      </c>
      <c r="BE204" s="26">
        <f>IF(OR($A204="",BE$3=""),"",IF(AND($J204&lt;&gt;"",$K204&lt;&gt;"",$J204=$K204,$J204&gt;=BE$3,$J204&lt;=IF(param_mode_affichage="mois",EOMONTH(BE$3,0),BE$3+6)),"◆",""))</f>
      </c>
      <c r="BF204" s="26">
        <f>IF(OR($A204="",BF$3=""),"",IF(AND($J204&lt;&gt;"",$K204&lt;&gt;"",$J204=$K204,$J204&gt;=BF$3,$J204&lt;=IF(param_mode_affichage="mois",EOMONTH(BF$3,0),BF$3+6)),"◆",""))</f>
      </c>
      <c r="BG204" s="26">
        <f>IF(OR($A204="",BG$3=""),"",IF(AND($J204&lt;&gt;"",$K204&lt;&gt;"",$J204=$K204,$J204&gt;=BG$3,$J204&lt;=IF(param_mode_affichage="mois",EOMONTH(BG$3,0),BG$3+6)),"◆",""))</f>
      </c>
      <c r="BH204" s="26">
        <f>IF(OR($A204="",BH$3=""),"",IF(AND($J204&lt;&gt;"",$K204&lt;&gt;"",$J204=$K204,$J204&gt;=BH$3,$J204&lt;=IF(param_mode_affichage="mois",EOMONTH(BH$3,0),BH$3+6)),"◆",""))</f>
      </c>
      <c r="BI204" s="26">
        <f>IF(OR($A204="",BI$3=""),"",IF(AND($J204&lt;&gt;"",$K204&lt;&gt;"",$J204=$K204,$J204&gt;=BI$3,$J204&lt;=IF(param_mode_affichage="mois",EOMONTH(BI$3,0),BI$3+6)),"◆",""))</f>
      </c>
      <c r="BJ204" s="26">
        <f>IF(OR($A204="",BJ$3=""),"",IF(AND($J204&lt;&gt;"",$K204&lt;&gt;"",$J204=$K204,$J204&gt;=BJ$3,$J204&lt;=IF(param_mode_affichage="mois",EOMONTH(BJ$3,0),BJ$3+6)),"◆",""))</f>
      </c>
      <c r="BK204" s="26">
        <f>IF(OR($A204="",BK$3=""),"",IF(AND($J204&lt;&gt;"",$K204&lt;&gt;"",$J204=$K204,$J204&gt;=BK$3,$J204&lt;=IF(param_mode_affichage="mois",EOMONTH(BK$3,0),BK$3+6)),"◆",""))</f>
      </c>
      <c r="BL204" s="26">
        <f>IF(OR($A204="",BL$3=""),"",IF(AND($J204&lt;&gt;"",$K204&lt;&gt;"",$J204=$K204,$J204&gt;=BL$3,$J204&lt;=IF(param_mode_affichage="mois",EOMONTH(BL$3,0),BL$3+6)),"◆",""))</f>
      </c>
    </row>
    <row r="205" spans="1:64" x14ac:dyDescent="0.25">
      <c r="A205" s="23">
        <f>IFERROR(INDEX(tblTasks[ID],ROW()-4),"")</f>
      </c>
      <c r="B205" s="24">
        <f>IF($A205="","",INDEX(tblTasks[Sujet],ROW()-4))</f>
      </c>
      <c r="C205" s="23">
        <f>IF($A205="","",INDEX(tblTasks[Responsable],ROW()-4))</f>
      </c>
      <c r="D205" s="23">
        <f>IF($A205="","",INDEX(tblTasks[Statut],ROW()-4))</f>
      </c>
      <c r="E205" s="23">
        <f>IF($A205="","",INDEX(tblTasks[Depend_de],ROW()-4))</f>
      </c>
      <c r="F205" s="23">
        <f>IF($A205="","",INDEX(tblTasks[Blocage],ROW()-4))</f>
      </c>
      <c r="G205" s="23">
        <f>IF($A205="","",INDEX(tblTasks[Niveau_criticite],ROW()-4))</f>
      </c>
      <c r="H205" s="23">
        <f>IF($A205="","",INDEX(tblTasks[Goulot],ROW()-4))</f>
      </c>
      <c r="I205" s="23">
        <f>IF($A205="","",IF(LOWER($F205)="oui","non",IF($E205="","oui",IFERROR(IF(LOWER(INDEX(tblTasks[Statut],MATCH($E205,tblTasks[ID],0)))="clos","oui","non"),"non"))))</f>
      </c>
      <c r="J205" s="25">
        <f>IF($A205="","",INDEX(tblTasks[Date_debut_prevue],ROW()-4))</f>
      </c>
      <c r="K205" s="25">
        <f>IF($A205="","",INDEX(tblTasks[Date_fin_prevue],ROW()-4))</f>
      </c>
      <c r="L205" s="23">
        <f>IF($A205="","",INDEX(tblTasks[Irreversibilite],ROW()-4))</f>
      </c>
      <c r="M205" s="26">
        <f>IF(OR($A205="",M$3=""),"",IF(AND($J205&lt;&gt;"",$K205&lt;&gt;"",$J205=$K205,$J205&gt;=M$3,$J205&lt;=IF(param_mode_affichage="mois",EOMONTH(M$3,0),M$3+6)),"◆",""))</f>
      </c>
      <c r="N205" s="26">
        <f>IF(OR($A205="",N$3=""),"",IF(AND($J205&lt;&gt;"",$K205&lt;&gt;"",$J205=$K205,$J205&gt;=N$3,$J205&lt;=IF(param_mode_affichage="mois",EOMONTH(N$3,0),N$3+6)),"◆",""))</f>
      </c>
      <c r="O205" s="26">
        <f>IF(OR($A205="",O$3=""),"",IF(AND($J205&lt;&gt;"",$K205&lt;&gt;"",$J205=$K205,$J205&gt;=O$3,$J205&lt;=IF(param_mode_affichage="mois",EOMONTH(O$3,0),O$3+6)),"◆",""))</f>
      </c>
      <c r="P205" s="26">
        <f>IF(OR($A205="",P$3=""),"",IF(AND($J205&lt;&gt;"",$K205&lt;&gt;"",$J205=$K205,$J205&gt;=P$3,$J205&lt;=IF(param_mode_affichage="mois",EOMONTH(P$3,0),P$3+6)),"◆",""))</f>
      </c>
      <c r="Q205" s="26">
        <f>IF(OR($A205="",Q$3=""),"",IF(AND($J205&lt;&gt;"",$K205&lt;&gt;"",$J205=$K205,$J205&gt;=Q$3,$J205&lt;=IF(param_mode_affichage="mois",EOMONTH(Q$3,0),Q$3+6)),"◆",""))</f>
      </c>
      <c r="R205" s="26">
        <f>IF(OR($A205="",R$3=""),"",IF(AND($J205&lt;&gt;"",$K205&lt;&gt;"",$J205=$K205,$J205&gt;=R$3,$J205&lt;=IF(param_mode_affichage="mois",EOMONTH(R$3,0),R$3+6)),"◆",""))</f>
      </c>
      <c r="S205" s="26">
        <f>IF(OR($A205="",S$3=""),"",IF(AND($J205&lt;&gt;"",$K205&lt;&gt;"",$J205=$K205,$J205&gt;=S$3,$J205&lt;=IF(param_mode_affichage="mois",EOMONTH(S$3,0),S$3+6)),"◆",""))</f>
      </c>
      <c r="T205" s="26">
        <f>IF(OR($A205="",T$3=""),"",IF(AND($J205&lt;&gt;"",$K205&lt;&gt;"",$J205=$K205,$J205&gt;=T$3,$J205&lt;=IF(param_mode_affichage="mois",EOMONTH(T$3,0),T$3+6)),"◆",""))</f>
      </c>
      <c r="U205" s="26">
        <f>IF(OR($A205="",U$3=""),"",IF(AND($J205&lt;&gt;"",$K205&lt;&gt;"",$J205=$K205,$J205&gt;=U$3,$J205&lt;=IF(param_mode_affichage="mois",EOMONTH(U$3,0),U$3+6)),"◆",""))</f>
      </c>
      <c r="V205" s="26">
        <f>IF(OR($A205="",V$3=""),"",IF(AND($J205&lt;&gt;"",$K205&lt;&gt;"",$J205=$K205,$J205&gt;=V$3,$J205&lt;=IF(param_mode_affichage="mois",EOMONTH(V$3,0),V$3+6)),"◆",""))</f>
      </c>
      <c r="W205" s="26">
        <f>IF(OR($A205="",W$3=""),"",IF(AND($J205&lt;&gt;"",$K205&lt;&gt;"",$J205=$K205,$J205&gt;=W$3,$J205&lt;=IF(param_mode_affichage="mois",EOMONTH(W$3,0),W$3+6)),"◆",""))</f>
      </c>
      <c r="X205" s="26">
        <f>IF(OR($A205="",X$3=""),"",IF(AND($J205&lt;&gt;"",$K205&lt;&gt;"",$J205=$K205,$J205&gt;=X$3,$J205&lt;=IF(param_mode_affichage="mois",EOMONTH(X$3,0),X$3+6)),"◆",""))</f>
      </c>
      <c r="Y205" s="26">
        <f>IF(OR($A205="",Y$3=""),"",IF(AND($J205&lt;&gt;"",$K205&lt;&gt;"",$J205=$K205,$J205&gt;=Y$3,$J205&lt;=IF(param_mode_affichage="mois",EOMONTH(Y$3,0),Y$3+6)),"◆",""))</f>
      </c>
      <c r="Z205" s="26">
        <f>IF(OR($A205="",Z$3=""),"",IF(AND($J205&lt;&gt;"",$K205&lt;&gt;"",$J205=$K205,$J205&gt;=Z$3,$J205&lt;=IF(param_mode_affichage="mois",EOMONTH(Z$3,0),Z$3+6)),"◆",""))</f>
      </c>
      <c r="AA205" s="26">
        <f>IF(OR($A205="",AA$3=""),"",IF(AND($J205&lt;&gt;"",$K205&lt;&gt;"",$J205=$K205,$J205&gt;=AA$3,$J205&lt;=IF(param_mode_affichage="mois",EOMONTH(AA$3,0),AA$3+6)),"◆",""))</f>
      </c>
      <c r="AB205" s="26">
        <f>IF(OR($A205="",AB$3=""),"",IF(AND($J205&lt;&gt;"",$K205&lt;&gt;"",$J205=$K205,$J205&gt;=AB$3,$J205&lt;=IF(param_mode_affichage="mois",EOMONTH(AB$3,0),AB$3+6)),"◆",""))</f>
      </c>
      <c r="AC205" s="26">
        <f>IF(OR($A205="",AC$3=""),"",IF(AND($J205&lt;&gt;"",$K205&lt;&gt;"",$J205=$K205,$J205&gt;=AC$3,$J205&lt;=IF(param_mode_affichage="mois",EOMONTH(AC$3,0),AC$3+6)),"◆",""))</f>
      </c>
      <c r="AD205" s="26">
        <f>IF(OR($A205="",AD$3=""),"",IF(AND($J205&lt;&gt;"",$K205&lt;&gt;"",$J205=$K205,$J205&gt;=AD$3,$J205&lt;=IF(param_mode_affichage="mois",EOMONTH(AD$3,0),AD$3+6)),"◆",""))</f>
      </c>
      <c r="AE205" s="26">
        <f>IF(OR($A205="",AE$3=""),"",IF(AND($J205&lt;&gt;"",$K205&lt;&gt;"",$J205=$K205,$J205&gt;=AE$3,$J205&lt;=IF(param_mode_affichage="mois",EOMONTH(AE$3,0),AE$3+6)),"◆",""))</f>
      </c>
      <c r="AF205" s="26">
        <f>IF(OR($A205="",AF$3=""),"",IF(AND($J205&lt;&gt;"",$K205&lt;&gt;"",$J205=$K205,$J205&gt;=AF$3,$J205&lt;=IF(param_mode_affichage="mois",EOMONTH(AF$3,0),AF$3+6)),"◆",""))</f>
      </c>
      <c r="AG205" s="26">
        <f>IF(OR($A205="",AG$3=""),"",IF(AND($J205&lt;&gt;"",$K205&lt;&gt;"",$J205=$K205,$J205&gt;=AG$3,$J205&lt;=IF(param_mode_affichage="mois",EOMONTH(AG$3,0),AG$3+6)),"◆",""))</f>
      </c>
      <c r="AH205" s="26">
        <f>IF(OR($A205="",AH$3=""),"",IF(AND($J205&lt;&gt;"",$K205&lt;&gt;"",$J205=$K205,$J205&gt;=AH$3,$J205&lt;=IF(param_mode_affichage="mois",EOMONTH(AH$3,0),AH$3+6)),"◆",""))</f>
      </c>
      <c r="AI205" s="26">
        <f>IF(OR($A205="",AI$3=""),"",IF(AND($J205&lt;&gt;"",$K205&lt;&gt;"",$J205=$K205,$J205&gt;=AI$3,$J205&lt;=IF(param_mode_affichage="mois",EOMONTH(AI$3,0),AI$3+6)),"◆",""))</f>
      </c>
      <c r="AJ205" s="26">
        <f>IF(OR($A205="",AJ$3=""),"",IF(AND($J205&lt;&gt;"",$K205&lt;&gt;"",$J205=$K205,$J205&gt;=AJ$3,$J205&lt;=IF(param_mode_affichage="mois",EOMONTH(AJ$3,0),AJ$3+6)),"◆",""))</f>
      </c>
      <c r="AK205" s="26">
        <f>IF(OR($A205="",AK$3=""),"",IF(AND($J205&lt;&gt;"",$K205&lt;&gt;"",$J205=$K205,$J205&gt;=AK$3,$J205&lt;=IF(param_mode_affichage="mois",EOMONTH(AK$3,0),AK$3+6)),"◆",""))</f>
      </c>
      <c r="AL205" s="26">
        <f>IF(OR($A205="",AL$3=""),"",IF(AND($J205&lt;&gt;"",$K205&lt;&gt;"",$J205=$K205,$J205&gt;=AL$3,$J205&lt;=IF(param_mode_affichage="mois",EOMONTH(AL$3,0),AL$3+6)),"◆",""))</f>
      </c>
      <c r="AM205" s="26">
        <f>IF(OR($A205="",AM$3=""),"",IF(AND($J205&lt;&gt;"",$K205&lt;&gt;"",$J205=$K205,$J205&gt;=AM$3,$J205&lt;=IF(param_mode_affichage="mois",EOMONTH(AM$3,0),AM$3+6)),"◆",""))</f>
      </c>
      <c r="AN205" s="26">
        <f>IF(OR($A205="",AN$3=""),"",IF(AND($J205&lt;&gt;"",$K205&lt;&gt;"",$J205=$K205,$J205&gt;=AN$3,$J205&lt;=IF(param_mode_affichage="mois",EOMONTH(AN$3,0),AN$3+6)),"◆",""))</f>
      </c>
      <c r="AO205" s="26">
        <f>IF(OR($A205="",AO$3=""),"",IF(AND($J205&lt;&gt;"",$K205&lt;&gt;"",$J205=$K205,$J205&gt;=AO$3,$J205&lt;=IF(param_mode_affichage="mois",EOMONTH(AO$3,0),AO$3+6)),"◆",""))</f>
      </c>
      <c r="AP205" s="26">
        <f>IF(OR($A205="",AP$3=""),"",IF(AND($J205&lt;&gt;"",$K205&lt;&gt;"",$J205=$K205,$J205&gt;=AP$3,$J205&lt;=IF(param_mode_affichage="mois",EOMONTH(AP$3,0),AP$3+6)),"◆",""))</f>
      </c>
      <c r="AQ205" s="26">
        <f>IF(OR($A205="",AQ$3=""),"",IF(AND($J205&lt;&gt;"",$K205&lt;&gt;"",$J205=$K205,$J205&gt;=AQ$3,$J205&lt;=IF(param_mode_affichage="mois",EOMONTH(AQ$3,0),AQ$3+6)),"◆",""))</f>
      </c>
      <c r="AR205" s="26">
        <f>IF(OR($A205="",AR$3=""),"",IF(AND($J205&lt;&gt;"",$K205&lt;&gt;"",$J205=$K205,$J205&gt;=AR$3,$J205&lt;=IF(param_mode_affichage="mois",EOMONTH(AR$3,0),AR$3+6)),"◆",""))</f>
      </c>
      <c r="AS205" s="26">
        <f>IF(OR($A205="",AS$3=""),"",IF(AND($J205&lt;&gt;"",$K205&lt;&gt;"",$J205=$K205,$J205&gt;=AS$3,$J205&lt;=IF(param_mode_affichage="mois",EOMONTH(AS$3,0),AS$3+6)),"◆",""))</f>
      </c>
      <c r="AT205" s="26">
        <f>IF(OR($A205="",AT$3=""),"",IF(AND($J205&lt;&gt;"",$K205&lt;&gt;"",$J205=$K205,$J205&gt;=AT$3,$J205&lt;=IF(param_mode_affichage="mois",EOMONTH(AT$3,0),AT$3+6)),"◆",""))</f>
      </c>
      <c r="AU205" s="26">
        <f>IF(OR($A205="",AU$3=""),"",IF(AND($J205&lt;&gt;"",$K205&lt;&gt;"",$J205=$K205,$J205&gt;=AU$3,$J205&lt;=IF(param_mode_affichage="mois",EOMONTH(AU$3,0),AU$3+6)),"◆",""))</f>
      </c>
      <c r="AV205" s="26">
        <f>IF(OR($A205="",AV$3=""),"",IF(AND($J205&lt;&gt;"",$K205&lt;&gt;"",$J205=$K205,$J205&gt;=AV$3,$J205&lt;=IF(param_mode_affichage="mois",EOMONTH(AV$3,0),AV$3+6)),"◆",""))</f>
      </c>
      <c r="AW205" s="26">
        <f>IF(OR($A205="",AW$3=""),"",IF(AND($J205&lt;&gt;"",$K205&lt;&gt;"",$J205=$K205,$J205&gt;=AW$3,$J205&lt;=IF(param_mode_affichage="mois",EOMONTH(AW$3,0),AW$3+6)),"◆",""))</f>
      </c>
      <c r="AX205" s="26">
        <f>IF(OR($A205="",AX$3=""),"",IF(AND($J205&lt;&gt;"",$K205&lt;&gt;"",$J205=$K205,$J205&gt;=AX$3,$J205&lt;=IF(param_mode_affichage="mois",EOMONTH(AX$3,0),AX$3+6)),"◆",""))</f>
      </c>
      <c r="AY205" s="26">
        <f>IF(OR($A205="",AY$3=""),"",IF(AND($J205&lt;&gt;"",$K205&lt;&gt;"",$J205=$K205,$J205&gt;=AY$3,$J205&lt;=IF(param_mode_affichage="mois",EOMONTH(AY$3,0),AY$3+6)),"◆",""))</f>
      </c>
      <c r="AZ205" s="26">
        <f>IF(OR($A205="",AZ$3=""),"",IF(AND($J205&lt;&gt;"",$K205&lt;&gt;"",$J205=$K205,$J205&gt;=AZ$3,$J205&lt;=IF(param_mode_affichage="mois",EOMONTH(AZ$3,0),AZ$3+6)),"◆",""))</f>
      </c>
      <c r="BA205" s="26">
        <f>IF(OR($A205="",BA$3=""),"",IF(AND($J205&lt;&gt;"",$K205&lt;&gt;"",$J205=$K205,$J205&gt;=BA$3,$J205&lt;=IF(param_mode_affichage="mois",EOMONTH(BA$3,0),BA$3+6)),"◆",""))</f>
      </c>
      <c r="BB205" s="26">
        <f>IF(OR($A205="",BB$3=""),"",IF(AND($J205&lt;&gt;"",$K205&lt;&gt;"",$J205=$K205,$J205&gt;=BB$3,$J205&lt;=IF(param_mode_affichage="mois",EOMONTH(BB$3,0),BB$3+6)),"◆",""))</f>
      </c>
      <c r="BC205" s="26">
        <f>IF(OR($A205="",BC$3=""),"",IF(AND($J205&lt;&gt;"",$K205&lt;&gt;"",$J205=$K205,$J205&gt;=BC$3,$J205&lt;=IF(param_mode_affichage="mois",EOMONTH(BC$3,0),BC$3+6)),"◆",""))</f>
      </c>
      <c r="BD205" s="26">
        <f>IF(OR($A205="",BD$3=""),"",IF(AND($J205&lt;&gt;"",$K205&lt;&gt;"",$J205=$K205,$J205&gt;=BD$3,$J205&lt;=IF(param_mode_affichage="mois",EOMONTH(BD$3,0),BD$3+6)),"◆",""))</f>
      </c>
      <c r="BE205" s="26">
        <f>IF(OR($A205="",BE$3=""),"",IF(AND($J205&lt;&gt;"",$K205&lt;&gt;"",$J205=$K205,$J205&gt;=BE$3,$J205&lt;=IF(param_mode_affichage="mois",EOMONTH(BE$3,0),BE$3+6)),"◆",""))</f>
      </c>
      <c r="BF205" s="26">
        <f>IF(OR($A205="",BF$3=""),"",IF(AND($J205&lt;&gt;"",$K205&lt;&gt;"",$J205=$K205,$J205&gt;=BF$3,$J205&lt;=IF(param_mode_affichage="mois",EOMONTH(BF$3,0),BF$3+6)),"◆",""))</f>
      </c>
      <c r="BG205" s="26">
        <f>IF(OR($A205="",BG$3=""),"",IF(AND($J205&lt;&gt;"",$K205&lt;&gt;"",$J205=$K205,$J205&gt;=BG$3,$J205&lt;=IF(param_mode_affichage="mois",EOMONTH(BG$3,0),BG$3+6)),"◆",""))</f>
      </c>
      <c r="BH205" s="26">
        <f>IF(OR($A205="",BH$3=""),"",IF(AND($J205&lt;&gt;"",$K205&lt;&gt;"",$J205=$K205,$J205&gt;=BH$3,$J205&lt;=IF(param_mode_affichage="mois",EOMONTH(BH$3,0),BH$3+6)),"◆",""))</f>
      </c>
      <c r="BI205" s="26">
        <f>IF(OR($A205="",BI$3=""),"",IF(AND($J205&lt;&gt;"",$K205&lt;&gt;"",$J205=$K205,$J205&gt;=BI$3,$J205&lt;=IF(param_mode_affichage="mois",EOMONTH(BI$3,0),BI$3+6)),"◆",""))</f>
      </c>
      <c r="BJ205" s="26">
        <f>IF(OR($A205="",BJ$3=""),"",IF(AND($J205&lt;&gt;"",$K205&lt;&gt;"",$J205=$K205,$J205&gt;=BJ$3,$J205&lt;=IF(param_mode_affichage="mois",EOMONTH(BJ$3,0),BJ$3+6)),"◆",""))</f>
      </c>
      <c r="BK205" s="26">
        <f>IF(OR($A205="",BK$3=""),"",IF(AND($J205&lt;&gt;"",$K205&lt;&gt;"",$J205=$K205,$J205&gt;=BK$3,$J205&lt;=IF(param_mode_affichage="mois",EOMONTH(BK$3,0),BK$3+6)),"◆",""))</f>
      </c>
      <c r="BL205" s="26">
        <f>IF(OR($A205="",BL$3=""),"",IF(AND($J205&lt;&gt;"",$K205&lt;&gt;"",$J205=$K205,$J205&gt;=BL$3,$J205&lt;=IF(param_mode_affichage="mois",EOMONTH(BL$3,0),BL$3+6)),"◆",""))</f>
      </c>
    </row>
    <row r="206" spans="1:64" x14ac:dyDescent="0.25">
      <c r="A206" s="23">
        <f>IFERROR(INDEX(tblTasks[ID],ROW()-4),"")</f>
      </c>
      <c r="B206" s="24">
        <f>IF($A206="","",INDEX(tblTasks[Sujet],ROW()-4))</f>
      </c>
      <c r="C206" s="23">
        <f>IF($A206="","",INDEX(tblTasks[Responsable],ROW()-4))</f>
      </c>
      <c r="D206" s="23">
        <f>IF($A206="","",INDEX(tblTasks[Statut],ROW()-4))</f>
      </c>
      <c r="E206" s="23">
        <f>IF($A206="","",INDEX(tblTasks[Depend_de],ROW()-4))</f>
      </c>
      <c r="F206" s="23">
        <f>IF($A206="","",INDEX(tblTasks[Blocage],ROW()-4))</f>
      </c>
      <c r="G206" s="23">
        <f>IF($A206="","",INDEX(tblTasks[Niveau_criticite],ROW()-4))</f>
      </c>
      <c r="H206" s="23">
        <f>IF($A206="","",INDEX(tblTasks[Goulot],ROW()-4))</f>
      </c>
      <c r="I206" s="23">
        <f>IF($A206="","",IF(LOWER($F206)="oui","non",IF($E206="","oui",IFERROR(IF(LOWER(INDEX(tblTasks[Statut],MATCH($E206,tblTasks[ID],0)))="clos","oui","non"),"non"))))</f>
      </c>
      <c r="J206" s="25">
        <f>IF($A206="","",INDEX(tblTasks[Date_debut_prevue],ROW()-4))</f>
      </c>
      <c r="K206" s="25">
        <f>IF($A206="","",INDEX(tblTasks[Date_fin_prevue],ROW()-4))</f>
      </c>
      <c r="L206" s="23">
        <f>IF($A206="","",INDEX(tblTasks[Irreversibilite],ROW()-4))</f>
      </c>
      <c r="M206" s="26">
        <f>IF(OR($A206="",M$3=""),"",IF(AND($J206&lt;&gt;"",$K206&lt;&gt;"",$J206=$K206,$J206&gt;=M$3,$J206&lt;=IF(param_mode_affichage="mois",EOMONTH(M$3,0),M$3+6)),"◆",""))</f>
      </c>
      <c r="N206" s="26">
        <f>IF(OR($A206="",N$3=""),"",IF(AND($J206&lt;&gt;"",$K206&lt;&gt;"",$J206=$K206,$J206&gt;=N$3,$J206&lt;=IF(param_mode_affichage="mois",EOMONTH(N$3,0),N$3+6)),"◆",""))</f>
      </c>
      <c r="O206" s="26">
        <f>IF(OR($A206="",O$3=""),"",IF(AND($J206&lt;&gt;"",$K206&lt;&gt;"",$J206=$K206,$J206&gt;=O$3,$J206&lt;=IF(param_mode_affichage="mois",EOMONTH(O$3,0),O$3+6)),"◆",""))</f>
      </c>
      <c r="P206" s="26">
        <f>IF(OR($A206="",P$3=""),"",IF(AND($J206&lt;&gt;"",$K206&lt;&gt;"",$J206=$K206,$J206&gt;=P$3,$J206&lt;=IF(param_mode_affichage="mois",EOMONTH(P$3,0),P$3+6)),"◆",""))</f>
      </c>
      <c r="Q206" s="26">
        <f>IF(OR($A206="",Q$3=""),"",IF(AND($J206&lt;&gt;"",$K206&lt;&gt;"",$J206=$K206,$J206&gt;=Q$3,$J206&lt;=IF(param_mode_affichage="mois",EOMONTH(Q$3,0),Q$3+6)),"◆",""))</f>
      </c>
      <c r="R206" s="26">
        <f>IF(OR($A206="",R$3=""),"",IF(AND($J206&lt;&gt;"",$K206&lt;&gt;"",$J206=$K206,$J206&gt;=R$3,$J206&lt;=IF(param_mode_affichage="mois",EOMONTH(R$3,0),R$3+6)),"◆",""))</f>
      </c>
      <c r="S206" s="26">
        <f>IF(OR($A206="",S$3=""),"",IF(AND($J206&lt;&gt;"",$K206&lt;&gt;"",$J206=$K206,$J206&gt;=S$3,$J206&lt;=IF(param_mode_affichage="mois",EOMONTH(S$3,0),S$3+6)),"◆",""))</f>
      </c>
      <c r="T206" s="26">
        <f>IF(OR($A206="",T$3=""),"",IF(AND($J206&lt;&gt;"",$K206&lt;&gt;"",$J206=$K206,$J206&gt;=T$3,$J206&lt;=IF(param_mode_affichage="mois",EOMONTH(T$3,0),T$3+6)),"◆",""))</f>
      </c>
      <c r="U206" s="26">
        <f>IF(OR($A206="",U$3=""),"",IF(AND($J206&lt;&gt;"",$K206&lt;&gt;"",$J206=$K206,$J206&gt;=U$3,$J206&lt;=IF(param_mode_affichage="mois",EOMONTH(U$3,0),U$3+6)),"◆",""))</f>
      </c>
      <c r="V206" s="26">
        <f>IF(OR($A206="",V$3=""),"",IF(AND($J206&lt;&gt;"",$K206&lt;&gt;"",$J206=$K206,$J206&gt;=V$3,$J206&lt;=IF(param_mode_affichage="mois",EOMONTH(V$3,0),V$3+6)),"◆",""))</f>
      </c>
      <c r="W206" s="26">
        <f>IF(OR($A206="",W$3=""),"",IF(AND($J206&lt;&gt;"",$K206&lt;&gt;"",$J206=$K206,$J206&gt;=W$3,$J206&lt;=IF(param_mode_affichage="mois",EOMONTH(W$3,0),W$3+6)),"◆",""))</f>
      </c>
      <c r="X206" s="26">
        <f>IF(OR($A206="",X$3=""),"",IF(AND($J206&lt;&gt;"",$K206&lt;&gt;"",$J206=$K206,$J206&gt;=X$3,$J206&lt;=IF(param_mode_affichage="mois",EOMONTH(X$3,0),X$3+6)),"◆",""))</f>
      </c>
      <c r="Y206" s="26">
        <f>IF(OR($A206="",Y$3=""),"",IF(AND($J206&lt;&gt;"",$K206&lt;&gt;"",$J206=$K206,$J206&gt;=Y$3,$J206&lt;=IF(param_mode_affichage="mois",EOMONTH(Y$3,0),Y$3+6)),"◆",""))</f>
      </c>
      <c r="Z206" s="26">
        <f>IF(OR($A206="",Z$3=""),"",IF(AND($J206&lt;&gt;"",$K206&lt;&gt;"",$J206=$K206,$J206&gt;=Z$3,$J206&lt;=IF(param_mode_affichage="mois",EOMONTH(Z$3,0),Z$3+6)),"◆",""))</f>
      </c>
      <c r="AA206" s="26">
        <f>IF(OR($A206="",AA$3=""),"",IF(AND($J206&lt;&gt;"",$K206&lt;&gt;"",$J206=$K206,$J206&gt;=AA$3,$J206&lt;=IF(param_mode_affichage="mois",EOMONTH(AA$3,0),AA$3+6)),"◆",""))</f>
      </c>
      <c r="AB206" s="26">
        <f>IF(OR($A206="",AB$3=""),"",IF(AND($J206&lt;&gt;"",$K206&lt;&gt;"",$J206=$K206,$J206&gt;=AB$3,$J206&lt;=IF(param_mode_affichage="mois",EOMONTH(AB$3,0),AB$3+6)),"◆",""))</f>
      </c>
      <c r="AC206" s="26">
        <f>IF(OR($A206="",AC$3=""),"",IF(AND($J206&lt;&gt;"",$K206&lt;&gt;"",$J206=$K206,$J206&gt;=AC$3,$J206&lt;=IF(param_mode_affichage="mois",EOMONTH(AC$3,0),AC$3+6)),"◆",""))</f>
      </c>
      <c r="AD206" s="26">
        <f>IF(OR($A206="",AD$3=""),"",IF(AND($J206&lt;&gt;"",$K206&lt;&gt;"",$J206=$K206,$J206&gt;=AD$3,$J206&lt;=IF(param_mode_affichage="mois",EOMONTH(AD$3,0),AD$3+6)),"◆",""))</f>
      </c>
      <c r="AE206" s="26">
        <f>IF(OR($A206="",AE$3=""),"",IF(AND($J206&lt;&gt;"",$K206&lt;&gt;"",$J206=$K206,$J206&gt;=AE$3,$J206&lt;=IF(param_mode_affichage="mois",EOMONTH(AE$3,0),AE$3+6)),"◆",""))</f>
      </c>
      <c r="AF206" s="26">
        <f>IF(OR($A206="",AF$3=""),"",IF(AND($J206&lt;&gt;"",$K206&lt;&gt;"",$J206=$K206,$J206&gt;=AF$3,$J206&lt;=IF(param_mode_affichage="mois",EOMONTH(AF$3,0),AF$3+6)),"◆",""))</f>
      </c>
      <c r="AG206" s="26">
        <f>IF(OR($A206="",AG$3=""),"",IF(AND($J206&lt;&gt;"",$K206&lt;&gt;"",$J206=$K206,$J206&gt;=AG$3,$J206&lt;=IF(param_mode_affichage="mois",EOMONTH(AG$3,0),AG$3+6)),"◆",""))</f>
      </c>
      <c r="AH206" s="26">
        <f>IF(OR($A206="",AH$3=""),"",IF(AND($J206&lt;&gt;"",$K206&lt;&gt;"",$J206=$K206,$J206&gt;=AH$3,$J206&lt;=IF(param_mode_affichage="mois",EOMONTH(AH$3,0),AH$3+6)),"◆",""))</f>
      </c>
      <c r="AI206" s="26">
        <f>IF(OR($A206="",AI$3=""),"",IF(AND($J206&lt;&gt;"",$K206&lt;&gt;"",$J206=$K206,$J206&gt;=AI$3,$J206&lt;=IF(param_mode_affichage="mois",EOMONTH(AI$3,0),AI$3+6)),"◆",""))</f>
      </c>
      <c r="AJ206" s="26">
        <f>IF(OR($A206="",AJ$3=""),"",IF(AND($J206&lt;&gt;"",$K206&lt;&gt;"",$J206=$K206,$J206&gt;=AJ$3,$J206&lt;=IF(param_mode_affichage="mois",EOMONTH(AJ$3,0),AJ$3+6)),"◆",""))</f>
      </c>
      <c r="AK206" s="26">
        <f>IF(OR($A206="",AK$3=""),"",IF(AND($J206&lt;&gt;"",$K206&lt;&gt;"",$J206=$K206,$J206&gt;=AK$3,$J206&lt;=IF(param_mode_affichage="mois",EOMONTH(AK$3,0),AK$3+6)),"◆",""))</f>
      </c>
      <c r="AL206" s="26">
        <f>IF(OR($A206="",AL$3=""),"",IF(AND($J206&lt;&gt;"",$K206&lt;&gt;"",$J206=$K206,$J206&gt;=AL$3,$J206&lt;=IF(param_mode_affichage="mois",EOMONTH(AL$3,0),AL$3+6)),"◆",""))</f>
      </c>
      <c r="AM206" s="26">
        <f>IF(OR($A206="",AM$3=""),"",IF(AND($J206&lt;&gt;"",$K206&lt;&gt;"",$J206=$K206,$J206&gt;=AM$3,$J206&lt;=IF(param_mode_affichage="mois",EOMONTH(AM$3,0),AM$3+6)),"◆",""))</f>
      </c>
      <c r="AN206" s="26">
        <f>IF(OR($A206="",AN$3=""),"",IF(AND($J206&lt;&gt;"",$K206&lt;&gt;"",$J206=$K206,$J206&gt;=AN$3,$J206&lt;=IF(param_mode_affichage="mois",EOMONTH(AN$3,0),AN$3+6)),"◆",""))</f>
      </c>
      <c r="AO206" s="26">
        <f>IF(OR($A206="",AO$3=""),"",IF(AND($J206&lt;&gt;"",$K206&lt;&gt;"",$J206=$K206,$J206&gt;=AO$3,$J206&lt;=IF(param_mode_affichage="mois",EOMONTH(AO$3,0),AO$3+6)),"◆",""))</f>
      </c>
      <c r="AP206" s="26">
        <f>IF(OR($A206="",AP$3=""),"",IF(AND($J206&lt;&gt;"",$K206&lt;&gt;"",$J206=$K206,$J206&gt;=AP$3,$J206&lt;=IF(param_mode_affichage="mois",EOMONTH(AP$3,0),AP$3+6)),"◆",""))</f>
      </c>
      <c r="AQ206" s="26">
        <f>IF(OR($A206="",AQ$3=""),"",IF(AND($J206&lt;&gt;"",$K206&lt;&gt;"",$J206=$K206,$J206&gt;=AQ$3,$J206&lt;=IF(param_mode_affichage="mois",EOMONTH(AQ$3,0),AQ$3+6)),"◆",""))</f>
      </c>
      <c r="AR206" s="26">
        <f>IF(OR($A206="",AR$3=""),"",IF(AND($J206&lt;&gt;"",$K206&lt;&gt;"",$J206=$K206,$J206&gt;=AR$3,$J206&lt;=IF(param_mode_affichage="mois",EOMONTH(AR$3,0),AR$3+6)),"◆",""))</f>
      </c>
      <c r="AS206" s="26">
        <f>IF(OR($A206="",AS$3=""),"",IF(AND($J206&lt;&gt;"",$K206&lt;&gt;"",$J206=$K206,$J206&gt;=AS$3,$J206&lt;=IF(param_mode_affichage="mois",EOMONTH(AS$3,0),AS$3+6)),"◆",""))</f>
      </c>
      <c r="AT206" s="26">
        <f>IF(OR($A206="",AT$3=""),"",IF(AND($J206&lt;&gt;"",$K206&lt;&gt;"",$J206=$K206,$J206&gt;=AT$3,$J206&lt;=IF(param_mode_affichage="mois",EOMONTH(AT$3,0),AT$3+6)),"◆",""))</f>
      </c>
      <c r="AU206" s="26">
        <f>IF(OR($A206="",AU$3=""),"",IF(AND($J206&lt;&gt;"",$K206&lt;&gt;"",$J206=$K206,$J206&gt;=AU$3,$J206&lt;=IF(param_mode_affichage="mois",EOMONTH(AU$3,0),AU$3+6)),"◆",""))</f>
      </c>
      <c r="AV206" s="26">
        <f>IF(OR($A206="",AV$3=""),"",IF(AND($J206&lt;&gt;"",$K206&lt;&gt;"",$J206=$K206,$J206&gt;=AV$3,$J206&lt;=IF(param_mode_affichage="mois",EOMONTH(AV$3,0),AV$3+6)),"◆",""))</f>
      </c>
      <c r="AW206" s="26">
        <f>IF(OR($A206="",AW$3=""),"",IF(AND($J206&lt;&gt;"",$K206&lt;&gt;"",$J206=$K206,$J206&gt;=AW$3,$J206&lt;=IF(param_mode_affichage="mois",EOMONTH(AW$3,0),AW$3+6)),"◆",""))</f>
      </c>
      <c r="AX206" s="26">
        <f>IF(OR($A206="",AX$3=""),"",IF(AND($J206&lt;&gt;"",$K206&lt;&gt;"",$J206=$K206,$J206&gt;=AX$3,$J206&lt;=IF(param_mode_affichage="mois",EOMONTH(AX$3,0),AX$3+6)),"◆",""))</f>
      </c>
      <c r="AY206" s="26">
        <f>IF(OR($A206="",AY$3=""),"",IF(AND($J206&lt;&gt;"",$K206&lt;&gt;"",$J206=$K206,$J206&gt;=AY$3,$J206&lt;=IF(param_mode_affichage="mois",EOMONTH(AY$3,0),AY$3+6)),"◆",""))</f>
      </c>
      <c r="AZ206" s="26">
        <f>IF(OR($A206="",AZ$3=""),"",IF(AND($J206&lt;&gt;"",$K206&lt;&gt;"",$J206=$K206,$J206&gt;=AZ$3,$J206&lt;=IF(param_mode_affichage="mois",EOMONTH(AZ$3,0),AZ$3+6)),"◆",""))</f>
      </c>
      <c r="BA206" s="26">
        <f>IF(OR($A206="",BA$3=""),"",IF(AND($J206&lt;&gt;"",$K206&lt;&gt;"",$J206=$K206,$J206&gt;=BA$3,$J206&lt;=IF(param_mode_affichage="mois",EOMONTH(BA$3,0),BA$3+6)),"◆",""))</f>
      </c>
      <c r="BB206" s="26">
        <f>IF(OR($A206="",BB$3=""),"",IF(AND($J206&lt;&gt;"",$K206&lt;&gt;"",$J206=$K206,$J206&gt;=BB$3,$J206&lt;=IF(param_mode_affichage="mois",EOMONTH(BB$3,0),BB$3+6)),"◆",""))</f>
      </c>
      <c r="BC206" s="26">
        <f>IF(OR($A206="",BC$3=""),"",IF(AND($J206&lt;&gt;"",$K206&lt;&gt;"",$J206=$K206,$J206&gt;=BC$3,$J206&lt;=IF(param_mode_affichage="mois",EOMONTH(BC$3,0),BC$3+6)),"◆",""))</f>
      </c>
      <c r="BD206" s="26">
        <f>IF(OR($A206="",BD$3=""),"",IF(AND($J206&lt;&gt;"",$K206&lt;&gt;"",$J206=$K206,$J206&gt;=BD$3,$J206&lt;=IF(param_mode_affichage="mois",EOMONTH(BD$3,0),BD$3+6)),"◆",""))</f>
      </c>
      <c r="BE206" s="26">
        <f>IF(OR($A206="",BE$3=""),"",IF(AND($J206&lt;&gt;"",$K206&lt;&gt;"",$J206=$K206,$J206&gt;=BE$3,$J206&lt;=IF(param_mode_affichage="mois",EOMONTH(BE$3,0),BE$3+6)),"◆",""))</f>
      </c>
      <c r="BF206" s="26">
        <f>IF(OR($A206="",BF$3=""),"",IF(AND($J206&lt;&gt;"",$K206&lt;&gt;"",$J206=$K206,$J206&gt;=BF$3,$J206&lt;=IF(param_mode_affichage="mois",EOMONTH(BF$3,0),BF$3+6)),"◆",""))</f>
      </c>
      <c r="BG206" s="26">
        <f>IF(OR($A206="",BG$3=""),"",IF(AND($J206&lt;&gt;"",$K206&lt;&gt;"",$J206=$K206,$J206&gt;=BG$3,$J206&lt;=IF(param_mode_affichage="mois",EOMONTH(BG$3,0),BG$3+6)),"◆",""))</f>
      </c>
      <c r="BH206" s="26">
        <f>IF(OR($A206="",BH$3=""),"",IF(AND($J206&lt;&gt;"",$K206&lt;&gt;"",$J206=$K206,$J206&gt;=BH$3,$J206&lt;=IF(param_mode_affichage="mois",EOMONTH(BH$3,0),BH$3+6)),"◆",""))</f>
      </c>
      <c r="BI206" s="26">
        <f>IF(OR($A206="",BI$3=""),"",IF(AND($J206&lt;&gt;"",$K206&lt;&gt;"",$J206=$K206,$J206&gt;=BI$3,$J206&lt;=IF(param_mode_affichage="mois",EOMONTH(BI$3,0),BI$3+6)),"◆",""))</f>
      </c>
      <c r="BJ206" s="26">
        <f>IF(OR($A206="",BJ$3=""),"",IF(AND($J206&lt;&gt;"",$K206&lt;&gt;"",$J206=$K206,$J206&gt;=BJ$3,$J206&lt;=IF(param_mode_affichage="mois",EOMONTH(BJ$3,0),BJ$3+6)),"◆",""))</f>
      </c>
      <c r="BK206" s="26">
        <f>IF(OR($A206="",BK$3=""),"",IF(AND($J206&lt;&gt;"",$K206&lt;&gt;"",$J206=$K206,$J206&gt;=BK$3,$J206&lt;=IF(param_mode_affichage="mois",EOMONTH(BK$3,0),BK$3+6)),"◆",""))</f>
      </c>
      <c r="BL206" s="26">
        <f>IF(OR($A206="",BL$3=""),"",IF(AND($J206&lt;&gt;"",$K206&lt;&gt;"",$J206=$K206,$J206&gt;=BL$3,$J206&lt;=IF(param_mode_affichage="mois",EOMONTH(BL$3,0),BL$3+6)),"◆",""))</f>
      </c>
    </row>
    <row r="207" spans="1:64" x14ac:dyDescent="0.25">
      <c r="A207" s="23">
        <f>IFERROR(INDEX(tblTasks[ID],ROW()-4),"")</f>
      </c>
      <c r="B207" s="24">
        <f>IF($A207="","",INDEX(tblTasks[Sujet],ROW()-4))</f>
      </c>
      <c r="C207" s="23">
        <f>IF($A207="","",INDEX(tblTasks[Responsable],ROW()-4))</f>
      </c>
      <c r="D207" s="23">
        <f>IF($A207="","",INDEX(tblTasks[Statut],ROW()-4))</f>
      </c>
      <c r="E207" s="23">
        <f>IF($A207="","",INDEX(tblTasks[Depend_de],ROW()-4))</f>
      </c>
      <c r="F207" s="23">
        <f>IF($A207="","",INDEX(tblTasks[Blocage],ROW()-4))</f>
      </c>
      <c r="G207" s="23">
        <f>IF($A207="","",INDEX(tblTasks[Niveau_criticite],ROW()-4))</f>
      </c>
      <c r="H207" s="23">
        <f>IF($A207="","",INDEX(tblTasks[Goulot],ROW()-4))</f>
      </c>
      <c r="I207" s="23">
        <f>IF($A207="","",IF(LOWER($F207)="oui","non",IF($E207="","oui",IFERROR(IF(LOWER(INDEX(tblTasks[Statut],MATCH($E207,tblTasks[ID],0)))="clos","oui","non"),"non"))))</f>
      </c>
      <c r="J207" s="25">
        <f>IF($A207="","",INDEX(tblTasks[Date_debut_prevue],ROW()-4))</f>
      </c>
      <c r="K207" s="25">
        <f>IF($A207="","",INDEX(tblTasks[Date_fin_prevue],ROW()-4))</f>
      </c>
      <c r="L207" s="23">
        <f>IF($A207="","",INDEX(tblTasks[Irreversibilite],ROW()-4))</f>
      </c>
      <c r="M207" s="26">
        <f>IF(OR($A207="",M$3=""),"",IF(AND($J207&lt;&gt;"",$K207&lt;&gt;"",$J207=$K207,$J207&gt;=M$3,$J207&lt;=IF(param_mode_affichage="mois",EOMONTH(M$3,0),M$3+6)),"◆",""))</f>
      </c>
      <c r="N207" s="26">
        <f>IF(OR($A207="",N$3=""),"",IF(AND($J207&lt;&gt;"",$K207&lt;&gt;"",$J207=$K207,$J207&gt;=N$3,$J207&lt;=IF(param_mode_affichage="mois",EOMONTH(N$3,0),N$3+6)),"◆",""))</f>
      </c>
      <c r="O207" s="26">
        <f>IF(OR($A207="",O$3=""),"",IF(AND($J207&lt;&gt;"",$K207&lt;&gt;"",$J207=$K207,$J207&gt;=O$3,$J207&lt;=IF(param_mode_affichage="mois",EOMONTH(O$3,0),O$3+6)),"◆",""))</f>
      </c>
      <c r="P207" s="26">
        <f>IF(OR($A207="",P$3=""),"",IF(AND($J207&lt;&gt;"",$K207&lt;&gt;"",$J207=$K207,$J207&gt;=P$3,$J207&lt;=IF(param_mode_affichage="mois",EOMONTH(P$3,0),P$3+6)),"◆",""))</f>
      </c>
      <c r="Q207" s="26">
        <f>IF(OR($A207="",Q$3=""),"",IF(AND($J207&lt;&gt;"",$K207&lt;&gt;"",$J207=$K207,$J207&gt;=Q$3,$J207&lt;=IF(param_mode_affichage="mois",EOMONTH(Q$3,0),Q$3+6)),"◆",""))</f>
      </c>
      <c r="R207" s="26">
        <f>IF(OR($A207="",R$3=""),"",IF(AND($J207&lt;&gt;"",$K207&lt;&gt;"",$J207=$K207,$J207&gt;=R$3,$J207&lt;=IF(param_mode_affichage="mois",EOMONTH(R$3,0),R$3+6)),"◆",""))</f>
      </c>
      <c r="S207" s="26">
        <f>IF(OR($A207="",S$3=""),"",IF(AND($J207&lt;&gt;"",$K207&lt;&gt;"",$J207=$K207,$J207&gt;=S$3,$J207&lt;=IF(param_mode_affichage="mois",EOMONTH(S$3,0),S$3+6)),"◆",""))</f>
      </c>
      <c r="T207" s="26">
        <f>IF(OR($A207="",T$3=""),"",IF(AND($J207&lt;&gt;"",$K207&lt;&gt;"",$J207=$K207,$J207&gt;=T$3,$J207&lt;=IF(param_mode_affichage="mois",EOMONTH(T$3,0),T$3+6)),"◆",""))</f>
      </c>
      <c r="U207" s="26">
        <f>IF(OR($A207="",U$3=""),"",IF(AND($J207&lt;&gt;"",$K207&lt;&gt;"",$J207=$K207,$J207&gt;=U$3,$J207&lt;=IF(param_mode_affichage="mois",EOMONTH(U$3,0),U$3+6)),"◆",""))</f>
      </c>
      <c r="V207" s="26">
        <f>IF(OR($A207="",V$3=""),"",IF(AND($J207&lt;&gt;"",$K207&lt;&gt;"",$J207=$K207,$J207&gt;=V$3,$J207&lt;=IF(param_mode_affichage="mois",EOMONTH(V$3,0),V$3+6)),"◆",""))</f>
      </c>
      <c r="W207" s="26">
        <f>IF(OR($A207="",W$3=""),"",IF(AND($J207&lt;&gt;"",$K207&lt;&gt;"",$J207=$K207,$J207&gt;=W$3,$J207&lt;=IF(param_mode_affichage="mois",EOMONTH(W$3,0),W$3+6)),"◆",""))</f>
      </c>
      <c r="X207" s="26">
        <f>IF(OR($A207="",X$3=""),"",IF(AND($J207&lt;&gt;"",$K207&lt;&gt;"",$J207=$K207,$J207&gt;=X$3,$J207&lt;=IF(param_mode_affichage="mois",EOMONTH(X$3,0),X$3+6)),"◆",""))</f>
      </c>
      <c r="Y207" s="26">
        <f>IF(OR($A207="",Y$3=""),"",IF(AND($J207&lt;&gt;"",$K207&lt;&gt;"",$J207=$K207,$J207&gt;=Y$3,$J207&lt;=IF(param_mode_affichage="mois",EOMONTH(Y$3,0),Y$3+6)),"◆",""))</f>
      </c>
      <c r="Z207" s="26">
        <f>IF(OR($A207="",Z$3=""),"",IF(AND($J207&lt;&gt;"",$K207&lt;&gt;"",$J207=$K207,$J207&gt;=Z$3,$J207&lt;=IF(param_mode_affichage="mois",EOMONTH(Z$3,0),Z$3+6)),"◆",""))</f>
      </c>
      <c r="AA207" s="26">
        <f>IF(OR($A207="",AA$3=""),"",IF(AND($J207&lt;&gt;"",$K207&lt;&gt;"",$J207=$K207,$J207&gt;=AA$3,$J207&lt;=IF(param_mode_affichage="mois",EOMONTH(AA$3,0),AA$3+6)),"◆",""))</f>
      </c>
      <c r="AB207" s="26">
        <f>IF(OR($A207="",AB$3=""),"",IF(AND($J207&lt;&gt;"",$K207&lt;&gt;"",$J207=$K207,$J207&gt;=AB$3,$J207&lt;=IF(param_mode_affichage="mois",EOMONTH(AB$3,0),AB$3+6)),"◆",""))</f>
      </c>
      <c r="AC207" s="26">
        <f>IF(OR($A207="",AC$3=""),"",IF(AND($J207&lt;&gt;"",$K207&lt;&gt;"",$J207=$K207,$J207&gt;=AC$3,$J207&lt;=IF(param_mode_affichage="mois",EOMONTH(AC$3,0),AC$3+6)),"◆",""))</f>
      </c>
      <c r="AD207" s="26">
        <f>IF(OR($A207="",AD$3=""),"",IF(AND($J207&lt;&gt;"",$K207&lt;&gt;"",$J207=$K207,$J207&gt;=AD$3,$J207&lt;=IF(param_mode_affichage="mois",EOMONTH(AD$3,0),AD$3+6)),"◆",""))</f>
      </c>
      <c r="AE207" s="26">
        <f>IF(OR($A207="",AE$3=""),"",IF(AND($J207&lt;&gt;"",$K207&lt;&gt;"",$J207=$K207,$J207&gt;=AE$3,$J207&lt;=IF(param_mode_affichage="mois",EOMONTH(AE$3,0),AE$3+6)),"◆",""))</f>
      </c>
      <c r="AF207" s="26">
        <f>IF(OR($A207="",AF$3=""),"",IF(AND($J207&lt;&gt;"",$K207&lt;&gt;"",$J207=$K207,$J207&gt;=AF$3,$J207&lt;=IF(param_mode_affichage="mois",EOMONTH(AF$3,0),AF$3+6)),"◆",""))</f>
      </c>
      <c r="AG207" s="26">
        <f>IF(OR($A207="",AG$3=""),"",IF(AND($J207&lt;&gt;"",$K207&lt;&gt;"",$J207=$K207,$J207&gt;=AG$3,$J207&lt;=IF(param_mode_affichage="mois",EOMONTH(AG$3,0),AG$3+6)),"◆",""))</f>
      </c>
      <c r="AH207" s="26">
        <f>IF(OR($A207="",AH$3=""),"",IF(AND($J207&lt;&gt;"",$K207&lt;&gt;"",$J207=$K207,$J207&gt;=AH$3,$J207&lt;=IF(param_mode_affichage="mois",EOMONTH(AH$3,0),AH$3+6)),"◆",""))</f>
      </c>
      <c r="AI207" s="26">
        <f>IF(OR($A207="",AI$3=""),"",IF(AND($J207&lt;&gt;"",$K207&lt;&gt;"",$J207=$K207,$J207&gt;=AI$3,$J207&lt;=IF(param_mode_affichage="mois",EOMONTH(AI$3,0),AI$3+6)),"◆",""))</f>
      </c>
      <c r="AJ207" s="26">
        <f>IF(OR($A207="",AJ$3=""),"",IF(AND($J207&lt;&gt;"",$K207&lt;&gt;"",$J207=$K207,$J207&gt;=AJ$3,$J207&lt;=IF(param_mode_affichage="mois",EOMONTH(AJ$3,0),AJ$3+6)),"◆",""))</f>
      </c>
      <c r="AK207" s="26">
        <f>IF(OR($A207="",AK$3=""),"",IF(AND($J207&lt;&gt;"",$K207&lt;&gt;"",$J207=$K207,$J207&gt;=AK$3,$J207&lt;=IF(param_mode_affichage="mois",EOMONTH(AK$3,0),AK$3+6)),"◆",""))</f>
      </c>
      <c r="AL207" s="26">
        <f>IF(OR($A207="",AL$3=""),"",IF(AND($J207&lt;&gt;"",$K207&lt;&gt;"",$J207=$K207,$J207&gt;=AL$3,$J207&lt;=IF(param_mode_affichage="mois",EOMONTH(AL$3,0),AL$3+6)),"◆",""))</f>
      </c>
      <c r="AM207" s="26">
        <f>IF(OR($A207="",AM$3=""),"",IF(AND($J207&lt;&gt;"",$K207&lt;&gt;"",$J207=$K207,$J207&gt;=AM$3,$J207&lt;=IF(param_mode_affichage="mois",EOMONTH(AM$3,0),AM$3+6)),"◆",""))</f>
      </c>
      <c r="AN207" s="26">
        <f>IF(OR($A207="",AN$3=""),"",IF(AND($J207&lt;&gt;"",$K207&lt;&gt;"",$J207=$K207,$J207&gt;=AN$3,$J207&lt;=IF(param_mode_affichage="mois",EOMONTH(AN$3,0),AN$3+6)),"◆",""))</f>
      </c>
      <c r="AO207" s="26">
        <f>IF(OR($A207="",AO$3=""),"",IF(AND($J207&lt;&gt;"",$K207&lt;&gt;"",$J207=$K207,$J207&gt;=AO$3,$J207&lt;=IF(param_mode_affichage="mois",EOMONTH(AO$3,0),AO$3+6)),"◆",""))</f>
      </c>
      <c r="AP207" s="26">
        <f>IF(OR($A207="",AP$3=""),"",IF(AND($J207&lt;&gt;"",$K207&lt;&gt;"",$J207=$K207,$J207&gt;=AP$3,$J207&lt;=IF(param_mode_affichage="mois",EOMONTH(AP$3,0),AP$3+6)),"◆",""))</f>
      </c>
      <c r="AQ207" s="26">
        <f>IF(OR($A207="",AQ$3=""),"",IF(AND($J207&lt;&gt;"",$K207&lt;&gt;"",$J207=$K207,$J207&gt;=AQ$3,$J207&lt;=IF(param_mode_affichage="mois",EOMONTH(AQ$3,0),AQ$3+6)),"◆",""))</f>
      </c>
      <c r="AR207" s="26">
        <f>IF(OR($A207="",AR$3=""),"",IF(AND($J207&lt;&gt;"",$K207&lt;&gt;"",$J207=$K207,$J207&gt;=AR$3,$J207&lt;=IF(param_mode_affichage="mois",EOMONTH(AR$3,0),AR$3+6)),"◆",""))</f>
      </c>
      <c r="AS207" s="26">
        <f>IF(OR($A207="",AS$3=""),"",IF(AND($J207&lt;&gt;"",$K207&lt;&gt;"",$J207=$K207,$J207&gt;=AS$3,$J207&lt;=IF(param_mode_affichage="mois",EOMONTH(AS$3,0),AS$3+6)),"◆",""))</f>
      </c>
      <c r="AT207" s="26">
        <f>IF(OR($A207="",AT$3=""),"",IF(AND($J207&lt;&gt;"",$K207&lt;&gt;"",$J207=$K207,$J207&gt;=AT$3,$J207&lt;=IF(param_mode_affichage="mois",EOMONTH(AT$3,0),AT$3+6)),"◆",""))</f>
      </c>
      <c r="AU207" s="26">
        <f>IF(OR($A207="",AU$3=""),"",IF(AND($J207&lt;&gt;"",$K207&lt;&gt;"",$J207=$K207,$J207&gt;=AU$3,$J207&lt;=IF(param_mode_affichage="mois",EOMONTH(AU$3,0),AU$3+6)),"◆",""))</f>
      </c>
      <c r="AV207" s="26">
        <f>IF(OR($A207="",AV$3=""),"",IF(AND($J207&lt;&gt;"",$K207&lt;&gt;"",$J207=$K207,$J207&gt;=AV$3,$J207&lt;=IF(param_mode_affichage="mois",EOMONTH(AV$3,0),AV$3+6)),"◆",""))</f>
      </c>
      <c r="AW207" s="26">
        <f>IF(OR($A207="",AW$3=""),"",IF(AND($J207&lt;&gt;"",$K207&lt;&gt;"",$J207=$K207,$J207&gt;=AW$3,$J207&lt;=IF(param_mode_affichage="mois",EOMONTH(AW$3,0),AW$3+6)),"◆",""))</f>
      </c>
      <c r="AX207" s="26">
        <f>IF(OR($A207="",AX$3=""),"",IF(AND($J207&lt;&gt;"",$K207&lt;&gt;"",$J207=$K207,$J207&gt;=AX$3,$J207&lt;=IF(param_mode_affichage="mois",EOMONTH(AX$3,0),AX$3+6)),"◆",""))</f>
      </c>
      <c r="AY207" s="26">
        <f>IF(OR($A207="",AY$3=""),"",IF(AND($J207&lt;&gt;"",$K207&lt;&gt;"",$J207=$K207,$J207&gt;=AY$3,$J207&lt;=IF(param_mode_affichage="mois",EOMONTH(AY$3,0),AY$3+6)),"◆",""))</f>
      </c>
      <c r="AZ207" s="26">
        <f>IF(OR($A207="",AZ$3=""),"",IF(AND($J207&lt;&gt;"",$K207&lt;&gt;"",$J207=$K207,$J207&gt;=AZ$3,$J207&lt;=IF(param_mode_affichage="mois",EOMONTH(AZ$3,0),AZ$3+6)),"◆",""))</f>
      </c>
      <c r="BA207" s="26">
        <f>IF(OR($A207="",BA$3=""),"",IF(AND($J207&lt;&gt;"",$K207&lt;&gt;"",$J207=$K207,$J207&gt;=BA$3,$J207&lt;=IF(param_mode_affichage="mois",EOMONTH(BA$3,0),BA$3+6)),"◆",""))</f>
      </c>
      <c r="BB207" s="26">
        <f>IF(OR($A207="",BB$3=""),"",IF(AND($J207&lt;&gt;"",$K207&lt;&gt;"",$J207=$K207,$J207&gt;=BB$3,$J207&lt;=IF(param_mode_affichage="mois",EOMONTH(BB$3,0),BB$3+6)),"◆",""))</f>
      </c>
      <c r="BC207" s="26">
        <f>IF(OR($A207="",BC$3=""),"",IF(AND($J207&lt;&gt;"",$K207&lt;&gt;"",$J207=$K207,$J207&gt;=BC$3,$J207&lt;=IF(param_mode_affichage="mois",EOMONTH(BC$3,0),BC$3+6)),"◆",""))</f>
      </c>
      <c r="BD207" s="26">
        <f>IF(OR($A207="",BD$3=""),"",IF(AND($J207&lt;&gt;"",$K207&lt;&gt;"",$J207=$K207,$J207&gt;=BD$3,$J207&lt;=IF(param_mode_affichage="mois",EOMONTH(BD$3,0),BD$3+6)),"◆",""))</f>
      </c>
      <c r="BE207" s="26">
        <f>IF(OR($A207="",BE$3=""),"",IF(AND($J207&lt;&gt;"",$K207&lt;&gt;"",$J207=$K207,$J207&gt;=BE$3,$J207&lt;=IF(param_mode_affichage="mois",EOMONTH(BE$3,0),BE$3+6)),"◆",""))</f>
      </c>
      <c r="BF207" s="26">
        <f>IF(OR($A207="",BF$3=""),"",IF(AND($J207&lt;&gt;"",$K207&lt;&gt;"",$J207=$K207,$J207&gt;=BF$3,$J207&lt;=IF(param_mode_affichage="mois",EOMONTH(BF$3,0),BF$3+6)),"◆",""))</f>
      </c>
      <c r="BG207" s="26">
        <f>IF(OR($A207="",BG$3=""),"",IF(AND($J207&lt;&gt;"",$K207&lt;&gt;"",$J207=$K207,$J207&gt;=BG$3,$J207&lt;=IF(param_mode_affichage="mois",EOMONTH(BG$3,0),BG$3+6)),"◆",""))</f>
      </c>
      <c r="BH207" s="26">
        <f>IF(OR($A207="",BH$3=""),"",IF(AND($J207&lt;&gt;"",$K207&lt;&gt;"",$J207=$K207,$J207&gt;=BH$3,$J207&lt;=IF(param_mode_affichage="mois",EOMONTH(BH$3,0),BH$3+6)),"◆",""))</f>
      </c>
      <c r="BI207" s="26">
        <f>IF(OR($A207="",BI$3=""),"",IF(AND($J207&lt;&gt;"",$K207&lt;&gt;"",$J207=$K207,$J207&gt;=BI$3,$J207&lt;=IF(param_mode_affichage="mois",EOMONTH(BI$3,0),BI$3+6)),"◆",""))</f>
      </c>
      <c r="BJ207" s="26">
        <f>IF(OR($A207="",BJ$3=""),"",IF(AND($J207&lt;&gt;"",$K207&lt;&gt;"",$J207=$K207,$J207&gt;=BJ$3,$J207&lt;=IF(param_mode_affichage="mois",EOMONTH(BJ$3,0),BJ$3+6)),"◆",""))</f>
      </c>
      <c r="BK207" s="26">
        <f>IF(OR($A207="",BK$3=""),"",IF(AND($J207&lt;&gt;"",$K207&lt;&gt;"",$J207=$K207,$J207&gt;=BK$3,$J207&lt;=IF(param_mode_affichage="mois",EOMONTH(BK$3,0),BK$3+6)),"◆",""))</f>
      </c>
      <c r="BL207" s="26">
        <f>IF(OR($A207="",BL$3=""),"",IF(AND($J207&lt;&gt;"",$K207&lt;&gt;"",$J207=$K207,$J207&gt;=BL$3,$J207&lt;=IF(param_mode_affichage="mois",EOMONTH(BL$3,0),BL$3+6)),"◆",""))</f>
      </c>
    </row>
    <row r="208" spans="1:64" x14ac:dyDescent="0.25">
      <c r="A208" s="23">
        <f>IFERROR(INDEX(tblTasks[ID],ROW()-4),"")</f>
      </c>
      <c r="B208" s="24">
        <f>IF($A208="","",INDEX(tblTasks[Sujet],ROW()-4))</f>
      </c>
      <c r="C208" s="23">
        <f>IF($A208="","",INDEX(tblTasks[Responsable],ROW()-4))</f>
      </c>
      <c r="D208" s="23">
        <f>IF($A208="","",INDEX(tblTasks[Statut],ROW()-4))</f>
      </c>
      <c r="E208" s="23">
        <f>IF($A208="","",INDEX(tblTasks[Depend_de],ROW()-4))</f>
      </c>
      <c r="F208" s="23">
        <f>IF($A208="","",INDEX(tblTasks[Blocage],ROW()-4))</f>
      </c>
      <c r="G208" s="23">
        <f>IF($A208="","",INDEX(tblTasks[Niveau_criticite],ROW()-4))</f>
      </c>
      <c r="H208" s="23">
        <f>IF($A208="","",INDEX(tblTasks[Goulot],ROW()-4))</f>
      </c>
      <c r="I208" s="23">
        <f>IF($A208="","",IF(LOWER($F208)="oui","non",IF($E208="","oui",IFERROR(IF(LOWER(INDEX(tblTasks[Statut],MATCH($E208,tblTasks[ID],0)))="clos","oui","non"),"non"))))</f>
      </c>
      <c r="J208" s="25">
        <f>IF($A208="","",INDEX(tblTasks[Date_debut_prevue],ROW()-4))</f>
      </c>
      <c r="K208" s="25">
        <f>IF($A208="","",INDEX(tblTasks[Date_fin_prevue],ROW()-4))</f>
      </c>
      <c r="L208" s="23">
        <f>IF($A208="","",INDEX(tblTasks[Irreversibilite],ROW()-4))</f>
      </c>
      <c r="M208" s="26">
        <f>IF(OR($A208="",M$3=""),"",IF(AND($J208&lt;&gt;"",$K208&lt;&gt;"",$J208=$K208,$J208&gt;=M$3,$J208&lt;=IF(param_mode_affichage="mois",EOMONTH(M$3,0),M$3+6)),"◆",""))</f>
      </c>
      <c r="N208" s="26">
        <f>IF(OR($A208="",N$3=""),"",IF(AND($J208&lt;&gt;"",$K208&lt;&gt;"",$J208=$K208,$J208&gt;=N$3,$J208&lt;=IF(param_mode_affichage="mois",EOMONTH(N$3,0),N$3+6)),"◆",""))</f>
      </c>
      <c r="O208" s="26">
        <f>IF(OR($A208="",O$3=""),"",IF(AND($J208&lt;&gt;"",$K208&lt;&gt;"",$J208=$K208,$J208&gt;=O$3,$J208&lt;=IF(param_mode_affichage="mois",EOMONTH(O$3,0),O$3+6)),"◆",""))</f>
      </c>
      <c r="P208" s="26">
        <f>IF(OR($A208="",P$3=""),"",IF(AND($J208&lt;&gt;"",$K208&lt;&gt;"",$J208=$K208,$J208&gt;=P$3,$J208&lt;=IF(param_mode_affichage="mois",EOMONTH(P$3,0),P$3+6)),"◆",""))</f>
      </c>
      <c r="Q208" s="26">
        <f>IF(OR($A208="",Q$3=""),"",IF(AND($J208&lt;&gt;"",$K208&lt;&gt;"",$J208=$K208,$J208&gt;=Q$3,$J208&lt;=IF(param_mode_affichage="mois",EOMONTH(Q$3,0),Q$3+6)),"◆",""))</f>
      </c>
      <c r="R208" s="26">
        <f>IF(OR($A208="",R$3=""),"",IF(AND($J208&lt;&gt;"",$K208&lt;&gt;"",$J208=$K208,$J208&gt;=R$3,$J208&lt;=IF(param_mode_affichage="mois",EOMONTH(R$3,0),R$3+6)),"◆",""))</f>
      </c>
      <c r="S208" s="26">
        <f>IF(OR($A208="",S$3=""),"",IF(AND($J208&lt;&gt;"",$K208&lt;&gt;"",$J208=$K208,$J208&gt;=S$3,$J208&lt;=IF(param_mode_affichage="mois",EOMONTH(S$3,0),S$3+6)),"◆",""))</f>
      </c>
      <c r="T208" s="26">
        <f>IF(OR($A208="",T$3=""),"",IF(AND($J208&lt;&gt;"",$K208&lt;&gt;"",$J208=$K208,$J208&gt;=T$3,$J208&lt;=IF(param_mode_affichage="mois",EOMONTH(T$3,0),T$3+6)),"◆",""))</f>
      </c>
      <c r="U208" s="26">
        <f>IF(OR($A208="",U$3=""),"",IF(AND($J208&lt;&gt;"",$K208&lt;&gt;"",$J208=$K208,$J208&gt;=U$3,$J208&lt;=IF(param_mode_affichage="mois",EOMONTH(U$3,0),U$3+6)),"◆",""))</f>
      </c>
      <c r="V208" s="26">
        <f>IF(OR($A208="",V$3=""),"",IF(AND($J208&lt;&gt;"",$K208&lt;&gt;"",$J208=$K208,$J208&gt;=V$3,$J208&lt;=IF(param_mode_affichage="mois",EOMONTH(V$3,0),V$3+6)),"◆",""))</f>
      </c>
      <c r="W208" s="26">
        <f>IF(OR($A208="",W$3=""),"",IF(AND($J208&lt;&gt;"",$K208&lt;&gt;"",$J208=$K208,$J208&gt;=W$3,$J208&lt;=IF(param_mode_affichage="mois",EOMONTH(W$3,0),W$3+6)),"◆",""))</f>
      </c>
      <c r="X208" s="26">
        <f>IF(OR($A208="",X$3=""),"",IF(AND($J208&lt;&gt;"",$K208&lt;&gt;"",$J208=$K208,$J208&gt;=X$3,$J208&lt;=IF(param_mode_affichage="mois",EOMONTH(X$3,0),X$3+6)),"◆",""))</f>
      </c>
      <c r="Y208" s="26">
        <f>IF(OR($A208="",Y$3=""),"",IF(AND($J208&lt;&gt;"",$K208&lt;&gt;"",$J208=$K208,$J208&gt;=Y$3,$J208&lt;=IF(param_mode_affichage="mois",EOMONTH(Y$3,0),Y$3+6)),"◆",""))</f>
      </c>
      <c r="Z208" s="26">
        <f>IF(OR($A208="",Z$3=""),"",IF(AND($J208&lt;&gt;"",$K208&lt;&gt;"",$J208=$K208,$J208&gt;=Z$3,$J208&lt;=IF(param_mode_affichage="mois",EOMONTH(Z$3,0),Z$3+6)),"◆",""))</f>
      </c>
      <c r="AA208" s="26">
        <f>IF(OR($A208="",AA$3=""),"",IF(AND($J208&lt;&gt;"",$K208&lt;&gt;"",$J208=$K208,$J208&gt;=AA$3,$J208&lt;=IF(param_mode_affichage="mois",EOMONTH(AA$3,0),AA$3+6)),"◆",""))</f>
      </c>
      <c r="AB208" s="26">
        <f>IF(OR($A208="",AB$3=""),"",IF(AND($J208&lt;&gt;"",$K208&lt;&gt;"",$J208=$K208,$J208&gt;=AB$3,$J208&lt;=IF(param_mode_affichage="mois",EOMONTH(AB$3,0),AB$3+6)),"◆",""))</f>
      </c>
      <c r="AC208" s="26">
        <f>IF(OR($A208="",AC$3=""),"",IF(AND($J208&lt;&gt;"",$K208&lt;&gt;"",$J208=$K208,$J208&gt;=AC$3,$J208&lt;=IF(param_mode_affichage="mois",EOMONTH(AC$3,0),AC$3+6)),"◆",""))</f>
      </c>
      <c r="AD208" s="26">
        <f>IF(OR($A208="",AD$3=""),"",IF(AND($J208&lt;&gt;"",$K208&lt;&gt;"",$J208=$K208,$J208&gt;=AD$3,$J208&lt;=IF(param_mode_affichage="mois",EOMONTH(AD$3,0),AD$3+6)),"◆",""))</f>
      </c>
      <c r="AE208" s="26">
        <f>IF(OR($A208="",AE$3=""),"",IF(AND($J208&lt;&gt;"",$K208&lt;&gt;"",$J208=$K208,$J208&gt;=AE$3,$J208&lt;=IF(param_mode_affichage="mois",EOMONTH(AE$3,0),AE$3+6)),"◆",""))</f>
      </c>
      <c r="AF208" s="26">
        <f>IF(OR($A208="",AF$3=""),"",IF(AND($J208&lt;&gt;"",$K208&lt;&gt;"",$J208=$K208,$J208&gt;=AF$3,$J208&lt;=IF(param_mode_affichage="mois",EOMONTH(AF$3,0),AF$3+6)),"◆",""))</f>
      </c>
      <c r="AG208" s="26">
        <f>IF(OR($A208="",AG$3=""),"",IF(AND($J208&lt;&gt;"",$K208&lt;&gt;"",$J208=$K208,$J208&gt;=AG$3,$J208&lt;=IF(param_mode_affichage="mois",EOMONTH(AG$3,0),AG$3+6)),"◆",""))</f>
      </c>
      <c r="AH208" s="26">
        <f>IF(OR($A208="",AH$3=""),"",IF(AND($J208&lt;&gt;"",$K208&lt;&gt;"",$J208=$K208,$J208&gt;=AH$3,$J208&lt;=IF(param_mode_affichage="mois",EOMONTH(AH$3,0),AH$3+6)),"◆",""))</f>
      </c>
      <c r="AI208" s="26">
        <f>IF(OR($A208="",AI$3=""),"",IF(AND($J208&lt;&gt;"",$K208&lt;&gt;"",$J208=$K208,$J208&gt;=AI$3,$J208&lt;=IF(param_mode_affichage="mois",EOMONTH(AI$3,0),AI$3+6)),"◆",""))</f>
      </c>
      <c r="AJ208" s="26">
        <f>IF(OR($A208="",AJ$3=""),"",IF(AND($J208&lt;&gt;"",$K208&lt;&gt;"",$J208=$K208,$J208&gt;=AJ$3,$J208&lt;=IF(param_mode_affichage="mois",EOMONTH(AJ$3,0),AJ$3+6)),"◆",""))</f>
      </c>
      <c r="AK208" s="26">
        <f>IF(OR($A208="",AK$3=""),"",IF(AND($J208&lt;&gt;"",$K208&lt;&gt;"",$J208=$K208,$J208&gt;=AK$3,$J208&lt;=IF(param_mode_affichage="mois",EOMONTH(AK$3,0),AK$3+6)),"◆",""))</f>
      </c>
      <c r="AL208" s="26">
        <f>IF(OR($A208="",AL$3=""),"",IF(AND($J208&lt;&gt;"",$K208&lt;&gt;"",$J208=$K208,$J208&gt;=AL$3,$J208&lt;=IF(param_mode_affichage="mois",EOMONTH(AL$3,0),AL$3+6)),"◆",""))</f>
      </c>
      <c r="AM208" s="26">
        <f>IF(OR($A208="",AM$3=""),"",IF(AND($J208&lt;&gt;"",$K208&lt;&gt;"",$J208=$K208,$J208&gt;=AM$3,$J208&lt;=IF(param_mode_affichage="mois",EOMONTH(AM$3,0),AM$3+6)),"◆",""))</f>
      </c>
      <c r="AN208" s="26">
        <f>IF(OR($A208="",AN$3=""),"",IF(AND($J208&lt;&gt;"",$K208&lt;&gt;"",$J208=$K208,$J208&gt;=AN$3,$J208&lt;=IF(param_mode_affichage="mois",EOMONTH(AN$3,0),AN$3+6)),"◆",""))</f>
      </c>
      <c r="AO208" s="26">
        <f>IF(OR($A208="",AO$3=""),"",IF(AND($J208&lt;&gt;"",$K208&lt;&gt;"",$J208=$K208,$J208&gt;=AO$3,$J208&lt;=IF(param_mode_affichage="mois",EOMONTH(AO$3,0),AO$3+6)),"◆",""))</f>
      </c>
      <c r="AP208" s="26">
        <f>IF(OR($A208="",AP$3=""),"",IF(AND($J208&lt;&gt;"",$K208&lt;&gt;"",$J208=$K208,$J208&gt;=AP$3,$J208&lt;=IF(param_mode_affichage="mois",EOMONTH(AP$3,0),AP$3+6)),"◆",""))</f>
      </c>
      <c r="AQ208" s="26">
        <f>IF(OR($A208="",AQ$3=""),"",IF(AND($J208&lt;&gt;"",$K208&lt;&gt;"",$J208=$K208,$J208&gt;=AQ$3,$J208&lt;=IF(param_mode_affichage="mois",EOMONTH(AQ$3,0),AQ$3+6)),"◆",""))</f>
      </c>
      <c r="AR208" s="26">
        <f>IF(OR($A208="",AR$3=""),"",IF(AND($J208&lt;&gt;"",$K208&lt;&gt;"",$J208=$K208,$J208&gt;=AR$3,$J208&lt;=IF(param_mode_affichage="mois",EOMONTH(AR$3,0),AR$3+6)),"◆",""))</f>
      </c>
      <c r="AS208" s="26">
        <f>IF(OR($A208="",AS$3=""),"",IF(AND($J208&lt;&gt;"",$K208&lt;&gt;"",$J208=$K208,$J208&gt;=AS$3,$J208&lt;=IF(param_mode_affichage="mois",EOMONTH(AS$3,0),AS$3+6)),"◆",""))</f>
      </c>
      <c r="AT208" s="26">
        <f>IF(OR($A208="",AT$3=""),"",IF(AND($J208&lt;&gt;"",$K208&lt;&gt;"",$J208=$K208,$J208&gt;=AT$3,$J208&lt;=IF(param_mode_affichage="mois",EOMONTH(AT$3,0),AT$3+6)),"◆",""))</f>
      </c>
      <c r="AU208" s="26">
        <f>IF(OR($A208="",AU$3=""),"",IF(AND($J208&lt;&gt;"",$K208&lt;&gt;"",$J208=$K208,$J208&gt;=AU$3,$J208&lt;=IF(param_mode_affichage="mois",EOMONTH(AU$3,0),AU$3+6)),"◆",""))</f>
      </c>
      <c r="AV208" s="26">
        <f>IF(OR($A208="",AV$3=""),"",IF(AND($J208&lt;&gt;"",$K208&lt;&gt;"",$J208=$K208,$J208&gt;=AV$3,$J208&lt;=IF(param_mode_affichage="mois",EOMONTH(AV$3,0),AV$3+6)),"◆",""))</f>
      </c>
      <c r="AW208" s="26">
        <f>IF(OR($A208="",AW$3=""),"",IF(AND($J208&lt;&gt;"",$K208&lt;&gt;"",$J208=$K208,$J208&gt;=AW$3,$J208&lt;=IF(param_mode_affichage="mois",EOMONTH(AW$3,0),AW$3+6)),"◆",""))</f>
      </c>
      <c r="AX208" s="26">
        <f>IF(OR($A208="",AX$3=""),"",IF(AND($J208&lt;&gt;"",$K208&lt;&gt;"",$J208=$K208,$J208&gt;=AX$3,$J208&lt;=IF(param_mode_affichage="mois",EOMONTH(AX$3,0),AX$3+6)),"◆",""))</f>
      </c>
      <c r="AY208" s="26">
        <f>IF(OR($A208="",AY$3=""),"",IF(AND($J208&lt;&gt;"",$K208&lt;&gt;"",$J208=$K208,$J208&gt;=AY$3,$J208&lt;=IF(param_mode_affichage="mois",EOMONTH(AY$3,0),AY$3+6)),"◆",""))</f>
      </c>
      <c r="AZ208" s="26">
        <f>IF(OR($A208="",AZ$3=""),"",IF(AND($J208&lt;&gt;"",$K208&lt;&gt;"",$J208=$K208,$J208&gt;=AZ$3,$J208&lt;=IF(param_mode_affichage="mois",EOMONTH(AZ$3,0),AZ$3+6)),"◆",""))</f>
      </c>
      <c r="BA208" s="26">
        <f>IF(OR($A208="",BA$3=""),"",IF(AND($J208&lt;&gt;"",$K208&lt;&gt;"",$J208=$K208,$J208&gt;=BA$3,$J208&lt;=IF(param_mode_affichage="mois",EOMONTH(BA$3,0),BA$3+6)),"◆",""))</f>
      </c>
      <c r="BB208" s="26">
        <f>IF(OR($A208="",BB$3=""),"",IF(AND($J208&lt;&gt;"",$K208&lt;&gt;"",$J208=$K208,$J208&gt;=BB$3,$J208&lt;=IF(param_mode_affichage="mois",EOMONTH(BB$3,0),BB$3+6)),"◆",""))</f>
      </c>
      <c r="BC208" s="26">
        <f>IF(OR($A208="",BC$3=""),"",IF(AND($J208&lt;&gt;"",$K208&lt;&gt;"",$J208=$K208,$J208&gt;=BC$3,$J208&lt;=IF(param_mode_affichage="mois",EOMONTH(BC$3,0),BC$3+6)),"◆",""))</f>
      </c>
      <c r="BD208" s="26">
        <f>IF(OR($A208="",BD$3=""),"",IF(AND($J208&lt;&gt;"",$K208&lt;&gt;"",$J208=$K208,$J208&gt;=BD$3,$J208&lt;=IF(param_mode_affichage="mois",EOMONTH(BD$3,0),BD$3+6)),"◆",""))</f>
      </c>
      <c r="BE208" s="26">
        <f>IF(OR($A208="",BE$3=""),"",IF(AND($J208&lt;&gt;"",$K208&lt;&gt;"",$J208=$K208,$J208&gt;=BE$3,$J208&lt;=IF(param_mode_affichage="mois",EOMONTH(BE$3,0),BE$3+6)),"◆",""))</f>
      </c>
      <c r="BF208" s="26">
        <f>IF(OR($A208="",BF$3=""),"",IF(AND($J208&lt;&gt;"",$K208&lt;&gt;"",$J208=$K208,$J208&gt;=BF$3,$J208&lt;=IF(param_mode_affichage="mois",EOMONTH(BF$3,0),BF$3+6)),"◆",""))</f>
      </c>
      <c r="BG208" s="26">
        <f>IF(OR($A208="",BG$3=""),"",IF(AND($J208&lt;&gt;"",$K208&lt;&gt;"",$J208=$K208,$J208&gt;=BG$3,$J208&lt;=IF(param_mode_affichage="mois",EOMONTH(BG$3,0),BG$3+6)),"◆",""))</f>
      </c>
      <c r="BH208" s="26">
        <f>IF(OR($A208="",BH$3=""),"",IF(AND($J208&lt;&gt;"",$K208&lt;&gt;"",$J208=$K208,$J208&gt;=BH$3,$J208&lt;=IF(param_mode_affichage="mois",EOMONTH(BH$3,0),BH$3+6)),"◆",""))</f>
      </c>
      <c r="BI208" s="26">
        <f>IF(OR($A208="",BI$3=""),"",IF(AND($J208&lt;&gt;"",$K208&lt;&gt;"",$J208=$K208,$J208&gt;=BI$3,$J208&lt;=IF(param_mode_affichage="mois",EOMONTH(BI$3,0),BI$3+6)),"◆",""))</f>
      </c>
      <c r="BJ208" s="26">
        <f>IF(OR($A208="",BJ$3=""),"",IF(AND($J208&lt;&gt;"",$K208&lt;&gt;"",$J208=$K208,$J208&gt;=BJ$3,$J208&lt;=IF(param_mode_affichage="mois",EOMONTH(BJ$3,0),BJ$3+6)),"◆",""))</f>
      </c>
      <c r="BK208" s="26">
        <f>IF(OR($A208="",BK$3=""),"",IF(AND($J208&lt;&gt;"",$K208&lt;&gt;"",$J208=$K208,$J208&gt;=BK$3,$J208&lt;=IF(param_mode_affichage="mois",EOMONTH(BK$3,0),BK$3+6)),"◆",""))</f>
      </c>
      <c r="BL208" s="26">
        <f>IF(OR($A208="",BL$3=""),"",IF(AND($J208&lt;&gt;"",$K208&lt;&gt;"",$J208=$K208,$J208&gt;=BL$3,$J208&lt;=IF(param_mode_affichage="mois",EOMONTH(BL$3,0),BL$3+6)),"◆",""))</f>
      </c>
    </row>
    <row r="209" spans="1:64" x14ac:dyDescent="0.25">
      <c r="A209" s="23">
        <f>IFERROR(INDEX(tblTasks[ID],ROW()-4),"")</f>
      </c>
      <c r="B209" s="24">
        <f>IF($A209="","",INDEX(tblTasks[Sujet],ROW()-4))</f>
      </c>
      <c r="C209" s="23">
        <f>IF($A209="","",INDEX(tblTasks[Responsable],ROW()-4))</f>
      </c>
      <c r="D209" s="23">
        <f>IF($A209="","",INDEX(tblTasks[Statut],ROW()-4))</f>
      </c>
      <c r="E209" s="23">
        <f>IF($A209="","",INDEX(tblTasks[Depend_de],ROW()-4))</f>
      </c>
      <c r="F209" s="23">
        <f>IF($A209="","",INDEX(tblTasks[Blocage],ROW()-4))</f>
      </c>
      <c r="G209" s="23">
        <f>IF($A209="","",INDEX(tblTasks[Niveau_criticite],ROW()-4))</f>
      </c>
      <c r="H209" s="23">
        <f>IF($A209="","",INDEX(tblTasks[Goulot],ROW()-4))</f>
      </c>
      <c r="I209" s="23">
        <f>IF($A209="","",IF(LOWER($F209)="oui","non",IF($E209="","oui",IFERROR(IF(LOWER(INDEX(tblTasks[Statut],MATCH($E209,tblTasks[ID],0)))="clos","oui","non"),"non"))))</f>
      </c>
      <c r="J209" s="25">
        <f>IF($A209="","",INDEX(tblTasks[Date_debut_prevue],ROW()-4))</f>
      </c>
      <c r="K209" s="25">
        <f>IF($A209="","",INDEX(tblTasks[Date_fin_prevue],ROW()-4))</f>
      </c>
      <c r="L209" s="23">
        <f>IF($A209="","",INDEX(tblTasks[Irreversibilite],ROW()-4))</f>
      </c>
      <c r="M209" s="26">
        <f>IF(OR($A209="",M$3=""),"",IF(AND($J209&lt;&gt;"",$K209&lt;&gt;"",$J209=$K209,$J209&gt;=M$3,$J209&lt;=IF(param_mode_affichage="mois",EOMONTH(M$3,0),M$3+6)),"◆",""))</f>
      </c>
      <c r="N209" s="26">
        <f>IF(OR($A209="",N$3=""),"",IF(AND($J209&lt;&gt;"",$K209&lt;&gt;"",$J209=$K209,$J209&gt;=N$3,$J209&lt;=IF(param_mode_affichage="mois",EOMONTH(N$3,0),N$3+6)),"◆",""))</f>
      </c>
      <c r="O209" s="26">
        <f>IF(OR($A209="",O$3=""),"",IF(AND($J209&lt;&gt;"",$K209&lt;&gt;"",$J209=$K209,$J209&gt;=O$3,$J209&lt;=IF(param_mode_affichage="mois",EOMONTH(O$3,0),O$3+6)),"◆",""))</f>
      </c>
      <c r="P209" s="26">
        <f>IF(OR($A209="",P$3=""),"",IF(AND($J209&lt;&gt;"",$K209&lt;&gt;"",$J209=$K209,$J209&gt;=P$3,$J209&lt;=IF(param_mode_affichage="mois",EOMONTH(P$3,0),P$3+6)),"◆",""))</f>
      </c>
      <c r="Q209" s="26">
        <f>IF(OR($A209="",Q$3=""),"",IF(AND($J209&lt;&gt;"",$K209&lt;&gt;"",$J209=$K209,$J209&gt;=Q$3,$J209&lt;=IF(param_mode_affichage="mois",EOMONTH(Q$3,0),Q$3+6)),"◆",""))</f>
      </c>
      <c r="R209" s="26">
        <f>IF(OR($A209="",R$3=""),"",IF(AND($J209&lt;&gt;"",$K209&lt;&gt;"",$J209=$K209,$J209&gt;=R$3,$J209&lt;=IF(param_mode_affichage="mois",EOMONTH(R$3,0),R$3+6)),"◆",""))</f>
      </c>
      <c r="S209" s="26">
        <f>IF(OR($A209="",S$3=""),"",IF(AND($J209&lt;&gt;"",$K209&lt;&gt;"",$J209=$K209,$J209&gt;=S$3,$J209&lt;=IF(param_mode_affichage="mois",EOMONTH(S$3,0),S$3+6)),"◆",""))</f>
      </c>
      <c r="T209" s="26">
        <f>IF(OR($A209="",T$3=""),"",IF(AND($J209&lt;&gt;"",$K209&lt;&gt;"",$J209=$K209,$J209&gt;=T$3,$J209&lt;=IF(param_mode_affichage="mois",EOMONTH(T$3,0),T$3+6)),"◆",""))</f>
      </c>
      <c r="U209" s="26">
        <f>IF(OR($A209="",U$3=""),"",IF(AND($J209&lt;&gt;"",$K209&lt;&gt;"",$J209=$K209,$J209&gt;=U$3,$J209&lt;=IF(param_mode_affichage="mois",EOMONTH(U$3,0),U$3+6)),"◆",""))</f>
      </c>
      <c r="V209" s="26">
        <f>IF(OR($A209="",V$3=""),"",IF(AND($J209&lt;&gt;"",$K209&lt;&gt;"",$J209=$K209,$J209&gt;=V$3,$J209&lt;=IF(param_mode_affichage="mois",EOMONTH(V$3,0),V$3+6)),"◆",""))</f>
      </c>
      <c r="W209" s="26">
        <f>IF(OR($A209="",W$3=""),"",IF(AND($J209&lt;&gt;"",$K209&lt;&gt;"",$J209=$K209,$J209&gt;=W$3,$J209&lt;=IF(param_mode_affichage="mois",EOMONTH(W$3,0),W$3+6)),"◆",""))</f>
      </c>
      <c r="X209" s="26">
        <f>IF(OR($A209="",X$3=""),"",IF(AND($J209&lt;&gt;"",$K209&lt;&gt;"",$J209=$K209,$J209&gt;=X$3,$J209&lt;=IF(param_mode_affichage="mois",EOMONTH(X$3,0),X$3+6)),"◆",""))</f>
      </c>
      <c r="Y209" s="26">
        <f>IF(OR($A209="",Y$3=""),"",IF(AND($J209&lt;&gt;"",$K209&lt;&gt;"",$J209=$K209,$J209&gt;=Y$3,$J209&lt;=IF(param_mode_affichage="mois",EOMONTH(Y$3,0),Y$3+6)),"◆",""))</f>
      </c>
      <c r="Z209" s="26">
        <f>IF(OR($A209="",Z$3=""),"",IF(AND($J209&lt;&gt;"",$K209&lt;&gt;"",$J209=$K209,$J209&gt;=Z$3,$J209&lt;=IF(param_mode_affichage="mois",EOMONTH(Z$3,0),Z$3+6)),"◆",""))</f>
      </c>
      <c r="AA209" s="26">
        <f>IF(OR($A209="",AA$3=""),"",IF(AND($J209&lt;&gt;"",$K209&lt;&gt;"",$J209=$K209,$J209&gt;=AA$3,$J209&lt;=IF(param_mode_affichage="mois",EOMONTH(AA$3,0),AA$3+6)),"◆",""))</f>
      </c>
      <c r="AB209" s="26">
        <f>IF(OR($A209="",AB$3=""),"",IF(AND($J209&lt;&gt;"",$K209&lt;&gt;"",$J209=$K209,$J209&gt;=AB$3,$J209&lt;=IF(param_mode_affichage="mois",EOMONTH(AB$3,0),AB$3+6)),"◆",""))</f>
      </c>
      <c r="AC209" s="26">
        <f>IF(OR($A209="",AC$3=""),"",IF(AND($J209&lt;&gt;"",$K209&lt;&gt;"",$J209=$K209,$J209&gt;=AC$3,$J209&lt;=IF(param_mode_affichage="mois",EOMONTH(AC$3,0),AC$3+6)),"◆",""))</f>
      </c>
      <c r="AD209" s="26">
        <f>IF(OR($A209="",AD$3=""),"",IF(AND($J209&lt;&gt;"",$K209&lt;&gt;"",$J209=$K209,$J209&gt;=AD$3,$J209&lt;=IF(param_mode_affichage="mois",EOMONTH(AD$3,0),AD$3+6)),"◆",""))</f>
      </c>
      <c r="AE209" s="26">
        <f>IF(OR($A209="",AE$3=""),"",IF(AND($J209&lt;&gt;"",$K209&lt;&gt;"",$J209=$K209,$J209&gt;=AE$3,$J209&lt;=IF(param_mode_affichage="mois",EOMONTH(AE$3,0),AE$3+6)),"◆",""))</f>
      </c>
      <c r="AF209" s="26">
        <f>IF(OR($A209="",AF$3=""),"",IF(AND($J209&lt;&gt;"",$K209&lt;&gt;"",$J209=$K209,$J209&gt;=AF$3,$J209&lt;=IF(param_mode_affichage="mois",EOMONTH(AF$3,0),AF$3+6)),"◆",""))</f>
      </c>
      <c r="AG209" s="26">
        <f>IF(OR($A209="",AG$3=""),"",IF(AND($J209&lt;&gt;"",$K209&lt;&gt;"",$J209=$K209,$J209&gt;=AG$3,$J209&lt;=IF(param_mode_affichage="mois",EOMONTH(AG$3,0),AG$3+6)),"◆",""))</f>
      </c>
      <c r="AH209" s="26">
        <f>IF(OR($A209="",AH$3=""),"",IF(AND($J209&lt;&gt;"",$K209&lt;&gt;"",$J209=$K209,$J209&gt;=AH$3,$J209&lt;=IF(param_mode_affichage="mois",EOMONTH(AH$3,0),AH$3+6)),"◆",""))</f>
      </c>
      <c r="AI209" s="26">
        <f>IF(OR($A209="",AI$3=""),"",IF(AND($J209&lt;&gt;"",$K209&lt;&gt;"",$J209=$K209,$J209&gt;=AI$3,$J209&lt;=IF(param_mode_affichage="mois",EOMONTH(AI$3,0),AI$3+6)),"◆",""))</f>
      </c>
      <c r="AJ209" s="26">
        <f>IF(OR($A209="",AJ$3=""),"",IF(AND($J209&lt;&gt;"",$K209&lt;&gt;"",$J209=$K209,$J209&gt;=AJ$3,$J209&lt;=IF(param_mode_affichage="mois",EOMONTH(AJ$3,0),AJ$3+6)),"◆",""))</f>
      </c>
      <c r="AK209" s="26">
        <f>IF(OR($A209="",AK$3=""),"",IF(AND($J209&lt;&gt;"",$K209&lt;&gt;"",$J209=$K209,$J209&gt;=AK$3,$J209&lt;=IF(param_mode_affichage="mois",EOMONTH(AK$3,0),AK$3+6)),"◆",""))</f>
      </c>
      <c r="AL209" s="26">
        <f>IF(OR($A209="",AL$3=""),"",IF(AND($J209&lt;&gt;"",$K209&lt;&gt;"",$J209=$K209,$J209&gt;=AL$3,$J209&lt;=IF(param_mode_affichage="mois",EOMONTH(AL$3,0),AL$3+6)),"◆",""))</f>
      </c>
      <c r="AM209" s="26">
        <f>IF(OR($A209="",AM$3=""),"",IF(AND($J209&lt;&gt;"",$K209&lt;&gt;"",$J209=$K209,$J209&gt;=AM$3,$J209&lt;=IF(param_mode_affichage="mois",EOMONTH(AM$3,0),AM$3+6)),"◆",""))</f>
      </c>
      <c r="AN209" s="26">
        <f>IF(OR($A209="",AN$3=""),"",IF(AND($J209&lt;&gt;"",$K209&lt;&gt;"",$J209=$K209,$J209&gt;=AN$3,$J209&lt;=IF(param_mode_affichage="mois",EOMONTH(AN$3,0),AN$3+6)),"◆",""))</f>
      </c>
      <c r="AO209" s="26">
        <f>IF(OR($A209="",AO$3=""),"",IF(AND($J209&lt;&gt;"",$K209&lt;&gt;"",$J209=$K209,$J209&gt;=AO$3,$J209&lt;=IF(param_mode_affichage="mois",EOMONTH(AO$3,0),AO$3+6)),"◆",""))</f>
      </c>
      <c r="AP209" s="26">
        <f>IF(OR($A209="",AP$3=""),"",IF(AND($J209&lt;&gt;"",$K209&lt;&gt;"",$J209=$K209,$J209&gt;=AP$3,$J209&lt;=IF(param_mode_affichage="mois",EOMONTH(AP$3,0),AP$3+6)),"◆",""))</f>
      </c>
      <c r="AQ209" s="26">
        <f>IF(OR($A209="",AQ$3=""),"",IF(AND($J209&lt;&gt;"",$K209&lt;&gt;"",$J209=$K209,$J209&gt;=AQ$3,$J209&lt;=IF(param_mode_affichage="mois",EOMONTH(AQ$3,0),AQ$3+6)),"◆",""))</f>
      </c>
      <c r="AR209" s="26">
        <f>IF(OR($A209="",AR$3=""),"",IF(AND($J209&lt;&gt;"",$K209&lt;&gt;"",$J209=$K209,$J209&gt;=AR$3,$J209&lt;=IF(param_mode_affichage="mois",EOMONTH(AR$3,0),AR$3+6)),"◆",""))</f>
      </c>
      <c r="AS209" s="26">
        <f>IF(OR($A209="",AS$3=""),"",IF(AND($J209&lt;&gt;"",$K209&lt;&gt;"",$J209=$K209,$J209&gt;=AS$3,$J209&lt;=IF(param_mode_affichage="mois",EOMONTH(AS$3,0),AS$3+6)),"◆",""))</f>
      </c>
      <c r="AT209" s="26">
        <f>IF(OR($A209="",AT$3=""),"",IF(AND($J209&lt;&gt;"",$K209&lt;&gt;"",$J209=$K209,$J209&gt;=AT$3,$J209&lt;=IF(param_mode_affichage="mois",EOMONTH(AT$3,0),AT$3+6)),"◆",""))</f>
      </c>
      <c r="AU209" s="26">
        <f>IF(OR($A209="",AU$3=""),"",IF(AND($J209&lt;&gt;"",$K209&lt;&gt;"",$J209=$K209,$J209&gt;=AU$3,$J209&lt;=IF(param_mode_affichage="mois",EOMONTH(AU$3,0),AU$3+6)),"◆",""))</f>
      </c>
      <c r="AV209" s="26">
        <f>IF(OR($A209="",AV$3=""),"",IF(AND($J209&lt;&gt;"",$K209&lt;&gt;"",$J209=$K209,$J209&gt;=AV$3,$J209&lt;=IF(param_mode_affichage="mois",EOMONTH(AV$3,0),AV$3+6)),"◆",""))</f>
      </c>
      <c r="AW209" s="26">
        <f>IF(OR($A209="",AW$3=""),"",IF(AND($J209&lt;&gt;"",$K209&lt;&gt;"",$J209=$K209,$J209&gt;=AW$3,$J209&lt;=IF(param_mode_affichage="mois",EOMONTH(AW$3,0),AW$3+6)),"◆",""))</f>
      </c>
      <c r="AX209" s="26">
        <f>IF(OR($A209="",AX$3=""),"",IF(AND($J209&lt;&gt;"",$K209&lt;&gt;"",$J209=$K209,$J209&gt;=AX$3,$J209&lt;=IF(param_mode_affichage="mois",EOMONTH(AX$3,0),AX$3+6)),"◆",""))</f>
      </c>
      <c r="AY209" s="26">
        <f>IF(OR($A209="",AY$3=""),"",IF(AND($J209&lt;&gt;"",$K209&lt;&gt;"",$J209=$K209,$J209&gt;=AY$3,$J209&lt;=IF(param_mode_affichage="mois",EOMONTH(AY$3,0),AY$3+6)),"◆",""))</f>
      </c>
      <c r="AZ209" s="26">
        <f>IF(OR($A209="",AZ$3=""),"",IF(AND($J209&lt;&gt;"",$K209&lt;&gt;"",$J209=$K209,$J209&gt;=AZ$3,$J209&lt;=IF(param_mode_affichage="mois",EOMONTH(AZ$3,0),AZ$3+6)),"◆",""))</f>
      </c>
      <c r="BA209" s="26">
        <f>IF(OR($A209="",BA$3=""),"",IF(AND($J209&lt;&gt;"",$K209&lt;&gt;"",$J209=$K209,$J209&gt;=BA$3,$J209&lt;=IF(param_mode_affichage="mois",EOMONTH(BA$3,0),BA$3+6)),"◆",""))</f>
      </c>
      <c r="BB209" s="26">
        <f>IF(OR($A209="",BB$3=""),"",IF(AND($J209&lt;&gt;"",$K209&lt;&gt;"",$J209=$K209,$J209&gt;=BB$3,$J209&lt;=IF(param_mode_affichage="mois",EOMONTH(BB$3,0),BB$3+6)),"◆",""))</f>
      </c>
      <c r="BC209" s="26">
        <f>IF(OR($A209="",BC$3=""),"",IF(AND($J209&lt;&gt;"",$K209&lt;&gt;"",$J209=$K209,$J209&gt;=BC$3,$J209&lt;=IF(param_mode_affichage="mois",EOMONTH(BC$3,0),BC$3+6)),"◆",""))</f>
      </c>
      <c r="BD209" s="26">
        <f>IF(OR($A209="",BD$3=""),"",IF(AND($J209&lt;&gt;"",$K209&lt;&gt;"",$J209=$K209,$J209&gt;=BD$3,$J209&lt;=IF(param_mode_affichage="mois",EOMONTH(BD$3,0),BD$3+6)),"◆",""))</f>
      </c>
      <c r="BE209" s="26">
        <f>IF(OR($A209="",BE$3=""),"",IF(AND($J209&lt;&gt;"",$K209&lt;&gt;"",$J209=$K209,$J209&gt;=BE$3,$J209&lt;=IF(param_mode_affichage="mois",EOMONTH(BE$3,0),BE$3+6)),"◆",""))</f>
      </c>
      <c r="BF209" s="26">
        <f>IF(OR($A209="",BF$3=""),"",IF(AND($J209&lt;&gt;"",$K209&lt;&gt;"",$J209=$K209,$J209&gt;=BF$3,$J209&lt;=IF(param_mode_affichage="mois",EOMONTH(BF$3,0),BF$3+6)),"◆",""))</f>
      </c>
      <c r="BG209" s="26">
        <f>IF(OR($A209="",BG$3=""),"",IF(AND($J209&lt;&gt;"",$K209&lt;&gt;"",$J209=$K209,$J209&gt;=BG$3,$J209&lt;=IF(param_mode_affichage="mois",EOMONTH(BG$3,0),BG$3+6)),"◆",""))</f>
      </c>
      <c r="BH209" s="26">
        <f>IF(OR($A209="",BH$3=""),"",IF(AND($J209&lt;&gt;"",$K209&lt;&gt;"",$J209=$K209,$J209&gt;=BH$3,$J209&lt;=IF(param_mode_affichage="mois",EOMONTH(BH$3,0),BH$3+6)),"◆",""))</f>
      </c>
      <c r="BI209" s="26">
        <f>IF(OR($A209="",BI$3=""),"",IF(AND($J209&lt;&gt;"",$K209&lt;&gt;"",$J209=$K209,$J209&gt;=BI$3,$J209&lt;=IF(param_mode_affichage="mois",EOMONTH(BI$3,0),BI$3+6)),"◆",""))</f>
      </c>
      <c r="BJ209" s="26">
        <f>IF(OR($A209="",BJ$3=""),"",IF(AND($J209&lt;&gt;"",$K209&lt;&gt;"",$J209=$K209,$J209&gt;=BJ$3,$J209&lt;=IF(param_mode_affichage="mois",EOMONTH(BJ$3,0),BJ$3+6)),"◆",""))</f>
      </c>
      <c r="BK209" s="26">
        <f>IF(OR($A209="",BK$3=""),"",IF(AND($J209&lt;&gt;"",$K209&lt;&gt;"",$J209=$K209,$J209&gt;=BK$3,$J209&lt;=IF(param_mode_affichage="mois",EOMONTH(BK$3,0),BK$3+6)),"◆",""))</f>
      </c>
      <c r="BL209" s="26">
        <f>IF(OR($A209="",BL$3=""),"",IF(AND($J209&lt;&gt;"",$K209&lt;&gt;"",$J209=$K209,$J209&gt;=BL$3,$J209&lt;=IF(param_mode_affichage="mois",EOMONTH(BL$3,0),BL$3+6)),"◆",""))</f>
      </c>
    </row>
    <row r="210" spans="1:64" x14ac:dyDescent="0.25">
      <c r="A210" s="23">
        <f>IFERROR(INDEX(tblTasks[ID],ROW()-4),"")</f>
      </c>
      <c r="B210" s="24">
        <f>IF($A210="","",INDEX(tblTasks[Sujet],ROW()-4))</f>
      </c>
      <c r="C210" s="23">
        <f>IF($A210="","",INDEX(tblTasks[Responsable],ROW()-4))</f>
      </c>
      <c r="D210" s="23">
        <f>IF($A210="","",INDEX(tblTasks[Statut],ROW()-4))</f>
      </c>
      <c r="E210" s="23">
        <f>IF($A210="","",INDEX(tblTasks[Depend_de],ROW()-4))</f>
      </c>
      <c r="F210" s="23">
        <f>IF($A210="","",INDEX(tblTasks[Blocage],ROW()-4))</f>
      </c>
      <c r="G210" s="23">
        <f>IF($A210="","",INDEX(tblTasks[Niveau_criticite],ROW()-4))</f>
      </c>
      <c r="H210" s="23">
        <f>IF($A210="","",INDEX(tblTasks[Goulot],ROW()-4))</f>
      </c>
      <c r="I210" s="23">
        <f>IF($A210="","",IF(LOWER($F210)="oui","non",IF($E210="","oui",IFERROR(IF(LOWER(INDEX(tblTasks[Statut],MATCH($E210,tblTasks[ID],0)))="clos","oui","non"),"non"))))</f>
      </c>
      <c r="J210" s="25">
        <f>IF($A210="","",INDEX(tblTasks[Date_debut_prevue],ROW()-4))</f>
      </c>
      <c r="K210" s="25">
        <f>IF($A210="","",INDEX(tblTasks[Date_fin_prevue],ROW()-4))</f>
      </c>
      <c r="L210" s="23">
        <f>IF($A210="","",INDEX(tblTasks[Irreversibilite],ROW()-4))</f>
      </c>
      <c r="M210" s="26">
        <f>IF(OR($A210="",M$3=""),"",IF(AND($J210&lt;&gt;"",$K210&lt;&gt;"",$J210=$K210,$J210&gt;=M$3,$J210&lt;=IF(param_mode_affichage="mois",EOMONTH(M$3,0),M$3+6)),"◆",""))</f>
      </c>
      <c r="N210" s="26">
        <f>IF(OR($A210="",N$3=""),"",IF(AND($J210&lt;&gt;"",$K210&lt;&gt;"",$J210=$K210,$J210&gt;=N$3,$J210&lt;=IF(param_mode_affichage="mois",EOMONTH(N$3,0),N$3+6)),"◆",""))</f>
      </c>
      <c r="O210" s="26">
        <f>IF(OR($A210="",O$3=""),"",IF(AND($J210&lt;&gt;"",$K210&lt;&gt;"",$J210=$K210,$J210&gt;=O$3,$J210&lt;=IF(param_mode_affichage="mois",EOMONTH(O$3,0),O$3+6)),"◆",""))</f>
      </c>
      <c r="P210" s="26">
        <f>IF(OR($A210="",P$3=""),"",IF(AND($J210&lt;&gt;"",$K210&lt;&gt;"",$J210=$K210,$J210&gt;=P$3,$J210&lt;=IF(param_mode_affichage="mois",EOMONTH(P$3,0),P$3+6)),"◆",""))</f>
      </c>
      <c r="Q210" s="26">
        <f>IF(OR($A210="",Q$3=""),"",IF(AND($J210&lt;&gt;"",$K210&lt;&gt;"",$J210=$K210,$J210&gt;=Q$3,$J210&lt;=IF(param_mode_affichage="mois",EOMONTH(Q$3,0),Q$3+6)),"◆",""))</f>
      </c>
      <c r="R210" s="26">
        <f>IF(OR($A210="",R$3=""),"",IF(AND($J210&lt;&gt;"",$K210&lt;&gt;"",$J210=$K210,$J210&gt;=R$3,$J210&lt;=IF(param_mode_affichage="mois",EOMONTH(R$3,0),R$3+6)),"◆",""))</f>
      </c>
      <c r="S210" s="26">
        <f>IF(OR($A210="",S$3=""),"",IF(AND($J210&lt;&gt;"",$K210&lt;&gt;"",$J210=$K210,$J210&gt;=S$3,$J210&lt;=IF(param_mode_affichage="mois",EOMONTH(S$3,0),S$3+6)),"◆",""))</f>
      </c>
      <c r="T210" s="26">
        <f>IF(OR($A210="",T$3=""),"",IF(AND($J210&lt;&gt;"",$K210&lt;&gt;"",$J210=$K210,$J210&gt;=T$3,$J210&lt;=IF(param_mode_affichage="mois",EOMONTH(T$3,0),T$3+6)),"◆",""))</f>
      </c>
      <c r="U210" s="26">
        <f>IF(OR($A210="",U$3=""),"",IF(AND($J210&lt;&gt;"",$K210&lt;&gt;"",$J210=$K210,$J210&gt;=U$3,$J210&lt;=IF(param_mode_affichage="mois",EOMONTH(U$3,0),U$3+6)),"◆",""))</f>
      </c>
      <c r="V210" s="26">
        <f>IF(OR($A210="",V$3=""),"",IF(AND($J210&lt;&gt;"",$K210&lt;&gt;"",$J210=$K210,$J210&gt;=V$3,$J210&lt;=IF(param_mode_affichage="mois",EOMONTH(V$3,0),V$3+6)),"◆",""))</f>
      </c>
      <c r="W210" s="26">
        <f>IF(OR($A210="",W$3=""),"",IF(AND($J210&lt;&gt;"",$K210&lt;&gt;"",$J210=$K210,$J210&gt;=W$3,$J210&lt;=IF(param_mode_affichage="mois",EOMONTH(W$3,0),W$3+6)),"◆",""))</f>
      </c>
      <c r="X210" s="26">
        <f>IF(OR($A210="",X$3=""),"",IF(AND($J210&lt;&gt;"",$K210&lt;&gt;"",$J210=$K210,$J210&gt;=X$3,$J210&lt;=IF(param_mode_affichage="mois",EOMONTH(X$3,0),X$3+6)),"◆",""))</f>
      </c>
      <c r="Y210" s="26">
        <f>IF(OR($A210="",Y$3=""),"",IF(AND($J210&lt;&gt;"",$K210&lt;&gt;"",$J210=$K210,$J210&gt;=Y$3,$J210&lt;=IF(param_mode_affichage="mois",EOMONTH(Y$3,0),Y$3+6)),"◆",""))</f>
      </c>
      <c r="Z210" s="26">
        <f>IF(OR($A210="",Z$3=""),"",IF(AND($J210&lt;&gt;"",$K210&lt;&gt;"",$J210=$K210,$J210&gt;=Z$3,$J210&lt;=IF(param_mode_affichage="mois",EOMONTH(Z$3,0),Z$3+6)),"◆",""))</f>
      </c>
      <c r="AA210" s="26">
        <f>IF(OR($A210="",AA$3=""),"",IF(AND($J210&lt;&gt;"",$K210&lt;&gt;"",$J210=$K210,$J210&gt;=AA$3,$J210&lt;=IF(param_mode_affichage="mois",EOMONTH(AA$3,0),AA$3+6)),"◆",""))</f>
      </c>
      <c r="AB210" s="26">
        <f>IF(OR($A210="",AB$3=""),"",IF(AND($J210&lt;&gt;"",$K210&lt;&gt;"",$J210=$K210,$J210&gt;=AB$3,$J210&lt;=IF(param_mode_affichage="mois",EOMONTH(AB$3,0),AB$3+6)),"◆",""))</f>
      </c>
      <c r="AC210" s="26">
        <f>IF(OR($A210="",AC$3=""),"",IF(AND($J210&lt;&gt;"",$K210&lt;&gt;"",$J210=$K210,$J210&gt;=AC$3,$J210&lt;=IF(param_mode_affichage="mois",EOMONTH(AC$3,0),AC$3+6)),"◆",""))</f>
      </c>
      <c r="AD210" s="26">
        <f>IF(OR($A210="",AD$3=""),"",IF(AND($J210&lt;&gt;"",$K210&lt;&gt;"",$J210=$K210,$J210&gt;=AD$3,$J210&lt;=IF(param_mode_affichage="mois",EOMONTH(AD$3,0),AD$3+6)),"◆",""))</f>
      </c>
      <c r="AE210" s="26">
        <f>IF(OR($A210="",AE$3=""),"",IF(AND($J210&lt;&gt;"",$K210&lt;&gt;"",$J210=$K210,$J210&gt;=AE$3,$J210&lt;=IF(param_mode_affichage="mois",EOMONTH(AE$3,0),AE$3+6)),"◆",""))</f>
      </c>
      <c r="AF210" s="26">
        <f>IF(OR($A210="",AF$3=""),"",IF(AND($J210&lt;&gt;"",$K210&lt;&gt;"",$J210=$K210,$J210&gt;=AF$3,$J210&lt;=IF(param_mode_affichage="mois",EOMONTH(AF$3,0),AF$3+6)),"◆",""))</f>
      </c>
      <c r="AG210" s="26">
        <f>IF(OR($A210="",AG$3=""),"",IF(AND($J210&lt;&gt;"",$K210&lt;&gt;"",$J210=$K210,$J210&gt;=AG$3,$J210&lt;=IF(param_mode_affichage="mois",EOMONTH(AG$3,0),AG$3+6)),"◆",""))</f>
      </c>
      <c r="AH210" s="26">
        <f>IF(OR($A210="",AH$3=""),"",IF(AND($J210&lt;&gt;"",$K210&lt;&gt;"",$J210=$K210,$J210&gt;=AH$3,$J210&lt;=IF(param_mode_affichage="mois",EOMONTH(AH$3,0),AH$3+6)),"◆",""))</f>
      </c>
      <c r="AI210" s="26">
        <f>IF(OR($A210="",AI$3=""),"",IF(AND($J210&lt;&gt;"",$K210&lt;&gt;"",$J210=$K210,$J210&gt;=AI$3,$J210&lt;=IF(param_mode_affichage="mois",EOMONTH(AI$3,0),AI$3+6)),"◆",""))</f>
      </c>
      <c r="AJ210" s="26">
        <f>IF(OR($A210="",AJ$3=""),"",IF(AND($J210&lt;&gt;"",$K210&lt;&gt;"",$J210=$K210,$J210&gt;=AJ$3,$J210&lt;=IF(param_mode_affichage="mois",EOMONTH(AJ$3,0),AJ$3+6)),"◆",""))</f>
      </c>
      <c r="AK210" s="26">
        <f>IF(OR($A210="",AK$3=""),"",IF(AND($J210&lt;&gt;"",$K210&lt;&gt;"",$J210=$K210,$J210&gt;=AK$3,$J210&lt;=IF(param_mode_affichage="mois",EOMONTH(AK$3,0),AK$3+6)),"◆",""))</f>
      </c>
      <c r="AL210" s="26">
        <f>IF(OR($A210="",AL$3=""),"",IF(AND($J210&lt;&gt;"",$K210&lt;&gt;"",$J210=$K210,$J210&gt;=AL$3,$J210&lt;=IF(param_mode_affichage="mois",EOMONTH(AL$3,0),AL$3+6)),"◆",""))</f>
      </c>
      <c r="AM210" s="26">
        <f>IF(OR($A210="",AM$3=""),"",IF(AND($J210&lt;&gt;"",$K210&lt;&gt;"",$J210=$K210,$J210&gt;=AM$3,$J210&lt;=IF(param_mode_affichage="mois",EOMONTH(AM$3,0),AM$3+6)),"◆",""))</f>
      </c>
      <c r="AN210" s="26">
        <f>IF(OR($A210="",AN$3=""),"",IF(AND($J210&lt;&gt;"",$K210&lt;&gt;"",$J210=$K210,$J210&gt;=AN$3,$J210&lt;=IF(param_mode_affichage="mois",EOMONTH(AN$3,0),AN$3+6)),"◆",""))</f>
      </c>
      <c r="AO210" s="26">
        <f>IF(OR($A210="",AO$3=""),"",IF(AND($J210&lt;&gt;"",$K210&lt;&gt;"",$J210=$K210,$J210&gt;=AO$3,$J210&lt;=IF(param_mode_affichage="mois",EOMONTH(AO$3,0),AO$3+6)),"◆",""))</f>
      </c>
      <c r="AP210" s="26">
        <f>IF(OR($A210="",AP$3=""),"",IF(AND($J210&lt;&gt;"",$K210&lt;&gt;"",$J210=$K210,$J210&gt;=AP$3,$J210&lt;=IF(param_mode_affichage="mois",EOMONTH(AP$3,0),AP$3+6)),"◆",""))</f>
      </c>
      <c r="AQ210" s="26">
        <f>IF(OR($A210="",AQ$3=""),"",IF(AND($J210&lt;&gt;"",$K210&lt;&gt;"",$J210=$K210,$J210&gt;=AQ$3,$J210&lt;=IF(param_mode_affichage="mois",EOMONTH(AQ$3,0),AQ$3+6)),"◆",""))</f>
      </c>
      <c r="AR210" s="26">
        <f>IF(OR($A210="",AR$3=""),"",IF(AND($J210&lt;&gt;"",$K210&lt;&gt;"",$J210=$K210,$J210&gt;=AR$3,$J210&lt;=IF(param_mode_affichage="mois",EOMONTH(AR$3,0),AR$3+6)),"◆",""))</f>
      </c>
      <c r="AS210" s="26">
        <f>IF(OR($A210="",AS$3=""),"",IF(AND($J210&lt;&gt;"",$K210&lt;&gt;"",$J210=$K210,$J210&gt;=AS$3,$J210&lt;=IF(param_mode_affichage="mois",EOMONTH(AS$3,0),AS$3+6)),"◆",""))</f>
      </c>
      <c r="AT210" s="26">
        <f>IF(OR($A210="",AT$3=""),"",IF(AND($J210&lt;&gt;"",$K210&lt;&gt;"",$J210=$K210,$J210&gt;=AT$3,$J210&lt;=IF(param_mode_affichage="mois",EOMONTH(AT$3,0),AT$3+6)),"◆",""))</f>
      </c>
      <c r="AU210" s="26">
        <f>IF(OR($A210="",AU$3=""),"",IF(AND($J210&lt;&gt;"",$K210&lt;&gt;"",$J210=$K210,$J210&gt;=AU$3,$J210&lt;=IF(param_mode_affichage="mois",EOMONTH(AU$3,0),AU$3+6)),"◆",""))</f>
      </c>
      <c r="AV210" s="26">
        <f>IF(OR($A210="",AV$3=""),"",IF(AND($J210&lt;&gt;"",$K210&lt;&gt;"",$J210=$K210,$J210&gt;=AV$3,$J210&lt;=IF(param_mode_affichage="mois",EOMONTH(AV$3,0),AV$3+6)),"◆",""))</f>
      </c>
      <c r="AW210" s="26">
        <f>IF(OR($A210="",AW$3=""),"",IF(AND($J210&lt;&gt;"",$K210&lt;&gt;"",$J210=$K210,$J210&gt;=AW$3,$J210&lt;=IF(param_mode_affichage="mois",EOMONTH(AW$3,0),AW$3+6)),"◆",""))</f>
      </c>
      <c r="AX210" s="26">
        <f>IF(OR($A210="",AX$3=""),"",IF(AND($J210&lt;&gt;"",$K210&lt;&gt;"",$J210=$K210,$J210&gt;=AX$3,$J210&lt;=IF(param_mode_affichage="mois",EOMONTH(AX$3,0),AX$3+6)),"◆",""))</f>
      </c>
      <c r="AY210" s="26">
        <f>IF(OR($A210="",AY$3=""),"",IF(AND($J210&lt;&gt;"",$K210&lt;&gt;"",$J210=$K210,$J210&gt;=AY$3,$J210&lt;=IF(param_mode_affichage="mois",EOMONTH(AY$3,0),AY$3+6)),"◆",""))</f>
      </c>
      <c r="AZ210" s="26">
        <f>IF(OR($A210="",AZ$3=""),"",IF(AND($J210&lt;&gt;"",$K210&lt;&gt;"",$J210=$K210,$J210&gt;=AZ$3,$J210&lt;=IF(param_mode_affichage="mois",EOMONTH(AZ$3,0),AZ$3+6)),"◆",""))</f>
      </c>
      <c r="BA210" s="26">
        <f>IF(OR($A210="",BA$3=""),"",IF(AND($J210&lt;&gt;"",$K210&lt;&gt;"",$J210=$K210,$J210&gt;=BA$3,$J210&lt;=IF(param_mode_affichage="mois",EOMONTH(BA$3,0),BA$3+6)),"◆",""))</f>
      </c>
      <c r="BB210" s="26">
        <f>IF(OR($A210="",BB$3=""),"",IF(AND($J210&lt;&gt;"",$K210&lt;&gt;"",$J210=$K210,$J210&gt;=BB$3,$J210&lt;=IF(param_mode_affichage="mois",EOMONTH(BB$3,0),BB$3+6)),"◆",""))</f>
      </c>
      <c r="BC210" s="26">
        <f>IF(OR($A210="",BC$3=""),"",IF(AND($J210&lt;&gt;"",$K210&lt;&gt;"",$J210=$K210,$J210&gt;=BC$3,$J210&lt;=IF(param_mode_affichage="mois",EOMONTH(BC$3,0),BC$3+6)),"◆",""))</f>
      </c>
      <c r="BD210" s="26">
        <f>IF(OR($A210="",BD$3=""),"",IF(AND($J210&lt;&gt;"",$K210&lt;&gt;"",$J210=$K210,$J210&gt;=BD$3,$J210&lt;=IF(param_mode_affichage="mois",EOMONTH(BD$3,0),BD$3+6)),"◆",""))</f>
      </c>
      <c r="BE210" s="26">
        <f>IF(OR($A210="",BE$3=""),"",IF(AND($J210&lt;&gt;"",$K210&lt;&gt;"",$J210=$K210,$J210&gt;=BE$3,$J210&lt;=IF(param_mode_affichage="mois",EOMONTH(BE$3,0),BE$3+6)),"◆",""))</f>
      </c>
      <c r="BF210" s="26">
        <f>IF(OR($A210="",BF$3=""),"",IF(AND($J210&lt;&gt;"",$K210&lt;&gt;"",$J210=$K210,$J210&gt;=BF$3,$J210&lt;=IF(param_mode_affichage="mois",EOMONTH(BF$3,0),BF$3+6)),"◆",""))</f>
      </c>
      <c r="BG210" s="26">
        <f>IF(OR($A210="",BG$3=""),"",IF(AND($J210&lt;&gt;"",$K210&lt;&gt;"",$J210=$K210,$J210&gt;=BG$3,$J210&lt;=IF(param_mode_affichage="mois",EOMONTH(BG$3,0),BG$3+6)),"◆",""))</f>
      </c>
      <c r="BH210" s="26">
        <f>IF(OR($A210="",BH$3=""),"",IF(AND($J210&lt;&gt;"",$K210&lt;&gt;"",$J210=$K210,$J210&gt;=BH$3,$J210&lt;=IF(param_mode_affichage="mois",EOMONTH(BH$3,0),BH$3+6)),"◆",""))</f>
      </c>
      <c r="BI210" s="26">
        <f>IF(OR($A210="",BI$3=""),"",IF(AND($J210&lt;&gt;"",$K210&lt;&gt;"",$J210=$K210,$J210&gt;=BI$3,$J210&lt;=IF(param_mode_affichage="mois",EOMONTH(BI$3,0),BI$3+6)),"◆",""))</f>
      </c>
      <c r="BJ210" s="26">
        <f>IF(OR($A210="",BJ$3=""),"",IF(AND($J210&lt;&gt;"",$K210&lt;&gt;"",$J210=$K210,$J210&gt;=BJ$3,$J210&lt;=IF(param_mode_affichage="mois",EOMONTH(BJ$3,0),BJ$3+6)),"◆",""))</f>
      </c>
      <c r="BK210" s="26">
        <f>IF(OR($A210="",BK$3=""),"",IF(AND($J210&lt;&gt;"",$K210&lt;&gt;"",$J210=$K210,$J210&gt;=BK$3,$J210&lt;=IF(param_mode_affichage="mois",EOMONTH(BK$3,0),BK$3+6)),"◆",""))</f>
      </c>
      <c r="BL210" s="26">
        <f>IF(OR($A210="",BL$3=""),"",IF(AND($J210&lt;&gt;"",$K210&lt;&gt;"",$J210=$K210,$J210&gt;=BL$3,$J210&lt;=IF(param_mode_affichage="mois",EOMONTH(BL$3,0),BL$3+6)),"◆",""))</f>
      </c>
    </row>
    <row r="211" spans="1:64" x14ac:dyDescent="0.25">
      <c r="A211" s="23">
        <f>IFERROR(INDEX(tblTasks[ID],ROW()-4),"")</f>
      </c>
      <c r="B211" s="24">
        <f>IF($A211="","",INDEX(tblTasks[Sujet],ROW()-4))</f>
      </c>
      <c r="C211" s="23">
        <f>IF($A211="","",INDEX(tblTasks[Responsable],ROW()-4))</f>
      </c>
      <c r="D211" s="23">
        <f>IF($A211="","",INDEX(tblTasks[Statut],ROW()-4))</f>
      </c>
      <c r="E211" s="23">
        <f>IF($A211="","",INDEX(tblTasks[Depend_de],ROW()-4))</f>
      </c>
      <c r="F211" s="23">
        <f>IF($A211="","",INDEX(tblTasks[Blocage],ROW()-4))</f>
      </c>
      <c r="G211" s="23">
        <f>IF($A211="","",INDEX(tblTasks[Niveau_criticite],ROW()-4))</f>
      </c>
      <c r="H211" s="23">
        <f>IF($A211="","",INDEX(tblTasks[Goulot],ROW()-4))</f>
      </c>
      <c r="I211" s="23">
        <f>IF($A211="","",IF(LOWER($F211)="oui","non",IF($E211="","oui",IFERROR(IF(LOWER(INDEX(tblTasks[Statut],MATCH($E211,tblTasks[ID],0)))="clos","oui","non"),"non"))))</f>
      </c>
      <c r="J211" s="25">
        <f>IF($A211="","",INDEX(tblTasks[Date_debut_prevue],ROW()-4))</f>
      </c>
      <c r="K211" s="25">
        <f>IF($A211="","",INDEX(tblTasks[Date_fin_prevue],ROW()-4))</f>
      </c>
      <c r="L211" s="23">
        <f>IF($A211="","",INDEX(tblTasks[Irreversibilite],ROW()-4))</f>
      </c>
      <c r="M211" s="26">
        <f>IF(OR($A211="",M$3=""),"",IF(AND($J211&lt;&gt;"",$K211&lt;&gt;"",$J211=$K211,$J211&gt;=M$3,$J211&lt;=IF(param_mode_affichage="mois",EOMONTH(M$3,0),M$3+6)),"◆",""))</f>
      </c>
      <c r="N211" s="26">
        <f>IF(OR($A211="",N$3=""),"",IF(AND($J211&lt;&gt;"",$K211&lt;&gt;"",$J211=$K211,$J211&gt;=N$3,$J211&lt;=IF(param_mode_affichage="mois",EOMONTH(N$3,0),N$3+6)),"◆",""))</f>
      </c>
      <c r="O211" s="26">
        <f>IF(OR($A211="",O$3=""),"",IF(AND($J211&lt;&gt;"",$K211&lt;&gt;"",$J211=$K211,$J211&gt;=O$3,$J211&lt;=IF(param_mode_affichage="mois",EOMONTH(O$3,0),O$3+6)),"◆",""))</f>
      </c>
      <c r="P211" s="26">
        <f>IF(OR($A211="",P$3=""),"",IF(AND($J211&lt;&gt;"",$K211&lt;&gt;"",$J211=$K211,$J211&gt;=P$3,$J211&lt;=IF(param_mode_affichage="mois",EOMONTH(P$3,0),P$3+6)),"◆",""))</f>
      </c>
      <c r="Q211" s="26">
        <f>IF(OR($A211="",Q$3=""),"",IF(AND($J211&lt;&gt;"",$K211&lt;&gt;"",$J211=$K211,$J211&gt;=Q$3,$J211&lt;=IF(param_mode_affichage="mois",EOMONTH(Q$3,0),Q$3+6)),"◆",""))</f>
      </c>
      <c r="R211" s="26">
        <f>IF(OR($A211="",R$3=""),"",IF(AND($J211&lt;&gt;"",$K211&lt;&gt;"",$J211=$K211,$J211&gt;=R$3,$J211&lt;=IF(param_mode_affichage="mois",EOMONTH(R$3,0),R$3+6)),"◆",""))</f>
      </c>
      <c r="S211" s="26">
        <f>IF(OR($A211="",S$3=""),"",IF(AND($J211&lt;&gt;"",$K211&lt;&gt;"",$J211=$K211,$J211&gt;=S$3,$J211&lt;=IF(param_mode_affichage="mois",EOMONTH(S$3,0),S$3+6)),"◆",""))</f>
      </c>
      <c r="T211" s="26">
        <f>IF(OR($A211="",T$3=""),"",IF(AND($J211&lt;&gt;"",$K211&lt;&gt;"",$J211=$K211,$J211&gt;=T$3,$J211&lt;=IF(param_mode_affichage="mois",EOMONTH(T$3,0),T$3+6)),"◆",""))</f>
      </c>
      <c r="U211" s="26">
        <f>IF(OR($A211="",U$3=""),"",IF(AND($J211&lt;&gt;"",$K211&lt;&gt;"",$J211=$K211,$J211&gt;=U$3,$J211&lt;=IF(param_mode_affichage="mois",EOMONTH(U$3,0),U$3+6)),"◆",""))</f>
      </c>
      <c r="V211" s="26">
        <f>IF(OR($A211="",V$3=""),"",IF(AND($J211&lt;&gt;"",$K211&lt;&gt;"",$J211=$K211,$J211&gt;=V$3,$J211&lt;=IF(param_mode_affichage="mois",EOMONTH(V$3,0),V$3+6)),"◆",""))</f>
      </c>
      <c r="W211" s="26">
        <f>IF(OR($A211="",W$3=""),"",IF(AND($J211&lt;&gt;"",$K211&lt;&gt;"",$J211=$K211,$J211&gt;=W$3,$J211&lt;=IF(param_mode_affichage="mois",EOMONTH(W$3,0),W$3+6)),"◆",""))</f>
      </c>
      <c r="X211" s="26">
        <f>IF(OR($A211="",X$3=""),"",IF(AND($J211&lt;&gt;"",$K211&lt;&gt;"",$J211=$K211,$J211&gt;=X$3,$J211&lt;=IF(param_mode_affichage="mois",EOMONTH(X$3,0),X$3+6)),"◆",""))</f>
      </c>
      <c r="Y211" s="26">
        <f>IF(OR($A211="",Y$3=""),"",IF(AND($J211&lt;&gt;"",$K211&lt;&gt;"",$J211=$K211,$J211&gt;=Y$3,$J211&lt;=IF(param_mode_affichage="mois",EOMONTH(Y$3,0),Y$3+6)),"◆",""))</f>
      </c>
      <c r="Z211" s="26">
        <f>IF(OR($A211="",Z$3=""),"",IF(AND($J211&lt;&gt;"",$K211&lt;&gt;"",$J211=$K211,$J211&gt;=Z$3,$J211&lt;=IF(param_mode_affichage="mois",EOMONTH(Z$3,0),Z$3+6)),"◆",""))</f>
      </c>
      <c r="AA211" s="26">
        <f>IF(OR($A211="",AA$3=""),"",IF(AND($J211&lt;&gt;"",$K211&lt;&gt;"",$J211=$K211,$J211&gt;=AA$3,$J211&lt;=IF(param_mode_affichage="mois",EOMONTH(AA$3,0),AA$3+6)),"◆",""))</f>
      </c>
      <c r="AB211" s="26">
        <f>IF(OR($A211="",AB$3=""),"",IF(AND($J211&lt;&gt;"",$K211&lt;&gt;"",$J211=$K211,$J211&gt;=AB$3,$J211&lt;=IF(param_mode_affichage="mois",EOMONTH(AB$3,0),AB$3+6)),"◆",""))</f>
      </c>
      <c r="AC211" s="26">
        <f>IF(OR($A211="",AC$3=""),"",IF(AND($J211&lt;&gt;"",$K211&lt;&gt;"",$J211=$K211,$J211&gt;=AC$3,$J211&lt;=IF(param_mode_affichage="mois",EOMONTH(AC$3,0),AC$3+6)),"◆",""))</f>
      </c>
      <c r="AD211" s="26">
        <f>IF(OR($A211="",AD$3=""),"",IF(AND($J211&lt;&gt;"",$K211&lt;&gt;"",$J211=$K211,$J211&gt;=AD$3,$J211&lt;=IF(param_mode_affichage="mois",EOMONTH(AD$3,0),AD$3+6)),"◆",""))</f>
      </c>
      <c r="AE211" s="26">
        <f>IF(OR($A211="",AE$3=""),"",IF(AND($J211&lt;&gt;"",$K211&lt;&gt;"",$J211=$K211,$J211&gt;=AE$3,$J211&lt;=IF(param_mode_affichage="mois",EOMONTH(AE$3,0),AE$3+6)),"◆",""))</f>
      </c>
      <c r="AF211" s="26">
        <f>IF(OR($A211="",AF$3=""),"",IF(AND($J211&lt;&gt;"",$K211&lt;&gt;"",$J211=$K211,$J211&gt;=AF$3,$J211&lt;=IF(param_mode_affichage="mois",EOMONTH(AF$3,0),AF$3+6)),"◆",""))</f>
      </c>
      <c r="AG211" s="26">
        <f>IF(OR($A211="",AG$3=""),"",IF(AND($J211&lt;&gt;"",$K211&lt;&gt;"",$J211=$K211,$J211&gt;=AG$3,$J211&lt;=IF(param_mode_affichage="mois",EOMONTH(AG$3,0),AG$3+6)),"◆",""))</f>
      </c>
      <c r="AH211" s="26">
        <f>IF(OR($A211="",AH$3=""),"",IF(AND($J211&lt;&gt;"",$K211&lt;&gt;"",$J211=$K211,$J211&gt;=AH$3,$J211&lt;=IF(param_mode_affichage="mois",EOMONTH(AH$3,0),AH$3+6)),"◆",""))</f>
      </c>
      <c r="AI211" s="26">
        <f>IF(OR($A211="",AI$3=""),"",IF(AND($J211&lt;&gt;"",$K211&lt;&gt;"",$J211=$K211,$J211&gt;=AI$3,$J211&lt;=IF(param_mode_affichage="mois",EOMONTH(AI$3,0),AI$3+6)),"◆",""))</f>
      </c>
      <c r="AJ211" s="26">
        <f>IF(OR($A211="",AJ$3=""),"",IF(AND($J211&lt;&gt;"",$K211&lt;&gt;"",$J211=$K211,$J211&gt;=AJ$3,$J211&lt;=IF(param_mode_affichage="mois",EOMONTH(AJ$3,0),AJ$3+6)),"◆",""))</f>
      </c>
      <c r="AK211" s="26">
        <f>IF(OR($A211="",AK$3=""),"",IF(AND($J211&lt;&gt;"",$K211&lt;&gt;"",$J211=$K211,$J211&gt;=AK$3,$J211&lt;=IF(param_mode_affichage="mois",EOMONTH(AK$3,0),AK$3+6)),"◆",""))</f>
      </c>
      <c r="AL211" s="26">
        <f>IF(OR($A211="",AL$3=""),"",IF(AND($J211&lt;&gt;"",$K211&lt;&gt;"",$J211=$K211,$J211&gt;=AL$3,$J211&lt;=IF(param_mode_affichage="mois",EOMONTH(AL$3,0),AL$3+6)),"◆",""))</f>
      </c>
      <c r="AM211" s="26">
        <f>IF(OR($A211="",AM$3=""),"",IF(AND($J211&lt;&gt;"",$K211&lt;&gt;"",$J211=$K211,$J211&gt;=AM$3,$J211&lt;=IF(param_mode_affichage="mois",EOMONTH(AM$3,0),AM$3+6)),"◆",""))</f>
      </c>
      <c r="AN211" s="26">
        <f>IF(OR($A211="",AN$3=""),"",IF(AND($J211&lt;&gt;"",$K211&lt;&gt;"",$J211=$K211,$J211&gt;=AN$3,$J211&lt;=IF(param_mode_affichage="mois",EOMONTH(AN$3,0),AN$3+6)),"◆",""))</f>
      </c>
      <c r="AO211" s="26">
        <f>IF(OR($A211="",AO$3=""),"",IF(AND($J211&lt;&gt;"",$K211&lt;&gt;"",$J211=$K211,$J211&gt;=AO$3,$J211&lt;=IF(param_mode_affichage="mois",EOMONTH(AO$3,0),AO$3+6)),"◆",""))</f>
      </c>
      <c r="AP211" s="26">
        <f>IF(OR($A211="",AP$3=""),"",IF(AND($J211&lt;&gt;"",$K211&lt;&gt;"",$J211=$K211,$J211&gt;=AP$3,$J211&lt;=IF(param_mode_affichage="mois",EOMONTH(AP$3,0),AP$3+6)),"◆",""))</f>
      </c>
      <c r="AQ211" s="26">
        <f>IF(OR($A211="",AQ$3=""),"",IF(AND($J211&lt;&gt;"",$K211&lt;&gt;"",$J211=$K211,$J211&gt;=AQ$3,$J211&lt;=IF(param_mode_affichage="mois",EOMONTH(AQ$3,0),AQ$3+6)),"◆",""))</f>
      </c>
      <c r="AR211" s="26">
        <f>IF(OR($A211="",AR$3=""),"",IF(AND($J211&lt;&gt;"",$K211&lt;&gt;"",$J211=$K211,$J211&gt;=AR$3,$J211&lt;=IF(param_mode_affichage="mois",EOMONTH(AR$3,0),AR$3+6)),"◆",""))</f>
      </c>
      <c r="AS211" s="26">
        <f>IF(OR($A211="",AS$3=""),"",IF(AND($J211&lt;&gt;"",$K211&lt;&gt;"",$J211=$K211,$J211&gt;=AS$3,$J211&lt;=IF(param_mode_affichage="mois",EOMONTH(AS$3,0),AS$3+6)),"◆",""))</f>
      </c>
      <c r="AT211" s="26">
        <f>IF(OR($A211="",AT$3=""),"",IF(AND($J211&lt;&gt;"",$K211&lt;&gt;"",$J211=$K211,$J211&gt;=AT$3,$J211&lt;=IF(param_mode_affichage="mois",EOMONTH(AT$3,0),AT$3+6)),"◆",""))</f>
      </c>
      <c r="AU211" s="26">
        <f>IF(OR($A211="",AU$3=""),"",IF(AND($J211&lt;&gt;"",$K211&lt;&gt;"",$J211=$K211,$J211&gt;=AU$3,$J211&lt;=IF(param_mode_affichage="mois",EOMONTH(AU$3,0),AU$3+6)),"◆",""))</f>
      </c>
      <c r="AV211" s="26">
        <f>IF(OR($A211="",AV$3=""),"",IF(AND($J211&lt;&gt;"",$K211&lt;&gt;"",$J211=$K211,$J211&gt;=AV$3,$J211&lt;=IF(param_mode_affichage="mois",EOMONTH(AV$3,0),AV$3+6)),"◆",""))</f>
      </c>
      <c r="AW211" s="26">
        <f>IF(OR($A211="",AW$3=""),"",IF(AND($J211&lt;&gt;"",$K211&lt;&gt;"",$J211=$K211,$J211&gt;=AW$3,$J211&lt;=IF(param_mode_affichage="mois",EOMONTH(AW$3,0),AW$3+6)),"◆",""))</f>
      </c>
      <c r="AX211" s="26">
        <f>IF(OR($A211="",AX$3=""),"",IF(AND($J211&lt;&gt;"",$K211&lt;&gt;"",$J211=$K211,$J211&gt;=AX$3,$J211&lt;=IF(param_mode_affichage="mois",EOMONTH(AX$3,0),AX$3+6)),"◆",""))</f>
      </c>
      <c r="AY211" s="26">
        <f>IF(OR($A211="",AY$3=""),"",IF(AND($J211&lt;&gt;"",$K211&lt;&gt;"",$J211=$K211,$J211&gt;=AY$3,$J211&lt;=IF(param_mode_affichage="mois",EOMONTH(AY$3,0),AY$3+6)),"◆",""))</f>
      </c>
      <c r="AZ211" s="26">
        <f>IF(OR($A211="",AZ$3=""),"",IF(AND($J211&lt;&gt;"",$K211&lt;&gt;"",$J211=$K211,$J211&gt;=AZ$3,$J211&lt;=IF(param_mode_affichage="mois",EOMONTH(AZ$3,0),AZ$3+6)),"◆",""))</f>
      </c>
      <c r="BA211" s="26">
        <f>IF(OR($A211="",BA$3=""),"",IF(AND($J211&lt;&gt;"",$K211&lt;&gt;"",$J211=$K211,$J211&gt;=BA$3,$J211&lt;=IF(param_mode_affichage="mois",EOMONTH(BA$3,0),BA$3+6)),"◆",""))</f>
      </c>
      <c r="BB211" s="26">
        <f>IF(OR($A211="",BB$3=""),"",IF(AND($J211&lt;&gt;"",$K211&lt;&gt;"",$J211=$K211,$J211&gt;=BB$3,$J211&lt;=IF(param_mode_affichage="mois",EOMONTH(BB$3,0),BB$3+6)),"◆",""))</f>
      </c>
      <c r="BC211" s="26">
        <f>IF(OR($A211="",BC$3=""),"",IF(AND($J211&lt;&gt;"",$K211&lt;&gt;"",$J211=$K211,$J211&gt;=BC$3,$J211&lt;=IF(param_mode_affichage="mois",EOMONTH(BC$3,0),BC$3+6)),"◆",""))</f>
      </c>
      <c r="BD211" s="26">
        <f>IF(OR($A211="",BD$3=""),"",IF(AND($J211&lt;&gt;"",$K211&lt;&gt;"",$J211=$K211,$J211&gt;=BD$3,$J211&lt;=IF(param_mode_affichage="mois",EOMONTH(BD$3,0),BD$3+6)),"◆",""))</f>
      </c>
      <c r="BE211" s="26">
        <f>IF(OR($A211="",BE$3=""),"",IF(AND($J211&lt;&gt;"",$K211&lt;&gt;"",$J211=$K211,$J211&gt;=BE$3,$J211&lt;=IF(param_mode_affichage="mois",EOMONTH(BE$3,0),BE$3+6)),"◆",""))</f>
      </c>
      <c r="BF211" s="26">
        <f>IF(OR($A211="",BF$3=""),"",IF(AND($J211&lt;&gt;"",$K211&lt;&gt;"",$J211=$K211,$J211&gt;=BF$3,$J211&lt;=IF(param_mode_affichage="mois",EOMONTH(BF$3,0),BF$3+6)),"◆",""))</f>
      </c>
      <c r="BG211" s="26">
        <f>IF(OR($A211="",BG$3=""),"",IF(AND($J211&lt;&gt;"",$K211&lt;&gt;"",$J211=$K211,$J211&gt;=BG$3,$J211&lt;=IF(param_mode_affichage="mois",EOMONTH(BG$3,0),BG$3+6)),"◆",""))</f>
      </c>
      <c r="BH211" s="26">
        <f>IF(OR($A211="",BH$3=""),"",IF(AND($J211&lt;&gt;"",$K211&lt;&gt;"",$J211=$K211,$J211&gt;=BH$3,$J211&lt;=IF(param_mode_affichage="mois",EOMONTH(BH$3,0),BH$3+6)),"◆",""))</f>
      </c>
      <c r="BI211" s="26">
        <f>IF(OR($A211="",BI$3=""),"",IF(AND($J211&lt;&gt;"",$K211&lt;&gt;"",$J211=$K211,$J211&gt;=BI$3,$J211&lt;=IF(param_mode_affichage="mois",EOMONTH(BI$3,0),BI$3+6)),"◆",""))</f>
      </c>
      <c r="BJ211" s="26">
        <f>IF(OR($A211="",BJ$3=""),"",IF(AND($J211&lt;&gt;"",$K211&lt;&gt;"",$J211=$K211,$J211&gt;=BJ$3,$J211&lt;=IF(param_mode_affichage="mois",EOMONTH(BJ$3,0),BJ$3+6)),"◆",""))</f>
      </c>
      <c r="BK211" s="26">
        <f>IF(OR($A211="",BK$3=""),"",IF(AND($J211&lt;&gt;"",$K211&lt;&gt;"",$J211=$K211,$J211&gt;=BK$3,$J211&lt;=IF(param_mode_affichage="mois",EOMONTH(BK$3,0),BK$3+6)),"◆",""))</f>
      </c>
      <c r="BL211" s="26">
        <f>IF(OR($A211="",BL$3=""),"",IF(AND($J211&lt;&gt;"",$K211&lt;&gt;"",$J211=$K211,$J211&gt;=BL$3,$J211&lt;=IF(param_mode_affichage="mois",EOMONTH(BL$3,0),BL$3+6)),"◆",""))</f>
      </c>
    </row>
    <row r="212" spans="1:64" x14ac:dyDescent="0.25">
      <c r="A212" s="23">
        <f>IFERROR(INDEX(tblTasks[ID],ROW()-4),"")</f>
      </c>
      <c r="B212" s="24">
        <f>IF($A212="","",INDEX(tblTasks[Sujet],ROW()-4))</f>
      </c>
      <c r="C212" s="23">
        <f>IF($A212="","",INDEX(tblTasks[Responsable],ROW()-4))</f>
      </c>
      <c r="D212" s="23">
        <f>IF($A212="","",INDEX(tblTasks[Statut],ROW()-4))</f>
      </c>
      <c r="E212" s="23">
        <f>IF($A212="","",INDEX(tblTasks[Depend_de],ROW()-4))</f>
      </c>
      <c r="F212" s="23">
        <f>IF($A212="","",INDEX(tblTasks[Blocage],ROW()-4))</f>
      </c>
      <c r="G212" s="23">
        <f>IF($A212="","",INDEX(tblTasks[Niveau_criticite],ROW()-4))</f>
      </c>
      <c r="H212" s="23">
        <f>IF($A212="","",INDEX(tblTasks[Goulot],ROW()-4))</f>
      </c>
      <c r="I212" s="23">
        <f>IF($A212="","",IF(LOWER($F212)="oui","non",IF($E212="","oui",IFERROR(IF(LOWER(INDEX(tblTasks[Statut],MATCH($E212,tblTasks[ID],0)))="clos","oui","non"),"non"))))</f>
      </c>
      <c r="J212" s="25">
        <f>IF($A212="","",INDEX(tblTasks[Date_debut_prevue],ROW()-4))</f>
      </c>
      <c r="K212" s="25">
        <f>IF($A212="","",INDEX(tblTasks[Date_fin_prevue],ROW()-4))</f>
      </c>
      <c r="L212" s="23">
        <f>IF($A212="","",INDEX(tblTasks[Irreversibilite],ROW()-4))</f>
      </c>
      <c r="M212" s="26">
        <f>IF(OR($A212="",M$3=""),"",IF(AND($J212&lt;&gt;"",$K212&lt;&gt;"",$J212=$K212,$J212&gt;=M$3,$J212&lt;=IF(param_mode_affichage="mois",EOMONTH(M$3,0),M$3+6)),"◆",""))</f>
      </c>
      <c r="N212" s="26">
        <f>IF(OR($A212="",N$3=""),"",IF(AND($J212&lt;&gt;"",$K212&lt;&gt;"",$J212=$K212,$J212&gt;=N$3,$J212&lt;=IF(param_mode_affichage="mois",EOMONTH(N$3,0),N$3+6)),"◆",""))</f>
      </c>
      <c r="O212" s="26">
        <f>IF(OR($A212="",O$3=""),"",IF(AND($J212&lt;&gt;"",$K212&lt;&gt;"",$J212=$K212,$J212&gt;=O$3,$J212&lt;=IF(param_mode_affichage="mois",EOMONTH(O$3,0),O$3+6)),"◆",""))</f>
      </c>
      <c r="P212" s="26">
        <f>IF(OR($A212="",P$3=""),"",IF(AND($J212&lt;&gt;"",$K212&lt;&gt;"",$J212=$K212,$J212&gt;=P$3,$J212&lt;=IF(param_mode_affichage="mois",EOMONTH(P$3,0),P$3+6)),"◆",""))</f>
      </c>
      <c r="Q212" s="26">
        <f>IF(OR($A212="",Q$3=""),"",IF(AND($J212&lt;&gt;"",$K212&lt;&gt;"",$J212=$K212,$J212&gt;=Q$3,$J212&lt;=IF(param_mode_affichage="mois",EOMONTH(Q$3,0),Q$3+6)),"◆",""))</f>
      </c>
      <c r="R212" s="26">
        <f>IF(OR($A212="",R$3=""),"",IF(AND($J212&lt;&gt;"",$K212&lt;&gt;"",$J212=$K212,$J212&gt;=R$3,$J212&lt;=IF(param_mode_affichage="mois",EOMONTH(R$3,0),R$3+6)),"◆",""))</f>
      </c>
      <c r="S212" s="26">
        <f>IF(OR($A212="",S$3=""),"",IF(AND($J212&lt;&gt;"",$K212&lt;&gt;"",$J212=$K212,$J212&gt;=S$3,$J212&lt;=IF(param_mode_affichage="mois",EOMONTH(S$3,0),S$3+6)),"◆",""))</f>
      </c>
      <c r="T212" s="26">
        <f>IF(OR($A212="",T$3=""),"",IF(AND($J212&lt;&gt;"",$K212&lt;&gt;"",$J212=$K212,$J212&gt;=T$3,$J212&lt;=IF(param_mode_affichage="mois",EOMONTH(T$3,0),T$3+6)),"◆",""))</f>
      </c>
      <c r="U212" s="26">
        <f>IF(OR($A212="",U$3=""),"",IF(AND($J212&lt;&gt;"",$K212&lt;&gt;"",$J212=$K212,$J212&gt;=U$3,$J212&lt;=IF(param_mode_affichage="mois",EOMONTH(U$3,0),U$3+6)),"◆",""))</f>
      </c>
      <c r="V212" s="26">
        <f>IF(OR($A212="",V$3=""),"",IF(AND($J212&lt;&gt;"",$K212&lt;&gt;"",$J212=$K212,$J212&gt;=V$3,$J212&lt;=IF(param_mode_affichage="mois",EOMONTH(V$3,0),V$3+6)),"◆",""))</f>
      </c>
      <c r="W212" s="26">
        <f>IF(OR($A212="",W$3=""),"",IF(AND($J212&lt;&gt;"",$K212&lt;&gt;"",$J212=$K212,$J212&gt;=W$3,$J212&lt;=IF(param_mode_affichage="mois",EOMONTH(W$3,0),W$3+6)),"◆",""))</f>
      </c>
      <c r="X212" s="26">
        <f>IF(OR($A212="",X$3=""),"",IF(AND($J212&lt;&gt;"",$K212&lt;&gt;"",$J212=$K212,$J212&gt;=X$3,$J212&lt;=IF(param_mode_affichage="mois",EOMONTH(X$3,0),X$3+6)),"◆",""))</f>
      </c>
      <c r="Y212" s="26">
        <f>IF(OR($A212="",Y$3=""),"",IF(AND($J212&lt;&gt;"",$K212&lt;&gt;"",$J212=$K212,$J212&gt;=Y$3,$J212&lt;=IF(param_mode_affichage="mois",EOMONTH(Y$3,0),Y$3+6)),"◆",""))</f>
      </c>
      <c r="Z212" s="26">
        <f>IF(OR($A212="",Z$3=""),"",IF(AND($J212&lt;&gt;"",$K212&lt;&gt;"",$J212=$K212,$J212&gt;=Z$3,$J212&lt;=IF(param_mode_affichage="mois",EOMONTH(Z$3,0),Z$3+6)),"◆",""))</f>
      </c>
      <c r="AA212" s="26">
        <f>IF(OR($A212="",AA$3=""),"",IF(AND($J212&lt;&gt;"",$K212&lt;&gt;"",$J212=$K212,$J212&gt;=AA$3,$J212&lt;=IF(param_mode_affichage="mois",EOMONTH(AA$3,0),AA$3+6)),"◆",""))</f>
      </c>
      <c r="AB212" s="26">
        <f>IF(OR($A212="",AB$3=""),"",IF(AND($J212&lt;&gt;"",$K212&lt;&gt;"",$J212=$K212,$J212&gt;=AB$3,$J212&lt;=IF(param_mode_affichage="mois",EOMONTH(AB$3,0),AB$3+6)),"◆",""))</f>
      </c>
      <c r="AC212" s="26">
        <f>IF(OR($A212="",AC$3=""),"",IF(AND($J212&lt;&gt;"",$K212&lt;&gt;"",$J212=$K212,$J212&gt;=AC$3,$J212&lt;=IF(param_mode_affichage="mois",EOMONTH(AC$3,0),AC$3+6)),"◆",""))</f>
      </c>
      <c r="AD212" s="26">
        <f>IF(OR($A212="",AD$3=""),"",IF(AND($J212&lt;&gt;"",$K212&lt;&gt;"",$J212=$K212,$J212&gt;=AD$3,$J212&lt;=IF(param_mode_affichage="mois",EOMONTH(AD$3,0),AD$3+6)),"◆",""))</f>
      </c>
      <c r="AE212" s="26">
        <f>IF(OR($A212="",AE$3=""),"",IF(AND($J212&lt;&gt;"",$K212&lt;&gt;"",$J212=$K212,$J212&gt;=AE$3,$J212&lt;=IF(param_mode_affichage="mois",EOMONTH(AE$3,0),AE$3+6)),"◆",""))</f>
      </c>
      <c r="AF212" s="26">
        <f>IF(OR($A212="",AF$3=""),"",IF(AND($J212&lt;&gt;"",$K212&lt;&gt;"",$J212=$K212,$J212&gt;=AF$3,$J212&lt;=IF(param_mode_affichage="mois",EOMONTH(AF$3,0),AF$3+6)),"◆",""))</f>
      </c>
      <c r="AG212" s="26">
        <f>IF(OR($A212="",AG$3=""),"",IF(AND($J212&lt;&gt;"",$K212&lt;&gt;"",$J212=$K212,$J212&gt;=AG$3,$J212&lt;=IF(param_mode_affichage="mois",EOMONTH(AG$3,0),AG$3+6)),"◆",""))</f>
      </c>
      <c r="AH212" s="26">
        <f>IF(OR($A212="",AH$3=""),"",IF(AND($J212&lt;&gt;"",$K212&lt;&gt;"",$J212=$K212,$J212&gt;=AH$3,$J212&lt;=IF(param_mode_affichage="mois",EOMONTH(AH$3,0),AH$3+6)),"◆",""))</f>
      </c>
      <c r="AI212" s="26">
        <f>IF(OR($A212="",AI$3=""),"",IF(AND($J212&lt;&gt;"",$K212&lt;&gt;"",$J212=$K212,$J212&gt;=AI$3,$J212&lt;=IF(param_mode_affichage="mois",EOMONTH(AI$3,0),AI$3+6)),"◆",""))</f>
      </c>
      <c r="AJ212" s="26">
        <f>IF(OR($A212="",AJ$3=""),"",IF(AND($J212&lt;&gt;"",$K212&lt;&gt;"",$J212=$K212,$J212&gt;=AJ$3,$J212&lt;=IF(param_mode_affichage="mois",EOMONTH(AJ$3,0),AJ$3+6)),"◆",""))</f>
      </c>
      <c r="AK212" s="26">
        <f>IF(OR($A212="",AK$3=""),"",IF(AND($J212&lt;&gt;"",$K212&lt;&gt;"",$J212=$K212,$J212&gt;=AK$3,$J212&lt;=IF(param_mode_affichage="mois",EOMONTH(AK$3,0),AK$3+6)),"◆",""))</f>
      </c>
      <c r="AL212" s="26">
        <f>IF(OR($A212="",AL$3=""),"",IF(AND($J212&lt;&gt;"",$K212&lt;&gt;"",$J212=$K212,$J212&gt;=AL$3,$J212&lt;=IF(param_mode_affichage="mois",EOMONTH(AL$3,0),AL$3+6)),"◆",""))</f>
      </c>
      <c r="AM212" s="26">
        <f>IF(OR($A212="",AM$3=""),"",IF(AND($J212&lt;&gt;"",$K212&lt;&gt;"",$J212=$K212,$J212&gt;=AM$3,$J212&lt;=IF(param_mode_affichage="mois",EOMONTH(AM$3,0),AM$3+6)),"◆",""))</f>
      </c>
      <c r="AN212" s="26">
        <f>IF(OR($A212="",AN$3=""),"",IF(AND($J212&lt;&gt;"",$K212&lt;&gt;"",$J212=$K212,$J212&gt;=AN$3,$J212&lt;=IF(param_mode_affichage="mois",EOMONTH(AN$3,0),AN$3+6)),"◆",""))</f>
      </c>
      <c r="AO212" s="26">
        <f>IF(OR($A212="",AO$3=""),"",IF(AND($J212&lt;&gt;"",$K212&lt;&gt;"",$J212=$K212,$J212&gt;=AO$3,$J212&lt;=IF(param_mode_affichage="mois",EOMONTH(AO$3,0),AO$3+6)),"◆",""))</f>
      </c>
      <c r="AP212" s="26">
        <f>IF(OR($A212="",AP$3=""),"",IF(AND($J212&lt;&gt;"",$K212&lt;&gt;"",$J212=$K212,$J212&gt;=AP$3,$J212&lt;=IF(param_mode_affichage="mois",EOMONTH(AP$3,0),AP$3+6)),"◆",""))</f>
      </c>
      <c r="AQ212" s="26">
        <f>IF(OR($A212="",AQ$3=""),"",IF(AND($J212&lt;&gt;"",$K212&lt;&gt;"",$J212=$K212,$J212&gt;=AQ$3,$J212&lt;=IF(param_mode_affichage="mois",EOMONTH(AQ$3,0),AQ$3+6)),"◆",""))</f>
      </c>
      <c r="AR212" s="26">
        <f>IF(OR($A212="",AR$3=""),"",IF(AND($J212&lt;&gt;"",$K212&lt;&gt;"",$J212=$K212,$J212&gt;=AR$3,$J212&lt;=IF(param_mode_affichage="mois",EOMONTH(AR$3,0),AR$3+6)),"◆",""))</f>
      </c>
      <c r="AS212" s="26">
        <f>IF(OR($A212="",AS$3=""),"",IF(AND($J212&lt;&gt;"",$K212&lt;&gt;"",$J212=$K212,$J212&gt;=AS$3,$J212&lt;=IF(param_mode_affichage="mois",EOMONTH(AS$3,0),AS$3+6)),"◆",""))</f>
      </c>
      <c r="AT212" s="26">
        <f>IF(OR($A212="",AT$3=""),"",IF(AND($J212&lt;&gt;"",$K212&lt;&gt;"",$J212=$K212,$J212&gt;=AT$3,$J212&lt;=IF(param_mode_affichage="mois",EOMONTH(AT$3,0),AT$3+6)),"◆",""))</f>
      </c>
      <c r="AU212" s="26">
        <f>IF(OR($A212="",AU$3=""),"",IF(AND($J212&lt;&gt;"",$K212&lt;&gt;"",$J212=$K212,$J212&gt;=AU$3,$J212&lt;=IF(param_mode_affichage="mois",EOMONTH(AU$3,0),AU$3+6)),"◆",""))</f>
      </c>
      <c r="AV212" s="26">
        <f>IF(OR($A212="",AV$3=""),"",IF(AND($J212&lt;&gt;"",$K212&lt;&gt;"",$J212=$K212,$J212&gt;=AV$3,$J212&lt;=IF(param_mode_affichage="mois",EOMONTH(AV$3,0),AV$3+6)),"◆",""))</f>
      </c>
      <c r="AW212" s="26">
        <f>IF(OR($A212="",AW$3=""),"",IF(AND($J212&lt;&gt;"",$K212&lt;&gt;"",$J212=$K212,$J212&gt;=AW$3,$J212&lt;=IF(param_mode_affichage="mois",EOMONTH(AW$3,0),AW$3+6)),"◆",""))</f>
      </c>
      <c r="AX212" s="26">
        <f>IF(OR($A212="",AX$3=""),"",IF(AND($J212&lt;&gt;"",$K212&lt;&gt;"",$J212=$K212,$J212&gt;=AX$3,$J212&lt;=IF(param_mode_affichage="mois",EOMONTH(AX$3,0),AX$3+6)),"◆",""))</f>
      </c>
      <c r="AY212" s="26">
        <f>IF(OR($A212="",AY$3=""),"",IF(AND($J212&lt;&gt;"",$K212&lt;&gt;"",$J212=$K212,$J212&gt;=AY$3,$J212&lt;=IF(param_mode_affichage="mois",EOMONTH(AY$3,0),AY$3+6)),"◆",""))</f>
      </c>
      <c r="AZ212" s="26">
        <f>IF(OR($A212="",AZ$3=""),"",IF(AND($J212&lt;&gt;"",$K212&lt;&gt;"",$J212=$K212,$J212&gt;=AZ$3,$J212&lt;=IF(param_mode_affichage="mois",EOMONTH(AZ$3,0),AZ$3+6)),"◆",""))</f>
      </c>
      <c r="BA212" s="26">
        <f>IF(OR($A212="",BA$3=""),"",IF(AND($J212&lt;&gt;"",$K212&lt;&gt;"",$J212=$K212,$J212&gt;=BA$3,$J212&lt;=IF(param_mode_affichage="mois",EOMONTH(BA$3,0),BA$3+6)),"◆",""))</f>
      </c>
      <c r="BB212" s="26">
        <f>IF(OR($A212="",BB$3=""),"",IF(AND($J212&lt;&gt;"",$K212&lt;&gt;"",$J212=$K212,$J212&gt;=BB$3,$J212&lt;=IF(param_mode_affichage="mois",EOMONTH(BB$3,0),BB$3+6)),"◆",""))</f>
      </c>
      <c r="BC212" s="26">
        <f>IF(OR($A212="",BC$3=""),"",IF(AND($J212&lt;&gt;"",$K212&lt;&gt;"",$J212=$K212,$J212&gt;=BC$3,$J212&lt;=IF(param_mode_affichage="mois",EOMONTH(BC$3,0),BC$3+6)),"◆",""))</f>
      </c>
      <c r="BD212" s="26">
        <f>IF(OR($A212="",BD$3=""),"",IF(AND($J212&lt;&gt;"",$K212&lt;&gt;"",$J212=$K212,$J212&gt;=BD$3,$J212&lt;=IF(param_mode_affichage="mois",EOMONTH(BD$3,0),BD$3+6)),"◆",""))</f>
      </c>
      <c r="BE212" s="26">
        <f>IF(OR($A212="",BE$3=""),"",IF(AND($J212&lt;&gt;"",$K212&lt;&gt;"",$J212=$K212,$J212&gt;=BE$3,$J212&lt;=IF(param_mode_affichage="mois",EOMONTH(BE$3,0),BE$3+6)),"◆",""))</f>
      </c>
      <c r="BF212" s="26">
        <f>IF(OR($A212="",BF$3=""),"",IF(AND($J212&lt;&gt;"",$K212&lt;&gt;"",$J212=$K212,$J212&gt;=BF$3,$J212&lt;=IF(param_mode_affichage="mois",EOMONTH(BF$3,0),BF$3+6)),"◆",""))</f>
      </c>
      <c r="BG212" s="26">
        <f>IF(OR($A212="",BG$3=""),"",IF(AND($J212&lt;&gt;"",$K212&lt;&gt;"",$J212=$K212,$J212&gt;=BG$3,$J212&lt;=IF(param_mode_affichage="mois",EOMONTH(BG$3,0),BG$3+6)),"◆",""))</f>
      </c>
      <c r="BH212" s="26">
        <f>IF(OR($A212="",BH$3=""),"",IF(AND($J212&lt;&gt;"",$K212&lt;&gt;"",$J212=$K212,$J212&gt;=BH$3,$J212&lt;=IF(param_mode_affichage="mois",EOMONTH(BH$3,0),BH$3+6)),"◆",""))</f>
      </c>
      <c r="BI212" s="26">
        <f>IF(OR($A212="",BI$3=""),"",IF(AND($J212&lt;&gt;"",$K212&lt;&gt;"",$J212=$K212,$J212&gt;=BI$3,$J212&lt;=IF(param_mode_affichage="mois",EOMONTH(BI$3,0),BI$3+6)),"◆",""))</f>
      </c>
      <c r="BJ212" s="26">
        <f>IF(OR($A212="",BJ$3=""),"",IF(AND($J212&lt;&gt;"",$K212&lt;&gt;"",$J212=$K212,$J212&gt;=BJ$3,$J212&lt;=IF(param_mode_affichage="mois",EOMONTH(BJ$3,0),BJ$3+6)),"◆",""))</f>
      </c>
      <c r="BK212" s="26">
        <f>IF(OR($A212="",BK$3=""),"",IF(AND($J212&lt;&gt;"",$K212&lt;&gt;"",$J212=$K212,$J212&gt;=BK$3,$J212&lt;=IF(param_mode_affichage="mois",EOMONTH(BK$3,0),BK$3+6)),"◆",""))</f>
      </c>
      <c r="BL212" s="26">
        <f>IF(OR($A212="",BL$3=""),"",IF(AND($J212&lt;&gt;"",$K212&lt;&gt;"",$J212=$K212,$J212&gt;=BL$3,$J212&lt;=IF(param_mode_affichage="mois",EOMONTH(BL$3,0),BL$3+6)),"◆",""))</f>
      </c>
    </row>
    <row r="213" spans="1:64" x14ac:dyDescent="0.25">
      <c r="A213" s="23">
        <f>IFERROR(INDEX(tblTasks[ID],ROW()-4),"")</f>
      </c>
      <c r="B213" s="24">
        <f>IF($A213="","",INDEX(tblTasks[Sujet],ROW()-4))</f>
      </c>
      <c r="C213" s="23">
        <f>IF($A213="","",INDEX(tblTasks[Responsable],ROW()-4))</f>
      </c>
      <c r="D213" s="23">
        <f>IF($A213="","",INDEX(tblTasks[Statut],ROW()-4))</f>
      </c>
      <c r="E213" s="23">
        <f>IF($A213="","",INDEX(tblTasks[Depend_de],ROW()-4))</f>
      </c>
      <c r="F213" s="23">
        <f>IF($A213="","",INDEX(tblTasks[Blocage],ROW()-4))</f>
      </c>
      <c r="G213" s="23">
        <f>IF($A213="","",INDEX(tblTasks[Niveau_criticite],ROW()-4))</f>
      </c>
      <c r="H213" s="23">
        <f>IF($A213="","",INDEX(tblTasks[Goulot],ROW()-4))</f>
      </c>
      <c r="I213" s="23">
        <f>IF($A213="","",IF(LOWER($F213)="oui","non",IF($E213="","oui",IFERROR(IF(LOWER(INDEX(tblTasks[Statut],MATCH($E213,tblTasks[ID],0)))="clos","oui","non"),"non"))))</f>
      </c>
      <c r="J213" s="25">
        <f>IF($A213="","",INDEX(tblTasks[Date_debut_prevue],ROW()-4))</f>
      </c>
      <c r="K213" s="25">
        <f>IF($A213="","",INDEX(tblTasks[Date_fin_prevue],ROW()-4))</f>
      </c>
      <c r="L213" s="23">
        <f>IF($A213="","",INDEX(tblTasks[Irreversibilite],ROW()-4))</f>
      </c>
      <c r="M213" s="26">
        <f>IF(OR($A213="",M$3=""),"",IF(AND($J213&lt;&gt;"",$K213&lt;&gt;"",$J213=$K213,$J213&gt;=M$3,$J213&lt;=IF(param_mode_affichage="mois",EOMONTH(M$3,0),M$3+6)),"◆",""))</f>
      </c>
      <c r="N213" s="26">
        <f>IF(OR($A213="",N$3=""),"",IF(AND($J213&lt;&gt;"",$K213&lt;&gt;"",$J213=$K213,$J213&gt;=N$3,$J213&lt;=IF(param_mode_affichage="mois",EOMONTH(N$3,0),N$3+6)),"◆",""))</f>
      </c>
      <c r="O213" s="26">
        <f>IF(OR($A213="",O$3=""),"",IF(AND($J213&lt;&gt;"",$K213&lt;&gt;"",$J213=$K213,$J213&gt;=O$3,$J213&lt;=IF(param_mode_affichage="mois",EOMONTH(O$3,0),O$3+6)),"◆",""))</f>
      </c>
      <c r="P213" s="26">
        <f>IF(OR($A213="",P$3=""),"",IF(AND($J213&lt;&gt;"",$K213&lt;&gt;"",$J213=$K213,$J213&gt;=P$3,$J213&lt;=IF(param_mode_affichage="mois",EOMONTH(P$3,0),P$3+6)),"◆",""))</f>
      </c>
      <c r="Q213" s="26">
        <f>IF(OR($A213="",Q$3=""),"",IF(AND($J213&lt;&gt;"",$K213&lt;&gt;"",$J213=$K213,$J213&gt;=Q$3,$J213&lt;=IF(param_mode_affichage="mois",EOMONTH(Q$3,0),Q$3+6)),"◆",""))</f>
      </c>
      <c r="R213" s="26">
        <f>IF(OR($A213="",R$3=""),"",IF(AND($J213&lt;&gt;"",$K213&lt;&gt;"",$J213=$K213,$J213&gt;=R$3,$J213&lt;=IF(param_mode_affichage="mois",EOMONTH(R$3,0),R$3+6)),"◆",""))</f>
      </c>
      <c r="S213" s="26">
        <f>IF(OR($A213="",S$3=""),"",IF(AND($J213&lt;&gt;"",$K213&lt;&gt;"",$J213=$K213,$J213&gt;=S$3,$J213&lt;=IF(param_mode_affichage="mois",EOMONTH(S$3,0),S$3+6)),"◆",""))</f>
      </c>
      <c r="T213" s="26">
        <f>IF(OR($A213="",T$3=""),"",IF(AND($J213&lt;&gt;"",$K213&lt;&gt;"",$J213=$K213,$J213&gt;=T$3,$J213&lt;=IF(param_mode_affichage="mois",EOMONTH(T$3,0),T$3+6)),"◆",""))</f>
      </c>
      <c r="U213" s="26">
        <f>IF(OR($A213="",U$3=""),"",IF(AND($J213&lt;&gt;"",$K213&lt;&gt;"",$J213=$K213,$J213&gt;=U$3,$J213&lt;=IF(param_mode_affichage="mois",EOMONTH(U$3,0),U$3+6)),"◆",""))</f>
      </c>
      <c r="V213" s="26">
        <f>IF(OR($A213="",V$3=""),"",IF(AND($J213&lt;&gt;"",$K213&lt;&gt;"",$J213=$K213,$J213&gt;=V$3,$J213&lt;=IF(param_mode_affichage="mois",EOMONTH(V$3,0),V$3+6)),"◆",""))</f>
      </c>
      <c r="W213" s="26">
        <f>IF(OR($A213="",W$3=""),"",IF(AND($J213&lt;&gt;"",$K213&lt;&gt;"",$J213=$K213,$J213&gt;=W$3,$J213&lt;=IF(param_mode_affichage="mois",EOMONTH(W$3,0),W$3+6)),"◆",""))</f>
      </c>
      <c r="X213" s="26">
        <f>IF(OR($A213="",X$3=""),"",IF(AND($J213&lt;&gt;"",$K213&lt;&gt;"",$J213=$K213,$J213&gt;=X$3,$J213&lt;=IF(param_mode_affichage="mois",EOMONTH(X$3,0),X$3+6)),"◆",""))</f>
      </c>
      <c r="Y213" s="26">
        <f>IF(OR($A213="",Y$3=""),"",IF(AND($J213&lt;&gt;"",$K213&lt;&gt;"",$J213=$K213,$J213&gt;=Y$3,$J213&lt;=IF(param_mode_affichage="mois",EOMONTH(Y$3,0),Y$3+6)),"◆",""))</f>
      </c>
      <c r="Z213" s="26">
        <f>IF(OR($A213="",Z$3=""),"",IF(AND($J213&lt;&gt;"",$K213&lt;&gt;"",$J213=$K213,$J213&gt;=Z$3,$J213&lt;=IF(param_mode_affichage="mois",EOMONTH(Z$3,0),Z$3+6)),"◆",""))</f>
      </c>
      <c r="AA213" s="26">
        <f>IF(OR($A213="",AA$3=""),"",IF(AND($J213&lt;&gt;"",$K213&lt;&gt;"",$J213=$K213,$J213&gt;=AA$3,$J213&lt;=IF(param_mode_affichage="mois",EOMONTH(AA$3,0),AA$3+6)),"◆",""))</f>
      </c>
      <c r="AB213" s="26">
        <f>IF(OR($A213="",AB$3=""),"",IF(AND($J213&lt;&gt;"",$K213&lt;&gt;"",$J213=$K213,$J213&gt;=AB$3,$J213&lt;=IF(param_mode_affichage="mois",EOMONTH(AB$3,0),AB$3+6)),"◆",""))</f>
      </c>
      <c r="AC213" s="26">
        <f>IF(OR($A213="",AC$3=""),"",IF(AND($J213&lt;&gt;"",$K213&lt;&gt;"",$J213=$K213,$J213&gt;=AC$3,$J213&lt;=IF(param_mode_affichage="mois",EOMONTH(AC$3,0),AC$3+6)),"◆",""))</f>
      </c>
      <c r="AD213" s="26">
        <f>IF(OR($A213="",AD$3=""),"",IF(AND($J213&lt;&gt;"",$K213&lt;&gt;"",$J213=$K213,$J213&gt;=AD$3,$J213&lt;=IF(param_mode_affichage="mois",EOMONTH(AD$3,0),AD$3+6)),"◆",""))</f>
      </c>
      <c r="AE213" s="26">
        <f>IF(OR($A213="",AE$3=""),"",IF(AND($J213&lt;&gt;"",$K213&lt;&gt;"",$J213=$K213,$J213&gt;=AE$3,$J213&lt;=IF(param_mode_affichage="mois",EOMONTH(AE$3,0),AE$3+6)),"◆",""))</f>
      </c>
      <c r="AF213" s="26">
        <f>IF(OR($A213="",AF$3=""),"",IF(AND($J213&lt;&gt;"",$K213&lt;&gt;"",$J213=$K213,$J213&gt;=AF$3,$J213&lt;=IF(param_mode_affichage="mois",EOMONTH(AF$3,0),AF$3+6)),"◆",""))</f>
      </c>
      <c r="AG213" s="26">
        <f>IF(OR($A213="",AG$3=""),"",IF(AND($J213&lt;&gt;"",$K213&lt;&gt;"",$J213=$K213,$J213&gt;=AG$3,$J213&lt;=IF(param_mode_affichage="mois",EOMONTH(AG$3,0),AG$3+6)),"◆",""))</f>
      </c>
      <c r="AH213" s="26">
        <f>IF(OR($A213="",AH$3=""),"",IF(AND($J213&lt;&gt;"",$K213&lt;&gt;"",$J213=$K213,$J213&gt;=AH$3,$J213&lt;=IF(param_mode_affichage="mois",EOMONTH(AH$3,0),AH$3+6)),"◆",""))</f>
      </c>
      <c r="AI213" s="26">
        <f>IF(OR($A213="",AI$3=""),"",IF(AND($J213&lt;&gt;"",$K213&lt;&gt;"",$J213=$K213,$J213&gt;=AI$3,$J213&lt;=IF(param_mode_affichage="mois",EOMONTH(AI$3,0),AI$3+6)),"◆",""))</f>
      </c>
      <c r="AJ213" s="26">
        <f>IF(OR($A213="",AJ$3=""),"",IF(AND($J213&lt;&gt;"",$K213&lt;&gt;"",$J213=$K213,$J213&gt;=AJ$3,$J213&lt;=IF(param_mode_affichage="mois",EOMONTH(AJ$3,0),AJ$3+6)),"◆",""))</f>
      </c>
      <c r="AK213" s="26">
        <f>IF(OR($A213="",AK$3=""),"",IF(AND($J213&lt;&gt;"",$K213&lt;&gt;"",$J213=$K213,$J213&gt;=AK$3,$J213&lt;=IF(param_mode_affichage="mois",EOMONTH(AK$3,0),AK$3+6)),"◆",""))</f>
      </c>
      <c r="AL213" s="26">
        <f>IF(OR($A213="",AL$3=""),"",IF(AND($J213&lt;&gt;"",$K213&lt;&gt;"",$J213=$K213,$J213&gt;=AL$3,$J213&lt;=IF(param_mode_affichage="mois",EOMONTH(AL$3,0),AL$3+6)),"◆",""))</f>
      </c>
      <c r="AM213" s="26">
        <f>IF(OR($A213="",AM$3=""),"",IF(AND($J213&lt;&gt;"",$K213&lt;&gt;"",$J213=$K213,$J213&gt;=AM$3,$J213&lt;=IF(param_mode_affichage="mois",EOMONTH(AM$3,0),AM$3+6)),"◆",""))</f>
      </c>
      <c r="AN213" s="26">
        <f>IF(OR($A213="",AN$3=""),"",IF(AND($J213&lt;&gt;"",$K213&lt;&gt;"",$J213=$K213,$J213&gt;=AN$3,$J213&lt;=IF(param_mode_affichage="mois",EOMONTH(AN$3,0),AN$3+6)),"◆",""))</f>
      </c>
      <c r="AO213" s="26">
        <f>IF(OR($A213="",AO$3=""),"",IF(AND($J213&lt;&gt;"",$K213&lt;&gt;"",$J213=$K213,$J213&gt;=AO$3,$J213&lt;=IF(param_mode_affichage="mois",EOMONTH(AO$3,0),AO$3+6)),"◆",""))</f>
      </c>
      <c r="AP213" s="26">
        <f>IF(OR($A213="",AP$3=""),"",IF(AND($J213&lt;&gt;"",$K213&lt;&gt;"",$J213=$K213,$J213&gt;=AP$3,$J213&lt;=IF(param_mode_affichage="mois",EOMONTH(AP$3,0),AP$3+6)),"◆",""))</f>
      </c>
      <c r="AQ213" s="26">
        <f>IF(OR($A213="",AQ$3=""),"",IF(AND($J213&lt;&gt;"",$K213&lt;&gt;"",$J213=$K213,$J213&gt;=AQ$3,$J213&lt;=IF(param_mode_affichage="mois",EOMONTH(AQ$3,0),AQ$3+6)),"◆",""))</f>
      </c>
      <c r="AR213" s="26">
        <f>IF(OR($A213="",AR$3=""),"",IF(AND($J213&lt;&gt;"",$K213&lt;&gt;"",$J213=$K213,$J213&gt;=AR$3,$J213&lt;=IF(param_mode_affichage="mois",EOMONTH(AR$3,0),AR$3+6)),"◆",""))</f>
      </c>
      <c r="AS213" s="26">
        <f>IF(OR($A213="",AS$3=""),"",IF(AND($J213&lt;&gt;"",$K213&lt;&gt;"",$J213=$K213,$J213&gt;=AS$3,$J213&lt;=IF(param_mode_affichage="mois",EOMONTH(AS$3,0),AS$3+6)),"◆",""))</f>
      </c>
      <c r="AT213" s="26">
        <f>IF(OR($A213="",AT$3=""),"",IF(AND($J213&lt;&gt;"",$K213&lt;&gt;"",$J213=$K213,$J213&gt;=AT$3,$J213&lt;=IF(param_mode_affichage="mois",EOMONTH(AT$3,0),AT$3+6)),"◆",""))</f>
      </c>
      <c r="AU213" s="26">
        <f>IF(OR($A213="",AU$3=""),"",IF(AND($J213&lt;&gt;"",$K213&lt;&gt;"",$J213=$K213,$J213&gt;=AU$3,$J213&lt;=IF(param_mode_affichage="mois",EOMONTH(AU$3,0),AU$3+6)),"◆",""))</f>
      </c>
      <c r="AV213" s="26">
        <f>IF(OR($A213="",AV$3=""),"",IF(AND($J213&lt;&gt;"",$K213&lt;&gt;"",$J213=$K213,$J213&gt;=AV$3,$J213&lt;=IF(param_mode_affichage="mois",EOMONTH(AV$3,0),AV$3+6)),"◆",""))</f>
      </c>
      <c r="AW213" s="26">
        <f>IF(OR($A213="",AW$3=""),"",IF(AND($J213&lt;&gt;"",$K213&lt;&gt;"",$J213=$K213,$J213&gt;=AW$3,$J213&lt;=IF(param_mode_affichage="mois",EOMONTH(AW$3,0),AW$3+6)),"◆",""))</f>
      </c>
      <c r="AX213" s="26">
        <f>IF(OR($A213="",AX$3=""),"",IF(AND($J213&lt;&gt;"",$K213&lt;&gt;"",$J213=$K213,$J213&gt;=AX$3,$J213&lt;=IF(param_mode_affichage="mois",EOMONTH(AX$3,0),AX$3+6)),"◆",""))</f>
      </c>
      <c r="AY213" s="26">
        <f>IF(OR($A213="",AY$3=""),"",IF(AND($J213&lt;&gt;"",$K213&lt;&gt;"",$J213=$K213,$J213&gt;=AY$3,$J213&lt;=IF(param_mode_affichage="mois",EOMONTH(AY$3,0),AY$3+6)),"◆",""))</f>
      </c>
      <c r="AZ213" s="26">
        <f>IF(OR($A213="",AZ$3=""),"",IF(AND($J213&lt;&gt;"",$K213&lt;&gt;"",$J213=$K213,$J213&gt;=AZ$3,$J213&lt;=IF(param_mode_affichage="mois",EOMONTH(AZ$3,0),AZ$3+6)),"◆",""))</f>
      </c>
      <c r="BA213" s="26">
        <f>IF(OR($A213="",BA$3=""),"",IF(AND($J213&lt;&gt;"",$K213&lt;&gt;"",$J213=$K213,$J213&gt;=BA$3,$J213&lt;=IF(param_mode_affichage="mois",EOMONTH(BA$3,0),BA$3+6)),"◆",""))</f>
      </c>
      <c r="BB213" s="26">
        <f>IF(OR($A213="",BB$3=""),"",IF(AND($J213&lt;&gt;"",$K213&lt;&gt;"",$J213=$K213,$J213&gt;=BB$3,$J213&lt;=IF(param_mode_affichage="mois",EOMONTH(BB$3,0),BB$3+6)),"◆",""))</f>
      </c>
      <c r="BC213" s="26">
        <f>IF(OR($A213="",BC$3=""),"",IF(AND($J213&lt;&gt;"",$K213&lt;&gt;"",$J213=$K213,$J213&gt;=BC$3,$J213&lt;=IF(param_mode_affichage="mois",EOMONTH(BC$3,0),BC$3+6)),"◆",""))</f>
      </c>
      <c r="BD213" s="26">
        <f>IF(OR($A213="",BD$3=""),"",IF(AND($J213&lt;&gt;"",$K213&lt;&gt;"",$J213=$K213,$J213&gt;=BD$3,$J213&lt;=IF(param_mode_affichage="mois",EOMONTH(BD$3,0),BD$3+6)),"◆",""))</f>
      </c>
      <c r="BE213" s="26">
        <f>IF(OR($A213="",BE$3=""),"",IF(AND($J213&lt;&gt;"",$K213&lt;&gt;"",$J213=$K213,$J213&gt;=BE$3,$J213&lt;=IF(param_mode_affichage="mois",EOMONTH(BE$3,0),BE$3+6)),"◆",""))</f>
      </c>
      <c r="BF213" s="26">
        <f>IF(OR($A213="",BF$3=""),"",IF(AND($J213&lt;&gt;"",$K213&lt;&gt;"",$J213=$K213,$J213&gt;=BF$3,$J213&lt;=IF(param_mode_affichage="mois",EOMONTH(BF$3,0),BF$3+6)),"◆",""))</f>
      </c>
      <c r="BG213" s="26">
        <f>IF(OR($A213="",BG$3=""),"",IF(AND($J213&lt;&gt;"",$K213&lt;&gt;"",$J213=$K213,$J213&gt;=BG$3,$J213&lt;=IF(param_mode_affichage="mois",EOMONTH(BG$3,0),BG$3+6)),"◆",""))</f>
      </c>
      <c r="BH213" s="26">
        <f>IF(OR($A213="",BH$3=""),"",IF(AND($J213&lt;&gt;"",$K213&lt;&gt;"",$J213=$K213,$J213&gt;=BH$3,$J213&lt;=IF(param_mode_affichage="mois",EOMONTH(BH$3,0),BH$3+6)),"◆",""))</f>
      </c>
      <c r="BI213" s="26">
        <f>IF(OR($A213="",BI$3=""),"",IF(AND($J213&lt;&gt;"",$K213&lt;&gt;"",$J213=$K213,$J213&gt;=BI$3,$J213&lt;=IF(param_mode_affichage="mois",EOMONTH(BI$3,0),BI$3+6)),"◆",""))</f>
      </c>
      <c r="BJ213" s="26">
        <f>IF(OR($A213="",BJ$3=""),"",IF(AND($J213&lt;&gt;"",$K213&lt;&gt;"",$J213=$K213,$J213&gt;=BJ$3,$J213&lt;=IF(param_mode_affichage="mois",EOMONTH(BJ$3,0),BJ$3+6)),"◆",""))</f>
      </c>
      <c r="BK213" s="26">
        <f>IF(OR($A213="",BK$3=""),"",IF(AND($J213&lt;&gt;"",$K213&lt;&gt;"",$J213=$K213,$J213&gt;=BK$3,$J213&lt;=IF(param_mode_affichage="mois",EOMONTH(BK$3,0),BK$3+6)),"◆",""))</f>
      </c>
      <c r="BL213" s="26">
        <f>IF(OR($A213="",BL$3=""),"",IF(AND($J213&lt;&gt;"",$K213&lt;&gt;"",$J213=$K213,$J213&gt;=BL$3,$J213&lt;=IF(param_mode_affichage="mois",EOMONTH(BL$3,0),BL$3+6)),"◆",""))</f>
      </c>
    </row>
    <row r="214" spans="1:64" x14ac:dyDescent="0.25">
      <c r="A214" s="23">
        <f>IFERROR(INDEX(tblTasks[ID],ROW()-4),"")</f>
      </c>
      <c r="B214" s="24">
        <f>IF($A214="","",INDEX(tblTasks[Sujet],ROW()-4))</f>
      </c>
      <c r="C214" s="23">
        <f>IF($A214="","",INDEX(tblTasks[Responsable],ROW()-4))</f>
      </c>
      <c r="D214" s="23">
        <f>IF($A214="","",INDEX(tblTasks[Statut],ROW()-4))</f>
      </c>
      <c r="E214" s="23">
        <f>IF($A214="","",INDEX(tblTasks[Depend_de],ROW()-4))</f>
      </c>
      <c r="F214" s="23">
        <f>IF($A214="","",INDEX(tblTasks[Blocage],ROW()-4))</f>
      </c>
      <c r="G214" s="23">
        <f>IF($A214="","",INDEX(tblTasks[Niveau_criticite],ROW()-4))</f>
      </c>
      <c r="H214" s="23">
        <f>IF($A214="","",INDEX(tblTasks[Goulot],ROW()-4))</f>
      </c>
      <c r="I214" s="23">
        <f>IF($A214="","",IF(LOWER($F214)="oui","non",IF($E214="","oui",IFERROR(IF(LOWER(INDEX(tblTasks[Statut],MATCH($E214,tblTasks[ID],0)))="clos","oui","non"),"non"))))</f>
      </c>
      <c r="J214" s="25">
        <f>IF($A214="","",INDEX(tblTasks[Date_debut_prevue],ROW()-4))</f>
      </c>
      <c r="K214" s="25">
        <f>IF($A214="","",INDEX(tblTasks[Date_fin_prevue],ROW()-4))</f>
      </c>
      <c r="L214" s="23">
        <f>IF($A214="","",INDEX(tblTasks[Irreversibilite],ROW()-4))</f>
      </c>
      <c r="M214" s="26">
        <f>IF(OR($A214="",M$3=""),"",IF(AND($J214&lt;&gt;"",$K214&lt;&gt;"",$J214=$K214,$J214&gt;=M$3,$J214&lt;=IF(param_mode_affichage="mois",EOMONTH(M$3,0),M$3+6)),"◆",""))</f>
      </c>
      <c r="N214" s="26">
        <f>IF(OR($A214="",N$3=""),"",IF(AND($J214&lt;&gt;"",$K214&lt;&gt;"",$J214=$K214,$J214&gt;=N$3,$J214&lt;=IF(param_mode_affichage="mois",EOMONTH(N$3,0),N$3+6)),"◆",""))</f>
      </c>
      <c r="O214" s="26">
        <f>IF(OR($A214="",O$3=""),"",IF(AND($J214&lt;&gt;"",$K214&lt;&gt;"",$J214=$K214,$J214&gt;=O$3,$J214&lt;=IF(param_mode_affichage="mois",EOMONTH(O$3,0),O$3+6)),"◆",""))</f>
      </c>
      <c r="P214" s="26">
        <f>IF(OR($A214="",P$3=""),"",IF(AND($J214&lt;&gt;"",$K214&lt;&gt;"",$J214=$K214,$J214&gt;=P$3,$J214&lt;=IF(param_mode_affichage="mois",EOMONTH(P$3,0),P$3+6)),"◆",""))</f>
      </c>
      <c r="Q214" s="26">
        <f>IF(OR($A214="",Q$3=""),"",IF(AND($J214&lt;&gt;"",$K214&lt;&gt;"",$J214=$K214,$J214&gt;=Q$3,$J214&lt;=IF(param_mode_affichage="mois",EOMONTH(Q$3,0),Q$3+6)),"◆",""))</f>
      </c>
      <c r="R214" s="26">
        <f>IF(OR($A214="",R$3=""),"",IF(AND($J214&lt;&gt;"",$K214&lt;&gt;"",$J214=$K214,$J214&gt;=R$3,$J214&lt;=IF(param_mode_affichage="mois",EOMONTH(R$3,0),R$3+6)),"◆",""))</f>
      </c>
      <c r="S214" s="26">
        <f>IF(OR($A214="",S$3=""),"",IF(AND($J214&lt;&gt;"",$K214&lt;&gt;"",$J214=$K214,$J214&gt;=S$3,$J214&lt;=IF(param_mode_affichage="mois",EOMONTH(S$3,0),S$3+6)),"◆",""))</f>
      </c>
      <c r="T214" s="26">
        <f>IF(OR($A214="",T$3=""),"",IF(AND($J214&lt;&gt;"",$K214&lt;&gt;"",$J214=$K214,$J214&gt;=T$3,$J214&lt;=IF(param_mode_affichage="mois",EOMONTH(T$3,0),T$3+6)),"◆",""))</f>
      </c>
      <c r="U214" s="26">
        <f>IF(OR($A214="",U$3=""),"",IF(AND($J214&lt;&gt;"",$K214&lt;&gt;"",$J214=$K214,$J214&gt;=U$3,$J214&lt;=IF(param_mode_affichage="mois",EOMONTH(U$3,0),U$3+6)),"◆",""))</f>
      </c>
      <c r="V214" s="26">
        <f>IF(OR($A214="",V$3=""),"",IF(AND($J214&lt;&gt;"",$K214&lt;&gt;"",$J214=$K214,$J214&gt;=V$3,$J214&lt;=IF(param_mode_affichage="mois",EOMONTH(V$3,0),V$3+6)),"◆",""))</f>
      </c>
      <c r="W214" s="26">
        <f>IF(OR($A214="",W$3=""),"",IF(AND($J214&lt;&gt;"",$K214&lt;&gt;"",$J214=$K214,$J214&gt;=W$3,$J214&lt;=IF(param_mode_affichage="mois",EOMONTH(W$3,0),W$3+6)),"◆",""))</f>
      </c>
      <c r="X214" s="26">
        <f>IF(OR($A214="",X$3=""),"",IF(AND($J214&lt;&gt;"",$K214&lt;&gt;"",$J214=$K214,$J214&gt;=X$3,$J214&lt;=IF(param_mode_affichage="mois",EOMONTH(X$3,0),X$3+6)),"◆",""))</f>
      </c>
      <c r="Y214" s="26">
        <f>IF(OR($A214="",Y$3=""),"",IF(AND($J214&lt;&gt;"",$K214&lt;&gt;"",$J214=$K214,$J214&gt;=Y$3,$J214&lt;=IF(param_mode_affichage="mois",EOMONTH(Y$3,0),Y$3+6)),"◆",""))</f>
      </c>
      <c r="Z214" s="26">
        <f>IF(OR($A214="",Z$3=""),"",IF(AND($J214&lt;&gt;"",$K214&lt;&gt;"",$J214=$K214,$J214&gt;=Z$3,$J214&lt;=IF(param_mode_affichage="mois",EOMONTH(Z$3,0),Z$3+6)),"◆",""))</f>
      </c>
      <c r="AA214" s="26">
        <f>IF(OR($A214="",AA$3=""),"",IF(AND($J214&lt;&gt;"",$K214&lt;&gt;"",$J214=$K214,$J214&gt;=AA$3,$J214&lt;=IF(param_mode_affichage="mois",EOMONTH(AA$3,0),AA$3+6)),"◆",""))</f>
      </c>
      <c r="AB214" s="26">
        <f>IF(OR($A214="",AB$3=""),"",IF(AND($J214&lt;&gt;"",$K214&lt;&gt;"",$J214=$K214,$J214&gt;=AB$3,$J214&lt;=IF(param_mode_affichage="mois",EOMONTH(AB$3,0),AB$3+6)),"◆",""))</f>
      </c>
      <c r="AC214" s="26">
        <f>IF(OR($A214="",AC$3=""),"",IF(AND($J214&lt;&gt;"",$K214&lt;&gt;"",$J214=$K214,$J214&gt;=AC$3,$J214&lt;=IF(param_mode_affichage="mois",EOMONTH(AC$3,0),AC$3+6)),"◆",""))</f>
      </c>
      <c r="AD214" s="26">
        <f>IF(OR($A214="",AD$3=""),"",IF(AND($J214&lt;&gt;"",$K214&lt;&gt;"",$J214=$K214,$J214&gt;=AD$3,$J214&lt;=IF(param_mode_affichage="mois",EOMONTH(AD$3,0),AD$3+6)),"◆",""))</f>
      </c>
      <c r="AE214" s="26">
        <f>IF(OR($A214="",AE$3=""),"",IF(AND($J214&lt;&gt;"",$K214&lt;&gt;"",$J214=$K214,$J214&gt;=AE$3,$J214&lt;=IF(param_mode_affichage="mois",EOMONTH(AE$3,0),AE$3+6)),"◆",""))</f>
      </c>
      <c r="AF214" s="26">
        <f>IF(OR($A214="",AF$3=""),"",IF(AND($J214&lt;&gt;"",$K214&lt;&gt;"",$J214=$K214,$J214&gt;=AF$3,$J214&lt;=IF(param_mode_affichage="mois",EOMONTH(AF$3,0),AF$3+6)),"◆",""))</f>
      </c>
      <c r="AG214" s="26">
        <f>IF(OR($A214="",AG$3=""),"",IF(AND($J214&lt;&gt;"",$K214&lt;&gt;"",$J214=$K214,$J214&gt;=AG$3,$J214&lt;=IF(param_mode_affichage="mois",EOMONTH(AG$3,0),AG$3+6)),"◆",""))</f>
      </c>
      <c r="AH214" s="26">
        <f>IF(OR($A214="",AH$3=""),"",IF(AND($J214&lt;&gt;"",$K214&lt;&gt;"",$J214=$K214,$J214&gt;=AH$3,$J214&lt;=IF(param_mode_affichage="mois",EOMONTH(AH$3,0),AH$3+6)),"◆",""))</f>
      </c>
      <c r="AI214" s="26">
        <f>IF(OR($A214="",AI$3=""),"",IF(AND($J214&lt;&gt;"",$K214&lt;&gt;"",$J214=$K214,$J214&gt;=AI$3,$J214&lt;=IF(param_mode_affichage="mois",EOMONTH(AI$3,0),AI$3+6)),"◆",""))</f>
      </c>
      <c r="AJ214" s="26">
        <f>IF(OR($A214="",AJ$3=""),"",IF(AND($J214&lt;&gt;"",$K214&lt;&gt;"",$J214=$K214,$J214&gt;=AJ$3,$J214&lt;=IF(param_mode_affichage="mois",EOMONTH(AJ$3,0),AJ$3+6)),"◆",""))</f>
      </c>
      <c r="AK214" s="26">
        <f>IF(OR($A214="",AK$3=""),"",IF(AND($J214&lt;&gt;"",$K214&lt;&gt;"",$J214=$K214,$J214&gt;=AK$3,$J214&lt;=IF(param_mode_affichage="mois",EOMONTH(AK$3,0),AK$3+6)),"◆",""))</f>
      </c>
      <c r="AL214" s="26">
        <f>IF(OR($A214="",AL$3=""),"",IF(AND($J214&lt;&gt;"",$K214&lt;&gt;"",$J214=$K214,$J214&gt;=AL$3,$J214&lt;=IF(param_mode_affichage="mois",EOMONTH(AL$3,0),AL$3+6)),"◆",""))</f>
      </c>
      <c r="AM214" s="26">
        <f>IF(OR($A214="",AM$3=""),"",IF(AND($J214&lt;&gt;"",$K214&lt;&gt;"",$J214=$K214,$J214&gt;=AM$3,$J214&lt;=IF(param_mode_affichage="mois",EOMONTH(AM$3,0),AM$3+6)),"◆",""))</f>
      </c>
      <c r="AN214" s="26">
        <f>IF(OR($A214="",AN$3=""),"",IF(AND($J214&lt;&gt;"",$K214&lt;&gt;"",$J214=$K214,$J214&gt;=AN$3,$J214&lt;=IF(param_mode_affichage="mois",EOMONTH(AN$3,0),AN$3+6)),"◆",""))</f>
      </c>
      <c r="AO214" s="26">
        <f>IF(OR($A214="",AO$3=""),"",IF(AND($J214&lt;&gt;"",$K214&lt;&gt;"",$J214=$K214,$J214&gt;=AO$3,$J214&lt;=IF(param_mode_affichage="mois",EOMONTH(AO$3,0),AO$3+6)),"◆",""))</f>
      </c>
      <c r="AP214" s="26">
        <f>IF(OR($A214="",AP$3=""),"",IF(AND($J214&lt;&gt;"",$K214&lt;&gt;"",$J214=$K214,$J214&gt;=AP$3,$J214&lt;=IF(param_mode_affichage="mois",EOMONTH(AP$3,0),AP$3+6)),"◆",""))</f>
      </c>
      <c r="AQ214" s="26">
        <f>IF(OR($A214="",AQ$3=""),"",IF(AND($J214&lt;&gt;"",$K214&lt;&gt;"",$J214=$K214,$J214&gt;=AQ$3,$J214&lt;=IF(param_mode_affichage="mois",EOMONTH(AQ$3,0),AQ$3+6)),"◆",""))</f>
      </c>
      <c r="AR214" s="26">
        <f>IF(OR($A214="",AR$3=""),"",IF(AND($J214&lt;&gt;"",$K214&lt;&gt;"",$J214=$K214,$J214&gt;=AR$3,$J214&lt;=IF(param_mode_affichage="mois",EOMONTH(AR$3,0),AR$3+6)),"◆",""))</f>
      </c>
      <c r="AS214" s="26">
        <f>IF(OR($A214="",AS$3=""),"",IF(AND($J214&lt;&gt;"",$K214&lt;&gt;"",$J214=$K214,$J214&gt;=AS$3,$J214&lt;=IF(param_mode_affichage="mois",EOMONTH(AS$3,0),AS$3+6)),"◆",""))</f>
      </c>
      <c r="AT214" s="26">
        <f>IF(OR($A214="",AT$3=""),"",IF(AND($J214&lt;&gt;"",$K214&lt;&gt;"",$J214=$K214,$J214&gt;=AT$3,$J214&lt;=IF(param_mode_affichage="mois",EOMONTH(AT$3,0),AT$3+6)),"◆",""))</f>
      </c>
      <c r="AU214" s="26">
        <f>IF(OR($A214="",AU$3=""),"",IF(AND($J214&lt;&gt;"",$K214&lt;&gt;"",$J214=$K214,$J214&gt;=AU$3,$J214&lt;=IF(param_mode_affichage="mois",EOMONTH(AU$3,0),AU$3+6)),"◆",""))</f>
      </c>
      <c r="AV214" s="26">
        <f>IF(OR($A214="",AV$3=""),"",IF(AND($J214&lt;&gt;"",$K214&lt;&gt;"",$J214=$K214,$J214&gt;=AV$3,$J214&lt;=IF(param_mode_affichage="mois",EOMONTH(AV$3,0),AV$3+6)),"◆",""))</f>
      </c>
      <c r="AW214" s="26">
        <f>IF(OR($A214="",AW$3=""),"",IF(AND($J214&lt;&gt;"",$K214&lt;&gt;"",$J214=$K214,$J214&gt;=AW$3,$J214&lt;=IF(param_mode_affichage="mois",EOMONTH(AW$3,0),AW$3+6)),"◆",""))</f>
      </c>
      <c r="AX214" s="26">
        <f>IF(OR($A214="",AX$3=""),"",IF(AND($J214&lt;&gt;"",$K214&lt;&gt;"",$J214=$K214,$J214&gt;=AX$3,$J214&lt;=IF(param_mode_affichage="mois",EOMONTH(AX$3,0),AX$3+6)),"◆",""))</f>
      </c>
      <c r="AY214" s="26">
        <f>IF(OR($A214="",AY$3=""),"",IF(AND($J214&lt;&gt;"",$K214&lt;&gt;"",$J214=$K214,$J214&gt;=AY$3,$J214&lt;=IF(param_mode_affichage="mois",EOMONTH(AY$3,0),AY$3+6)),"◆",""))</f>
      </c>
      <c r="AZ214" s="26">
        <f>IF(OR($A214="",AZ$3=""),"",IF(AND($J214&lt;&gt;"",$K214&lt;&gt;"",$J214=$K214,$J214&gt;=AZ$3,$J214&lt;=IF(param_mode_affichage="mois",EOMONTH(AZ$3,0),AZ$3+6)),"◆",""))</f>
      </c>
      <c r="BA214" s="26">
        <f>IF(OR($A214="",BA$3=""),"",IF(AND($J214&lt;&gt;"",$K214&lt;&gt;"",$J214=$K214,$J214&gt;=BA$3,$J214&lt;=IF(param_mode_affichage="mois",EOMONTH(BA$3,0),BA$3+6)),"◆",""))</f>
      </c>
      <c r="BB214" s="26">
        <f>IF(OR($A214="",BB$3=""),"",IF(AND($J214&lt;&gt;"",$K214&lt;&gt;"",$J214=$K214,$J214&gt;=BB$3,$J214&lt;=IF(param_mode_affichage="mois",EOMONTH(BB$3,0),BB$3+6)),"◆",""))</f>
      </c>
      <c r="BC214" s="26">
        <f>IF(OR($A214="",BC$3=""),"",IF(AND($J214&lt;&gt;"",$K214&lt;&gt;"",$J214=$K214,$J214&gt;=BC$3,$J214&lt;=IF(param_mode_affichage="mois",EOMONTH(BC$3,0),BC$3+6)),"◆",""))</f>
      </c>
      <c r="BD214" s="26">
        <f>IF(OR($A214="",BD$3=""),"",IF(AND($J214&lt;&gt;"",$K214&lt;&gt;"",$J214=$K214,$J214&gt;=BD$3,$J214&lt;=IF(param_mode_affichage="mois",EOMONTH(BD$3,0),BD$3+6)),"◆",""))</f>
      </c>
      <c r="BE214" s="26">
        <f>IF(OR($A214="",BE$3=""),"",IF(AND($J214&lt;&gt;"",$K214&lt;&gt;"",$J214=$K214,$J214&gt;=BE$3,$J214&lt;=IF(param_mode_affichage="mois",EOMONTH(BE$3,0),BE$3+6)),"◆",""))</f>
      </c>
      <c r="BF214" s="26">
        <f>IF(OR($A214="",BF$3=""),"",IF(AND($J214&lt;&gt;"",$K214&lt;&gt;"",$J214=$K214,$J214&gt;=BF$3,$J214&lt;=IF(param_mode_affichage="mois",EOMONTH(BF$3,0),BF$3+6)),"◆",""))</f>
      </c>
      <c r="BG214" s="26">
        <f>IF(OR($A214="",BG$3=""),"",IF(AND($J214&lt;&gt;"",$K214&lt;&gt;"",$J214=$K214,$J214&gt;=BG$3,$J214&lt;=IF(param_mode_affichage="mois",EOMONTH(BG$3,0),BG$3+6)),"◆",""))</f>
      </c>
      <c r="BH214" s="26">
        <f>IF(OR($A214="",BH$3=""),"",IF(AND($J214&lt;&gt;"",$K214&lt;&gt;"",$J214=$K214,$J214&gt;=BH$3,$J214&lt;=IF(param_mode_affichage="mois",EOMONTH(BH$3,0),BH$3+6)),"◆",""))</f>
      </c>
      <c r="BI214" s="26">
        <f>IF(OR($A214="",BI$3=""),"",IF(AND($J214&lt;&gt;"",$K214&lt;&gt;"",$J214=$K214,$J214&gt;=BI$3,$J214&lt;=IF(param_mode_affichage="mois",EOMONTH(BI$3,0),BI$3+6)),"◆",""))</f>
      </c>
      <c r="BJ214" s="26">
        <f>IF(OR($A214="",BJ$3=""),"",IF(AND($J214&lt;&gt;"",$K214&lt;&gt;"",$J214=$K214,$J214&gt;=BJ$3,$J214&lt;=IF(param_mode_affichage="mois",EOMONTH(BJ$3,0),BJ$3+6)),"◆",""))</f>
      </c>
      <c r="BK214" s="26">
        <f>IF(OR($A214="",BK$3=""),"",IF(AND($J214&lt;&gt;"",$K214&lt;&gt;"",$J214=$K214,$J214&gt;=BK$3,$J214&lt;=IF(param_mode_affichage="mois",EOMONTH(BK$3,0),BK$3+6)),"◆",""))</f>
      </c>
      <c r="BL214" s="26">
        <f>IF(OR($A214="",BL$3=""),"",IF(AND($J214&lt;&gt;"",$K214&lt;&gt;"",$J214=$K214,$J214&gt;=BL$3,$J214&lt;=IF(param_mode_affichage="mois",EOMONTH(BL$3,0),BL$3+6)),"◆",""))</f>
      </c>
    </row>
    <row r="215" spans="1:64" x14ac:dyDescent="0.25">
      <c r="A215" s="23">
        <f>IFERROR(INDEX(tblTasks[ID],ROW()-4),"")</f>
      </c>
      <c r="B215" s="24">
        <f>IF($A215="","",INDEX(tblTasks[Sujet],ROW()-4))</f>
      </c>
      <c r="C215" s="23">
        <f>IF($A215="","",INDEX(tblTasks[Responsable],ROW()-4))</f>
      </c>
      <c r="D215" s="23">
        <f>IF($A215="","",INDEX(tblTasks[Statut],ROW()-4))</f>
      </c>
      <c r="E215" s="23">
        <f>IF($A215="","",INDEX(tblTasks[Depend_de],ROW()-4))</f>
      </c>
      <c r="F215" s="23">
        <f>IF($A215="","",INDEX(tblTasks[Blocage],ROW()-4))</f>
      </c>
      <c r="G215" s="23">
        <f>IF($A215="","",INDEX(tblTasks[Niveau_criticite],ROW()-4))</f>
      </c>
      <c r="H215" s="23">
        <f>IF($A215="","",INDEX(tblTasks[Goulot],ROW()-4))</f>
      </c>
      <c r="I215" s="23">
        <f>IF($A215="","",IF(LOWER($F215)="oui","non",IF($E215="","oui",IFERROR(IF(LOWER(INDEX(tblTasks[Statut],MATCH($E215,tblTasks[ID],0)))="clos","oui","non"),"non"))))</f>
      </c>
      <c r="J215" s="25">
        <f>IF($A215="","",INDEX(tblTasks[Date_debut_prevue],ROW()-4))</f>
      </c>
      <c r="K215" s="25">
        <f>IF($A215="","",INDEX(tblTasks[Date_fin_prevue],ROW()-4))</f>
      </c>
      <c r="L215" s="23">
        <f>IF($A215="","",INDEX(tblTasks[Irreversibilite],ROW()-4))</f>
      </c>
      <c r="M215" s="26">
        <f>IF(OR($A215="",M$3=""),"",IF(AND($J215&lt;&gt;"",$K215&lt;&gt;"",$J215=$K215,$J215&gt;=M$3,$J215&lt;=IF(param_mode_affichage="mois",EOMONTH(M$3,0),M$3+6)),"◆",""))</f>
      </c>
      <c r="N215" s="26">
        <f>IF(OR($A215="",N$3=""),"",IF(AND($J215&lt;&gt;"",$K215&lt;&gt;"",$J215=$K215,$J215&gt;=N$3,$J215&lt;=IF(param_mode_affichage="mois",EOMONTH(N$3,0),N$3+6)),"◆",""))</f>
      </c>
      <c r="O215" s="26">
        <f>IF(OR($A215="",O$3=""),"",IF(AND($J215&lt;&gt;"",$K215&lt;&gt;"",$J215=$K215,$J215&gt;=O$3,$J215&lt;=IF(param_mode_affichage="mois",EOMONTH(O$3,0),O$3+6)),"◆",""))</f>
      </c>
      <c r="P215" s="26">
        <f>IF(OR($A215="",P$3=""),"",IF(AND($J215&lt;&gt;"",$K215&lt;&gt;"",$J215=$K215,$J215&gt;=P$3,$J215&lt;=IF(param_mode_affichage="mois",EOMONTH(P$3,0),P$3+6)),"◆",""))</f>
      </c>
      <c r="Q215" s="26">
        <f>IF(OR($A215="",Q$3=""),"",IF(AND($J215&lt;&gt;"",$K215&lt;&gt;"",$J215=$K215,$J215&gt;=Q$3,$J215&lt;=IF(param_mode_affichage="mois",EOMONTH(Q$3,0),Q$3+6)),"◆",""))</f>
      </c>
      <c r="R215" s="26">
        <f>IF(OR($A215="",R$3=""),"",IF(AND($J215&lt;&gt;"",$K215&lt;&gt;"",$J215=$K215,$J215&gt;=R$3,$J215&lt;=IF(param_mode_affichage="mois",EOMONTH(R$3,0),R$3+6)),"◆",""))</f>
      </c>
      <c r="S215" s="26">
        <f>IF(OR($A215="",S$3=""),"",IF(AND($J215&lt;&gt;"",$K215&lt;&gt;"",$J215=$K215,$J215&gt;=S$3,$J215&lt;=IF(param_mode_affichage="mois",EOMONTH(S$3,0),S$3+6)),"◆",""))</f>
      </c>
      <c r="T215" s="26">
        <f>IF(OR($A215="",T$3=""),"",IF(AND($J215&lt;&gt;"",$K215&lt;&gt;"",$J215=$K215,$J215&gt;=T$3,$J215&lt;=IF(param_mode_affichage="mois",EOMONTH(T$3,0),T$3+6)),"◆",""))</f>
      </c>
      <c r="U215" s="26">
        <f>IF(OR($A215="",U$3=""),"",IF(AND($J215&lt;&gt;"",$K215&lt;&gt;"",$J215=$K215,$J215&gt;=U$3,$J215&lt;=IF(param_mode_affichage="mois",EOMONTH(U$3,0),U$3+6)),"◆",""))</f>
      </c>
      <c r="V215" s="26">
        <f>IF(OR($A215="",V$3=""),"",IF(AND($J215&lt;&gt;"",$K215&lt;&gt;"",$J215=$K215,$J215&gt;=V$3,$J215&lt;=IF(param_mode_affichage="mois",EOMONTH(V$3,0),V$3+6)),"◆",""))</f>
      </c>
      <c r="W215" s="26">
        <f>IF(OR($A215="",W$3=""),"",IF(AND($J215&lt;&gt;"",$K215&lt;&gt;"",$J215=$K215,$J215&gt;=W$3,$J215&lt;=IF(param_mode_affichage="mois",EOMONTH(W$3,0),W$3+6)),"◆",""))</f>
      </c>
      <c r="X215" s="26">
        <f>IF(OR($A215="",X$3=""),"",IF(AND($J215&lt;&gt;"",$K215&lt;&gt;"",$J215=$K215,$J215&gt;=X$3,$J215&lt;=IF(param_mode_affichage="mois",EOMONTH(X$3,0),X$3+6)),"◆",""))</f>
      </c>
      <c r="Y215" s="26">
        <f>IF(OR($A215="",Y$3=""),"",IF(AND($J215&lt;&gt;"",$K215&lt;&gt;"",$J215=$K215,$J215&gt;=Y$3,$J215&lt;=IF(param_mode_affichage="mois",EOMONTH(Y$3,0),Y$3+6)),"◆",""))</f>
      </c>
      <c r="Z215" s="26">
        <f>IF(OR($A215="",Z$3=""),"",IF(AND($J215&lt;&gt;"",$K215&lt;&gt;"",$J215=$K215,$J215&gt;=Z$3,$J215&lt;=IF(param_mode_affichage="mois",EOMONTH(Z$3,0),Z$3+6)),"◆",""))</f>
      </c>
      <c r="AA215" s="26">
        <f>IF(OR($A215="",AA$3=""),"",IF(AND($J215&lt;&gt;"",$K215&lt;&gt;"",$J215=$K215,$J215&gt;=AA$3,$J215&lt;=IF(param_mode_affichage="mois",EOMONTH(AA$3,0),AA$3+6)),"◆",""))</f>
      </c>
      <c r="AB215" s="26">
        <f>IF(OR($A215="",AB$3=""),"",IF(AND($J215&lt;&gt;"",$K215&lt;&gt;"",$J215=$K215,$J215&gt;=AB$3,$J215&lt;=IF(param_mode_affichage="mois",EOMONTH(AB$3,0),AB$3+6)),"◆",""))</f>
      </c>
      <c r="AC215" s="26">
        <f>IF(OR($A215="",AC$3=""),"",IF(AND($J215&lt;&gt;"",$K215&lt;&gt;"",$J215=$K215,$J215&gt;=AC$3,$J215&lt;=IF(param_mode_affichage="mois",EOMONTH(AC$3,0),AC$3+6)),"◆",""))</f>
      </c>
      <c r="AD215" s="26">
        <f>IF(OR($A215="",AD$3=""),"",IF(AND($J215&lt;&gt;"",$K215&lt;&gt;"",$J215=$K215,$J215&gt;=AD$3,$J215&lt;=IF(param_mode_affichage="mois",EOMONTH(AD$3,0),AD$3+6)),"◆",""))</f>
      </c>
      <c r="AE215" s="26">
        <f>IF(OR($A215="",AE$3=""),"",IF(AND($J215&lt;&gt;"",$K215&lt;&gt;"",$J215=$K215,$J215&gt;=AE$3,$J215&lt;=IF(param_mode_affichage="mois",EOMONTH(AE$3,0),AE$3+6)),"◆",""))</f>
      </c>
      <c r="AF215" s="26">
        <f>IF(OR($A215="",AF$3=""),"",IF(AND($J215&lt;&gt;"",$K215&lt;&gt;"",$J215=$K215,$J215&gt;=AF$3,$J215&lt;=IF(param_mode_affichage="mois",EOMONTH(AF$3,0),AF$3+6)),"◆",""))</f>
      </c>
      <c r="AG215" s="26">
        <f>IF(OR($A215="",AG$3=""),"",IF(AND($J215&lt;&gt;"",$K215&lt;&gt;"",$J215=$K215,$J215&gt;=AG$3,$J215&lt;=IF(param_mode_affichage="mois",EOMONTH(AG$3,0),AG$3+6)),"◆",""))</f>
      </c>
      <c r="AH215" s="26">
        <f>IF(OR($A215="",AH$3=""),"",IF(AND($J215&lt;&gt;"",$K215&lt;&gt;"",$J215=$K215,$J215&gt;=AH$3,$J215&lt;=IF(param_mode_affichage="mois",EOMONTH(AH$3,0),AH$3+6)),"◆",""))</f>
      </c>
      <c r="AI215" s="26">
        <f>IF(OR($A215="",AI$3=""),"",IF(AND($J215&lt;&gt;"",$K215&lt;&gt;"",$J215=$K215,$J215&gt;=AI$3,$J215&lt;=IF(param_mode_affichage="mois",EOMONTH(AI$3,0),AI$3+6)),"◆",""))</f>
      </c>
      <c r="AJ215" s="26">
        <f>IF(OR($A215="",AJ$3=""),"",IF(AND($J215&lt;&gt;"",$K215&lt;&gt;"",$J215=$K215,$J215&gt;=AJ$3,$J215&lt;=IF(param_mode_affichage="mois",EOMONTH(AJ$3,0),AJ$3+6)),"◆",""))</f>
      </c>
      <c r="AK215" s="26">
        <f>IF(OR($A215="",AK$3=""),"",IF(AND($J215&lt;&gt;"",$K215&lt;&gt;"",$J215=$K215,$J215&gt;=AK$3,$J215&lt;=IF(param_mode_affichage="mois",EOMONTH(AK$3,0),AK$3+6)),"◆",""))</f>
      </c>
      <c r="AL215" s="26">
        <f>IF(OR($A215="",AL$3=""),"",IF(AND($J215&lt;&gt;"",$K215&lt;&gt;"",$J215=$K215,$J215&gt;=AL$3,$J215&lt;=IF(param_mode_affichage="mois",EOMONTH(AL$3,0),AL$3+6)),"◆",""))</f>
      </c>
      <c r="AM215" s="26">
        <f>IF(OR($A215="",AM$3=""),"",IF(AND($J215&lt;&gt;"",$K215&lt;&gt;"",$J215=$K215,$J215&gt;=AM$3,$J215&lt;=IF(param_mode_affichage="mois",EOMONTH(AM$3,0),AM$3+6)),"◆",""))</f>
      </c>
      <c r="AN215" s="26">
        <f>IF(OR($A215="",AN$3=""),"",IF(AND($J215&lt;&gt;"",$K215&lt;&gt;"",$J215=$K215,$J215&gt;=AN$3,$J215&lt;=IF(param_mode_affichage="mois",EOMONTH(AN$3,0),AN$3+6)),"◆",""))</f>
      </c>
      <c r="AO215" s="26">
        <f>IF(OR($A215="",AO$3=""),"",IF(AND($J215&lt;&gt;"",$K215&lt;&gt;"",$J215=$K215,$J215&gt;=AO$3,$J215&lt;=IF(param_mode_affichage="mois",EOMONTH(AO$3,0),AO$3+6)),"◆",""))</f>
      </c>
      <c r="AP215" s="26">
        <f>IF(OR($A215="",AP$3=""),"",IF(AND($J215&lt;&gt;"",$K215&lt;&gt;"",$J215=$K215,$J215&gt;=AP$3,$J215&lt;=IF(param_mode_affichage="mois",EOMONTH(AP$3,0),AP$3+6)),"◆",""))</f>
      </c>
      <c r="AQ215" s="26">
        <f>IF(OR($A215="",AQ$3=""),"",IF(AND($J215&lt;&gt;"",$K215&lt;&gt;"",$J215=$K215,$J215&gt;=AQ$3,$J215&lt;=IF(param_mode_affichage="mois",EOMONTH(AQ$3,0),AQ$3+6)),"◆",""))</f>
      </c>
      <c r="AR215" s="26">
        <f>IF(OR($A215="",AR$3=""),"",IF(AND($J215&lt;&gt;"",$K215&lt;&gt;"",$J215=$K215,$J215&gt;=AR$3,$J215&lt;=IF(param_mode_affichage="mois",EOMONTH(AR$3,0),AR$3+6)),"◆",""))</f>
      </c>
      <c r="AS215" s="26">
        <f>IF(OR($A215="",AS$3=""),"",IF(AND($J215&lt;&gt;"",$K215&lt;&gt;"",$J215=$K215,$J215&gt;=AS$3,$J215&lt;=IF(param_mode_affichage="mois",EOMONTH(AS$3,0),AS$3+6)),"◆",""))</f>
      </c>
      <c r="AT215" s="26">
        <f>IF(OR($A215="",AT$3=""),"",IF(AND($J215&lt;&gt;"",$K215&lt;&gt;"",$J215=$K215,$J215&gt;=AT$3,$J215&lt;=IF(param_mode_affichage="mois",EOMONTH(AT$3,0),AT$3+6)),"◆",""))</f>
      </c>
      <c r="AU215" s="26">
        <f>IF(OR($A215="",AU$3=""),"",IF(AND($J215&lt;&gt;"",$K215&lt;&gt;"",$J215=$K215,$J215&gt;=AU$3,$J215&lt;=IF(param_mode_affichage="mois",EOMONTH(AU$3,0),AU$3+6)),"◆",""))</f>
      </c>
      <c r="AV215" s="26">
        <f>IF(OR($A215="",AV$3=""),"",IF(AND($J215&lt;&gt;"",$K215&lt;&gt;"",$J215=$K215,$J215&gt;=AV$3,$J215&lt;=IF(param_mode_affichage="mois",EOMONTH(AV$3,0),AV$3+6)),"◆",""))</f>
      </c>
      <c r="AW215" s="26">
        <f>IF(OR($A215="",AW$3=""),"",IF(AND($J215&lt;&gt;"",$K215&lt;&gt;"",$J215=$K215,$J215&gt;=AW$3,$J215&lt;=IF(param_mode_affichage="mois",EOMONTH(AW$3,0),AW$3+6)),"◆",""))</f>
      </c>
      <c r="AX215" s="26">
        <f>IF(OR($A215="",AX$3=""),"",IF(AND($J215&lt;&gt;"",$K215&lt;&gt;"",$J215=$K215,$J215&gt;=AX$3,$J215&lt;=IF(param_mode_affichage="mois",EOMONTH(AX$3,0),AX$3+6)),"◆",""))</f>
      </c>
      <c r="AY215" s="26">
        <f>IF(OR($A215="",AY$3=""),"",IF(AND($J215&lt;&gt;"",$K215&lt;&gt;"",$J215=$K215,$J215&gt;=AY$3,$J215&lt;=IF(param_mode_affichage="mois",EOMONTH(AY$3,0),AY$3+6)),"◆",""))</f>
      </c>
      <c r="AZ215" s="26">
        <f>IF(OR($A215="",AZ$3=""),"",IF(AND($J215&lt;&gt;"",$K215&lt;&gt;"",$J215=$K215,$J215&gt;=AZ$3,$J215&lt;=IF(param_mode_affichage="mois",EOMONTH(AZ$3,0),AZ$3+6)),"◆",""))</f>
      </c>
      <c r="BA215" s="26">
        <f>IF(OR($A215="",BA$3=""),"",IF(AND($J215&lt;&gt;"",$K215&lt;&gt;"",$J215=$K215,$J215&gt;=BA$3,$J215&lt;=IF(param_mode_affichage="mois",EOMONTH(BA$3,0),BA$3+6)),"◆",""))</f>
      </c>
      <c r="BB215" s="26">
        <f>IF(OR($A215="",BB$3=""),"",IF(AND($J215&lt;&gt;"",$K215&lt;&gt;"",$J215=$K215,$J215&gt;=BB$3,$J215&lt;=IF(param_mode_affichage="mois",EOMONTH(BB$3,0),BB$3+6)),"◆",""))</f>
      </c>
      <c r="BC215" s="26">
        <f>IF(OR($A215="",BC$3=""),"",IF(AND($J215&lt;&gt;"",$K215&lt;&gt;"",$J215=$K215,$J215&gt;=BC$3,$J215&lt;=IF(param_mode_affichage="mois",EOMONTH(BC$3,0),BC$3+6)),"◆",""))</f>
      </c>
      <c r="BD215" s="26">
        <f>IF(OR($A215="",BD$3=""),"",IF(AND($J215&lt;&gt;"",$K215&lt;&gt;"",$J215=$K215,$J215&gt;=BD$3,$J215&lt;=IF(param_mode_affichage="mois",EOMONTH(BD$3,0),BD$3+6)),"◆",""))</f>
      </c>
      <c r="BE215" s="26">
        <f>IF(OR($A215="",BE$3=""),"",IF(AND($J215&lt;&gt;"",$K215&lt;&gt;"",$J215=$K215,$J215&gt;=BE$3,$J215&lt;=IF(param_mode_affichage="mois",EOMONTH(BE$3,0),BE$3+6)),"◆",""))</f>
      </c>
      <c r="BF215" s="26">
        <f>IF(OR($A215="",BF$3=""),"",IF(AND($J215&lt;&gt;"",$K215&lt;&gt;"",$J215=$K215,$J215&gt;=BF$3,$J215&lt;=IF(param_mode_affichage="mois",EOMONTH(BF$3,0),BF$3+6)),"◆",""))</f>
      </c>
      <c r="BG215" s="26">
        <f>IF(OR($A215="",BG$3=""),"",IF(AND($J215&lt;&gt;"",$K215&lt;&gt;"",$J215=$K215,$J215&gt;=BG$3,$J215&lt;=IF(param_mode_affichage="mois",EOMONTH(BG$3,0),BG$3+6)),"◆",""))</f>
      </c>
      <c r="BH215" s="26">
        <f>IF(OR($A215="",BH$3=""),"",IF(AND($J215&lt;&gt;"",$K215&lt;&gt;"",$J215=$K215,$J215&gt;=BH$3,$J215&lt;=IF(param_mode_affichage="mois",EOMONTH(BH$3,0),BH$3+6)),"◆",""))</f>
      </c>
      <c r="BI215" s="26">
        <f>IF(OR($A215="",BI$3=""),"",IF(AND($J215&lt;&gt;"",$K215&lt;&gt;"",$J215=$K215,$J215&gt;=BI$3,$J215&lt;=IF(param_mode_affichage="mois",EOMONTH(BI$3,0),BI$3+6)),"◆",""))</f>
      </c>
      <c r="BJ215" s="26">
        <f>IF(OR($A215="",BJ$3=""),"",IF(AND($J215&lt;&gt;"",$K215&lt;&gt;"",$J215=$K215,$J215&gt;=BJ$3,$J215&lt;=IF(param_mode_affichage="mois",EOMONTH(BJ$3,0),BJ$3+6)),"◆",""))</f>
      </c>
      <c r="BK215" s="26">
        <f>IF(OR($A215="",BK$3=""),"",IF(AND($J215&lt;&gt;"",$K215&lt;&gt;"",$J215=$K215,$J215&gt;=BK$3,$J215&lt;=IF(param_mode_affichage="mois",EOMONTH(BK$3,0),BK$3+6)),"◆",""))</f>
      </c>
      <c r="BL215" s="26">
        <f>IF(OR($A215="",BL$3=""),"",IF(AND($J215&lt;&gt;"",$K215&lt;&gt;"",$J215=$K215,$J215&gt;=BL$3,$J215&lt;=IF(param_mode_affichage="mois",EOMONTH(BL$3,0),BL$3+6)),"◆",""))</f>
      </c>
    </row>
    <row r="216" spans="1:64" x14ac:dyDescent="0.25">
      <c r="A216" s="23">
        <f>IFERROR(INDEX(tblTasks[ID],ROW()-4),"")</f>
      </c>
      <c r="B216" s="24">
        <f>IF($A216="","",INDEX(tblTasks[Sujet],ROW()-4))</f>
      </c>
      <c r="C216" s="23">
        <f>IF($A216="","",INDEX(tblTasks[Responsable],ROW()-4))</f>
      </c>
      <c r="D216" s="23">
        <f>IF($A216="","",INDEX(tblTasks[Statut],ROW()-4))</f>
      </c>
      <c r="E216" s="23">
        <f>IF($A216="","",INDEX(tblTasks[Depend_de],ROW()-4))</f>
      </c>
      <c r="F216" s="23">
        <f>IF($A216="","",INDEX(tblTasks[Blocage],ROW()-4))</f>
      </c>
      <c r="G216" s="23">
        <f>IF($A216="","",INDEX(tblTasks[Niveau_criticite],ROW()-4))</f>
      </c>
      <c r="H216" s="23">
        <f>IF($A216="","",INDEX(tblTasks[Goulot],ROW()-4))</f>
      </c>
      <c r="I216" s="23">
        <f>IF($A216="","",IF(LOWER($F216)="oui","non",IF($E216="","oui",IFERROR(IF(LOWER(INDEX(tblTasks[Statut],MATCH($E216,tblTasks[ID],0)))="clos","oui","non"),"non"))))</f>
      </c>
      <c r="J216" s="25">
        <f>IF($A216="","",INDEX(tblTasks[Date_debut_prevue],ROW()-4))</f>
      </c>
      <c r="K216" s="25">
        <f>IF($A216="","",INDEX(tblTasks[Date_fin_prevue],ROW()-4))</f>
      </c>
      <c r="L216" s="23">
        <f>IF($A216="","",INDEX(tblTasks[Irreversibilite],ROW()-4))</f>
      </c>
      <c r="M216" s="26">
        <f>IF(OR($A216="",M$3=""),"",IF(AND($J216&lt;&gt;"",$K216&lt;&gt;"",$J216=$K216,$J216&gt;=M$3,$J216&lt;=IF(param_mode_affichage="mois",EOMONTH(M$3,0),M$3+6)),"◆",""))</f>
      </c>
      <c r="N216" s="26">
        <f>IF(OR($A216="",N$3=""),"",IF(AND($J216&lt;&gt;"",$K216&lt;&gt;"",$J216=$K216,$J216&gt;=N$3,$J216&lt;=IF(param_mode_affichage="mois",EOMONTH(N$3,0),N$3+6)),"◆",""))</f>
      </c>
      <c r="O216" s="26">
        <f>IF(OR($A216="",O$3=""),"",IF(AND($J216&lt;&gt;"",$K216&lt;&gt;"",$J216=$K216,$J216&gt;=O$3,$J216&lt;=IF(param_mode_affichage="mois",EOMONTH(O$3,0),O$3+6)),"◆",""))</f>
      </c>
      <c r="P216" s="26">
        <f>IF(OR($A216="",P$3=""),"",IF(AND($J216&lt;&gt;"",$K216&lt;&gt;"",$J216=$K216,$J216&gt;=P$3,$J216&lt;=IF(param_mode_affichage="mois",EOMONTH(P$3,0),P$3+6)),"◆",""))</f>
      </c>
      <c r="Q216" s="26">
        <f>IF(OR($A216="",Q$3=""),"",IF(AND($J216&lt;&gt;"",$K216&lt;&gt;"",$J216=$K216,$J216&gt;=Q$3,$J216&lt;=IF(param_mode_affichage="mois",EOMONTH(Q$3,0),Q$3+6)),"◆",""))</f>
      </c>
      <c r="R216" s="26">
        <f>IF(OR($A216="",R$3=""),"",IF(AND($J216&lt;&gt;"",$K216&lt;&gt;"",$J216=$K216,$J216&gt;=R$3,$J216&lt;=IF(param_mode_affichage="mois",EOMONTH(R$3,0),R$3+6)),"◆",""))</f>
      </c>
      <c r="S216" s="26">
        <f>IF(OR($A216="",S$3=""),"",IF(AND($J216&lt;&gt;"",$K216&lt;&gt;"",$J216=$K216,$J216&gt;=S$3,$J216&lt;=IF(param_mode_affichage="mois",EOMONTH(S$3,0),S$3+6)),"◆",""))</f>
      </c>
      <c r="T216" s="26">
        <f>IF(OR($A216="",T$3=""),"",IF(AND($J216&lt;&gt;"",$K216&lt;&gt;"",$J216=$K216,$J216&gt;=T$3,$J216&lt;=IF(param_mode_affichage="mois",EOMONTH(T$3,0),T$3+6)),"◆",""))</f>
      </c>
      <c r="U216" s="26">
        <f>IF(OR($A216="",U$3=""),"",IF(AND($J216&lt;&gt;"",$K216&lt;&gt;"",$J216=$K216,$J216&gt;=U$3,$J216&lt;=IF(param_mode_affichage="mois",EOMONTH(U$3,0),U$3+6)),"◆",""))</f>
      </c>
      <c r="V216" s="26">
        <f>IF(OR($A216="",V$3=""),"",IF(AND($J216&lt;&gt;"",$K216&lt;&gt;"",$J216=$K216,$J216&gt;=V$3,$J216&lt;=IF(param_mode_affichage="mois",EOMONTH(V$3,0),V$3+6)),"◆",""))</f>
      </c>
      <c r="W216" s="26">
        <f>IF(OR($A216="",W$3=""),"",IF(AND($J216&lt;&gt;"",$K216&lt;&gt;"",$J216=$K216,$J216&gt;=W$3,$J216&lt;=IF(param_mode_affichage="mois",EOMONTH(W$3,0),W$3+6)),"◆",""))</f>
      </c>
      <c r="X216" s="26">
        <f>IF(OR($A216="",X$3=""),"",IF(AND($J216&lt;&gt;"",$K216&lt;&gt;"",$J216=$K216,$J216&gt;=X$3,$J216&lt;=IF(param_mode_affichage="mois",EOMONTH(X$3,0),X$3+6)),"◆",""))</f>
      </c>
      <c r="Y216" s="26">
        <f>IF(OR($A216="",Y$3=""),"",IF(AND($J216&lt;&gt;"",$K216&lt;&gt;"",$J216=$K216,$J216&gt;=Y$3,$J216&lt;=IF(param_mode_affichage="mois",EOMONTH(Y$3,0),Y$3+6)),"◆",""))</f>
      </c>
      <c r="Z216" s="26">
        <f>IF(OR($A216="",Z$3=""),"",IF(AND($J216&lt;&gt;"",$K216&lt;&gt;"",$J216=$K216,$J216&gt;=Z$3,$J216&lt;=IF(param_mode_affichage="mois",EOMONTH(Z$3,0),Z$3+6)),"◆",""))</f>
      </c>
      <c r="AA216" s="26">
        <f>IF(OR($A216="",AA$3=""),"",IF(AND($J216&lt;&gt;"",$K216&lt;&gt;"",$J216=$K216,$J216&gt;=AA$3,$J216&lt;=IF(param_mode_affichage="mois",EOMONTH(AA$3,0),AA$3+6)),"◆",""))</f>
      </c>
      <c r="AB216" s="26">
        <f>IF(OR($A216="",AB$3=""),"",IF(AND($J216&lt;&gt;"",$K216&lt;&gt;"",$J216=$K216,$J216&gt;=AB$3,$J216&lt;=IF(param_mode_affichage="mois",EOMONTH(AB$3,0),AB$3+6)),"◆",""))</f>
      </c>
      <c r="AC216" s="26">
        <f>IF(OR($A216="",AC$3=""),"",IF(AND($J216&lt;&gt;"",$K216&lt;&gt;"",$J216=$K216,$J216&gt;=AC$3,$J216&lt;=IF(param_mode_affichage="mois",EOMONTH(AC$3,0),AC$3+6)),"◆",""))</f>
      </c>
      <c r="AD216" s="26">
        <f>IF(OR($A216="",AD$3=""),"",IF(AND($J216&lt;&gt;"",$K216&lt;&gt;"",$J216=$K216,$J216&gt;=AD$3,$J216&lt;=IF(param_mode_affichage="mois",EOMONTH(AD$3,0),AD$3+6)),"◆",""))</f>
      </c>
      <c r="AE216" s="26">
        <f>IF(OR($A216="",AE$3=""),"",IF(AND($J216&lt;&gt;"",$K216&lt;&gt;"",$J216=$K216,$J216&gt;=AE$3,$J216&lt;=IF(param_mode_affichage="mois",EOMONTH(AE$3,0),AE$3+6)),"◆",""))</f>
      </c>
      <c r="AF216" s="26">
        <f>IF(OR($A216="",AF$3=""),"",IF(AND($J216&lt;&gt;"",$K216&lt;&gt;"",$J216=$K216,$J216&gt;=AF$3,$J216&lt;=IF(param_mode_affichage="mois",EOMONTH(AF$3,0),AF$3+6)),"◆",""))</f>
      </c>
      <c r="AG216" s="26">
        <f>IF(OR($A216="",AG$3=""),"",IF(AND($J216&lt;&gt;"",$K216&lt;&gt;"",$J216=$K216,$J216&gt;=AG$3,$J216&lt;=IF(param_mode_affichage="mois",EOMONTH(AG$3,0),AG$3+6)),"◆",""))</f>
      </c>
      <c r="AH216" s="26">
        <f>IF(OR($A216="",AH$3=""),"",IF(AND($J216&lt;&gt;"",$K216&lt;&gt;"",$J216=$K216,$J216&gt;=AH$3,$J216&lt;=IF(param_mode_affichage="mois",EOMONTH(AH$3,0),AH$3+6)),"◆",""))</f>
      </c>
      <c r="AI216" s="26">
        <f>IF(OR($A216="",AI$3=""),"",IF(AND($J216&lt;&gt;"",$K216&lt;&gt;"",$J216=$K216,$J216&gt;=AI$3,$J216&lt;=IF(param_mode_affichage="mois",EOMONTH(AI$3,0),AI$3+6)),"◆",""))</f>
      </c>
      <c r="AJ216" s="26">
        <f>IF(OR($A216="",AJ$3=""),"",IF(AND($J216&lt;&gt;"",$K216&lt;&gt;"",$J216=$K216,$J216&gt;=AJ$3,$J216&lt;=IF(param_mode_affichage="mois",EOMONTH(AJ$3,0),AJ$3+6)),"◆",""))</f>
      </c>
      <c r="AK216" s="26">
        <f>IF(OR($A216="",AK$3=""),"",IF(AND($J216&lt;&gt;"",$K216&lt;&gt;"",$J216=$K216,$J216&gt;=AK$3,$J216&lt;=IF(param_mode_affichage="mois",EOMONTH(AK$3,0),AK$3+6)),"◆",""))</f>
      </c>
      <c r="AL216" s="26">
        <f>IF(OR($A216="",AL$3=""),"",IF(AND($J216&lt;&gt;"",$K216&lt;&gt;"",$J216=$K216,$J216&gt;=AL$3,$J216&lt;=IF(param_mode_affichage="mois",EOMONTH(AL$3,0),AL$3+6)),"◆",""))</f>
      </c>
      <c r="AM216" s="26">
        <f>IF(OR($A216="",AM$3=""),"",IF(AND($J216&lt;&gt;"",$K216&lt;&gt;"",$J216=$K216,$J216&gt;=AM$3,$J216&lt;=IF(param_mode_affichage="mois",EOMONTH(AM$3,0),AM$3+6)),"◆",""))</f>
      </c>
      <c r="AN216" s="26">
        <f>IF(OR($A216="",AN$3=""),"",IF(AND($J216&lt;&gt;"",$K216&lt;&gt;"",$J216=$K216,$J216&gt;=AN$3,$J216&lt;=IF(param_mode_affichage="mois",EOMONTH(AN$3,0),AN$3+6)),"◆",""))</f>
      </c>
      <c r="AO216" s="26">
        <f>IF(OR($A216="",AO$3=""),"",IF(AND($J216&lt;&gt;"",$K216&lt;&gt;"",$J216=$K216,$J216&gt;=AO$3,$J216&lt;=IF(param_mode_affichage="mois",EOMONTH(AO$3,0),AO$3+6)),"◆",""))</f>
      </c>
      <c r="AP216" s="26">
        <f>IF(OR($A216="",AP$3=""),"",IF(AND($J216&lt;&gt;"",$K216&lt;&gt;"",$J216=$K216,$J216&gt;=AP$3,$J216&lt;=IF(param_mode_affichage="mois",EOMONTH(AP$3,0),AP$3+6)),"◆",""))</f>
      </c>
      <c r="AQ216" s="26">
        <f>IF(OR($A216="",AQ$3=""),"",IF(AND($J216&lt;&gt;"",$K216&lt;&gt;"",$J216=$K216,$J216&gt;=AQ$3,$J216&lt;=IF(param_mode_affichage="mois",EOMONTH(AQ$3,0),AQ$3+6)),"◆",""))</f>
      </c>
      <c r="AR216" s="26">
        <f>IF(OR($A216="",AR$3=""),"",IF(AND($J216&lt;&gt;"",$K216&lt;&gt;"",$J216=$K216,$J216&gt;=AR$3,$J216&lt;=IF(param_mode_affichage="mois",EOMONTH(AR$3,0),AR$3+6)),"◆",""))</f>
      </c>
      <c r="AS216" s="26">
        <f>IF(OR($A216="",AS$3=""),"",IF(AND($J216&lt;&gt;"",$K216&lt;&gt;"",$J216=$K216,$J216&gt;=AS$3,$J216&lt;=IF(param_mode_affichage="mois",EOMONTH(AS$3,0),AS$3+6)),"◆",""))</f>
      </c>
      <c r="AT216" s="26">
        <f>IF(OR($A216="",AT$3=""),"",IF(AND($J216&lt;&gt;"",$K216&lt;&gt;"",$J216=$K216,$J216&gt;=AT$3,$J216&lt;=IF(param_mode_affichage="mois",EOMONTH(AT$3,0),AT$3+6)),"◆",""))</f>
      </c>
      <c r="AU216" s="26">
        <f>IF(OR($A216="",AU$3=""),"",IF(AND($J216&lt;&gt;"",$K216&lt;&gt;"",$J216=$K216,$J216&gt;=AU$3,$J216&lt;=IF(param_mode_affichage="mois",EOMONTH(AU$3,0),AU$3+6)),"◆",""))</f>
      </c>
      <c r="AV216" s="26">
        <f>IF(OR($A216="",AV$3=""),"",IF(AND($J216&lt;&gt;"",$K216&lt;&gt;"",$J216=$K216,$J216&gt;=AV$3,$J216&lt;=IF(param_mode_affichage="mois",EOMONTH(AV$3,0),AV$3+6)),"◆",""))</f>
      </c>
      <c r="AW216" s="26">
        <f>IF(OR($A216="",AW$3=""),"",IF(AND($J216&lt;&gt;"",$K216&lt;&gt;"",$J216=$K216,$J216&gt;=AW$3,$J216&lt;=IF(param_mode_affichage="mois",EOMONTH(AW$3,0),AW$3+6)),"◆",""))</f>
      </c>
      <c r="AX216" s="26">
        <f>IF(OR($A216="",AX$3=""),"",IF(AND($J216&lt;&gt;"",$K216&lt;&gt;"",$J216=$K216,$J216&gt;=AX$3,$J216&lt;=IF(param_mode_affichage="mois",EOMONTH(AX$3,0),AX$3+6)),"◆",""))</f>
      </c>
      <c r="AY216" s="26">
        <f>IF(OR($A216="",AY$3=""),"",IF(AND($J216&lt;&gt;"",$K216&lt;&gt;"",$J216=$K216,$J216&gt;=AY$3,$J216&lt;=IF(param_mode_affichage="mois",EOMONTH(AY$3,0),AY$3+6)),"◆",""))</f>
      </c>
      <c r="AZ216" s="26">
        <f>IF(OR($A216="",AZ$3=""),"",IF(AND($J216&lt;&gt;"",$K216&lt;&gt;"",$J216=$K216,$J216&gt;=AZ$3,$J216&lt;=IF(param_mode_affichage="mois",EOMONTH(AZ$3,0),AZ$3+6)),"◆",""))</f>
      </c>
      <c r="BA216" s="26">
        <f>IF(OR($A216="",BA$3=""),"",IF(AND($J216&lt;&gt;"",$K216&lt;&gt;"",$J216=$K216,$J216&gt;=BA$3,$J216&lt;=IF(param_mode_affichage="mois",EOMONTH(BA$3,0),BA$3+6)),"◆",""))</f>
      </c>
      <c r="BB216" s="26">
        <f>IF(OR($A216="",BB$3=""),"",IF(AND($J216&lt;&gt;"",$K216&lt;&gt;"",$J216=$K216,$J216&gt;=BB$3,$J216&lt;=IF(param_mode_affichage="mois",EOMONTH(BB$3,0),BB$3+6)),"◆",""))</f>
      </c>
      <c r="BC216" s="26">
        <f>IF(OR($A216="",BC$3=""),"",IF(AND($J216&lt;&gt;"",$K216&lt;&gt;"",$J216=$K216,$J216&gt;=BC$3,$J216&lt;=IF(param_mode_affichage="mois",EOMONTH(BC$3,0),BC$3+6)),"◆",""))</f>
      </c>
      <c r="BD216" s="26">
        <f>IF(OR($A216="",BD$3=""),"",IF(AND($J216&lt;&gt;"",$K216&lt;&gt;"",$J216=$K216,$J216&gt;=BD$3,$J216&lt;=IF(param_mode_affichage="mois",EOMONTH(BD$3,0),BD$3+6)),"◆",""))</f>
      </c>
      <c r="BE216" s="26">
        <f>IF(OR($A216="",BE$3=""),"",IF(AND($J216&lt;&gt;"",$K216&lt;&gt;"",$J216=$K216,$J216&gt;=BE$3,$J216&lt;=IF(param_mode_affichage="mois",EOMONTH(BE$3,0),BE$3+6)),"◆",""))</f>
      </c>
      <c r="BF216" s="26">
        <f>IF(OR($A216="",BF$3=""),"",IF(AND($J216&lt;&gt;"",$K216&lt;&gt;"",$J216=$K216,$J216&gt;=BF$3,$J216&lt;=IF(param_mode_affichage="mois",EOMONTH(BF$3,0),BF$3+6)),"◆",""))</f>
      </c>
      <c r="BG216" s="26">
        <f>IF(OR($A216="",BG$3=""),"",IF(AND($J216&lt;&gt;"",$K216&lt;&gt;"",$J216=$K216,$J216&gt;=BG$3,$J216&lt;=IF(param_mode_affichage="mois",EOMONTH(BG$3,0),BG$3+6)),"◆",""))</f>
      </c>
      <c r="BH216" s="26">
        <f>IF(OR($A216="",BH$3=""),"",IF(AND($J216&lt;&gt;"",$K216&lt;&gt;"",$J216=$K216,$J216&gt;=BH$3,$J216&lt;=IF(param_mode_affichage="mois",EOMONTH(BH$3,0),BH$3+6)),"◆",""))</f>
      </c>
      <c r="BI216" s="26">
        <f>IF(OR($A216="",BI$3=""),"",IF(AND($J216&lt;&gt;"",$K216&lt;&gt;"",$J216=$K216,$J216&gt;=BI$3,$J216&lt;=IF(param_mode_affichage="mois",EOMONTH(BI$3,0),BI$3+6)),"◆",""))</f>
      </c>
      <c r="BJ216" s="26">
        <f>IF(OR($A216="",BJ$3=""),"",IF(AND($J216&lt;&gt;"",$K216&lt;&gt;"",$J216=$K216,$J216&gt;=BJ$3,$J216&lt;=IF(param_mode_affichage="mois",EOMONTH(BJ$3,0),BJ$3+6)),"◆",""))</f>
      </c>
      <c r="BK216" s="26">
        <f>IF(OR($A216="",BK$3=""),"",IF(AND($J216&lt;&gt;"",$K216&lt;&gt;"",$J216=$K216,$J216&gt;=BK$3,$J216&lt;=IF(param_mode_affichage="mois",EOMONTH(BK$3,0),BK$3+6)),"◆",""))</f>
      </c>
      <c r="BL216" s="26">
        <f>IF(OR($A216="",BL$3=""),"",IF(AND($J216&lt;&gt;"",$K216&lt;&gt;"",$J216=$K216,$J216&gt;=BL$3,$J216&lt;=IF(param_mode_affichage="mois",EOMONTH(BL$3,0),BL$3+6)),"◆",""))</f>
      </c>
    </row>
    <row r="217" spans="1:64" x14ac:dyDescent="0.25">
      <c r="A217" s="23">
        <f>IFERROR(INDEX(tblTasks[ID],ROW()-4),"")</f>
      </c>
      <c r="B217" s="24">
        <f>IF($A217="","",INDEX(tblTasks[Sujet],ROW()-4))</f>
      </c>
      <c r="C217" s="23">
        <f>IF($A217="","",INDEX(tblTasks[Responsable],ROW()-4))</f>
      </c>
      <c r="D217" s="23">
        <f>IF($A217="","",INDEX(tblTasks[Statut],ROW()-4))</f>
      </c>
      <c r="E217" s="23">
        <f>IF($A217="","",INDEX(tblTasks[Depend_de],ROW()-4))</f>
      </c>
      <c r="F217" s="23">
        <f>IF($A217="","",INDEX(tblTasks[Blocage],ROW()-4))</f>
      </c>
      <c r="G217" s="23">
        <f>IF($A217="","",INDEX(tblTasks[Niveau_criticite],ROW()-4))</f>
      </c>
      <c r="H217" s="23">
        <f>IF($A217="","",INDEX(tblTasks[Goulot],ROW()-4))</f>
      </c>
      <c r="I217" s="23">
        <f>IF($A217="","",IF(LOWER($F217)="oui","non",IF($E217="","oui",IFERROR(IF(LOWER(INDEX(tblTasks[Statut],MATCH($E217,tblTasks[ID],0)))="clos","oui","non"),"non"))))</f>
      </c>
      <c r="J217" s="25">
        <f>IF($A217="","",INDEX(tblTasks[Date_debut_prevue],ROW()-4))</f>
      </c>
      <c r="K217" s="25">
        <f>IF($A217="","",INDEX(tblTasks[Date_fin_prevue],ROW()-4))</f>
      </c>
      <c r="L217" s="23">
        <f>IF($A217="","",INDEX(tblTasks[Irreversibilite],ROW()-4))</f>
      </c>
      <c r="M217" s="26">
        <f>IF(OR($A217="",M$3=""),"",IF(AND($J217&lt;&gt;"",$K217&lt;&gt;"",$J217=$K217,$J217&gt;=M$3,$J217&lt;=IF(param_mode_affichage="mois",EOMONTH(M$3,0),M$3+6)),"◆",""))</f>
      </c>
      <c r="N217" s="26">
        <f>IF(OR($A217="",N$3=""),"",IF(AND($J217&lt;&gt;"",$K217&lt;&gt;"",$J217=$K217,$J217&gt;=N$3,$J217&lt;=IF(param_mode_affichage="mois",EOMONTH(N$3,0),N$3+6)),"◆",""))</f>
      </c>
      <c r="O217" s="26">
        <f>IF(OR($A217="",O$3=""),"",IF(AND($J217&lt;&gt;"",$K217&lt;&gt;"",$J217=$K217,$J217&gt;=O$3,$J217&lt;=IF(param_mode_affichage="mois",EOMONTH(O$3,0),O$3+6)),"◆",""))</f>
      </c>
      <c r="P217" s="26">
        <f>IF(OR($A217="",P$3=""),"",IF(AND($J217&lt;&gt;"",$K217&lt;&gt;"",$J217=$K217,$J217&gt;=P$3,$J217&lt;=IF(param_mode_affichage="mois",EOMONTH(P$3,0),P$3+6)),"◆",""))</f>
      </c>
      <c r="Q217" s="26">
        <f>IF(OR($A217="",Q$3=""),"",IF(AND($J217&lt;&gt;"",$K217&lt;&gt;"",$J217=$K217,$J217&gt;=Q$3,$J217&lt;=IF(param_mode_affichage="mois",EOMONTH(Q$3,0),Q$3+6)),"◆",""))</f>
      </c>
      <c r="R217" s="26">
        <f>IF(OR($A217="",R$3=""),"",IF(AND($J217&lt;&gt;"",$K217&lt;&gt;"",$J217=$K217,$J217&gt;=R$3,$J217&lt;=IF(param_mode_affichage="mois",EOMONTH(R$3,0),R$3+6)),"◆",""))</f>
      </c>
      <c r="S217" s="26">
        <f>IF(OR($A217="",S$3=""),"",IF(AND($J217&lt;&gt;"",$K217&lt;&gt;"",$J217=$K217,$J217&gt;=S$3,$J217&lt;=IF(param_mode_affichage="mois",EOMONTH(S$3,0),S$3+6)),"◆",""))</f>
      </c>
      <c r="T217" s="26">
        <f>IF(OR($A217="",T$3=""),"",IF(AND($J217&lt;&gt;"",$K217&lt;&gt;"",$J217=$K217,$J217&gt;=T$3,$J217&lt;=IF(param_mode_affichage="mois",EOMONTH(T$3,0),T$3+6)),"◆",""))</f>
      </c>
      <c r="U217" s="26">
        <f>IF(OR($A217="",U$3=""),"",IF(AND($J217&lt;&gt;"",$K217&lt;&gt;"",$J217=$K217,$J217&gt;=U$3,$J217&lt;=IF(param_mode_affichage="mois",EOMONTH(U$3,0),U$3+6)),"◆",""))</f>
      </c>
      <c r="V217" s="26">
        <f>IF(OR($A217="",V$3=""),"",IF(AND($J217&lt;&gt;"",$K217&lt;&gt;"",$J217=$K217,$J217&gt;=V$3,$J217&lt;=IF(param_mode_affichage="mois",EOMONTH(V$3,0),V$3+6)),"◆",""))</f>
      </c>
      <c r="W217" s="26">
        <f>IF(OR($A217="",W$3=""),"",IF(AND($J217&lt;&gt;"",$K217&lt;&gt;"",$J217=$K217,$J217&gt;=W$3,$J217&lt;=IF(param_mode_affichage="mois",EOMONTH(W$3,0),W$3+6)),"◆",""))</f>
      </c>
      <c r="X217" s="26">
        <f>IF(OR($A217="",X$3=""),"",IF(AND($J217&lt;&gt;"",$K217&lt;&gt;"",$J217=$K217,$J217&gt;=X$3,$J217&lt;=IF(param_mode_affichage="mois",EOMONTH(X$3,0),X$3+6)),"◆",""))</f>
      </c>
      <c r="Y217" s="26">
        <f>IF(OR($A217="",Y$3=""),"",IF(AND($J217&lt;&gt;"",$K217&lt;&gt;"",$J217=$K217,$J217&gt;=Y$3,$J217&lt;=IF(param_mode_affichage="mois",EOMONTH(Y$3,0),Y$3+6)),"◆",""))</f>
      </c>
      <c r="Z217" s="26">
        <f>IF(OR($A217="",Z$3=""),"",IF(AND($J217&lt;&gt;"",$K217&lt;&gt;"",$J217=$K217,$J217&gt;=Z$3,$J217&lt;=IF(param_mode_affichage="mois",EOMONTH(Z$3,0),Z$3+6)),"◆",""))</f>
      </c>
      <c r="AA217" s="26">
        <f>IF(OR($A217="",AA$3=""),"",IF(AND($J217&lt;&gt;"",$K217&lt;&gt;"",$J217=$K217,$J217&gt;=AA$3,$J217&lt;=IF(param_mode_affichage="mois",EOMONTH(AA$3,0),AA$3+6)),"◆",""))</f>
      </c>
      <c r="AB217" s="26">
        <f>IF(OR($A217="",AB$3=""),"",IF(AND($J217&lt;&gt;"",$K217&lt;&gt;"",$J217=$K217,$J217&gt;=AB$3,$J217&lt;=IF(param_mode_affichage="mois",EOMONTH(AB$3,0),AB$3+6)),"◆",""))</f>
      </c>
      <c r="AC217" s="26">
        <f>IF(OR($A217="",AC$3=""),"",IF(AND($J217&lt;&gt;"",$K217&lt;&gt;"",$J217=$K217,$J217&gt;=AC$3,$J217&lt;=IF(param_mode_affichage="mois",EOMONTH(AC$3,0),AC$3+6)),"◆",""))</f>
      </c>
      <c r="AD217" s="26">
        <f>IF(OR($A217="",AD$3=""),"",IF(AND($J217&lt;&gt;"",$K217&lt;&gt;"",$J217=$K217,$J217&gt;=AD$3,$J217&lt;=IF(param_mode_affichage="mois",EOMONTH(AD$3,0),AD$3+6)),"◆",""))</f>
      </c>
      <c r="AE217" s="26">
        <f>IF(OR($A217="",AE$3=""),"",IF(AND($J217&lt;&gt;"",$K217&lt;&gt;"",$J217=$K217,$J217&gt;=AE$3,$J217&lt;=IF(param_mode_affichage="mois",EOMONTH(AE$3,0),AE$3+6)),"◆",""))</f>
      </c>
      <c r="AF217" s="26">
        <f>IF(OR($A217="",AF$3=""),"",IF(AND($J217&lt;&gt;"",$K217&lt;&gt;"",$J217=$K217,$J217&gt;=AF$3,$J217&lt;=IF(param_mode_affichage="mois",EOMONTH(AF$3,0),AF$3+6)),"◆",""))</f>
      </c>
      <c r="AG217" s="26">
        <f>IF(OR($A217="",AG$3=""),"",IF(AND($J217&lt;&gt;"",$K217&lt;&gt;"",$J217=$K217,$J217&gt;=AG$3,$J217&lt;=IF(param_mode_affichage="mois",EOMONTH(AG$3,0),AG$3+6)),"◆",""))</f>
      </c>
      <c r="AH217" s="26">
        <f>IF(OR($A217="",AH$3=""),"",IF(AND($J217&lt;&gt;"",$K217&lt;&gt;"",$J217=$K217,$J217&gt;=AH$3,$J217&lt;=IF(param_mode_affichage="mois",EOMONTH(AH$3,0),AH$3+6)),"◆",""))</f>
      </c>
      <c r="AI217" s="26">
        <f>IF(OR($A217="",AI$3=""),"",IF(AND($J217&lt;&gt;"",$K217&lt;&gt;"",$J217=$K217,$J217&gt;=AI$3,$J217&lt;=IF(param_mode_affichage="mois",EOMONTH(AI$3,0),AI$3+6)),"◆",""))</f>
      </c>
      <c r="AJ217" s="26">
        <f>IF(OR($A217="",AJ$3=""),"",IF(AND($J217&lt;&gt;"",$K217&lt;&gt;"",$J217=$K217,$J217&gt;=AJ$3,$J217&lt;=IF(param_mode_affichage="mois",EOMONTH(AJ$3,0),AJ$3+6)),"◆",""))</f>
      </c>
      <c r="AK217" s="26">
        <f>IF(OR($A217="",AK$3=""),"",IF(AND($J217&lt;&gt;"",$K217&lt;&gt;"",$J217=$K217,$J217&gt;=AK$3,$J217&lt;=IF(param_mode_affichage="mois",EOMONTH(AK$3,0),AK$3+6)),"◆",""))</f>
      </c>
      <c r="AL217" s="26">
        <f>IF(OR($A217="",AL$3=""),"",IF(AND($J217&lt;&gt;"",$K217&lt;&gt;"",$J217=$K217,$J217&gt;=AL$3,$J217&lt;=IF(param_mode_affichage="mois",EOMONTH(AL$3,0),AL$3+6)),"◆",""))</f>
      </c>
      <c r="AM217" s="26">
        <f>IF(OR($A217="",AM$3=""),"",IF(AND($J217&lt;&gt;"",$K217&lt;&gt;"",$J217=$K217,$J217&gt;=AM$3,$J217&lt;=IF(param_mode_affichage="mois",EOMONTH(AM$3,0),AM$3+6)),"◆",""))</f>
      </c>
      <c r="AN217" s="26">
        <f>IF(OR($A217="",AN$3=""),"",IF(AND($J217&lt;&gt;"",$K217&lt;&gt;"",$J217=$K217,$J217&gt;=AN$3,$J217&lt;=IF(param_mode_affichage="mois",EOMONTH(AN$3,0),AN$3+6)),"◆",""))</f>
      </c>
      <c r="AO217" s="26">
        <f>IF(OR($A217="",AO$3=""),"",IF(AND($J217&lt;&gt;"",$K217&lt;&gt;"",$J217=$K217,$J217&gt;=AO$3,$J217&lt;=IF(param_mode_affichage="mois",EOMONTH(AO$3,0),AO$3+6)),"◆",""))</f>
      </c>
      <c r="AP217" s="26">
        <f>IF(OR($A217="",AP$3=""),"",IF(AND($J217&lt;&gt;"",$K217&lt;&gt;"",$J217=$K217,$J217&gt;=AP$3,$J217&lt;=IF(param_mode_affichage="mois",EOMONTH(AP$3,0),AP$3+6)),"◆",""))</f>
      </c>
      <c r="AQ217" s="26">
        <f>IF(OR($A217="",AQ$3=""),"",IF(AND($J217&lt;&gt;"",$K217&lt;&gt;"",$J217=$K217,$J217&gt;=AQ$3,$J217&lt;=IF(param_mode_affichage="mois",EOMONTH(AQ$3,0),AQ$3+6)),"◆",""))</f>
      </c>
      <c r="AR217" s="26">
        <f>IF(OR($A217="",AR$3=""),"",IF(AND($J217&lt;&gt;"",$K217&lt;&gt;"",$J217=$K217,$J217&gt;=AR$3,$J217&lt;=IF(param_mode_affichage="mois",EOMONTH(AR$3,0),AR$3+6)),"◆",""))</f>
      </c>
      <c r="AS217" s="26">
        <f>IF(OR($A217="",AS$3=""),"",IF(AND($J217&lt;&gt;"",$K217&lt;&gt;"",$J217=$K217,$J217&gt;=AS$3,$J217&lt;=IF(param_mode_affichage="mois",EOMONTH(AS$3,0),AS$3+6)),"◆",""))</f>
      </c>
      <c r="AT217" s="26">
        <f>IF(OR($A217="",AT$3=""),"",IF(AND($J217&lt;&gt;"",$K217&lt;&gt;"",$J217=$K217,$J217&gt;=AT$3,$J217&lt;=IF(param_mode_affichage="mois",EOMONTH(AT$3,0),AT$3+6)),"◆",""))</f>
      </c>
      <c r="AU217" s="26">
        <f>IF(OR($A217="",AU$3=""),"",IF(AND($J217&lt;&gt;"",$K217&lt;&gt;"",$J217=$K217,$J217&gt;=AU$3,$J217&lt;=IF(param_mode_affichage="mois",EOMONTH(AU$3,0),AU$3+6)),"◆",""))</f>
      </c>
      <c r="AV217" s="26">
        <f>IF(OR($A217="",AV$3=""),"",IF(AND($J217&lt;&gt;"",$K217&lt;&gt;"",$J217=$K217,$J217&gt;=AV$3,$J217&lt;=IF(param_mode_affichage="mois",EOMONTH(AV$3,0),AV$3+6)),"◆",""))</f>
      </c>
      <c r="AW217" s="26">
        <f>IF(OR($A217="",AW$3=""),"",IF(AND($J217&lt;&gt;"",$K217&lt;&gt;"",$J217=$K217,$J217&gt;=AW$3,$J217&lt;=IF(param_mode_affichage="mois",EOMONTH(AW$3,0),AW$3+6)),"◆",""))</f>
      </c>
      <c r="AX217" s="26">
        <f>IF(OR($A217="",AX$3=""),"",IF(AND($J217&lt;&gt;"",$K217&lt;&gt;"",$J217=$K217,$J217&gt;=AX$3,$J217&lt;=IF(param_mode_affichage="mois",EOMONTH(AX$3,0),AX$3+6)),"◆",""))</f>
      </c>
      <c r="AY217" s="26">
        <f>IF(OR($A217="",AY$3=""),"",IF(AND($J217&lt;&gt;"",$K217&lt;&gt;"",$J217=$K217,$J217&gt;=AY$3,$J217&lt;=IF(param_mode_affichage="mois",EOMONTH(AY$3,0),AY$3+6)),"◆",""))</f>
      </c>
      <c r="AZ217" s="26">
        <f>IF(OR($A217="",AZ$3=""),"",IF(AND($J217&lt;&gt;"",$K217&lt;&gt;"",$J217=$K217,$J217&gt;=AZ$3,$J217&lt;=IF(param_mode_affichage="mois",EOMONTH(AZ$3,0),AZ$3+6)),"◆",""))</f>
      </c>
      <c r="BA217" s="26">
        <f>IF(OR($A217="",BA$3=""),"",IF(AND($J217&lt;&gt;"",$K217&lt;&gt;"",$J217=$K217,$J217&gt;=BA$3,$J217&lt;=IF(param_mode_affichage="mois",EOMONTH(BA$3,0),BA$3+6)),"◆",""))</f>
      </c>
      <c r="BB217" s="26">
        <f>IF(OR($A217="",BB$3=""),"",IF(AND($J217&lt;&gt;"",$K217&lt;&gt;"",$J217=$K217,$J217&gt;=BB$3,$J217&lt;=IF(param_mode_affichage="mois",EOMONTH(BB$3,0),BB$3+6)),"◆",""))</f>
      </c>
      <c r="BC217" s="26">
        <f>IF(OR($A217="",BC$3=""),"",IF(AND($J217&lt;&gt;"",$K217&lt;&gt;"",$J217=$K217,$J217&gt;=BC$3,$J217&lt;=IF(param_mode_affichage="mois",EOMONTH(BC$3,0),BC$3+6)),"◆",""))</f>
      </c>
      <c r="BD217" s="26">
        <f>IF(OR($A217="",BD$3=""),"",IF(AND($J217&lt;&gt;"",$K217&lt;&gt;"",$J217=$K217,$J217&gt;=BD$3,$J217&lt;=IF(param_mode_affichage="mois",EOMONTH(BD$3,0),BD$3+6)),"◆",""))</f>
      </c>
      <c r="BE217" s="26">
        <f>IF(OR($A217="",BE$3=""),"",IF(AND($J217&lt;&gt;"",$K217&lt;&gt;"",$J217=$K217,$J217&gt;=BE$3,$J217&lt;=IF(param_mode_affichage="mois",EOMONTH(BE$3,0),BE$3+6)),"◆",""))</f>
      </c>
      <c r="BF217" s="26">
        <f>IF(OR($A217="",BF$3=""),"",IF(AND($J217&lt;&gt;"",$K217&lt;&gt;"",$J217=$K217,$J217&gt;=BF$3,$J217&lt;=IF(param_mode_affichage="mois",EOMONTH(BF$3,0),BF$3+6)),"◆",""))</f>
      </c>
      <c r="BG217" s="26">
        <f>IF(OR($A217="",BG$3=""),"",IF(AND($J217&lt;&gt;"",$K217&lt;&gt;"",$J217=$K217,$J217&gt;=BG$3,$J217&lt;=IF(param_mode_affichage="mois",EOMONTH(BG$3,0),BG$3+6)),"◆",""))</f>
      </c>
      <c r="BH217" s="26">
        <f>IF(OR($A217="",BH$3=""),"",IF(AND($J217&lt;&gt;"",$K217&lt;&gt;"",$J217=$K217,$J217&gt;=BH$3,$J217&lt;=IF(param_mode_affichage="mois",EOMONTH(BH$3,0),BH$3+6)),"◆",""))</f>
      </c>
      <c r="BI217" s="26">
        <f>IF(OR($A217="",BI$3=""),"",IF(AND($J217&lt;&gt;"",$K217&lt;&gt;"",$J217=$K217,$J217&gt;=BI$3,$J217&lt;=IF(param_mode_affichage="mois",EOMONTH(BI$3,0),BI$3+6)),"◆",""))</f>
      </c>
      <c r="BJ217" s="26">
        <f>IF(OR($A217="",BJ$3=""),"",IF(AND($J217&lt;&gt;"",$K217&lt;&gt;"",$J217=$K217,$J217&gt;=BJ$3,$J217&lt;=IF(param_mode_affichage="mois",EOMONTH(BJ$3,0),BJ$3+6)),"◆",""))</f>
      </c>
      <c r="BK217" s="26">
        <f>IF(OR($A217="",BK$3=""),"",IF(AND($J217&lt;&gt;"",$K217&lt;&gt;"",$J217=$K217,$J217&gt;=BK$3,$J217&lt;=IF(param_mode_affichage="mois",EOMONTH(BK$3,0),BK$3+6)),"◆",""))</f>
      </c>
      <c r="BL217" s="26">
        <f>IF(OR($A217="",BL$3=""),"",IF(AND($J217&lt;&gt;"",$K217&lt;&gt;"",$J217=$K217,$J217&gt;=BL$3,$J217&lt;=IF(param_mode_affichage="mois",EOMONTH(BL$3,0),BL$3+6)),"◆",""))</f>
      </c>
    </row>
    <row r="218" spans="1:64" x14ac:dyDescent="0.25">
      <c r="A218" s="23">
        <f>IFERROR(INDEX(tblTasks[ID],ROW()-4),"")</f>
      </c>
      <c r="B218" s="24">
        <f>IF($A218="","",INDEX(tblTasks[Sujet],ROW()-4))</f>
      </c>
      <c r="C218" s="23">
        <f>IF($A218="","",INDEX(tblTasks[Responsable],ROW()-4))</f>
      </c>
      <c r="D218" s="23">
        <f>IF($A218="","",INDEX(tblTasks[Statut],ROW()-4))</f>
      </c>
      <c r="E218" s="23">
        <f>IF($A218="","",INDEX(tblTasks[Depend_de],ROW()-4))</f>
      </c>
      <c r="F218" s="23">
        <f>IF($A218="","",INDEX(tblTasks[Blocage],ROW()-4))</f>
      </c>
      <c r="G218" s="23">
        <f>IF($A218="","",INDEX(tblTasks[Niveau_criticite],ROW()-4))</f>
      </c>
      <c r="H218" s="23">
        <f>IF($A218="","",INDEX(tblTasks[Goulot],ROW()-4))</f>
      </c>
      <c r="I218" s="23">
        <f>IF($A218="","",IF(LOWER($F218)="oui","non",IF($E218="","oui",IFERROR(IF(LOWER(INDEX(tblTasks[Statut],MATCH($E218,tblTasks[ID],0)))="clos","oui","non"),"non"))))</f>
      </c>
      <c r="J218" s="25">
        <f>IF($A218="","",INDEX(tblTasks[Date_debut_prevue],ROW()-4))</f>
      </c>
      <c r="K218" s="25">
        <f>IF($A218="","",INDEX(tblTasks[Date_fin_prevue],ROW()-4))</f>
      </c>
      <c r="L218" s="23">
        <f>IF($A218="","",INDEX(tblTasks[Irreversibilite],ROW()-4))</f>
      </c>
      <c r="M218" s="26">
        <f>IF(OR($A218="",M$3=""),"",IF(AND($J218&lt;&gt;"",$K218&lt;&gt;"",$J218=$K218,$J218&gt;=M$3,$J218&lt;=IF(param_mode_affichage="mois",EOMONTH(M$3,0),M$3+6)),"◆",""))</f>
      </c>
      <c r="N218" s="26">
        <f>IF(OR($A218="",N$3=""),"",IF(AND($J218&lt;&gt;"",$K218&lt;&gt;"",$J218=$K218,$J218&gt;=N$3,$J218&lt;=IF(param_mode_affichage="mois",EOMONTH(N$3,0),N$3+6)),"◆",""))</f>
      </c>
      <c r="O218" s="26">
        <f>IF(OR($A218="",O$3=""),"",IF(AND($J218&lt;&gt;"",$K218&lt;&gt;"",$J218=$K218,$J218&gt;=O$3,$J218&lt;=IF(param_mode_affichage="mois",EOMONTH(O$3,0),O$3+6)),"◆",""))</f>
      </c>
      <c r="P218" s="26">
        <f>IF(OR($A218="",P$3=""),"",IF(AND($J218&lt;&gt;"",$K218&lt;&gt;"",$J218=$K218,$J218&gt;=P$3,$J218&lt;=IF(param_mode_affichage="mois",EOMONTH(P$3,0),P$3+6)),"◆",""))</f>
      </c>
      <c r="Q218" s="26">
        <f>IF(OR($A218="",Q$3=""),"",IF(AND($J218&lt;&gt;"",$K218&lt;&gt;"",$J218=$K218,$J218&gt;=Q$3,$J218&lt;=IF(param_mode_affichage="mois",EOMONTH(Q$3,0),Q$3+6)),"◆",""))</f>
      </c>
      <c r="R218" s="26">
        <f>IF(OR($A218="",R$3=""),"",IF(AND($J218&lt;&gt;"",$K218&lt;&gt;"",$J218=$K218,$J218&gt;=R$3,$J218&lt;=IF(param_mode_affichage="mois",EOMONTH(R$3,0),R$3+6)),"◆",""))</f>
      </c>
      <c r="S218" s="26">
        <f>IF(OR($A218="",S$3=""),"",IF(AND($J218&lt;&gt;"",$K218&lt;&gt;"",$J218=$K218,$J218&gt;=S$3,$J218&lt;=IF(param_mode_affichage="mois",EOMONTH(S$3,0),S$3+6)),"◆",""))</f>
      </c>
      <c r="T218" s="26">
        <f>IF(OR($A218="",T$3=""),"",IF(AND($J218&lt;&gt;"",$K218&lt;&gt;"",$J218=$K218,$J218&gt;=T$3,$J218&lt;=IF(param_mode_affichage="mois",EOMONTH(T$3,0),T$3+6)),"◆",""))</f>
      </c>
      <c r="U218" s="26">
        <f>IF(OR($A218="",U$3=""),"",IF(AND($J218&lt;&gt;"",$K218&lt;&gt;"",$J218=$K218,$J218&gt;=U$3,$J218&lt;=IF(param_mode_affichage="mois",EOMONTH(U$3,0),U$3+6)),"◆",""))</f>
      </c>
      <c r="V218" s="26">
        <f>IF(OR($A218="",V$3=""),"",IF(AND($J218&lt;&gt;"",$K218&lt;&gt;"",$J218=$K218,$J218&gt;=V$3,$J218&lt;=IF(param_mode_affichage="mois",EOMONTH(V$3,0),V$3+6)),"◆",""))</f>
      </c>
      <c r="W218" s="26">
        <f>IF(OR($A218="",W$3=""),"",IF(AND($J218&lt;&gt;"",$K218&lt;&gt;"",$J218=$K218,$J218&gt;=W$3,$J218&lt;=IF(param_mode_affichage="mois",EOMONTH(W$3,0),W$3+6)),"◆",""))</f>
      </c>
      <c r="X218" s="26">
        <f>IF(OR($A218="",X$3=""),"",IF(AND($J218&lt;&gt;"",$K218&lt;&gt;"",$J218=$K218,$J218&gt;=X$3,$J218&lt;=IF(param_mode_affichage="mois",EOMONTH(X$3,0),X$3+6)),"◆",""))</f>
      </c>
      <c r="Y218" s="26">
        <f>IF(OR($A218="",Y$3=""),"",IF(AND($J218&lt;&gt;"",$K218&lt;&gt;"",$J218=$K218,$J218&gt;=Y$3,$J218&lt;=IF(param_mode_affichage="mois",EOMONTH(Y$3,0),Y$3+6)),"◆",""))</f>
      </c>
      <c r="Z218" s="26">
        <f>IF(OR($A218="",Z$3=""),"",IF(AND($J218&lt;&gt;"",$K218&lt;&gt;"",$J218=$K218,$J218&gt;=Z$3,$J218&lt;=IF(param_mode_affichage="mois",EOMONTH(Z$3,0),Z$3+6)),"◆",""))</f>
      </c>
      <c r="AA218" s="26">
        <f>IF(OR($A218="",AA$3=""),"",IF(AND($J218&lt;&gt;"",$K218&lt;&gt;"",$J218=$K218,$J218&gt;=AA$3,$J218&lt;=IF(param_mode_affichage="mois",EOMONTH(AA$3,0),AA$3+6)),"◆",""))</f>
      </c>
      <c r="AB218" s="26">
        <f>IF(OR($A218="",AB$3=""),"",IF(AND($J218&lt;&gt;"",$K218&lt;&gt;"",$J218=$K218,$J218&gt;=AB$3,$J218&lt;=IF(param_mode_affichage="mois",EOMONTH(AB$3,0),AB$3+6)),"◆",""))</f>
      </c>
      <c r="AC218" s="26">
        <f>IF(OR($A218="",AC$3=""),"",IF(AND($J218&lt;&gt;"",$K218&lt;&gt;"",$J218=$K218,$J218&gt;=AC$3,$J218&lt;=IF(param_mode_affichage="mois",EOMONTH(AC$3,0),AC$3+6)),"◆",""))</f>
      </c>
      <c r="AD218" s="26">
        <f>IF(OR($A218="",AD$3=""),"",IF(AND($J218&lt;&gt;"",$K218&lt;&gt;"",$J218=$K218,$J218&gt;=AD$3,$J218&lt;=IF(param_mode_affichage="mois",EOMONTH(AD$3,0),AD$3+6)),"◆",""))</f>
      </c>
      <c r="AE218" s="26">
        <f>IF(OR($A218="",AE$3=""),"",IF(AND($J218&lt;&gt;"",$K218&lt;&gt;"",$J218=$K218,$J218&gt;=AE$3,$J218&lt;=IF(param_mode_affichage="mois",EOMONTH(AE$3,0),AE$3+6)),"◆",""))</f>
      </c>
      <c r="AF218" s="26">
        <f>IF(OR($A218="",AF$3=""),"",IF(AND($J218&lt;&gt;"",$K218&lt;&gt;"",$J218=$K218,$J218&gt;=AF$3,$J218&lt;=IF(param_mode_affichage="mois",EOMONTH(AF$3,0),AF$3+6)),"◆",""))</f>
      </c>
      <c r="AG218" s="26">
        <f>IF(OR($A218="",AG$3=""),"",IF(AND($J218&lt;&gt;"",$K218&lt;&gt;"",$J218=$K218,$J218&gt;=AG$3,$J218&lt;=IF(param_mode_affichage="mois",EOMONTH(AG$3,0),AG$3+6)),"◆",""))</f>
      </c>
      <c r="AH218" s="26">
        <f>IF(OR($A218="",AH$3=""),"",IF(AND($J218&lt;&gt;"",$K218&lt;&gt;"",$J218=$K218,$J218&gt;=AH$3,$J218&lt;=IF(param_mode_affichage="mois",EOMONTH(AH$3,0),AH$3+6)),"◆",""))</f>
      </c>
      <c r="AI218" s="26">
        <f>IF(OR($A218="",AI$3=""),"",IF(AND($J218&lt;&gt;"",$K218&lt;&gt;"",$J218=$K218,$J218&gt;=AI$3,$J218&lt;=IF(param_mode_affichage="mois",EOMONTH(AI$3,0),AI$3+6)),"◆",""))</f>
      </c>
      <c r="AJ218" s="26">
        <f>IF(OR($A218="",AJ$3=""),"",IF(AND($J218&lt;&gt;"",$K218&lt;&gt;"",$J218=$K218,$J218&gt;=AJ$3,$J218&lt;=IF(param_mode_affichage="mois",EOMONTH(AJ$3,0),AJ$3+6)),"◆",""))</f>
      </c>
      <c r="AK218" s="26">
        <f>IF(OR($A218="",AK$3=""),"",IF(AND($J218&lt;&gt;"",$K218&lt;&gt;"",$J218=$K218,$J218&gt;=AK$3,$J218&lt;=IF(param_mode_affichage="mois",EOMONTH(AK$3,0),AK$3+6)),"◆",""))</f>
      </c>
      <c r="AL218" s="26">
        <f>IF(OR($A218="",AL$3=""),"",IF(AND($J218&lt;&gt;"",$K218&lt;&gt;"",$J218=$K218,$J218&gt;=AL$3,$J218&lt;=IF(param_mode_affichage="mois",EOMONTH(AL$3,0),AL$3+6)),"◆",""))</f>
      </c>
      <c r="AM218" s="26">
        <f>IF(OR($A218="",AM$3=""),"",IF(AND($J218&lt;&gt;"",$K218&lt;&gt;"",$J218=$K218,$J218&gt;=AM$3,$J218&lt;=IF(param_mode_affichage="mois",EOMONTH(AM$3,0),AM$3+6)),"◆",""))</f>
      </c>
      <c r="AN218" s="26">
        <f>IF(OR($A218="",AN$3=""),"",IF(AND($J218&lt;&gt;"",$K218&lt;&gt;"",$J218=$K218,$J218&gt;=AN$3,$J218&lt;=IF(param_mode_affichage="mois",EOMONTH(AN$3,0),AN$3+6)),"◆",""))</f>
      </c>
      <c r="AO218" s="26">
        <f>IF(OR($A218="",AO$3=""),"",IF(AND($J218&lt;&gt;"",$K218&lt;&gt;"",$J218=$K218,$J218&gt;=AO$3,$J218&lt;=IF(param_mode_affichage="mois",EOMONTH(AO$3,0),AO$3+6)),"◆",""))</f>
      </c>
      <c r="AP218" s="26">
        <f>IF(OR($A218="",AP$3=""),"",IF(AND($J218&lt;&gt;"",$K218&lt;&gt;"",$J218=$K218,$J218&gt;=AP$3,$J218&lt;=IF(param_mode_affichage="mois",EOMONTH(AP$3,0),AP$3+6)),"◆",""))</f>
      </c>
      <c r="AQ218" s="26">
        <f>IF(OR($A218="",AQ$3=""),"",IF(AND($J218&lt;&gt;"",$K218&lt;&gt;"",$J218=$K218,$J218&gt;=AQ$3,$J218&lt;=IF(param_mode_affichage="mois",EOMONTH(AQ$3,0),AQ$3+6)),"◆",""))</f>
      </c>
      <c r="AR218" s="26">
        <f>IF(OR($A218="",AR$3=""),"",IF(AND($J218&lt;&gt;"",$K218&lt;&gt;"",$J218=$K218,$J218&gt;=AR$3,$J218&lt;=IF(param_mode_affichage="mois",EOMONTH(AR$3,0),AR$3+6)),"◆",""))</f>
      </c>
      <c r="AS218" s="26">
        <f>IF(OR($A218="",AS$3=""),"",IF(AND($J218&lt;&gt;"",$K218&lt;&gt;"",$J218=$K218,$J218&gt;=AS$3,$J218&lt;=IF(param_mode_affichage="mois",EOMONTH(AS$3,0),AS$3+6)),"◆",""))</f>
      </c>
      <c r="AT218" s="26">
        <f>IF(OR($A218="",AT$3=""),"",IF(AND($J218&lt;&gt;"",$K218&lt;&gt;"",$J218=$K218,$J218&gt;=AT$3,$J218&lt;=IF(param_mode_affichage="mois",EOMONTH(AT$3,0),AT$3+6)),"◆",""))</f>
      </c>
      <c r="AU218" s="26">
        <f>IF(OR($A218="",AU$3=""),"",IF(AND($J218&lt;&gt;"",$K218&lt;&gt;"",$J218=$K218,$J218&gt;=AU$3,$J218&lt;=IF(param_mode_affichage="mois",EOMONTH(AU$3,0),AU$3+6)),"◆",""))</f>
      </c>
      <c r="AV218" s="26">
        <f>IF(OR($A218="",AV$3=""),"",IF(AND($J218&lt;&gt;"",$K218&lt;&gt;"",$J218=$K218,$J218&gt;=AV$3,$J218&lt;=IF(param_mode_affichage="mois",EOMONTH(AV$3,0),AV$3+6)),"◆",""))</f>
      </c>
      <c r="AW218" s="26">
        <f>IF(OR($A218="",AW$3=""),"",IF(AND($J218&lt;&gt;"",$K218&lt;&gt;"",$J218=$K218,$J218&gt;=AW$3,$J218&lt;=IF(param_mode_affichage="mois",EOMONTH(AW$3,0),AW$3+6)),"◆",""))</f>
      </c>
      <c r="AX218" s="26">
        <f>IF(OR($A218="",AX$3=""),"",IF(AND($J218&lt;&gt;"",$K218&lt;&gt;"",$J218=$K218,$J218&gt;=AX$3,$J218&lt;=IF(param_mode_affichage="mois",EOMONTH(AX$3,0),AX$3+6)),"◆",""))</f>
      </c>
      <c r="AY218" s="26">
        <f>IF(OR($A218="",AY$3=""),"",IF(AND($J218&lt;&gt;"",$K218&lt;&gt;"",$J218=$K218,$J218&gt;=AY$3,$J218&lt;=IF(param_mode_affichage="mois",EOMONTH(AY$3,0),AY$3+6)),"◆",""))</f>
      </c>
      <c r="AZ218" s="26">
        <f>IF(OR($A218="",AZ$3=""),"",IF(AND($J218&lt;&gt;"",$K218&lt;&gt;"",$J218=$K218,$J218&gt;=AZ$3,$J218&lt;=IF(param_mode_affichage="mois",EOMONTH(AZ$3,0),AZ$3+6)),"◆",""))</f>
      </c>
      <c r="BA218" s="26">
        <f>IF(OR($A218="",BA$3=""),"",IF(AND($J218&lt;&gt;"",$K218&lt;&gt;"",$J218=$K218,$J218&gt;=BA$3,$J218&lt;=IF(param_mode_affichage="mois",EOMONTH(BA$3,0),BA$3+6)),"◆",""))</f>
      </c>
      <c r="BB218" s="26">
        <f>IF(OR($A218="",BB$3=""),"",IF(AND($J218&lt;&gt;"",$K218&lt;&gt;"",$J218=$K218,$J218&gt;=BB$3,$J218&lt;=IF(param_mode_affichage="mois",EOMONTH(BB$3,0),BB$3+6)),"◆",""))</f>
      </c>
      <c r="BC218" s="26">
        <f>IF(OR($A218="",BC$3=""),"",IF(AND($J218&lt;&gt;"",$K218&lt;&gt;"",$J218=$K218,$J218&gt;=BC$3,$J218&lt;=IF(param_mode_affichage="mois",EOMONTH(BC$3,0),BC$3+6)),"◆",""))</f>
      </c>
      <c r="BD218" s="26">
        <f>IF(OR($A218="",BD$3=""),"",IF(AND($J218&lt;&gt;"",$K218&lt;&gt;"",$J218=$K218,$J218&gt;=BD$3,$J218&lt;=IF(param_mode_affichage="mois",EOMONTH(BD$3,0),BD$3+6)),"◆",""))</f>
      </c>
      <c r="BE218" s="26">
        <f>IF(OR($A218="",BE$3=""),"",IF(AND($J218&lt;&gt;"",$K218&lt;&gt;"",$J218=$K218,$J218&gt;=BE$3,$J218&lt;=IF(param_mode_affichage="mois",EOMONTH(BE$3,0),BE$3+6)),"◆",""))</f>
      </c>
      <c r="BF218" s="26">
        <f>IF(OR($A218="",BF$3=""),"",IF(AND($J218&lt;&gt;"",$K218&lt;&gt;"",$J218=$K218,$J218&gt;=BF$3,$J218&lt;=IF(param_mode_affichage="mois",EOMONTH(BF$3,0),BF$3+6)),"◆",""))</f>
      </c>
      <c r="BG218" s="26">
        <f>IF(OR($A218="",BG$3=""),"",IF(AND($J218&lt;&gt;"",$K218&lt;&gt;"",$J218=$K218,$J218&gt;=BG$3,$J218&lt;=IF(param_mode_affichage="mois",EOMONTH(BG$3,0),BG$3+6)),"◆",""))</f>
      </c>
      <c r="BH218" s="26">
        <f>IF(OR($A218="",BH$3=""),"",IF(AND($J218&lt;&gt;"",$K218&lt;&gt;"",$J218=$K218,$J218&gt;=BH$3,$J218&lt;=IF(param_mode_affichage="mois",EOMONTH(BH$3,0),BH$3+6)),"◆",""))</f>
      </c>
      <c r="BI218" s="26">
        <f>IF(OR($A218="",BI$3=""),"",IF(AND($J218&lt;&gt;"",$K218&lt;&gt;"",$J218=$K218,$J218&gt;=BI$3,$J218&lt;=IF(param_mode_affichage="mois",EOMONTH(BI$3,0),BI$3+6)),"◆",""))</f>
      </c>
      <c r="BJ218" s="26">
        <f>IF(OR($A218="",BJ$3=""),"",IF(AND($J218&lt;&gt;"",$K218&lt;&gt;"",$J218=$K218,$J218&gt;=BJ$3,$J218&lt;=IF(param_mode_affichage="mois",EOMONTH(BJ$3,0),BJ$3+6)),"◆",""))</f>
      </c>
      <c r="BK218" s="26">
        <f>IF(OR($A218="",BK$3=""),"",IF(AND($J218&lt;&gt;"",$K218&lt;&gt;"",$J218=$K218,$J218&gt;=BK$3,$J218&lt;=IF(param_mode_affichage="mois",EOMONTH(BK$3,0),BK$3+6)),"◆",""))</f>
      </c>
      <c r="BL218" s="26">
        <f>IF(OR($A218="",BL$3=""),"",IF(AND($J218&lt;&gt;"",$K218&lt;&gt;"",$J218=$K218,$J218&gt;=BL$3,$J218&lt;=IF(param_mode_affichage="mois",EOMONTH(BL$3,0),BL$3+6)),"◆",""))</f>
      </c>
    </row>
    <row r="219" spans="1:64" x14ac:dyDescent="0.25">
      <c r="A219" s="23">
        <f>IFERROR(INDEX(tblTasks[ID],ROW()-4),"")</f>
      </c>
      <c r="B219" s="24">
        <f>IF($A219="","",INDEX(tblTasks[Sujet],ROW()-4))</f>
      </c>
      <c r="C219" s="23">
        <f>IF($A219="","",INDEX(tblTasks[Responsable],ROW()-4))</f>
      </c>
      <c r="D219" s="23">
        <f>IF($A219="","",INDEX(tblTasks[Statut],ROW()-4))</f>
      </c>
      <c r="E219" s="23">
        <f>IF($A219="","",INDEX(tblTasks[Depend_de],ROW()-4))</f>
      </c>
      <c r="F219" s="23">
        <f>IF($A219="","",INDEX(tblTasks[Blocage],ROW()-4))</f>
      </c>
      <c r="G219" s="23">
        <f>IF($A219="","",INDEX(tblTasks[Niveau_criticite],ROW()-4))</f>
      </c>
      <c r="H219" s="23">
        <f>IF($A219="","",INDEX(tblTasks[Goulot],ROW()-4))</f>
      </c>
      <c r="I219" s="23">
        <f>IF($A219="","",IF(LOWER($F219)="oui","non",IF($E219="","oui",IFERROR(IF(LOWER(INDEX(tblTasks[Statut],MATCH($E219,tblTasks[ID],0)))="clos","oui","non"),"non"))))</f>
      </c>
      <c r="J219" s="25">
        <f>IF($A219="","",INDEX(tblTasks[Date_debut_prevue],ROW()-4))</f>
      </c>
      <c r="K219" s="25">
        <f>IF($A219="","",INDEX(tblTasks[Date_fin_prevue],ROW()-4))</f>
      </c>
      <c r="L219" s="23">
        <f>IF($A219="","",INDEX(tblTasks[Irreversibilite],ROW()-4))</f>
      </c>
      <c r="M219" s="26">
        <f>IF(OR($A219="",M$3=""),"",IF(AND($J219&lt;&gt;"",$K219&lt;&gt;"",$J219=$K219,$J219&gt;=M$3,$J219&lt;=IF(param_mode_affichage="mois",EOMONTH(M$3,0),M$3+6)),"◆",""))</f>
      </c>
      <c r="N219" s="26">
        <f>IF(OR($A219="",N$3=""),"",IF(AND($J219&lt;&gt;"",$K219&lt;&gt;"",$J219=$K219,$J219&gt;=N$3,$J219&lt;=IF(param_mode_affichage="mois",EOMONTH(N$3,0),N$3+6)),"◆",""))</f>
      </c>
      <c r="O219" s="26">
        <f>IF(OR($A219="",O$3=""),"",IF(AND($J219&lt;&gt;"",$K219&lt;&gt;"",$J219=$K219,$J219&gt;=O$3,$J219&lt;=IF(param_mode_affichage="mois",EOMONTH(O$3,0),O$3+6)),"◆",""))</f>
      </c>
      <c r="P219" s="26">
        <f>IF(OR($A219="",P$3=""),"",IF(AND($J219&lt;&gt;"",$K219&lt;&gt;"",$J219=$K219,$J219&gt;=P$3,$J219&lt;=IF(param_mode_affichage="mois",EOMONTH(P$3,0),P$3+6)),"◆",""))</f>
      </c>
      <c r="Q219" s="26">
        <f>IF(OR($A219="",Q$3=""),"",IF(AND($J219&lt;&gt;"",$K219&lt;&gt;"",$J219=$K219,$J219&gt;=Q$3,$J219&lt;=IF(param_mode_affichage="mois",EOMONTH(Q$3,0),Q$3+6)),"◆",""))</f>
      </c>
      <c r="R219" s="26">
        <f>IF(OR($A219="",R$3=""),"",IF(AND($J219&lt;&gt;"",$K219&lt;&gt;"",$J219=$K219,$J219&gt;=R$3,$J219&lt;=IF(param_mode_affichage="mois",EOMONTH(R$3,0),R$3+6)),"◆",""))</f>
      </c>
      <c r="S219" s="26">
        <f>IF(OR($A219="",S$3=""),"",IF(AND($J219&lt;&gt;"",$K219&lt;&gt;"",$J219=$K219,$J219&gt;=S$3,$J219&lt;=IF(param_mode_affichage="mois",EOMONTH(S$3,0),S$3+6)),"◆",""))</f>
      </c>
      <c r="T219" s="26">
        <f>IF(OR($A219="",T$3=""),"",IF(AND($J219&lt;&gt;"",$K219&lt;&gt;"",$J219=$K219,$J219&gt;=T$3,$J219&lt;=IF(param_mode_affichage="mois",EOMONTH(T$3,0),T$3+6)),"◆",""))</f>
      </c>
      <c r="U219" s="26">
        <f>IF(OR($A219="",U$3=""),"",IF(AND($J219&lt;&gt;"",$K219&lt;&gt;"",$J219=$K219,$J219&gt;=U$3,$J219&lt;=IF(param_mode_affichage="mois",EOMONTH(U$3,0),U$3+6)),"◆",""))</f>
      </c>
      <c r="V219" s="26">
        <f>IF(OR($A219="",V$3=""),"",IF(AND($J219&lt;&gt;"",$K219&lt;&gt;"",$J219=$K219,$J219&gt;=V$3,$J219&lt;=IF(param_mode_affichage="mois",EOMONTH(V$3,0),V$3+6)),"◆",""))</f>
      </c>
      <c r="W219" s="26">
        <f>IF(OR($A219="",W$3=""),"",IF(AND($J219&lt;&gt;"",$K219&lt;&gt;"",$J219=$K219,$J219&gt;=W$3,$J219&lt;=IF(param_mode_affichage="mois",EOMONTH(W$3,0),W$3+6)),"◆",""))</f>
      </c>
      <c r="X219" s="26">
        <f>IF(OR($A219="",X$3=""),"",IF(AND($J219&lt;&gt;"",$K219&lt;&gt;"",$J219=$K219,$J219&gt;=X$3,$J219&lt;=IF(param_mode_affichage="mois",EOMONTH(X$3,0),X$3+6)),"◆",""))</f>
      </c>
      <c r="Y219" s="26">
        <f>IF(OR($A219="",Y$3=""),"",IF(AND($J219&lt;&gt;"",$K219&lt;&gt;"",$J219=$K219,$J219&gt;=Y$3,$J219&lt;=IF(param_mode_affichage="mois",EOMONTH(Y$3,0),Y$3+6)),"◆",""))</f>
      </c>
      <c r="Z219" s="26">
        <f>IF(OR($A219="",Z$3=""),"",IF(AND($J219&lt;&gt;"",$K219&lt;&gt;"",$J219=$K219,$J219&gt;=Z$3,$J219&lt;=IF(param_mode_affichage="mois",EOMONTH(Z$3,0),Z$3+6)),"◆",""))</f>
      </c>
      <c r="AA219" s="26">
        <f>IF(OR($A219="",AA$3=""),"",IF(AND($J219&lt;&gt;"",$K219&lt;&gt;"",$J219=$K219,$J219&gt;=AA$3,$J219&lt;=IF(param_mode_affichage="mois",EOMONTH(AA$3,0),AA$3+6)),"◆",""))</f>
      </c>
      <c r="AB219" s="26">
        <f>IF(OR($A219="",AB$3=""),"",IF(AND($J219&lt;&gt;"",$K219&lt;&gt;"",$J219=$K219,$J219&gt;=AB$3,$J219&lt;=IF(param_mode_affichage="mois",EOMONTH(AB$3,0),AB$3+6)),"◆",""))</f>
      </c>
      <c r="AC219" s="26">
        <f>IF(OR($A219="",AC$3=""),"",IF(AND($J219&lt;&gt;"",$K219&lt;&gt;"",$J219=$K219,$J219&gt;=AC$3,$J219&lt;=IF(param_mode_affichage="mois",EOMONTH(AC$3,0),AC$3+6)),"◆",""))</f>
      </c>
      <c r="AD219" s="26">
        <f>IF(OR($A219="",AD$3=""),"",IF(AND($J219&lt;&gt;"",$K219&lt;&gt;"",$J219=$K219,$J219&gt;=AD$3,$J219&lt;=IF(param_mode_affichage="mois",EOMONTH(AD$3,0),AD$3+6)),"◆",""))</f>
      </c>
      <c r="AE219" s="26">
        <f>IF(OR($A219="",AE$3=""),"",IF(AND($J219&lt;&gt;"",$K219&lt;&gt;"",$J219=$K219,$J219&gt;=AE$3,$J219&lt;=IF(param_mode_affichage="mois",EOMONTH(AE$3,0),AE$3+6)),"◆",""))</f>
      </c>
      <c r="AF219" s="26">
        <f>IF(OR($A219="",AF$3=""),"",IF(AND($J219&lt;&gt;"",$K219&lt;&gt;"",$J219=$K219,$J219&gt;=AF$3,$J219&lt;=IF(param_mode_affichage="mois",EOMONTH(AF$3,0),AF$3+6)),"◆",""))</f>
      </c>
      <c r="AG219" s="26">
        <f>IF(OR($A219="",AG$3=""),"",IF(AND($J219&lt;&gt;"",$K219&lt;&gt;"",$J219=$K219,$J219&gt;=AG$3,$J219&lt;=IF(param_mode_affichage="mois",EOMONTH(AG$3,0),AG$3+6)),"◆",""))</f>
      </c>
      <c r="AH219" s="26">
        <f>IF(OR($A219="",AH$3=""),"",IF(AND($J219&lt;&gt;"",$K219&lt;&gt;"",$J219=$K219,$J219&gt;=AH$3,$J219&lt;=IF(param_mode_affichage="mois",EOMONTH(AH$3,0),AH$3+6)),"◆",""))</f>
      </c>
      <c r="AI219" s="26">
        <f>IF(OR($A219="",AI$3=""),"",IF(AND($J219&lt;&gt;"",$K219&lt;&gt;"",$J219=$K219,$J219&gt;=AI$3,$J219&lt;=IF(param_mode_affichage="mois",EOMONTH(AI$3,0),AI$3+6)),"◆",""))</f>
      </c>
      <c r="AJ219" s="26">
        <f>IF(OR($A219="",AJ$3=""),"",IF(AND($J219&lt;&gt;"",$K219&lt;&gt;"",$J219=$K219,$J219&gt;=AJ$3,$J219&lt;=IF(param_mode_affichage="mois",EOMONTH(AJ$3,0),AJ$3+6)),"◆",""))</f>
      </c>
      <c r="AK219" s="26">
        <f>IF(OR($A219="",AK$3=""),"",IF(AND($J219&lt;&gt;"",$K219&lt;&gt;"",$J219=$K219,$J219&gt;=AK$3,$J219&lt;=IF(param_mode_affichage="mois",EOMONTH(AK$3,0),AK$3+6)),"◆",""))</f>
      </c>
      <c r="AL219" s="26">
        <f>IF(OR($A219="",AL$3=""),"",IF(AND($J219&lt;&gt;"",$K219&lt;&gt;"",$J219=$K219,$J219&gt;=AL$3,$J219&lt;=IF(param_mode_affichage="mois",EOMONTH(AL$3,0),AL$3+6)),"◆",""))</f>
      </c>
      <c r="AM219" s="26">
        <f>IF(OR($A219="",AM$3=""),"",IF(AND($J219&lt;&gt;"",$K219&lt;&gt;"",$J219=$K219,$J219&gt;=AM$3,$J219&lt;=IF(param_mode_affichage="mois",EOMONTH(AM$3,0),AM$3+6)),"◆",""))</f>
      </c>
      <c r="AN219" s="26">
        <f>IF(OR($A219="",AN$3=""),"",IF(AND($J219&lt;&gt;"",$K219&lt;&gt;"",$J219=$K219,$J219&gt;=AN$3,$J219&lt;=IF(param_mode_affichage="mois",EOMONTH(AN$3,0),AN$3+6)),"◆",""))</f>
      </c>
      <c r="AO219" s="26">
        <f>IF(OR($A219="",AO$3=""),"",IF(AND($J219&lt;&gt;"",$K219&lt;&gt;"",$J219=$K219,$J219&gt;=AO$3,$J219&lt;=IF(param_mode_affichage="mois",EOMONTH(AO$3,0),AO$3+6)),"◆",""))</f>
      </c>
      <c r="AP219" s="26">
        <f>IF(OR($A219="",AP$3=""),"",IF(AND($J219&lt;&gt;"",$K219&lt;&gt;"",$J219=$K219,$J219&gt;=AP$3,$J219&lt;=IF(param_mode_affichage="mois",EOMONTH(AP$3,0),AP$3+6)),"◆",""))</f>
      </c>
      <c r="AQ219" s="26">
        <f>IF(OR($A219="",AQ$3=""),"",IF(AND($J219&lt;&gt;"",$K219&lt;&gt;"",$J219=$K219,$J219&gt;=AQ$3,$J219&lt;=IF(param_mode_affichage="mois",EOMONTH(AQ$3,0),AQ$3+6)),"◆",""))</f>
      </c>
      <c r="AR219" s="26">
        <f>IF(OR($A219="",AR$3=""),"",IF(AND($J219&lt;&gt;"",$K219&lt;&gt;"",$J219=$K219,$J219&gt;=AR$3,$J219&lt;=IF(param_mode_affichage="mois",EOMONTH(AR$3,0),AR$3+6)),"◆",""))</f>
      </c>
      <c r="AS219" s="26">
        <f>IF(OR($A219="",AS$3=""),"",IF(AND($J219&lt;&gt;"",$K219&lt;&gt;"",$J219=$K219,$J219&gt;=AS$3,$J219&lt;=IF(param_mode_affichage="mois",EOMONTH(AS$3,0),AS$3+6)),"◆",""))</f>
      </c>
      <c r="AT219" s="26">
        <f>IF(OR($A219="",AT$3=""),"",IF(AND($J219&lt;&gt;"",$K219&lt;&gt;"",$J219=$K219,$J219&gt;=AT$3,$J219&lt;=IF(param_mode_affichage="mois",EOMONTH(AT$3,0),AT$3+6)),"◆",""))</f>
      </c>
      <c r="AU219" s="26">
        <f>IF(OR($A219="",AU$3=""),"",IF(AND($J219&lt;&gt;"",$K219&lt;&gt;"",$J219=$K219,$J219&gt;=AU$3,$J219&lt;=IF(param_mode_affichage="mois",EOMONTH(AU$3,0),AU$3+6)),"◆",""))</f>
      </c>
      <c r="AV219" s="26">
        <f>IF(OR($A219="",AV$3=""),"",IF(AND($J219&lt;&gt;"",$K219&lt;&gt;"",$J219=$K219,$J219&gt;=AV$3,$J219&lt;=IF(param_mode_affichage="mois",EOMONTH(AV$3,0),AV$3+6)),"◆",""))</f>
      </c>
      <c r="AW219" s="26">
        <f>IF(OR($A219="",AW$3=""),"",IF(AND($J219&lt;&gt;"",$K219&lt;&gt;"",$J219=$K219,$J219&gt;=AW$3,$J219&lt;=IF(param_mode_affichage="mois",EOMONTH(AW$3,0),AW$3+6)),"◆",""))</f>
      </c>
      <c r="AX219" s="26">
        <f>IF(OR($A219="",AX$3=""),"",IF(AND($J219&lt;&gt;"",$K219&lt;&gt;"",$J219=$K219,$J219&gt;=AX$3,$J219&lt;=IF(param_mode_affichage="mois",EOMONTH(AX$3,0),AX$3+6)),"◆",""))</f>
      </c>
      <c r="AY219" s="26">
        <f>IF(OR($A219="",AY$3=""),"",IF(AND($J219&lt;&gt;"",$K219&lt;&gt;"",$J219=$K219,$J219&gt;=AY$3,$J219&lt;=IF(param_mode_affichage="mois",EOMONTH(AY$3,0),AY$3+6)),"◆",""))</f>
      </c>
      <c r="AZ219" s="26">
        <f>IF(OR($A219="",AZ$3=""),"",IF(AND($J219&lt;&gt;"",$K219&lt;&gt;"",$J219=$K219,$J219&gt;=AZ$3,$J219&lt;=IF(param_mode_affichage="mois",EOMONTH(AZ$3,0),AZ$3+6)),"◆",""))</f>
      </c>
      <c r="BA219" s="26">
        <f>IF(OR($A219="",BA$3=""),"",IF(AND($J219&lt;&gt;"",$K219&lt;&gt;"",$J219=$K219,$J219&gt;=BA$3,$J219&lt;=IF(param_mode_affichage="mois",EOMONTH(BA$3,0),BA$3+6)),"◆",""))</f>
      </c>
      <c r="BB219" s="26">
        <f>IF(OR($A219="",BB$3=""),"",IF(AND($J219&lt;&gt;"",$K219&lt;&gt;"",$J219=$K219,$J219&gt;=BB$3,$J219&lt;=IF(param_mode_affichage="mois",EOMONTH(BB$3,0),BB$3+6)),"◆",""))</f>
      </c>
      <c r="BC219" s="26">
        <f>IF(OR($A219="",BC$3=""),"",IF(AND($J219&lt;&gt;"",$K219&lt;&gt;"",$J219=$K219,$J219&gt;=BC$3,$J219&lt;=IF(param_mode_affichage="mois",EOMONTH(BC$3,0),BC$3+6)),"◆",""))</f>
      </c>
      <c r="BD219" s="26">
        <f>IF(OR($A219="",BD$3=""),"",IF(AND($J219&lt;&gt;"",$K219&lt;&gt;"",$J219=$K219,$J219&gt;=BD$3,$J219&lt;=IF(param_mode_affichage="mois",EOMONTH(BD$3,0),BD$3+6)),"◆",""))</f>
      </c>
      <c r="BE219" s="26">
        <f>IF(OR($A219="",BE$3=""),"",IF(AND($J219&lt;&gt;"",$K219&lt;&gt;"",$J219=$K219,$J219&gt;=BE$3,$J219&lt;=IF(param_mode_affichage="mois",EOMONTH(BE$3,0),BE$3+6)),"◆",""))</f>
      </c>
      <c r="BF219" s="26">
        <f>IF(OR($A219="",BF$3=""),"",IF(AND($J219&lt;&gt;"",$K219&lt;&gt;"",$J219=$K219,$J219&gt;=BF$3,$J219&lt;=IF(param_mode_affichage="mois",EOMONTH(BF$3,0),BF$3+6)),"◆",""))</f>
      </c>
      <c r="BG219" s="26">
        <f>IF(OR($A219="",BG$3=""),"",IF(AND($J219&lt;&gt;"",$K219&lt;&gt;"",$J219=$K219,$J219&gt;=BG$3,$J219&lt;=IF(param_mode_affichage="mois",EOMONTH(BG$3,0),BG$3+6)),"◆",""))</f>
      </c>
      <c r="BH219" s="26">
        <f>IF(OR($A219="",BH$3=""),"",IF(AND($J219&lt;&gt;"",$K219&lt;&gt;"",$J219=$K219,$J219&gt;=BH$3,$J219&lt;=IF(param_mode_affichage="mois",EOMONTH(BH$3,0),BH$3+6)),"◆",""))</f>
      </c>
      <c r="BI219" s="26">
        <f>IF(OR($A219="",BI$3=""),"",IF(AND($J219&lt;&gt;"",$K219&lt;&gt;"",$J219=$K219,$J219&gt;=BI$3,$J219&lt;=IF(param_mode_affichage="mois",EOMONTH(BI$3,0),BI$3+6)),"◆",""))</f>
      </c>
      <c r="BJ219" s="26">
        <f>IF(OR($A219="",BJ$3=""),"",IF(AND($J219&lt;&gt;"",$K219&lt;&gt;"",$J219=$K219,$J219&gt;=BJ$3,$J219&lt;=IF(param_mode_affichage="mois",EOMONTH(BJ$3,0),BJ$3+6)),"◆",""))</f>
      </c>
      <c r="BK219" s="26">
        <f>IF(OR($A219="",BK$3=""),"",IF(AND($J219&lt;&gt;"",$K219&lt;&gt;"",$J219=$K219,$J219&gt;=BK$3,$J219&lt;=IF(param_mode_affichage="mois",EOMONTH(BK$3,0),BK$3+6)),"◆",""))</f>
      </c>
      <c r="BL219" s="26">
        <f>IF(OR($A219="",BL$3=""),"",IF(AND($J219&lt;&gt;"",$K219&lt;&gt;"",$J219=$K219,$J219&gt;=BL$3,$J219&lt;=IF(param_mode_affichage="mois",EOMONTH(BL$3,0),BL$3+6)),"◆",""))</f>
      </c>
    </row>
    <row r="220" spans="1:64" x14ac:dyDescent="0.25">
      <c r="A220" s="23">
        <f>IFERROR(INDEX(tblTasks[ID],ROW()-4),"")</f>
      </c>
      <c r="B220" s="24">
        <f>IF($A220="","",INDEX(tblTasks[Sujet],ROW()-4))</f>
      </c>
      <c r="C220" s="23">
        <f>IF($A220="","",INDEX(tblTasks[Responsable],ROW()-4))</f>
      </c>
      <c r="D220" s="23">
        <f>IF($A220="","",INDEX(tblTasks[Statut],ROW()-4))</f>
      </c>
      <c r="E220" s="23">
        <f>IF($A220="","",INDEX(tblTasks[Depend_de],ROW()-4))</f>
      </c>
      <c r="F220" s="23">
        <f>IF($A220="","",INDEX(tblTasks[Blocage],ROW()-4))</f>
      </c>
      <c r="G220" s="23">
        <f>IF($A220="","",INDEX(tblTasks[Niveau_criticite],ROW()-4))</f>
      </c>
      <c r="H220" s="23">
        <f>IF($A220="","",INDEX(tblTasks[Goulot],ROW()-4))</f>
      </c>
      <c r="I220" s="23">
        <f>IF($A220="","",IF(LOWER($F220)="oui","non",IF($E220="","oui",IFERROR(IF(LOWER(INDEX(tblTasks[Statut],MATCH($E220,tblTasks[ID],0)))="clos","oui","non"),"non"))))</f>
      </c>
      <c r="J220" s="25">
        <f>IF($A220="","",INDEX(tblTasks[Date_debut_prevue],ROW()-4))</f>
      </c>
      <c r="K220" s="25">
        <f>IF($A220="","",INDEX(tblTasks[Date_fin_prevue],ROW()-4))</f>
      </c>
      <c r="L220" s="23">
        <f>IF($A220="","",INDEX(tblTasks[Irreversibilite],ROW()-4))</f>
      </c>
      <c r="M220" s="26">
        <f>IF(OR($A220="",M$3=""),"",IF(AND($J220&lt;&gt;"",$K220&lt;&gt;"",$J220=$K220,$J220&gt;=M$3,$J220&lt;=IF(param_mode_affichage="mois",EOMONTH(M$3,0),M$3+6)),"◆",""))</f>
      </c>
      <c r="N220" s="26">
        <f>IF(OR($A220="",N$3=""),"",IF(AND($J220&lt;&gt;"",$K220&lt;&gt;"",$J220=$K220,$J220&gt;=N$3,$J220&lt;=IF(param_mode_affichage="mois",EOMONTH(N$3,0),N$3+6)),"◆",""))</f>
      </c>
      <c r="O220" s="26">
        <f>IF(OR($A220="",O$3=""),"",IF(AND($J220&lt;&gt;"",$K220&lt;&gt;"",$J220=$K220,$J220&gt;=O$3,$J220&lt;=IF(param_mode_affichage="mois",EOMONTH(O$3,0),O$3+6)),"◆",""))</f>
      </c>
      <c r="P220" s="26">
        <f>IF(OR($A220="",P$3=""),"",IF(AND($J220&lt;&gt;"",$K220&lt;&gt;"",$J220=$K220,$J220&gt;=P$3,$J220&lt;=IF(param_mode_affichage="mois",EOMONTH(P$3,0),P$3+6)),"◆",""))</f>
      </c>
      <c r="Q220" s="26">
        <f>IF(OR($A220="",Q$3=""),"",IF(AND($J220&lt;&gt;"",$K220&lt;&gt;"",$J220=$K220,$J220&gt;=Q$3,$J220&lt;=IF(param_mode_affichage="mois",EOMONTH(Q$3,0),Q$3+6)),"◆",""))</f>
      </c>
      <c r="R220" s="26">
        <f>IF(OR($A220="",R$3=""),"",IF(AND($J220&lt;&gt;"",$K220&lt;&gt;"",$J220=$K220,$J220&gt;=R$3,$J220&lt;=IF(param_mode_affichage="mois",EOMONTH(R$3,0),R$3+6)),"◆",""))</f>
      </c>
      <c r="S220" s="26">
        <f>IF(OR($A220="",S$3=""),"",IF(AND($J220&lt;&gt;"",$K220&lt;&gt;"",$J220=$K220,$J220&gt;=S$3,$J220&lt;=IF(param_mode_affichage="mois",EOMONTH(S$3,0),S$3+6)),"◆",""))</f>
      </c>
      <c r="T220" s="26">
        <f>IF(OR($A220="",T$3=""),"",IF(AND($J220&lt;&gt;"",$K220&lt;&gt;"",$J220=$K220,$J220&gt;=T$3,$J220&lt;=IF(param_mode_affichage="mois",EOMONTH(T$3,0),T$3+6)),"◆",""))</f>
      </c>
      <c r="U220" s="26">
        <f>IF(OR($A220="",U$3=""),"",IF(AND($J220&lt;&gt;"",$K220&lt;&gt;"",$J220=$K220,$J220&gt;=U$3,$J220&lt;=IF(param_mode_affichage="mois",EOMONTH(U$3,0),U$3+6)),"◆",""))</f>
      </c>
      <c r="V220" s="26">
        <f>IF(OR($A220="",V$3=""),"",IF(AND($J220&lt;&gt;"",$K220&lt;&gt;"",$J220=$K220,$J220&gt;=V$3,$J220&lt;=IF(param_mode_affichage="mois",EOMONTH(V$3,0),V$3+6)),"◆",""))</f>
      </c>
      <c r="W220" s="26">
        <f>IF(OR($A220="",W$3=""),"",IF(AND($J220&lt;&gt;"",$K220&lt;&gt;"",$J220=$K220,$J220&gt;=W$3,$J220&lt;=IF(param_mode_affichage="mois",EOMONTH(W$3,0),W$3+6)),"◆",""))</f>
      </c>
      <c r="X220" s="26">
        <f>IF(OR($A220="",X$3=""),"",IF(AND($J220&lt;&gt;"",$K220&lt;&gt;"",$J220=$K220,$J220&gt;=X$3,$J220&lt;=IF(param_mode_affichage="mois",EOMONTH(X$3,0),X$3+6)),"◆",""))</f>
      </c>
      <c r="Y220" s="26">
        <f>IF(OR($A220="",Y$3=""),"",IF(AND($J220&lt;&gt;"",$K220&lt;&gt;"",$J220=$K220,$J220&gt;=Y$3,$J220&lt;=IF(param_mode_affichage="mois",EOMONTH(Y$3,0),Y$3+6)),"◆",""))</f>
      </c>
      <c r="Z220" s="26">
        <f>IF(OR($A220="",Z$3=""),"",IF(AND($J220&lt;&gt;"",$K220&lt;&gt;"",$J220=$K220,$J220&gt;=Z$3,$J220&lt;=IF(param_mode_affichage="mois",EOMONTH(Z$3,0),Z$3+6)),"◆",""))</f>
      </c>
      <c r="AA220" s="26">
        <f>IF(OR($A220="",AA$3=""),"",IF(AND($J220&lt;&gt;"",$K220&lt;&gt;"",$J220=$K220,$J220&gt;=AA$3,$J220&lt;=IF(param_mode_affichage="mois",EOMONTH(AA$3,0),AA$3+6)),"◆",""))</f>
      </c>
      <c r="AB220" s="26">
        <f>IF(OR($A220="",AB$3=""),"",IF(AND($J220&lt;&gt;"",$K220&lt;&gt;"",$J220=$K220,$J220&gt;=AB$3,$J220&lt;=IF(param_mode_affichage="mois",EOMONTH(AB$3,0),AB$3+6)),"◆",""))</f>
      </c>
      <c r="AC220" s="26">
        <f>IF(OR($A220="",AC$3=""),"",IF(AND($J220&lt;&gt;"",$K220&lt;&gt;"",$J220=$K220,$J220&gt;=AC$3,$J220&lt;=IF(param_mode_affichage="mois",EOMONTH(AC$3,0),AC$3+6)),"◆",""))</f>
      </c>
      <c r="AD220" s="26">
        <f>IF(OR($A220="",AD$3=""),"",IF(AND($J220&lt;&gt;"",$K220&lt;&gt;"",$J220=$K220,$J220&gt;=AD$3,$J220&lt;=IF(param_mode_affichage="mois",EOMONTH(AD$3,0),AD$3+6)),"◆",""))</f>
      </c>
      <c r="AE220" s="26">
        <f>IF(OR($A220="",AE$3=""),"",IF(AND($J220&lt;&gt;"",$K220&lt;&gt;"",$J220=$K220,$J220&gt;=AE$3,$J220&lt;=IF(param_mode_affichage="mois",EOMONTH(AE$3,0),AE$3+6)),"◆",""))</f>
      </c>
      <c r="AF220" s="26">
        <f>IF(OR($A220="",AF$3=""),"",IF(AND($J220&lt;&gt;"",$K220&lt;&gt;"",$J220=$K220,$J220&gt;=AF$3,$J220&lt;=IF(param_mode_affichage="mois",EOMONTH(AF$3,0),AF$3+6)),"◆",""))</f>
      </c>
      <c r="AG220" s="26">
        <f>IF(OR($A220="",AG$3=""),"",IF(AND($J220&lt;&gt;"",$K220&lt;&gt;"",$J220=$K220,$J220&gt;=AG$3,$J220&lt;=IF(param_mode_affichage="mois",EOMONTH(AG$3,0),AG$3+6)),"◆",""))</f>
      </c>
      <c r="AH220" s="26">
        <f>IF(OR($A220="",AH$3=""),"",IF(AND($J220&lt;&gt;"",$K220&lt;&gt;"",$J220=$K220,$J220&gt;=AH$3,$J220&lt;=IF(param_mode_affichage="mois",EOMONTH(AH$3,0),AH$3+6)),"◆",""))</f>
      </c>
      <c r="AI220" s="26">
        <f>IF(OR($A220="",AI$3=""),"",IF(AND($J220&lt;&gt;"",$K220&lt;&gt;"",$J220=$K220,$J220&gt;=AI$3,$J220&lt;=IF(param_mode_affichage="mois",EOMONTH(AI$3,0),AI$3+6)),"◆",""))</f>
      </c>
      <c r="AJ220" s="26">
        <f>IF(OR($A220="",AJ$3=""),"",IF(AND($J220&lt;&gt;"",$K220&lt;&gt;"",$J220=$K220,$J220&gt;=AJ$3,$J220&lt;=IF(param_mode_affichage="mois",EOMONTH(AJ$3,0),AJ$3+6)),"◆",""))</f>
      </c>
      <c r="AK220" s="26">
        <f>IF(OR($A220="",AK$3=""),"",IF(AND($J220&lt;&gt;"",$K220&lt;&gt;"",$J220=$K220,$J220&gt;=AK$3,$J220&lt;=IF(param_mode_affichage="mois",EOMONTH(AK$3,0),AK$3+6)),"◆",""))</f>
      </c>
      <c r="AL220" s="26">
        <f>IF(OR($A220="",AL$3=""),"",IF(AND($J220&lt;&gt;"",$K220&lt;&gt;"",$J220=$K220,$J220&gt;=AL$3,$J220&lt;=IF(param_mode_affichage="mois",EOMONTH(AL$3,0),AL$3+6)),"◆",""))</f>
      </c>
      <c r="AM220" s="26">
        <f>IF(OR($A220="",AM$3=""),"",IF(AND($J220&lt;&gt;"",$K220&lt;&gt;"",$J220=$K220,$J220&gt;=AM$3,$J220&lt;=IF(param_mode_affichage="mois",EOMONTH(AM$3,0),AM$3+6)),"◆",""))</f>
      </c>
      <c r="AN220" s="26">
        <f>IF(OR($A220="",AN$3=""),"",IF(AND($J220&lt;&gt;"",$K220&lt;&gt;"",$J220=$K220,$J220&gt;=AN$3,$J220&lt;=IF(param_mode_affichage="mois",EOMONTH(AN$3,0),AN$3+6)),"◆",""))</f>
      </c>
      <c r="AO220" s="26">
        <f>IF(OR($A220="",AO$3=""),"",IF(AND($J220&lt;&gt;"",$K220&lt;&gt;"",$J220=$K220,$J220&gt;=AO$3,$J220&lt;=IF(param_mode_affichage="mois",EOMONTH(AO$3,0),AO$3+6)),"◆",""))</f>
      </c>
      <c r="AP220" s="26">
        <f>IF(OR($A220="",AP$3=""),"",IF(AND($J220&lt;&gt;"",$K220&lt;&gt;"",$J220=$K220,$J220&gt;=AP$3,$J220&lt;=IF(param_mode_affichage="mois",EOMONTH(AP$3,0),AP$3+6)),"◆",""))</f>
      </c>
      <c r="AQ220" s="26">
        <f>IF(OR($A220="",AQ$3=""),"",IF(AND($J220&lt;&gt;"",$K220&lt;&gt;"",$J220=$K220,$J220&gt;=AQ$3,$J220&lt;=IF(param_mode_affichage="mois",EOMONTH(AQ$3,0),AQ$3+6)),"◆",""))</f>
      </c>
      <c r="AR220" s="26">
        <f>IF(OR($A220="",AR$3=""),"",IF(AND($J220&lt;&gt;"",$K220&lt;&gt;"",$J220=$K220,$J220&gt;=AR$3,$J220&lt;=IF(param_mode_affichage="mois",EOMONTH(AR$3,0),AR$3+6)),"◆",""))</f>
      </c>
      <c r="AS220" s="26">
        <f>IF(OR($A220="",AS$3=""),"",IF(AND($J220&lt;&gt;"",$K220&lt;&gt;"",$J220=$K220,$J220&gt;=AS$3,$J220&lt;=IF(param_mode_affichage="mois",EOMONTH(AS$3,0),AS$3+6)),"◆",""))</f>
      </c>
      <c r="AT220" s="26">
        <f>IF(OR($A220="",AT$3=""),"",IF(AND($J220&lt;&gt;"",$K220&lt;&gt;"",$J220=$K220,$J220&gt;=AT$3,$J220&lt;=IF(param_mode_affichage="mois",EOMONTH(AT$3,0),AT$3+6)),"◆",""))</f>
      </c>
      <c r="AU220" s="26">
        <f>IF(OR($A220="",AU$3=""),"",IF(AND($J220&lt;&gt;"",$K220&lt;&gt;"",$J220=$K220,$J220&gt;=AU$3,$J220&lt;=IF(param_mode_affichage="mois",EOMONTH(AU$3,0),AU$3+6)),"◆",""))</f>
      </c>
      <c r="AV220" s="26">
        <f>IF(OR($A220="",AV$3=""),"",IF(AND($J220&lt;&gt;"",$K220&lt;&gt;"",$J220=$K220,$J220&gt;=AV$3,$J220&lt;=IF(param_mode_affichage="mois",EOMONTH(AV$3,0),AV$3+6)),"◆",""))</f>
      </c>
      <c r="AW220" s="26">
        <f>IF(OR($A220="",AW$3=""),"",IF(AND($J220&lt;&gt;"",$K220&lt;&gt;"",$J220=$K220,$J220&gt;=AW$3,$J220&lt;=IF(param_mode_affichage="mois",EOMONTH(AW$3,0),AW$3+6)),"◆",""))</f>
      </c>
      <c r="AX220" s="26">
        <f>IF(OR($A220="",AX$3=""),"",IF(AND($J220&lt;&gt;"",$K220&lt;&gt;"",$J220=$K220,$J220&gt;=AX$3,$J220&lt;=IF(param_mode_affichage="mois",EOMONTH(AX$3,0),AX$3+6)),"◆",""))</f>
      </c>
      <c r="AY220" s="26">
        <f>IF(OR($A220="",AY$3=""),"",IF(AND($J220&lt;&gt;"",$K220&lt;&gt;"",$J220=$K220,$J220&gt;=AY$3,$J220&lt;=IF(param_mode_affichage="mois",EOMONTH(AY$3,0),AY$3+6)),"◆",""))</f>
      </c>
      <c r="AZ220" s="26">
        <f>IF(OR($A220="",AZ$3=""),"",IF(AND($J220&lt;&gt;"",$K220&lt;&gt;"",$J220=$K220,$J220&gt;=AZ$3,$J220&lt;=IF(param_mode_affichage="mois",EOMONTH(AZ$3,0),AZ$3+6)),"◆",""))</f>
      </c>
      <c r="BA220" s="26">
        <f>IF(OR($A220="",BA$3=""),"",IF(AND($J220&lt;&gt;"",$K220&lt;&gt;"",$J220=$K220,$J220&gt;=BA$3,$J220&lt;=IF(param_mode_affichage="mois",EOMONTH(BA$3,0),BA$3+6)),"◆",""))</f>
      </c>
      <c r="BB220" s="26">
        <f>IF(OR($A220="",BB$3=""),"",IF(AND($J220&lt;&gt;"",$K220&lt;&gt;"",$J220=$K220,$J220&gt;=BB$3,$J220&lt;=IF(param_mode_affichage="mois",EOMONTH(BB$3,0),BB$3+6)),"◆",""))</f>
      </c>
      <c r="BC220" s="26">
        <f>IF(OR($A220="",BC$3=""),"",IF(AND($J220&lt;&gt;"",$K220&lt;&gt;"",$J220=$K220,$J220&gt;=BC$3,$J220&lt;=IF(param_mode_affichage="mois",EOMONTH(BC$3,0),BC$3+6)),"◆",""))</f>
      </c>
      <c r="BD220" s="26">
        <f>IF(OR($A220="",BD$3=""),"",IF(AND($J220&lt;&gt;"",$K220&lt;&gt;"",$J220=$K220,$J220&gt;=BD$3,$J220&lt;=IF(param_mode_affichage="mois",EOMONTH(BD$3,0),BD$3+6)),"◆",""))</f>
      </c>
      <c r="BE220" s="26">
        <f>IF(OR($A220="",BE$3=""),"",IF(AND($J220&lt;&gt;"",$K220&lt;&gt;"",$J220=$K220,$J220&gt;=BE$3,$J220&lt;=IF(param_mode_affichage="mois",EOMONTH(BE$3,0),BE$3+6)),"◆",""))</f>
      </c>
      <c r="BF220" s="26">
        <f>IF(OR($A220="",BF$3=""),"",IF(AND($J220&lt;&gt;"",$K220&lt;&gt;"",$J220=$K220,$J220&gt;=BF$3,$J220&lt;=IF(param_mode_affichage="mois",EOMONTH(BF$3,0),BF$3+6)),"◆",""))</f>
      </c>
      <c r="BG220" s="26">
        <f>IF(OR($A220="",BG$3=""),"",IF(AND($J220&lt;&gt;"",$K220&lt;&gt;"",$J220=$K220,$J220&gt;=BG$3,$J220&lt;=IF(param_mode_affichage="mois",EOMONTH(BG$3,0),BG$3+6)),"◆",""))</f>
      </c>
      <c r="BH220" s="26">
        <f>IF(OR($A220="",BH$3=""),"",IF(AND($J220&lt;&gt;"",$K220&lt;&gt;"",$J220=$K220,$J220&gt;=BH$3,$J220&lt;=IF(param_mode_affichage="mois",EOMONTH(BH$3,0),BH$3+6)),"◆",""))</f>
      </c>
      <c r="BI220" s="26">
        <f>IF(OR($A220="",BI$3=""),"",IF(AND($J220&lt;&gt;"",$K220&lt;&gt;"",$J220=$K220,$J220&gt;=BI$3,$J220&lt;=IF(param_mode_affichage="mois",EOMONTH(BI$3,0),BI$3+6)),"◆",""))</f>
      </c>
      <c r="BJ220" s="26">
        <f>IF(OR($A220="",BJ$3=""),"",IF(AND($J220&lt;&gt;"",$K220&lt;&gt;"",$J220=$K220,$J220&gt;=BJ$3,$J220&lt;=IF(param_mode_affichage="mois",EOMONTH(BJ$3,0),BJ$3+6)),"◆",""))</f>
      </c>
      <c r="BK220" s="26">
        <f>IF(OR($A220="",BK$3=""),"",IF(AND($J220&lt;&gt;"",$K220&lt;&gt;"",$J220=$K220,$J220&gt;=BK$3,$J220&lt;=IF(param_mode_affichage="mois",EOMONTH(BK$3,0),BK$3+6)),"◆",""))</f>
      </c>
      <c r="BL220" s="26">
        <f>IF(OR($A220="",BL$3=""),"",IF(AND($J220&lt;&gt;"",$K220&lt;&gt;"",$J220=$K220,$J220&gt;=BL$3,$J220&lt;=IF(param_mode_affichage="mois",EOMONTH(BL$3,0),BL$3+6)),"◆",""))</f>
      </c>
    </row>
    <row r="221" spans="1:64" x14ac:dyDescent="0.25">
      <c r="A221" s="23">
        <f>IFERROR(INDEX(tblTasks[ID],ROW()-4),"")</f>
      </c>
      <c r="B221" s="24">
        <f>IF($A221="","",INDEX(tblTasks[Sujet],ROW()-4))</f>
      </c>
      <c r="C221" s="23">
        <f>IF($A221="","",INDEX(tblTasks[Responsable],ROW()-4))</f>
      </c>
      <c r="D221" s="23">
        <f>IF($A221="","",INDEX(tblTasks[Statut],ROW()-4))</f>
      </c>
      <c r="E221" s="23">
        <f>IF($A221="","",INDEX(tblTasks[Depend_de],ROW()-4))</f>
      </c>
      <c r="F221" s="23">
        <f>IF($A221="","",INDEX(tblTasks[Blocage],ROW()-4))</f>
      </c>
      <c r="G221" s="23">
        <f>IF($A221="","",INDEX(tblTasks[Niveau_criticite],ROW()-4))</f>
      </c>
      <c r="H221" s="23">
        <f>IF($A221="","",INDEX(tblTasks[Goulot],ROW()-4))</f>
      </c>
      <c r="I221" s="23">
        <f>IF($A221="","",IF(LOWER($F221)="oui","non",IF($E221="","oui",IFERROR(IF(LOWER(INDEX(tblTasks[Statut],MATCH($E221,tblTasks[ID],0)))="clos","oui","non"),"non"))))</f>
      </c>
      <c r="J221" s="25">
        <f>IF($A221="","",INDEX(tblTasks[Date_debut_prevue],ROW()-4))</f>
      </c>
      <c r="K221" s="25">
        <f>IF($A221="","",INDEX(tblTasks[Date_fin_prevue],ROW()-4))</f>
      </c>
      <c r="L221" s="23">
        <f>IF($A221="","",INDEX(tblTasks[Irreversibilite],ROW()-4))</f>
      </c>
      <c r="M221" s="26">
        <f>IF(OR($A221="",M$3=""),"",IF(AND($J221&lt;&gt;"",$K221&lt;&gt;"",$J221=$K221,$J221&gt;=M$3,$J221&lt;=IF(param_mode_affichage="mois",EOMONTH(M$3,0),M$3+6)),"◆",""))</f>
      </c>
      <c r="N221" s="26">
        <f>IF(OR($A221="",N$3=""),"",IF(AND($J221&lt;&gt;"",$K221&lt;&gt;"",$J221=$K221,$J221&gt;=N$3,$J221&lt;=IF(param_mode_affichage="mois",EOMONTH(N$3,0),N$3+6)),"◆",""))</f>
      </c>
      <c r="O221" s="26">
        <f>IF(OR($A221="",O$3=""),"",IF(AND($J221&lt;&gt;"",$K221&lt;&gt;"",$J221=$K221,$J221&gt;=O$3,$J221&lt;=IF(param_mode_affichage="mois",EOMONTH(O$3,0),O$3+6)),"◆",""))</f>
      </c>
      <c r="P221" s="26">
        <f>IF(OR($A221="",P$3=""),"",IF(AND($J221&lt;&gt;"",$K221&lt;&gt;"",$J221=$K221,$J221&gt;=P$3,$J221&lt;=IF(param_mode_affichage="mois",EOMONTH(P$3,0),P$3+6)),"◆",""))</f>
      </c>
      <c r="Q221" s="26">
        <f>IF(OR($A221="",Q$3=""),"",IF(AND($J221&lt;&gt;"",$K221&lt;&gt;"",$J221=$K221,$J221&gt;=Q$3,$J221&lt;=IF(param_mode_affichage="mois",EOMONTH(Q$3,0),Q$3+6)),"◆",""))</f>
      </c>
      <c r="R221" s="26">
        <f>IF(OR($A221="",R$3=""),"",IF(AND($J221&lt;&gt;"",$K221&lt;&gt;"",$J221=$K221,$J221&gt;=R$3,$J221&lt;=IF(param_mode_affichage="mois",EOMONTH(R$3,0),R$3+6)),"◆",""))</f>
      </c>
      <c r="S221" s="26">
        <f>IF(OR($A221="",S$3=""),"",IF(AND($J221&lt;&gt;"",$K221&lt;&gt;"",$J221=$K221,$J221&gt;=S$3,$J221&lt;=IF(param_mode_affichage="mois",EOMONTH(S$3,0),S$3+6)),"◆",""))</f>
      </c>
      <c r="T221" s="26">
        <f>IF(OR($A221="",T$3=""),"",IF(AND($J221&lt;&gt;"",$K221&lt;&gt;"",$J221=$K221,$J221&gt;=T$3,$J221&lt;=IF(param_mode_affichage="mois",EOMONTH(T$3,0),T$3+6)),"◆",""))</f>
      </c>
      <c r="U221" s="26">
        <f>IF(OR($A221="",U$3=""),"",IF(AND($J221&lt;&gt;"",$K221&lt;&gt;"",$J221=$K221,$J221&gt;=U$3,$J221&lt;=IF(param_mode_affichage="mois",EOMONTH(U$3,0),U$3+6)),"◆",""))</f>
      </c>
      <c r="V221" s="26">
        <f>IF(OR($A221="",V$3=""),"",IF(AND($J221&lt;&gt;"",$K221&lt;&gt;"",$J221=$K221,$J221&gt;=V$3,$J221&lt;=IF(param_mode_affichage="mois",EOMONTH(V$3,0),V$3+6)),"◆",""))</f>
      </c>
      <c r="W221" s="26">
        <f>IF(OR($A221="",W$3=""),"",IF(AND($J221&lt;&gt;"",$K221&lt;&gt;"",$J221=$K221,$J221&gt;=W$3,$J221&lt;=IF(param_mode_affichage="mois",EOMONTH(W$3,0),W$3+6)),"◆",""))</f>
      </c>
      <c r="X221" s="26">
        <f>IF(OR($A221="",X$3=""),"",IF(AND($J221&lt;&gt;"",$K221&lt;&gt;"",$J221=$K221,$J221&gt;=X$3,$J221&lt;=IF(param_mode_affichage="mois",EOMONTH(X$3,0),X$3+6)),"◆",""))</f>
      </c>
      <c r="Y221" s="26">
        <f>IF(OR($A221="",Y$3=""),"",IF(AND($J221&lt;&gt;"",$K221&lt;&gt;"",$J221=$K221,$J221&gt;=Y$3,$J221&lt;=IF(param_mode_affichage="mois",EOMONTH(Y$3,0),Y$3+6)),"◆",""))</f>
      </c>
      <c r="Z221" s="26">
        <f>IF(OR($A221="",Z$3=""),"",IF(AND($J221&lt;&gt;"",$K221&lt;&gt;"",$J221=$K221,$J221&gt;=Z$3,$J221&lt;=IF(param_mode_affichage="mois",EOMONTH(Z$3,0),Z$3+6)),"◆",""))</f>
      </c>
      <c r="AA221" s="26">
        <f>IF(OR($A221="",AA$3=""),"",IF(AND($J221&lt;&gt;"",$K221&lt;&gt;"",$J221=$K221,$J221&gt;=AA$3,$J221&lt;=IF(param_mode_affichage="mois",EOMONTH(AA$3,0),AA$3+6)),"◆",""))</f>
      </c>
      <c r="AB221" s="26">
        <f>IF(OR($A221="",AB$3=""),"",IF(AND($J221&lt;&gt;"",$K221&lt;&gt;"",$J221=$K221,$J221&gt;=AB$3,$J221&lt;=IF(param_mode_affichage="mois",EOMONTH(AB$3,0),AB$3+6)),"◆",""))</f>
      </c>
      <c r="AC221" s="26">
        <f>IF(OR($A221="",AC$3=""),"",IF(AND($J221&lt;&gt;"",$K221&lt;&gt;"",$J221=$K221,$J221&gt;=AC$3,$J221&lt;=IF(param_mode_affichage="mois",EOMONTH(AC$3,0),AC$3+6)),"◆",""))</f>
      </c>
      <c r="AD221" s="26">
        <f>IF(OR($A221="",AD$3=""),"",IF(AND($J221&lt;&gt;"",$K221&lt;&gt;"",$J221=$K221,$J221&gt;=AD$3,$J221&lt;=IF(param_mode_affichage="mois",EOMONTH(AD$3,0),AD$3+6)),"◆",""))</f>
      </c>
      <c r="AE221" s="26">
        <f>IF(OR($A221="",AE$3=""),"",IF(AND($J221&lt;&gt;"",$K221&lt;&gt;"",$J221=$K221,$J221&gt;=AE$3,$J221&lt;=IF(param_mode_affichage="mois",EOMONTH(AE$3,0),AE$3+6)),"◆",""))</f>
      </c>
      <c r="AF221" s="26">
        <f>IF(OR($A221="",AF$3=""),"",IF(AND($J221&lt;&gt;"",$K221&lt;&gt;"",$J221=$K221,$J221&gt;=AF$3,$J221&lt;=IF(param_mode_affichage="mois",EOMONTH(AF$3,0),AF$3+6)),"◆",""))</f>
      </c>
      <c r="AG221" s="26">
        <f>IF(OR($A221="",AG$3=""),"",IF(AND($J221&lt;&gt;"",$K221&lt;&gt;"",$J221=$K221,$J221&gt;=AG$3,$J221&lt;=IF(param_mode_affichage="mois",EOMONTH(AG$3,0),AG$3+6)),"◆",""))</f>
      </c>
      <c r="AH221" s="26">
        <f>IF(OR($A221="",AH$3=""),"",IF(AND($J221&lt;&gt;"",$K221&lt;&gt;"",$J221=$K221,$J221&gt;=AH$3,$J221&lt;=IF(param_mode_affichage="mois",EOMONTH(AH$3,0),AH$3+6)),"◆",""))</f>
      </c>
      <c r="AI221" s="26">
        <f>IF(OR($A221="",AI$3=""),"",IF(AND($J221&lt;&gt;"",$K221&lt;&gt;"",$J221=$K221,$J221&gt;=AI$3,$J221&lt;=IF(param_mode_affichage="mois",EOMONTH(AI$3,0),AI$3+6)),"◆",""))</f>
      </c>
      <c r="AJ221" s="26">
        <f>IF(OR($A221="",AJ$3=""),"",IF(AND($J221&lt;&gt;"",$K221&lt;&gt;"",$J221=$K221,$J221&gt;=AJ$3,$J221&lt;=IF(param_mode_affichage="mois",EOMONTH(AJ$3,0),AJ$3+6)),"◆",""))</f>
      </c>
      <c r="AK221" s="26">
        <f>IF(OR($A221="",AK$3=""),"",IF(AND($J221&lt;&gt;"",$K221&lt;&gt;"",$J221=$K221,$J221&gt;=AK$3,$J221&lt;=IF(param_mode_affichage="mois",EOMONTH(AK$3,0),AK$3+6)),"◆",""))</f>
      </c>
      <c r="AL221" s="26">
        <f>IF(OR($A221="",AL$3=""),"",IF(AND($J221&lt;&gt;"",$K221&lt;&gt;"",$J221=$K221,$J221&gt;=AL$3,$J221&lt;=IF(param_mode_affichage="mois",EOMONTH(AL$3,0),AL$3+6)),"◆",""))</f>
      </c>
      <c r="AM221" s="26">
        <f>IF(OR($A221="",AM$3=""),"",IF(AND($J221&lt;&gt;"",$K221&lt;&gt;"",$J221=$K221,$J221&gt;=AM$3,$J221&lt;=IF(param_mode_affichage="mois",EOMONTH(AM$3,0),AM$3+6)),"◆",""))</f>
      </c>
      <c r="AN221" s="26">
        <f>IF(OR($A221="",AN$3=""),"",IF(AND($J221&lt;&gt;"",$K221&lt;&gt;"",$J221=$K221,$J221&gt;=AN$3,$J221&lt;=IF(param_mode_affichage="mois",EOMONTH(AN$3,0),AN$3+6)),"◆",""))</f>
      </c>
      <c r="AO221" s="26">
        <f>IF(OR($A221="",AO$3=""),"",IF(AND($J221&lt;&gt;"",$K221&lt;&gt;"",$J221=$K221,$J221&gt;=AO$3,$J221&lt;=IF(param_mode_affichage="mois",EOMONTH(AO$3,0),AO$3+6)),"◆",""))</f>
      </c>
      <c r="AP221" s="26">
        <f>IF(OR($A221="",AP$3=""),"",IF(AND($J221&lt;&gt;"",$K221&lt;&gt;"",$J221=$K221,$J221&gt;=AP$3,$J221&lt;=IF(param_mode_affichage="mois",EOMONTH(AP$3,0),AP$3+6)),"◆",""))</f>
      </c>
      <c r="AQ221" s="26">
        <f>IF(OR($A221="",AQ$3=""),"",IF(AND($J221&lt;&gt;"",$K221&lt;&gt;"",$J221=$K221,$J221&gt;=AQ$3,$J221&lt;=IF(param_mode_affichage="mois",EOMONTH(AQ$3,0),AQ$3+6)),"◆",""))</f>
      </c>
      <c r="AR221" s="26">
        <f>IF(OR($A221="",AR$3=""),"",IF(AND($J221&lt;&gt;"",$K221&lt;&gt;"",$J221=$K221,$J221&gt;=AR$3,$J221&lt;=IF(param_mode_affichage="mois",EOMONTH(AR$3,0),AR$3+6)),"◆",""))</f>
      </c>
      <c r="AS221" s="26">
        <f>IF(OR($A221="",AS$3=""),"",IF(AND($J221&lt;&gt;"",$K221&lt;&gt;"",$J221=$K221,$J221&gt;=AS$3,$J221&lt;=IF(param_mode_affichage="mois",EOMONTH(AS$3,0),AS$3+6)),"◆",""))</f>
      </c>
      <c r="AT221" s="26">
        <f>IF(OR($A221="",AT$3=""),"",IF(AND($J221&lt;&gt;"",$K221&lt;&gt;"",$J221=$K221,$J221&gt;=AT$3,$J221&lt;=IF(param_mode_affichage="mois",EOMONTH(AT$3,0),AT$3+6)),"◆",""))</f>
      </c>
      <c r="AU221" s="26">
        <f>IF(OR($A221="",AU$3=""),"",IF(AND($J221&lt;&gt;"",$K221&lt;&gt;"",$J221=$K221,$J221&gt;=AU$3,$J221&lt;=IF(param_mode_affichage="mois",EOMONTH(AU$3,0),AU$3+6)),"◆",""))</f>
      </c>
      <c r="AV221" s="26">
        <f>IF(OR($A221="",AV$3=""),"",IF(AND($J221&lt;&gt;"",$K221&lt;&gt;"",$J221=$K221,$J221&gt;=AV$3,$J221&lt;=IF(param_mode_affichage="mois",EOMONTH(AV$3,0),AV$3+6)),"◆",""))</f>
      </c>
      <c r="AW221" s="26">
        <f>IF(OR($A221="",AW$3=""),"",IF(AND($J221&lt;&gt;"",$K221&lt;&gt;"",$J221=$K221,$J221&gt;=AW$3,$J221&lt;=IF(param_mode_affichage="mois",EOMONTH(AW$3,0),AW$3+6)),"◆",""))</f>
      </c>
      <c r="AX221" s="26">
        <f>IF(OR($A221="",AX$3=""),"",IF(AND($J221&lt;&gt;"",$K221&lt;&gt;"",$J221=$K221,$J221&gt;=AX$3,$J221&lt;=IF(param_mode_affichage="mois",EOMONTH(AX$3,0),AX$3+6)),"◆",""))</f>
      </c>
      <c r="AY221" s="26">
        <f>IF(OR($A221="",AY$3=""),"",IF(AND($J221&lt;&gt;"",$K221&lt;&gt;"",$J221=$K221,$J221&gt;=AY$3,$J221&lt;=IF(param_mode_affichage="mois",EOMONTH(AY$3,0),AY$3+6)),"◆",""))</f>
      </c>
      <c r="AZ221" s="26">
        <f>IF(OR($A221="",AZ$3=""),"",IF(AND($J221&lt;&gt;"",$K221&lt;&gt;"",$J221=$K221,$J221&gt;=AZ$3,$J221&lt;=IF(param_mode_affichage="mois",EOMONTH(AZ$3,0),AZ$3+6)),"◆",""))</f>
      </c>
      <c r="BA221" s="26">
        <f>IF(OR($A221="",BA$3=""),"",IF(AND($J221&lt;&gt;"",$K221&lt;&gt;"",$J221=$K221,$J221&gt;=BA$3,$J221&lt;=IF(param_mode_affichage="mois",EOMONTH(BA$3,0),BA$3+6)),"◆",""))</f>
      </c>
      <c r="BB221" s="26">
        <f>IF(OR($A221="",BB$3=""),"",IF(AND($J221&lt;&gt;"",$K221&lt;&gt;"",$J221=$K221,$J221&gt;=BB$3,$J221&lt;=IF(param_mode_affichage="mois",EOMONTH(BB$3,0),BB$3+6)),"◆",""))</f>
      </c>
      <c r="BC221" s="26">
        <f>IF(OR($A221="",BC$3=""),"",IF(AND($J221&lt;&gt;"",$K221&lt;&gt;"",$J221=$K221,$J221&gt;=BC$3,$J221&lt;=IF(param_mode_affichage="mois",EOMONTH(BC$3,0),BC$3+6)),"◆",""))</f>
      </c>
      <c r="BD221" s="26">
        <f>IF(OR($A221="",BD$3=""),"",IF(AND($J221&lt;&gt;"",$K221&lt;&gt;"",$J221=$K221,$J221&gt;=BD$3,$J221&lt;=IF(param_mode_affichage="mois",EOMONTH(BD$3,0),BD$3+6)),"◆",""))</f>
      </c>
      <c r="BE221" s="26">
        <f>IF(OR($A221="",BE$3=""),"",IF(AND($J221&lt;&gt;"",$K221&lt;&gt;"",$J221=$K221,$J221&gt;=BE$3,$J221&lt;=IF(param_mode_affichage="mois",EOMONTH(BE$3,0),BE$3+6)),"◆",""))</f>
      </c>
      <c r="BF221" s="26">
        <f>IF(OR($A221="",BF$3=""),"",IF(AND($J221&lt;&gt;"",$K221&lt;&gt;"",$J221=$K221,$J221&gt;=BF$3,$J221&lt;=IF(param_mode_affichage="mois",EOMONTH(BF$3,0),BF$3+6)),"◆",""))</f>
      </c>
      <c r="BG221" s="26">
        <f>IF(OR($A221="",BG$3=""),"",IF(AND($J221&lt;&gt;"",$K221&lt;&gt;"",$J221=$K221,$J221&gt;=BG$3,$J221&lt;=IF(param_mode_affichage="mois",EOMONTH(BG$3,0),BG$3+6)),"◆",""))</f>
      </c>
      <c r="BH221" s="26">
        <f>IF(OR($A221="",BH$3=""),"",IF(AND($J221&lt;&gt;"",$K221&lt;&gt;"",$J221=$K221,$J221&gt;=BH$3,$J221&lt;=IF(param_mode_affichage="mois",EOMONTH(BH$3,0),BH$3+6)),"◆",""))</f>
      </c>
      <c r="BI221" s="26">
        <f>IF(OR($A221="",BI$3=""),"",IF(AND($J221&lt;&gt;"",$K221&lt;&gt;"",$J221=$K221,$J221&gt;=BI$3,$J221&lt;=IF(param_mode_affichage="mois",EOMONTH(BI$3,0),BI$3+6)),"◆",""))</f>
      </c>
      <c r="BJ221" s="26">
        <f>IF(OR($A221="",BJ$3=""),"",IF(AND($J221&lt;&gt;"",$K221&lt;&gt;"",$J221=$K221,$J221&gt;=BJ$3,$J221&lt;=IF(param_mode_affichage="mois",EOMONTH(BJ$3,0),BJ$3+6)),"◆",""))</f>
      </c>
      <c r="BK221" s="26">
        <f>IF(OR($A221="",BK$3=""),"",IF(AND($J221&lt;&gt;"",$K221&lt;&gt;"",$J221=$K221,$J221&gt;=BK$3,$J221&lt;=IF(param_mode_affichage="mois",EOMONTH(BK$3,0),BK$3+6)),"◆",""))</f>
      </c>
      <c r="BL221" s="26">
        <f>IF(OR($A221="",BL$3=""),"",IF(AND($J221&lt;&gt;"",$K221&lt;&gt;"",$J221=$K221,$J221&gt;=BL$3,$J221&lt;=IF(param_mode_affichage="mois",EOMONTH(BL$3,0),BL$3+6)),"◆",""))</f>
      </c>
    </row>
    <row r="222" spans="1:64" x14ac:dyDescent="0.25">
      <c r="A222" s="23">
        <f>IFERROR(INDEX(tblTasks[ID],ROW()-4),"")</f>
      </c>
      <c r="B222" s="24">
        <f>IF($A222="","",INDEX(tblTasks[Sujet],ROW()-4))</f>
      </c>
      <c r="C222" s="23">
        <f>IF($A222="","",INDEX(tblTasks[Responsable],ROW()-4))</f>
      </c>
      <c r="D222" s="23">
        <f>IF($A222="","",INDEX(tblTasks[Statut],ROW()-4))</f>
      </c>
      <c r="E222" s="23">
        <f>IF($A222="","",INDEX(tblTasks[Depend_de],ROW()-4))</f>
      </c>
      <c r="F222" s="23">
        <f>IF($A222="","",INDEX(tblTasks[Blocage],ROW()-4))</f>
      </c>
      <c r="G222" s="23">
        <f>IF($A222="","",INDEX(tblTasks[Niveau_criticite],ROW()-4))</f>
      </c>
      <c r="H222" s="23">
        <f>IF($A222="","",INDEX(tblTasks[Goulot],ROW()-4))</f>
      </c>
      <c r="I222" s="23">
        <f>IF($A222="","",IF(LOWER($F222)="oui","non",IF($E222="","oui",IFERROR(IF(LOWER(INDEX(tblTasks[Statut],MATCH($E222,tblTasks[ID],0)))="clos","oui","non"),"non"))))</f>
      </c>
      <c r="J222" s="25">
        <f>IF($A222="","",INDEX(tblTasks[Date_debut_prevue],ROW()-4))</f>
      </c>
      <c r="K222" s="25">
        <f>IF($A222="","",INDEX(tblTasks[Date_fin_prevue],ROW()-4))</f>
      </c>
      <c r="L222" s="23">
        <f>IF($A222="","",INDEX(tblTasks[Irreversibilite],ROW()-4))</f>
      </c>
      <c r="M222" s="26">
        <f>IF(OR($A222="",M$3=""),"",IF(AND($J222&lt;&gt;"",$K222&lt;&gt;"",$J222=$K222,$J222&gt;=M$3,$J222&lt;=IF(param_mode_affichage="mois",EOMONTH(M$3,0),M$3+6)),"◆",""))</f>
      </c>
      <c r="N222" s="26">
        <f>IF(OR($A222="",N$3=""),"",IF(AND($J222&lt;&gt;"",$K222&lt;&gt;"",$J222=$K222,$J222&gt;=N$3,$J222&lt;=IF(param_mode_affichage="mois",EOMONTH(N$3,0),N$3+6)),"◆",""))</f>
      </c>
      <c r="O222" s="26">
        <f>IF(OR($A222="",O$3=""),"",IF(AND($J222&lt;&gt;"",$K222&lt;&gt;"",$J222=$K222,$J222&gt;=O$3,$J222&lt;=IF(param_mode_affichage="mois",EOMONTH(O$3,0),O$3+6)),"◆",""))</f>
      </c>
      <c r="P222" s="26">
        <f>IF(OR($A222="",P$3=""),"",IF(AND($J222&lt;&gt;"",$K222&lt;&gt;"",$J222=$K222,$J222&gt;=P$3,$J222&lt;=IF(param_mode_affichage="mois",EOMONTH(P$3,0),P$3+6)),"◆",""))</f>
      </c>
      <c r="Q222" s="26">
        <f>IF(OR($A222="",Q$3=""),"",IF(AND($J222&lt;&gt;"",$K222&lt;&gt;"",$J222=$K222,$J222&gt;=Q$3,$J222&lt;=IF(param_mode_affichage="mois",EOMONTH(Q$3,0),Q$3+6)),"◆",""))</f>
      </c>
      <c r="R222" s="26">
        <f>IF(OR($A222="",R$3=""),"",IF(AND($J222&lt;&gt;"",$K222&lt;&gt;"",$J222=$K222,$J222&gt;=R$3,$J222&lt;=IF(param_mode_affichage="mois",EOMONTH(R$3,0),R$3+6)),"◆",""))</f>
      </c>
      <c r="S222" s="26">
        <f>IF(OR($A222="",S$3=""),"",IF(AND($J222&lt;&gt;"",$K222&lt;&gt;"",$J222=$K222,$J222&gt;=S$3,$J222&lt;=IF(param_mode_affichage="mois",EOMONTH(S$3,0),S$3+6)),"◆",""))</f>
      </c>
      <c r="T222" s="26">
        <f>IF(OR($A222="",T$3=""),"",IF(AND($J222&lt;&gt;"",$K222&lt;&gt;"",$J222=$K222,$J222&gt;=T$3,$J222&lt;=IF(param_mode_affichage="mois",EOMONTH(T$3,0),T$3+6)),"◆",""))</f>
      </c>
      <c r="U222" s="26">
        <f>IF(OR($A222="",U$3=""),"",IF(AND($J222&lt;&gt;"",$K222&lt;&gt;"",$J222=$K222,$J222&gt;=U$3,$J222&lt;=IF(param_mode_affichage="mois",EOMONTH(U$3,0),U$3+6)),"◆",""))</f>
      </c>
      <c r="V222" s="26">
        <f>IF(OR($A222="",V$3=""),"",IF(AND($J222&lt;&gt;"",$K222&lt;&gt;"",$J222=$K222,$J222&gt;=V$3,$J222&lt;=IF(param_mode_affichage="mois",EOMONTH(V$3,0),V$3+6)),"◆",""))</f>
      </c>
      <c r="W222" s="26">
        <f>IF(OR($A222="",W$3=""),"",IF(AND($J222&lt;&gt;"",$K222&lt;&gt;"",$J222=$K222,$J222&gt;=W$3,$J222&lt;=IF(param_mode_affichage="mois",EOMONTH(W$3,0),W$3+6)),"◆",""))</f>
      </c>
      <c r="X222" s="26">
        <f>IF(OR($A222="",X$3=""),"",IF(AND($J222&lt;&gt;"",$K222&lt;&gt;"",$J222=$K222,$J222&gt;=X$3,$J222&lt;=IF(param_mode_affichage="mois",EOMONTH(X$3,0),X$3+6)),"◆",""))</f>
      </c>
      <c r="Y222" s="26">
        <f>IF(OR($A222="",Y$3=""),"",IF(AND($J222&lt;&gt;"",$K222&lt;&gt;"",$J222=$K222,$J222&gt;=Y$3,$J222&lt;=IF(param_mode_affichage="mois",EOMONTH(Y$3,0),Y$3+6)),"◆",""))</f>
      </c>
      <c r="Z222" s="26">
        <f>IF(OR($A222="",Z$3=""),"",IF(AND($J222&lt;&gt;"",$K222&lt;&gt;"",$J222=$K222,$J222&gt;=Z$3,$J222&lt;=IF(param_mode_affichage="mois",EOMONTH(Z$3,0),Z$3+6)),"◆",""))</f>
      </c>
      <c r="AA222" s="26">
        <f>IF(OR($A222="",AA$3=""),"",IF(AND($J222&lt;&gt;"",$K222&lt;&gt;"",$J222=$K222,$J222&gt;=AA$3,$J222&lt;=IF(param_mode_affichage="mois",EOMONTH(AA$3,0),AA$3+6)),"◆",""))</f>
      </c>
      <c r="AB222" s="26">
        <f>IF(OR($A222="",AB$3=""),"",IF(AND($J222&lt;&gt;"",$K222&lt;&gt;"",$J222=$K222,$J222&gt;=AB$3,$J222&lt;=IF(param_mode_affichage="mois",EOMONTH(AB$3,0),AB$3+6)),"◆",""))</f>
      </c>
      <c r="AC222" s="26">
        <f>IF(OR($A222="",AC$3=""),"",IF(AND($J222&lt;&gt;"",$K222&lt;&gt;"",$J222=$K222,$J222&gt;=AC$3,$J222&lt;=IF(param_mode_affichage="mois",EOMONTH(AC$3,0),AC$3+6)),"◆",""))</f>
      </c>
      <c r="AD222" s="26">
        <f>IF(OR($A222="",AD$3=""),"",IF(AND($J222&lt;&gt;"",$K222&lt;&gt;"",$J222=$K222,$J222&gt;=AD$3,$J222&lt;=IF(param_mode_affichage="mois",EOMONTH(AD$3,0),AD$3+6)),"◆",""))</f>
      </c>
      <c r="AE222" s="26">
        <f>IF(OR($A222="",AE$3=""),"",IF(AND($J222&lt;&gt;"",$K222&lt;&gt;"",$J222=$K222,$J222&gt;=AE$3,$J222&lt;=IF(param_mode_affichage="mois",EOMONTH(AE$3,0),AE$3+6)),"◆",""))</f>
      </c>
      <c r="AF222" s="26">
        <f>IF(OR($A222="",AF$3=""),"",IF(AND($J222&lt;&gt;"",$K222&lt;&gt;"",$J222=$K222,$J222&gt;=AF$3,$J222&lt;=IF(param_mode_affichage="mois",EOMONTH(AF$3,0),AF$3+6)),"◆",""))</f>
      </c>
      <c r="AG222" s="26">
        <f>IF(OR($A222="",AG$3=""),"",IF(AND($J222&lt;&gt;"",$K222&lt;&gt;"",$J222=$K222,$J222&gt;=AG$3,$J222&lt;=IF(param_mode_affichage="mois",EOMONTH(AG$3,0),AG$3+6)),"◆",""))</f>
      </c>
      <c r="AH222" s="26">
        <f>IF(OR($A222="",AH$3=""),"",IF(AND($J222&lt;&gt;"",$K222&lt;&gt;"",$J222=$K222,$J222&gt;=AH$3,$J222&lt;=IF(param_mode_affichage="mois",EOMONTH(AH$3,0),AH$3+6)),"◆",""))</f>
      </c>
      <c r="AI222" s="26">
        <f>IF(OR($A222="",AI$3=""),"",IF(AND($J222&lt;&gt;"",$K222&lt;&gt;"",$J222=$K222,$J222&gt;=AI$3,$J222&lt;=IF(param_mode_affichage="mois",EOMONTH(AI$3,0),AI$3+6)),"◆",""))</f>
      </c>
      <c r="AJ222" s="26">
        <f>IF(OR($A222="",AJ$3=""),"",IF(AND($J222&lt;&gt;"",$K222&lt;&gt;"",$J222=$K222,$J222&gt;=AJ$3,$J222&lt;=IF(param_mode_affichage="mois",EOMONTH(AJ$3,0),AJ$3+6)),"◆",""))</f>
      </c>
      <c r="AK222" s="26">
        <f>IF(OR($A222="",AK$3=""),"",IF(AND($J222&lt;&gt;"",$K222&lt;&gt;"",$J222=$K222,$J222&gt;=AK$3,$J222&lt;=IF(param_mode_affichage="mois",EOMONTH(AK$3,0),AK$3+6)),"◆",""))</f>
      </c>
      <c r="AL222" s="26">
        <f>IF(OR($A222="",AL$3=""),"",IF(AND($J222&lt;&gt;"",$K222&lt;&gt;"",$J222=$K222,$J222&gt;=AL$3,$J222&lt;=IF(param_mode_affichage="mois",EOMONTH(AL$3,0),AL$3+6)),"◆",""))</f>
      </c>
      <c r="AM222" s="26">
        <f>IF(OR($A222="",AM$3=""),"",IF(AND($J222&lt;&gt;"",$K222&lt;&gt;"",$J222=$K222,$J222&gt;=AM$3,$J222&lt;=IF(param_mode_affichage="mois",EOMONTH(AM$3,0),AM$3+6)),"◆",""))</f>
      </c>
      <c r="AN222" s="26">
        <f>IF(OR($A222="",AN$3=""),"",IF(AND($J222&lt;&gt;"",$K222&lt;&gt;"",$J222=$K222,$J222&gt;=AN$3,$J222&lt;=IF(param_mode_affichage="mois",EOMONTH(AN$3,0),AN$3+6)),"◆",""))</f>
      </c>
      <c r="AO222" s="26">
        <f>IF(OR($A222="",AO$3=""),"",IF(AND($J222&lt;&gt;"",$K222&lt;&gt;"",$J222=$K222,$J222&gt;=AO$3,$J222&lt;=IF(param_mode_affichage="mois",EOMONTH(AO$3,0),AO$3+6)),"◆",""))</f>
      </c>
      <c r="AP222" s="26">
        <f>IF(OR($A222="",AP$3=""),"",IF(AND($J222&lt;&gt;"",$K222&lt;&gt;"",$J222=$K222,$J222&gt;=AP$3,$J222&lt;=IF(param_mode_affichage="mois",EOMONTH(AP$3,0),AP$3+6)),"◆",""))</f>
      </c>
      <c r="AQ222" s="26">
        <f>IF(OR($A222="",AQ$3=""),"",IF(AND($J222&lt;&gt;"",$K222&lt;&gt;"",$J222=$K222,$J222&gt;=AQ$3,$J222&lt;=IF(param_mode_affichage="mois",EOMONTH(AQ$3,0),AQ$3+6)),"◆",""))</f>
      </c>
      <c r="AR222" s="26">
        <f>IF(OR($A222="",AR$3=""),"",IF(AND($J222&lt;&gt;"",$K222&lt;&gt;"",$J222=$K222,$J222&gt;=AR$3,$J222&lt;=IF(param_mode_affichage="mois",EOMONTH(AR$3,0),AR$3+6)),"◆",""))</f>
      </c>
      <c r="AS222" s="26">
        <f>IF(OR($A222="",AS$3=""),"",IF(AND($J222&lt;&gt;"",$K222&lt;&gt;"",$J222=$K222,$J222&gt;=AS$3,$J222&lt;=IF(param_mode_affichage="mois",EOMONTH(AS$3,0),AS$3+6)),"◆",""))</f>
      </c>
      <c r="AT222" s="26">
        <f>IF(OR($A222="",AT$3=""),"",IF(AND($J222&lt;&gt;"",$K222&lt;&gt;"",$J222=$K222,$J222&gt;=AT$3,$J222&lt;=IF(param_mode_affichage="mois",EOMONTH(AT$3,0),AT$3+6)),"◆",""))</f>
      </c>
      <c r="AU222" s="26">
        <f>IF(OR($A222="",AU$3=""),"",IF(AND($J222&lt;&gt;"",$K222&lt;&gt;"",$J222=$K222,$J222&gt;=AU$3,$J222&lt;=IF(param_mode_affichage="mois",EOMONTH(AU$3,0),AU$3+6)),"◆",""))</f>
      </c>
      <c r="AV222" s="26">
        <f>IF(OR($A222="",AV$3=""),"",IF(AND($J222&lt;&gt;"",$K222&lt;&gt;"",$J222=$K222,$J222&gt;=AV$3,$J222&lt;=IF(param_mode_affichage="mois",EOMONTH(AV$3,0),AV$3+6)),"◆",""))</f>
      </c>
      <c r="AW222" s="26">
        <f>IF(OR($A222="",AW$3=""),"",IF(AND($J222&lt;&gt;"",$K222&lt;&gt;"",$J222=$K222,$J222&gt;=AW$3,$J222&lt;=IF(param_mode_affichage="mois",EOMONTH(AW$3,0),AW$3+6)),"◆",""))</f>
      </c>
      <c r="AX222" s="26">
        <f>IF(OR($A222="",AX$3=""),"",IF(AND($J222&lt;&gt;"",$K222&lt;&gt;"",$J222=$K222,$J222&gt;=AX$3,$J222&lt;=IF(param_mode_affichage="mois",EOMONTH(AX$3,0),AX$3+6)),"◆",""))</f>
      </c>
      <c r="AY222" s="26">
        <f>IF(OR($A222="",AY$3=""),"",IF(AND($J222&lt;&gt;"",$K222&lt;&gt;"",$J222=$K222,$J222&gt;=AY$3,$J222&lt;=IF(param_mode_affichage="mois",EOMONTH(AY$3,0),AY$3+6)),"◆",""))</f>
      </c>
      <c r="AZ222" s="26">
        <f>IF(OR($A222="",AZ$3=""),"",IF(AND($J222&lt;&gt;"",$K222&lt;&gt;"",$J222=$K222,$J222&gt;=AZ$3,$J222&lt;=IF(param_mode_affichage="mois",EOMONTH(AZ$3,0),AZ$3+6)),"◆",""))</f>
      </c>
      <c r="BA222" s="26">
        <f>IF(OR($A222="",BA$3=""),"",IF(AND($J222&lt;&gt;"",$K222&lt;&gt;"",$J222=$K222,$J222&gt;=BA$3,$J222&lt;=IF(param_mode_affichage="mois",EOMONTH(BA$3,0),BA$3+6)),"◆",""))</f>
      </c>
      <c r="BB222" s="26">
        <f>IF(OR($A222="",BB$3=""),"",IF(AND($J222&lt;&gt;"",$K222&lt;&gt;"",$J222=$K222,$J222&gt;=BB$3,$J222&lt;=IF(param_mode_affichage="mois",EOMONTH(BB$3,0),BB$3+6)),"◆",""))</f>
      </c>
      <c r="BC222" s="26">
        <f>IF(OR($A222="",BC$3=""),"",IF(AND($J222&lt;&gt;"",$K222&lt;&gt;"",$J222=$K222,$J222&gt;=BC$3,$J222&lt;=IF(param_mode_affichage="mois",EOMONTH(BC$3,0),BC$3+6)),"◆",""))</f>
      </c>
      <c r="BD222" s="26">
        <f>IF(OR($A222="",BD$3=""),"",IF(AND($J222&lt;&gt;"",$K222&lt;&gt;"",$J222=$K222,$J222&gt;=BD$3,$J222&lt;=IF(param_mode_affichage="mois",EOMONTH(BD$3,0),BD$3+6)),"◆",""))</f>
      </c>
      <c r="BE222" s="26">
        <f>IF(OR($A222="",BE$3=""),"",IF(AND($J222&lt;&gt;"",$K222&lt;&gt;"",$J222=$K222,$J222&gt;=BE$3,$J222&lt;=IF(param_mode_affichage="mois",EOMONTH(BE$3,0),BE$3+6)),"◆",""))</f>
      </c>
      <c r="BF222" s="26">
        <f>IF(OR($A222="",BF$3=""),"",IF(AND($J222&lt;&gt;"",$K222&lt;&gt;"",$J222=$K222,$J222&gt;=BF$3,$J222&lt;=IF(param_mode_affichage="mois",EOMONTH(BF$3,0),BF$3+6)),"◆",""))</f>
      </c>
      <c r="BG222" s="26">
        <f>IF(OR($A222="",BG$3=""),"",IF(AND($J222&lt;&gt;"",$K222&lt;&gt;"",$J222=$K222,$J222&gt;=BG$3,$J222&lt;=IF(param_mode_affichage="mois",EOMONTH(BG$3,0),BG$3+6)),"◆",""))</f>
      </c>
      <c r="BH222" s="26">
        <f>IF(OR($A222="",BH$3=""),"",IF(AND($J222&lt;&gt;"",$K222&lt;&gt;"",$J222=$K222,$J222&gt;=BH$3,$J222&lt;=IF(param_mode_affichage="mois",EOMONTH(BH$3,0),BH$3+6)),"◆",""))</f>
      </c>
      <c r="BI222" s="26">
        <f>IF(OR($A222="",BI$3=""),"",IF(AND($J222&lt;&gt;"",$K222&lt;&gt;"",$J222=$K222,$J222&gt;=BI$3,$J222&lt;=IF(param_mode_affichage="mois",EOMONTH(BI$3,0),BI$3+6)),"◆",""))</f>
      </c>
      <c r="BJ222" s="26">
        <f>IF(OR($A222="",BJ$3=""),"",IF(AND($J222&lt;&gt;"",$K222&lt;&gt;"",$J222=$K222,$J222&gt;=BJ$3,$J222&lt;=IF(param_mode_affichage="mois",EOMONTH(BJ$3,0),BJ$3+6)),"◆",""))</f>
      </c>
      <c r="BK222" s="26">
        <f>IF(OR($A222="",BK$3=""),"",IF(AND($J222&lt;&gt;"",$K222&lt;&gt;"",$J222=$K222,$J222&gt;=BK$3,$J222&lt;=IF(param_mode_affichage="mois",EOMONTH(BK$3,0),BK$3+6)),"◆",""))</f>
      </c>
      <c r="BL222" s="26">
        <f>IF(OR($A222="",BL$3=""),"",IF(AND($J222&lt;&gt;"",$K222&lt;&gt;"",$J222=$K222,$J222&gt;=BL$3,$J222&lt;=IF(param_mode_affichage="mois",EOMONTH(BL$3,0),BL$3+6)),"◆",""))</f>
      </c>
    </row>
    <row r="223" spans="1:64" x14ac:dyDescent="0.25">
      <c r="A223" s="23">
        <f>IFERROR(INDEX(tblTasks[ID],ROW()-4),"")</f>
      </c>
      <c r="B223" s="24">
        <f>IF($A223="","",INDEX(tblTasks[Sujet],ROW()-4))</f>
      </c>
      <c r="C223" s="23">
        <f>IF($A223="","",INDEX(tblTasks[Responsable],ROW()-4))</f>
      </c>
      <c r="D223" s="23">
        <f>IF($A223="","",INDEX(tblTasks[Statut],ROW()-4))</f>
      </c>
      <c r="E223" s="23">
        <f>IF($A223="","",INDEX(tblTasks[Depend_de],ROW()-4))</f>
      </c>
      <c r="F223" s="23">
        <f>IF($A223="","",INDEX(tblTasks[Blocage],ROW()-4))</f>
      </c>
      <c r="G223" s="23">
        <f>IF($A223="","",INDEX(tblTasks[Niveau_criticite],ROW()-4))</f>
      </c>
      <c r="H223" s="23">
        <f>IF($A223="","",INDEX(tblTasks[Goulot],ROW()-4))</f>
      </c>
      <c r="I223" s="23">
        <f>IF($A223="","",IF(LOWER($F223)="oui","non",IF($E223="","oui",IFERROR(IF(LOWER(INDEX(tblTasks[Statut],MATCH($E223,tblTasks[ID],0)))="clos","oui","non"),"non"))))</f>
      </c>
      <c r="J223" s="25">
        <f>IF($A223="","",INDEX(tblTasks[Date_debut_prevue],ROW()-4))</f>
      </c>
      <c r="K223" s="25">
        <f>IF($A223="","",INDEX(tblTasks[Date_fin_prevue],ROW()-4))</f>
      </c>
      <c r="L223" s="23">
        <f>IF($A223="","",INDEX(tblTasks[Irreversibilite],ROW()-4))</f>
      </c>
      <c r="M223" s="26">
        <f>IF(OR($A223="",M$3=""),"",IF(AND($J223&lt;&gt;"",$K223&lt;&gt;"",$J223=$K223,$J223&gt;=M$3,$J223&lt;=IF(param_mode_affichage="mois",EOMONTH(M$3,0),M$3+6)),"◆",""))</f>
      </c>
      <c r="N223" s="26">
        <f>IF(OR($A223="",N$3=""),"",IF(AND($J223&lt;&gt;"",$K223&lt;&gt;"",$J223=$K223,$J223&gt;=N$3,$J223&lt;=IF(param_mode_affichage="mois",EOMONTH(N$3,0),N$3+6)),"◆",""))</f>
      </c>
      <c r="O223" s="26">
        <f>IF(OR($A223="",O$3=""),"",IF(AND($J223&lt;&gt;"",$K223&lt;&gt;"",$J223=$K223,$J223&gt;=O$3,$J223&lt;=IF(param_mode_affichage="mois",EOMONTH(O$3,0),O$3+6)),"◆",""))</f>
      </c>
      <c r="P223" s="26">
        <f>IF(OR($A223="",P$3=""),"",IF(AND($J223&lt;&gt;"",$K223&lt;&gt;"",$J223=$K223,$J223&gt;=P$3,$J223&lt;=IF(param_mode_affichage="mois",EOMONTH(P$3,0),P$3+6)),"◆",""))</f>
      </c>
      <c r="Q223" s="26">
        <f>IF(OR($A223="",Q$3=""),"",IF(AND($J223&lt;&gt;"",$K223&lt;&gt;"",$J223=$K223,$J223&gt;=Q$3,$J223&lt;=IF(param_mode_affichage="mois",EOMONTH(Q$3,0),Q$3+6)),"◆",""))</f>
      </c>
      <c r="R223" s="26">
        <f>IF(OR($A223="",R$3=""),"",IF(AND($J223&lt;&gt;"",$K223&lt;&gt;"",$J223=$K223,$J223&gt;=R$3,$J223&lt;=IF(param_mode_affichage="mois",EOMONTH(R$3,0),R$3+6)),"◆",""))</f>
      </c>
      <c r="S223" s="26">
        <f>IF(OR($A223="",S$3=""),"",IF(AND($J223&lt;&gt;"",$K223&lt;&gt;"",$J223=$K223,$J223&gt;=S$3,$J223&lt;=IF(param_mode_affichage="mois",EOMONTH(S$3,0),S$3+6)),"◆",""))</f>
      </c>
      <c r="T223" s="26">
        <f>IF(OR($A223="",T$3=""),"",IF(AND($J223&lt;&gt;"",$K223&lt;&gt;"",$J223=$K223,$J223&gt;=T$3,$J223&lt;=IF(param_mode_affichage="mois",EOMONTH(T$3,0),T$3+6)),"◆",""))</f>
      </c>
      <c r="U223" s="26">
        <f>IF(OR($A223="",U$3=""),"",IF(AND($J223&lt;&gt;"",$K223&lt;&gt;"",$J223=$K223,$J223&gt;=U$3,$J223&lt;=IF(param_mode_affichage="mois",EOMONTH(U$3,0),U$3+6)),"◆",""))</f>
      </c>
      <c r="V223" s="26">
        <f>IF(OR($A223="",V$3=""),"",IF(AND($J223&lt;&gt;"",$K223&lt;&gt;"",$J223=$K223,$J223&gt;=V$3,$J223&lt;=IF(param_mode_affichage="mois",EOMONTH(V$3,0),V$3+6)),"◆",""))</f>
      </c>
      <c r="W223" s="26">
        <f>IF(OR($A223="",W$3=""),"",IF(AND($J223&lt;&gt;"",$K223&lt;&gt;"",$J223=$K223,$J223&gt;=W$3,$J223&lt;=IF(param_mode_affichage="mois",EOMONTH(W$3,0),W$3+6)),"◆",""))</f>
      </c>
      <c r="X223" s="26">
        <f>IF(OR($A223="",X$3=""),"",IF(AND($J223&lt;&gt;"",$K223&lt;&gt;"",$J223=$K223,$J223&gt;=X$3,$J223&lt;=IF(param_mode_affichage="mois",EOMONTH(X$3,0),X$3+6)),"◆",""))</f>
      </c>
      <c r="Y223" s="26">
        <f>IF(OR($A223="",Y$3=""),"",IF(AND($J223&lt;&gt;"",$K223&lt;&gt;"",$J223=$K223,$J223&gt;=Y$3,$J223&lt;=IF(param_mode_affichage="mois",EOMONTH(Y$3,0),Y$3+6)),"◆",""))</f>
      </c>
      <c r="Z223" s="26">
        <f>IF(OR($A223="",Z$3=""),"",IF(AND($J223&lt;&gt;"",$K223&lt;&gt;"",$J223=$K223,$J223&gt;=Z$3,$J223&lt;=IF(param_mode_affichage="mois",EOMONTH(Z$3,0),Z$3+6)),"◆",""))</f>
      </c>
      <c r="AA223" s="26">
        <f>IF(OR($A223="",AA$3=""),"",IF(AND($J223&lt;&gt;"",$K223&lt;&gt;"",$J223=$K223,$J223&gt;=AA$3,$J223&lt;=IF(param_mode_affichage="mois",EOMONTH(AA$3,0),AA$3+6)),"◆",""))</f>
      </c>
      <c r="AB223" s="26">
        <f>IF(OR($A223="",AB$3=""),"",IF(AND($J223&lt;&gt;"",$K223&lt;&gt;"",$J223=$K223,$J223&gt;=AB$3,$J223&lt;=IF(param_mode_affichage="mois",EOMONTH(AB$3,0),AB$3+6)),"◆",""))</f>
      </c>
      <c r="AC223" s="26">
        <f>IF(OR($A223="",AC$3=""),"",IF(AND($J223&lt;&gt;"",$K223&lt;&gt;"",$J223=$K223,$J223&gt;=AC$3,$J223&lt;=IF(param_mode_affichage="mois",EOMONTH(AC$3,0),AC$3+6)),"◆",""))</f>
      </c>
      <c r="AD223" s="26">
        <f>IF(OR($A223="",AD$3=""),"",IF(AND($J223&lt;&gt;"",$K223&lt;&gt;"",$J223=$K223,$J223&gt;=AD$3,$J223&lt;=IF(param_mode_affichage="mois",EOMONTH(AD$3,0),AD$3+6)),"◆",""))</f>
      </c>
      <c r="AE223" s="26">
        <f>IF(OR($A223="",AE$3=""),"",IF(AND($J223&lt;&gt;"",$K223&lt;&gt;"",$J223=$K223,$J223&gt;=AE$3,$J223&lt;=IF(param_mode_affichage="mois",EOMONTH(AE$3,0),AE$3+6)),"◆",""))</f>
      </c>
      <c r="AF223" s="26">
        <f>IF(OR($A223="",AF$3=""),"",IF(AND($J223&lt;&gt;"",$K223&lt;&gt;"",$J223=$K223,$J223&gt;=AF$3,$J223&lt;=IF(param_mode_affichage="mois",EOMONTH(AF$3,0),AF$3+6)),"◆",""))</f>
      </c>
      <c r="AG223" s="26">
        <f>IF(OR($A223="",AG$3=""),"",IF(AND($J223&lt;&gt;"",$K223&lt;&gt;"",$J223=$K223,$J223&gt;=AG$3,$J223&lt;=IF(param_mode_affichage="mois",EOMONTH(AG$3,0),AG$3+6)),"◆",""))</f>
      </c>
      <c r="AH223" s="26">
        <f>IF(OR($A223="",AH$3=""),"",IF(AND($J223&lt;&gt;"",$K223&lt;&gt;"",$J223=$K223,$J223&gt;=AH$3,$J223&lt;=IF(param_mode_affichage="mois",EOMONTH(AH$3,0),AH$3+6)),"◆",""))</f>
      </c>
      <c r="AI223" s="26">
        <f>IF(OR($A223="",AI$3=""),"",IF(AND($J223&lt;&gt;"",$K223&lt;&gt;"",$J223=$K223,$J223&gt;=AI$3,$J223&lt;=IF(param_mode_affichage="mois",EOMONTH(AI$3,0),AI$3+6)),"◆",""))</f>
      </c>
      <c r="AJ223" s="26">
        <f>IF(OR($A223="",AJ$3=""),"",IF(AND($J223&lt;&gt;"",$K223&lt;&gt;"",$J223=$K223,$J223&gt;=AJ$3,$J223&lt;=IF(param_mode_affichage="mois",EOMONTH(AJ$3,0),AJ$3+6)),"◆",""))</f>
      </c>
      <c r="AK223" s="26">
        <f>IF(OR($A223="",AK$3=""),"",IF(AND($J223&lt;&gt;"",$K223&lt;&gt;"",$J223=$K223,$J223&gt;=AK$3,$J223&lt;=IF(param_mode_affichage="mois",EOMONTH(AK$3,0),AK$3+6)),"◆",""))</f>
      </c>
      <c r="AL223" s="26">
        <f>IF(OR($A223="",AL$3=""),"",IF(AND($J223&lt;&gt;"",$K223&lt;&gt;"",$J223=$K223,$J223&gt;=AL$3,$J223&lt;=IF(param_mode_affichage="mois",EOMONTH(AL$3,0),AL$3+6)),"◆",""))</f>
      </c>
      <c r="AM223" s="26">
        <f>IF(OR($A223="",AM$3=""),"",IF(AND($J223&lt;&gt;"",$K223&lt;&gt;"",$J223=$K223,$J223&gt;=AM$3,$J223&lt;=IF(param_mode_affichage="mois",EOMONTH(AM$3,0),AM$3+6)),"◆",""))</f>
      </c>
      <c r="AN223" s="26">
        <f>IF(OR($A223="",AN$3=""),"",IF(AND($J223&lt;&gt;"",$K223&lt;&gt;"",$J223=$K223,$J223&gt;=AN$3,$J223&lt;=IF(param_mode_affichage="mois",EOMONTH(AN$3,0),AN$3+6)),"◆",""))</f>
      </c>
      <c r="AO223" s="26">
        <f>IF(OR($A223="",AO$3=""),"",IF(AND($J223&lt;&gt;"",$K223&lt;&gt;"",$J223=$K223,$J223&gt;=AO$3,$J223&lt;=IF(param_mode_affichage="mois",EOMONTH(AO$3,0),AO$3+6)),"◆",""))</f>
      </c>
      <c r="AP223" s="26">
        <f>IF(OR($A223="",AP$3=""),"",IF(AND($J223&lt;&gt;"",$K223&lt;&gt;"",$J223=$K223,$J223&gt;=AP$3,$J223&lt;=IF(param_mode_affichage="mois",EOMONTH(AP$3,0),AP$3+6)),"◆",""))</f>
      </c>
      <c r="AQ223" s="26">
        <f>IF(OR($A223="",AQ$3=""),"",IF(AND($J223&lt;&gt;"",$K223&lt;&gt;"",$J223=$K223,$J223&gt;=AQ$3,$J223&lt;=IF(param_mode_affichage="mois",EOMONTH(AQ$3,0),AQ$3+6)),"◆",""))</f>
      </c>
      <c r="AR223" s="26">
        <f>IF(OR($A223="",AR$3=""),"",IF(AND($J223&lt;&gt;"",$K223&lt;&gt;"",$J223=$K223,$J223&gt;=AR$3,$J223&lt;=IF(param_mode_affichage="mois",EOMONTH(AR$3,0),AR$3+6)),"◆",""))</f>
      </c>
      <c r="AS223" s="26">
        <f>IF(OR($A223="",AS$3=""),"",IF(AND($J223&lt;&gt;"",$K223&lt;&gt;"",$J223=$K223,$J223&gt;=AS$3,$J223&lt;=IF(param_mode_affichage="mois",EOMONTH(AS$3,0),AS$3+6)),"◆",""))</f>
      </c>
      <c r="AT223" s="26">
        <f>IF(OR($A223="",AT$3=""),"",IF(AND($J223&lt;&gt;"",$K223&lt;&gt;"",$J223=$K223,$J223&gt;=AT$3,$J223&lt;=IF(param_mode_affichage="mois",EOMONTH(AT$3,0),AT$3+6)),"◆",""))</f>
      </c>
      <c r="AU223" s="26">
        <f>IF(OR($A223="",AU$3=""),"",IF(AND($J223&lt;&gt;"",$K223&lt;&gt;"",$J223=$K223,$J223&gt;=AU$3,$J223&lt;=IF(param_mode_affichage="mois",EOMONTH(AU$3,0),AU$3+6)),"◆",""))</f>
      </c>
      <c r="AV223" s="26">
        <f>IF(OR($A223="",AV$3=""),"",IF(AND($J223&lt;&gt;"",$K223&lt;&gt;"",$J223=$K223,$J223&gt;=AV$3,$J223&lt;=IF(param_mode_affichage="mois",EOMONTH(AV$3,0),AV$3+6)),"◆",""))</f>
      </c>
      <c r="AW223" s="26">
        <f>IF(OR($A223="",AW$3=""),"",IF(AND($J223&lt;&gt;"",$K223&lt;&gt;"",$J223=$K223,$J223&gt;=AW$3,$J223&lt;=IF(param_mode_affichage="mois",EOMONTH(AW$3,0),AW$3+6)),"◆",""))</f>
      </c>
      <c r="AX223" s="26">
        <f>IF(OR($A223="",AX$3=""),"",IF(AND($J223&lt;&gt;"",$K223&lt;&gt;"",$J223=$K223,$J223&gt;=AX$3,$J223&lt;=IF(param_mode_affichage="mois",EOMONTH(AX$3,0),AX$3+6)),"◆",""))</f>
      </c>
      <c r="AY223" s="26">
        <f>IF(OR($A223="",AY$3=""),"",IF(AND($J223&lt;&gt;"",$K223&lt;&gt;"",$J223=$K223,$J223&gt;=AY$3,$J223&lt;=IF(param_mode_affichage="mois",EOMONTH(AY$3,0),AY$3+6)),"◆",""))</f>
      </c>
      <c r="AZ223" s="26">
        <f>IF(OR($A223="",AZ$3=""),"",IF(AND($J223&lt;&gt;"",$K223&lt;&gt;"",$J223=$K223,$J223&gt;=AZ$3,$J223&lt;=IF(param_mode_affichage="mois",EOMONTH(AZ$3,0),AZ$3+6)),"◆",""))</f>
      </c>
      <c r="BA223" s="26">
        <f>IF(OR($A223="",BA$3=""),"",IF(AND($J223&lt;&gt;"",$K223&lt;&gt;"",$J223=$K223,$J223&gt;=BA$3,$J223&lt;=IF(param_mode_affichage="mois",EOMONTH(BA$3,0),BA$3+6)),"◆",""))</f>
      </c>
      <c r="BB223" s="26">
        <f>IF(OR($A223="",BB$3=""),"",IF(AND($J223&lt;&gt;"",$K223&lt;&gt;"",$J223=$K223,$J223&gt;=BB$3,$J223&lt;=IF(param_mode_affichage="mois",EOMONTH(BB$3,0),BB$3+6)),"◆",""))</f>
      </c>
      <c r="BC223" s="26">
        <f>IF(OR($A223="",BC$3=""),"",IF(AND($J223&lt;&gt;"",$K223&lt;&gt;"",$J223=$K223,$J223&gt;=BC$3,$J223&lt;=IF(param_mode_affichage="mois",EOMONTH(BC$3,0),BC$3+6)),"◆",""))</f>
      </c>
      <c r="BD223" s="26">
        <f>IF(OR($A223="",BD$3=""),"",IF(AND($J223&lt;&gt;"",$K223&lt;&gt;"",$J223=$K223,$J223&gt;=BD$3,$J223&lt;=IF(param_mode_affichage="mois",EOMONTH(BD$3,0),BD$3+6)),"◆",""))</f>
      </c>
      <c r="BE223" s="26">
        <f>IF(OR($A223="",BE$3=""),"",IF(AND($J223&lt;&gt;"",$K223&lt;&gt;"",$J223=$K223,$J223&gt;=BE$3,$J223&lt;=IF(param_mode_affichage="mois",EOMONTH(BE$3,0),BE$3+6)),"◆",""))</f>
      </c>
      <c r="BF223" s="26">
        <f>IF(OR($A223="",BF$3=""),"",IF(AND($J223&lt;&gt;"",$K223&lt;&gt;"",$J223=$K223,$J223&gt;=BF$3,$J223&lt;=IF(param_mode_affichage="mois",EOMONTH(BF$3,0),BF$3+6)),"◆",""))</f>
      </c>
      <c r="BG223" s="26">
        <f>IF(OR($A223="",BG$3=""),"",IF(AND($J223&lt;&gt;"",$K223&lt;&gt;"",$J223=$K223,$J223&gt;=BG$3,$J223&lt;=IF(param_mode_affichage="mois",EOMONTH(BG$3,0),BG$3+6)),"◆",""))</f>
      </c>
      <c r="BH223" s="26">
        <f>IF(OR($A223="",BH$3=""),"",IF(AND($J223&lt;&gt;"",$K223&lt;&gt;"",$J223=$K223,$J223&gt;=BH$3,$J223&lt;=IF(param_mode_affichage="mois",EOMONTH(BH$3,0),BH$3+6)),"◆",""))</f>
      </c>
      <c r="BI223" s="26">
        <f>IF(OR($A223="",BI$3=""),"",IF(AND($J223&lt;&gt;"",$K223&lt;&gt;"",$J223=$K223,$J223&gt;=BI$3,$J223&lt;=IF(param_mode_affichage="mois",EOMONTH(BI$3,0),BI$3+6)),"◆",""))</f>
      </c>
      <c r="BJ223" s="26">
        <f>IF(OR($A223="",BJ$3=""),"",IF(AND($J223&lt;&gt;"",$K223&lt;&gt;"",$J223=$K223,$J223&gt;=BJ$3,$J223&lt;=IF(param_mode_affichage="mois",EOMONTH(BJ$3,0),BJ$3+6)),"◆",""))</f>
      </c>
      <c r="BK223" s="26">
        <f>IF(OR($A223="",BK$3=""),"",IF(AND($J223&lt;&gt;"",$K223&lt;&gt;"",$J223=$K223,$J223&gt;=BK$3,$J223&lt;=IF(param_mode_affichage="mois",EOMONTH(BK$3,0),BK$3+6)),"◆",""))</f>
      </c>
      <c r="BL223" s="26">
        <f>IF(OR($A223="",BL$3=""),"",IF(AND($J223&lt;&gt;"",$K223&lt;&gt;"",$J223=$K223,$J223&gt;=BL$3,$J223&lt;=IF(param_mode_affichage="mois",EOMONTH(BL$3,0),BL$3+6)),"◆",""))</f>
      </c>
    </row>
    <row r="224" spans="1:64" x14ac:dyDescent="0.25">
      <c r="A224" s="23">
        <f>IFERROR(INDEX(tblTasks[ID],ROW()-4),"")</f>
      </c>
      <c r="B224" s="24">
        <f>IF($A224="","",INDEX(tblTasks[Sujet],ROW()-4))</f>
      </c>
      <c r="C224" s="23">
        <f>IF($A224="","",INDEX(tblTasks[Responsable],ROW()-4))</f>
      </c>
      <c r="D224" s="23">
        <f>IF($A224="","",INDEX(tblTasks[Statut],ROW()-4))</f>
      </c>
      <c r="E224" s="23">
        <f>IF($A224="","",INDEX(tblTasks[Depend_de],ROW()-4))</f>
      </c>
      <c r="F224" s="23">
        <f>IF($A224="","",INDEX(tblTasks[Blocage],ROW()-4))</f>
      </c>
      <c r="G224" s="23">
        <f>IF($A224="","",INDEX(tblTasks[Niveau_criticite],ROW()-4))</f>
      </c>
      <c r="H224" s="23">
        <f>IF($A224="","",INDEX(tblTasks[Goulot],ROW()-4))</f>
      </c>
      <c r="I224" s="23">
        <f>IF($A224="","",IF(LOWER($F224)="oui","non",IF($E224="","oui",IFERROR(IF(LOWER(INDEX(tblTasks[Statut],MATCH($E224,tblTasks[ID],0)))="clos","oui","non"),"non"))))</f>
      </c>
      <c r="J224" s="25">
        <f>IF($A224="","",INDEX(tblTasks[Date_debut_prevue],ROW()-4))</f>
      </c>
      <c r="K224" s="25">
        <f>IF($A224="","",INDEX(tblTasks[Date_fin_prevue],ROW()-4))</f>
      </c>
      <c r="L224" s="23">
        <f>IF($A224="","",INDEX(tblTasks[Irreversibilite],ROW()-4))</f>
      </c>
      <c r="M224" s="26">
        <f>IF(OR($A224="",M$3=""),"",IF(AND($J224&lt;&gt;"",$K224&lt;&gt;"",$J224=$K224,$J224&gt;=M$3,$J224&lt;=IF(param_mode_affichage="mois",EOMONTH(M$3,0),M$3+6)),"◆",""))</f>
      </c>
      <c r="N224" s="26">
        <f>IF(OR($A224="",N$3=""),"",IF(AND($J224&lt;&gt;"",$K224&lt;&gt;"",$J224=$K224,$J224&gt;=N$3,$J224&lt;=IF(param_mode_affichage="mois",EOMONTH(N$3,0),N$3+6)),"◆",""))</f>
      </c>
      <c r="O224" s="26">
        <f>IF(OR($A224="",O$3=""),"",IF(AND($J224&lt;&gt;"",$K224&lt;&gt;"",$J224=$K224,$J224&gt;=O$3,$J224&lt;=IF(param_mode_affichage="mois",EOMONTH(O$3,0),O$3+6)),"◆",""))</f>
      </c>
      <c r="P224" s="26">
        <f>IF(OR($A224="",P$3=""),"",IF(AND($J224&lt;&gt;"",$K224&lt;&gt;"",$J224=$K224,$J224&gt;=P$3,$J224&lt;=IF(param_mode_affichage="mois",EOMONTH(P$3,0),P$3+6)),"◆",""))</f>
      </c>
      <c r="Q224" s="26">
        <f>IF(OR($A224="",Q$3=""),"",IF(AND($J224&lt;&gt;"",$K224&lt;&gt;"",$J224=$K224,$J224&gt;=Q$3,$J224&lt;=IF(param_mode_affichage="mois",EOMONTH(Q$3,0),Q$3+6)),"◆",""))</f>
      </c>
      <c r="R224" s="26">
        <f>IF(OR($A224="",R$3=""),"",IF(AND($J224&lt;&gt;"",$K224&lt;&gt;"",$J224=$K224,$J224&gt;=R$3,$J224&lt;=IF(param_mode_affichage="mois",EOMONTH(R$3,0),R$3+6)),"◆",""))</f>
      </c>
      <c r="S224" s="26">
        <f>IF(OR($A224="",S$3=""),"",IF(AND($J224&lt;&gt;"",$K224&lt;&gt;"",$J224=$K224,$J224&gt;=S$3,$J224&lt;=IF(param_mode_affichage="mois",EOMONTH(S$3,0),S$3+6)),"◆",""))</f>
      </c>
      <c r="T224" s="26">
        <f>IF(OR($A224="",T$3=""),"",IF(AND($J224&lt;&gt;"",$K224&lt;&gt;"",$J224=$K224,$J224&gt;=T$3,$J224&lt;=IF(param_mode_affichage="mois",EOMONTH(T$3,0),T$3+6)),"◆",""))</f>
      </c>
      <c r="U224" s="26">
        <f>IF(OR($A224="",U$3=""),"",IF(AND($J224&lt;&gt;"",$K224&lt;&gt;"",$J224=$K224,$J224&gt;=U$3,$J224&lt;=IF(param_mode_affichage="mois",EOMONTH(U$3,0),U$3+6)),"◆",""))</f>
      </c>
      <c r="V224" s="26">
        <f>IF(OR($A224="",V$3=""),"",IF(AND($J224&lt;&gt;"",$K224&lt;&gt;"",$J224=$K224,$J224&gt;=V$3,$J224&lt;=IF(param_mode_affichage="mois",EOMONTH(V$3,0),V$3+6)),"◆",""))</f>
      </c>
      <c r="W224" s="26">
        <f>IF(OR($A224="",W$3=""),"",IF(AND($J224&lt;&gt;"",$K224&lt;&gt;"",$J224=$K224,$J224&gt;=W$3,$J224&lt;=IF(param_mode_affichage="mois",EOMONTH(W$3,0),W$3+6)),"◆",""))</f>
      </c>
      <c r="X224" s="26">
        <f>IF(OR($A224="",X$3=""),"",IF(AND($J224&lt;&gt;"",$K224&lt;&gt;"",$J224=$K224,$J224&gt;=X$3,$J224&lt;=IF(param_mode_affichage="mois",EOMONTH(X$3,0),X$3+6)),"◆",""))</f>
      </c>
      <c r="Y224" s="26">
        <f>IF(OR($A224="",Y$3=""),"",IF(AND($J224&lt;&gt;"",$K224&lt;&gt;"",$J224=$K224,$J224&gt;=Y$3,$J224&lt;=IF(param_mode_affichage="mois",EOMONTH(Y$3,0),Y$3+6)),"◆",""))</f>
      </c>
      <c r="Z224" s="26">
        <f>IF(OR($A224="",Z$3=""),"",IF(AND($J224&lt;&gt;"",$K224&lt;&gt;"",$J224=$K224,$J224&gt;=Z$3,$J224&lt;=IF(param_mode_affichage="mois",EOMONTH(Z$3,0),Z$3+6)),"◆",""))</f>
      </c>
      <c r="AA224" s="26">
        <f>IF(OR($A224="",AA$3=""),"",IF(AND($J224&lt;&gt;"",$K224&lt;&gt;"",$J224=$K224,$J224&gt;=AA$3,$J224&lt;=IF(param_mode_affichage="mois",EOMONTH(AA$3,0),AA$3+6)),"◆",""))</f>
      </c>
      <c r="AB224" s="26">
        <f>IF(OR($A224="",AB$3=""),"",IF(AND($J224&lt;&gt;"",$K224&lt;&gt;"",$J224=$K224,$J224&gt;=AB$3,$J224&lt;=IF(param_mode_affichage="mois",EOMONTH(AB$3,0),AB$3+6)),"◆",""))</f>
      </c>
      <c r="AC224" s="26">
        <f>IF(OR($A224="",AC$3=""),"",IF(AND($J224&lt;&gt;"",$K224&lt;&gt;"",$J224=$K224,$J224&gt;=AC$3,$J224&lt;=IF(param_mode_affichage="mois",EOMONTH(AC$3,0),AC$3+6)),"◆",""))</f>
      </c>
      <c r="AD224" s="26">
        <f>IF(OR($A224="",AD$3=""),"",IF(AND($J224&lt;&gt;"",$K224&lt;&gt;"",$J224=$K224,$J224&gt;=AD$3,$J224&lt;=IF(param_mode_affichage="mois",EOMONTH(AD$3,0),AD$3+6)),"◆",""))</f>
      </c>
      <c r="AE224" s="26">
        <f>IF(OR($A224="",AE$3=""),"",IF(AND($J224&lt;&gt;"",$K224&lt;&gt;"",$J224=$K224,$J224&gt;=AE$3,$J224&lt;=IF(param_mode_affichage="mois",EOMONTH(AE$3,0),AE$3+6)),"◆",""))</f>
      </c>
      <c r="AF224" s="26">
        <f>IF(OR($A224="",AF$3=""),"",IF(AND($J224&lt;&gt;"",$K224&lt;&gt;"",$J224=$K224,$J224&gt;=AF$3,$J224&lt;=IF(param_mode_affichage="mois",EOMONTH(AF$3,0),AF$3+6)),"◆",""))</f>
      </c>
      <c r="AG224" s="26">
        <f>IF(OR($A224="",AG$3=""),"",IF(AND($J224&lt;&gt;"",$K224&lt;&gt;"",$J224=$K224,$J224&gt;=AG$3,$J224&lt;=IF(param_mode_affichage="mois",EOMONTH(AG$3,0),AG$3+6)),"◆",""))</f>
      </c>
      <c r="AH224" s="26">
        <f>IF(OR($A224="",AH$3=""),"",IF(AND($J224&lt;&gt;"",$K224&lt;&gt;"",$J224=$K224,$J224&gt;=AH$3,$J224&lt;=IF(param_mode_affichage="mois",EOMONTH(AH$3,0),AH$3+6)),"◆",""))</f>
      </c>
      <c r="AI224" s="26">
        <f>IF(OR($A224="",AI$3=""),"",IF(AND($J224&lt;&gt;"",$K224&lt;&gt;"",$J224=$K224,$J224&gt;=AI$3,$J224&lt;=IF(param_mode_affichage="mois",EOMONTH(AI$3,0),AI$3+6)),"◆",""))</f>
      </c>
      <c r="AJ224" s="26">
        <f>IF(OR($A224="",AJ$3=""),"",IF(AND($J224&lt;&gt;"",$K224&lt;&gt;"",$J224=$K224,$J224&gt;=AJ$3,$J224&lt;=IF(param_mode_affichage="mois",EOMONTH(AJ$3,0),AJ$3+6)),"◆",""))</f>
      </c>
      <c r="AK224" s="26">
        <f>IF(OR($A224="",AK$3=""),"",IF(AND($J224&lt;&gt;"",$K224&lt;&gt;"",$J224=$K224,$J224&gt;=AK$3,$J224&lt;=IF(param_mode_affichage="mois",EOMONTH(AK$3,0),AK$3+6)),"◆",""))</f>
      </c>
      <c r="AL224" s="26">
        <f>IF(OR($A224="",AL$3=""),"",IF(AND($J224&lt;&gt;"",$K224&lt;&gt;"",$J224=$K224,$J224&gt;=AL$3,$J224&lt;=IF(param_mode_affichage="mois",EOMONTH(AL$3,0),AL$3+6)),"◆",""))</f>
      </c>
      <c r="AM224" s="26">
        <f>IF(OR($A224="",AM$3=""),"",IF(AND($J224&lt;&gt;"",$K224&lt;&gt;"",$J224=$K224,$J224&gt;=AM$3,$J224&lt;=IF(param_mode_affichage="mois",EOMONTH(AM$3,0),AM$3+6)),"◆",""))</f>
      </c>
      <c r="AN224" s="26">
        <f>IF(OR($A224="",AN$3=""),"",IF(AND($J224&lt;&gt;"",$K224&lt;&gt;"",$J224=$K224,$J224&gt;=AN$3,$J224&lt;=IF(param_mode_affichage="mois",EOMONTH(AN$3,0),AN$3+6)),"◆",""))</f>
      </c>
      <c r="AO224" s="26">
        <f>IF(OR($A224="",AO$3=""),"",IF(AND($J224&lt;&gt;"",$K224&lt;&gt;"",$J224=$K224,$J224&gt;=AO$3,$J224&lt;=IF(param_mode_affichage="mois",EOMONTH(AO$3,0),AO$3+6)),"◆",""))</f>
      </c>
      <c r="AP224" s="26">
        <f>IF(OR($A224="",AP$3=""),"",IF(AND($J224&lt;&gt;"",$K224&lt;&gt;"",$J224=$K224,$J224&gt;=AP$3,$J224&lt;=IF(param_mode_affichage="mois",EOMONTH(AP$3,0),AP$3+6)),"◆",""))</f>
      </c>
      <c r="AQ224" s="26">
        <f>IF(OR($A224="",AQ$3=""),"",IF(AND($J224&lt;&gt;"",$K224&lt;&gt;"",$J224=$K224,$J224&gt;=AQ$3,$J224&lt;=IF(param_mode_affichage="mois",EOMONTH(AQ$3,0),AQ$3+6)),"◆",""))</f>
      </c>
      <c r="AR224" s="26">
        <f>IF(OR($A224="",AR$3=""),"",IF(AND($J224&lt;&gt;"",$K224&lt;&gt;"",$J224=$K224,$J224&gt;=AR$3,$J224&lt;=IF(param_mode_affichage="mois",EOMONTH(AR$3,0),AR$3+6)),"◆",""))</f>
      </c>
      <c r="AS224" s="26">
        <f>IF(OR($A224="",AS$3=""),"",IF(AND($J224&lt;&gt;"",$K224&lt;&gt;"",$J224=$K224,$J224&gt;=AS$3,$J224&lt;=IF(param_mode_affichage="mois",EOMONTH(AS$3,0),AS$3+6)),"◆",""))</f>
      </c>
      <c r="AT224" s="26">
        <f>IF(OR($A224="",AT$3=""),"",IF(AND($J224&lt;&gt;"",$K224&lt;&gt;"",$J224=$K224,$J224&gt;=AT$3,$J224&lt;=IF(param_mode_affichage="mois",EOMONTH(AT$3,0),AT$3+6)),"◆",""))</f>
      </c>
      <c r="AU224" s="26">
        <f>IF(OR($A224="",AU$3=""),"",IF(AND($J224&lt;&gt;"",$K224&lt;&gt;"",$J224=$K224,$J224&gt;=AU$3,$J224&lt;=IF(param_mode_affichage="mois",EOMONTH(AU$3,0),AU$3+6)),"◆",""))</f>
      </c>
      <c r="AV224" s="26">
        <f>IF(OR($A224="",AV$3=""),"",IF(AND($J224&lt;&gt;"",$K224&lt;&gt;"",$J224=$K224,$J224&gt;=AV$3,$J224&lt;=IF(param_mode_affichage="mois",EOMONTH(AV$3,0),AV$3+6)),"◆",""))</f>
      </c>
      <c r="AW224" s="26">
        <f>IF(OR($A224="",AW$3=""),"",IF(AND($J224&lt;&gt;"",$K224&lt;&gt;"",$J224=$K224,$J224&gt;=AW$3,$J224&lt;=IF(param_mode_affichage="mois",EOMONTH(AW$3,0),AW$3+6)),"◆",""))</f>
      </c>
      <c r="AX224" s="26">
        <f>IF(OR($A224="",AX$3=""),"",IF(AND($J224&lt;&gt;"",$K224&lt;&gt;"",$J224=$K224,$J224&gt;=AX$3,$J224&lt;=IF(param_mode_affichage="mois",EOMONTH(AX$3,0),AX$3+6)),"◆",""))</f>
      </c>
      <c r="AY224" s="26">
        <f>IF(OR($A224="",AY$3=""),"",IF(AND($J224&lt;&gt;"",$K224&lt;&gt;"",$J224=$K224,$J224&gt;=AY$3,$J224&lt;=IF(param_mode_affichage="mois",EOMONTH(AY$3,0),AY$3+6)),"◆",""))</f>
      </c>
      <c r="AZ224" s="26">
        <f>IF(OR($A224="",AZ$3=""),"",IF(AND($J224&lt;&gt;"",$K224&lt;&gt;"",$J224=$K224,$J224&gt;=AZ$3,$J224&lt;=IF(param_mode_affichage="mois",EOMONTH(AZ$3,0),AZ$3+6)),"◆",""))</f>
      </c>
      <c r="BA224" s="26">
        <f>IF(OR($A224="",BA$3=""),"",IF(AND($J224&lt;&gt;"",$K224&lt;&gt;"",$J224=$K224,$J224&gt;=BA$3,$J224&lt;=IF(param_mode_affichage="mois",EOMONTH(BA$3,0),BA$3+6)),"◆",""))</f>
      </c>
      <c r="BB224" s="26">
        <f>IF(OR($A224="",BB$3=""),"",IF(AND($J224&lt;&gt;"",$K224&lt;&gt;"",$J224=$K224,$J224&gt;=BB$3,$J224&lt;=IF(param_mode_affichage="mois",EOMONTH(BB$3,0),BB$3+6)),"◆",""))</f>
      </c>
      <c r="BC224" s="26">
        <f>IF(OR($A224="",BC$3=""),"",IF(AND($J224&lt;&gt;"",$K224&lt;&gt;"",$J224=$K224,$J224&gt;=BC$3,$J224&lt;=IF(param_mode_affichage="mois",EOMONTH(BC$3,0),BC$3+6)),"◆",""))</f>
      </c>
      <c r="BD224" s="26">
        <f>IF(OR($A224="",BD$3=""),"",IF(AND($J224&lt;&gt;"",$K224&lt;&gt;"",$J224=$K224,$J224&gt;=BD$3,$J224&lt;=IF(param_mode_affichage="mois",EOMONTH(BD$3,0),BD$3+6)),"◆",""))</f>
      </c>
      <c r="BE224" s="26">
        <f>IF(OR($A224="",BE$3=""),"",IF(AND($J224&lt;&gt;"",$K224&lt;&gt;"",$J224=$K224,$J224&gt;=BE$3,$J224&lt;=IF(param_mode_affichage="mois",EOMONTH(BE$3,0),BE$3+6)),"◆",""))</f>
      </c>
      <c r="BF224" s="26">
        <f>IF(OR($A224="",BF$3=""),"",IF(AND($J224&lt;&gt;"",$K224&lt;&gt;"",$J224=$K224,$J224&gt;=BF$3,$J224&lt;=IF(param_mode_affichage="mois",EOMONTH(BF$3,0),BF$3+6)),"◆",""))</f>
      </c>
      <c r="BG224" s="26">
        <f>IF(OR($A224="",BG$3=""),"",IF(AND($J224&lt;&gt;"",$K224&lt;&gt;"",$J224=$K224,$J224&gt;=BG$3,$J224&lt;=IF(param_mode_affichage="mois",EOMONTH(BG$3,0),BG$3+6)),"◆",""))</f>
      </c>
      <c r="BH224" s="26">
        <f>IF(OR($A224="",BH$3=""),"",IF(AND($J224&lt;&gt;"",$K224&lt;&gt;"",$J224=$K224,$J224&gt;=BH$3,$J224&lt;=IF(param_mode_affichage="mois",EOMONTH(BH$3,0),BH$3+6)),"◆",""))</f>
      </c>
      <c r="BI224" s="26">
        <f>IF(OR($A224="",BI$3=""),"",IF(AND($J224&lt;&gt;"",$K224&lt;&gt;"",$J224=$K224,$J224&gt;=BI$3,$J224&lt;=IF(param_mode_affichage="mois",EOMONTH(BI$3,0),BI$3+6)),"◆",""))</f>
      </c>
      <c r="BJ224" s="26">
        <f>IF(OR($A224="",BJ$3=""),"",IF(AND($J224&lt;&gt;"",$K224&lt;&gt;"",$J224=$K224,$J224&gt;=BJ$3,$J224&lt;=IF(param_mode_affichage="mois",EOMONTH(BJ$3,0),BJ$3+6)),"◆",""))</f>
      </c>
      <c r="BK224" s="26">
        <f>IF(OR($A224="",BK$3=""),"",IF(AND($J224&lt;&gt;"",$K224&lt;&gt;"",$J224=$K224,$J224&gt;=BK$3,$J224&lt;=IF(param_mode_affichage="mois",EOMONTH(BK$3,0),BK$3+6)),"◆",""))</f>
      </c>
      <c r="BL224" s="26">
        <f>IF(OR($A224="",BL$3=""),"",IF(AND($J224&lt;&gt;"",$K224&lt;&gt;"",$J224=$K224,$J224&gt;=BL$3,$J224&lt;=IF(param_mode_affichage="mois",EOMONTH(BL$3,0),BL$3+6)),"◆",""))</f>
      </c>
    </row>
    <row r="225" spans="1:64" x14ac:dyDescent="0.25">
      <c r="A225" s="23">
        <f>IFERROR(INDEX(tblTasks[ID],ROW()-4),"")</f>
      </c>
      <c r="B225" s="24">
        <f>IF($A225="","",INDEX(tblTasks[Sujet],ROW()-4))</f>
      </c>
      <c r="C225" s="23">
        <f>IF($A225="","",INDEX(tblTasks[Responsable],ROW()-4))</f>
      </c>
      <c r="D225" s="23">
        <f>IF($A225="","",INDEX(tblTasks[Statut],ROW()-4))</f>
      </c>
      <c r="E225" s="23">
        <f>IF($A225="","",INDEX(tblTasks[Depend_de],ROW()-4))</f>
      </c>
      <c r="F225" s="23">
        <f>IF($A225="","",INDEX(tblTasks[Blocage],ROW()-4))</f>
      </c>
      <c r="G225" s="23">
        <f>IF($A225="","",INDEX(tblTasks[Niveau_criticite],ROW()-4))</f>
      </c>
      <c r="H225" s="23">
        <f>IF($A225="","",INDEX(tblTasks[Goulot],ROW()-4))</f>
      </c>
      <c r="I225" s="23">
        <f>IF($A225="","",IF(LOWER($F225)="oui","non",IF($E225="","oui",IFERROR(IF(LOWER(INDEX(tblTasks[Statut],MATCH($E225,tblTasks[ID],0)))="clos","oui","non"),"non"))))</f>
      </c>
      <c r="J225" s="25">
        <f>IF($A225="","",INDEX(tblTasks[Date_debut_prevue],ROW()-4))</f>
      </c>
      <c r="K225" s="25">
        <f>IF($A225="","",INDEX(tblTasks[Date_fin_prevue],ROW()-4))</f>
      </c>
      <c r="L225" s="23">
        <f>IF($A225="","",INDEX(tblTasks[Irreversibilite],ROW()-4))</f>
      </c>
      <c r="M225" s="26">
        <f>IF(OR($A225="",M$3=""),"",IF(AND($J225&lt;&gt;"",$K225&lt;&gt;"",$J225=$K225,$J225&gt;=M$3,$J225&lt;=IF(param_mode_affichage="mois",EOMONTH(M$3,0),M$3+6)),"◆",""))</f>
      </c>
      <c r="N225" s="26">
        <f>IF(OR($A225="",N$3=""),"",IF(AND($J225&lt;&gt;"",$K225&lt;&gt;"",$J225=$K225,$J225&gt;=N$3,$J225&lt;=IF(param_mode_affichage="mois",EOMONTH(N$3,0),N$3+6)),"◆",""))</f>
      </c>
      <c r="O225" s="26">
        <f>IF(OR($A225="",O$3=""),"",IF(AND($J225&lt;&gt;"",$K225&lt;&gt;"",$J225=$K225,$J225&gt;=O$3,$J225&lt;=IF(param_mode_affichage="mois",EOMONTH(O$3,0),O$3+6)),"◆",""))</f>
      </c>
      <c r="P225" s="26">
        <f>IF(OR($A225="",P$3=""),"",IF(AND($J225&lt;&gt;"",$K225&lt;&gt;"",$J225=$K225,$J225&gt;=P$3,$J225&lt;=IF(param_mode_affichage="mois",EOMONTH(P$3,0),P$3+6)),"◆",""))</f>
      </c>
      <c r="Q225" s="26">
        <f>IF(OR($A225="",Q$3=""),"",IF(AND($J225&lt;&gt;"",$K225&lt;&gt;"",$J225=$K225,$J225&gt;=Q$3,$J225&lt;=IF(param_mode_affichage="mois",EOMONTH(Q$3,0),Q$3+6)),"◆",""))</f>
      </c>
      <c r="R225" s="26">
        <f>IF(OR($A225="",R$3=""),"",IF(AND($J225&lt;&gt;"",$K225&lt;&gt;"",$J225=$K225,$J225&gt;=R$3,$J225&lt;=IF(param_mode_affichage="mois",EOMONTH(R$3,0),R$3+6)),"◆",""))</f>
      </c>
      <c r="S225" s="26">
        <f>IF(OR($A225="",S$3=""),"",IF(AND($J225&lt;&gt;"",$K225&lt;&gt;"",$J225=$K225,$J225&gt;=S$3,$J225&lt;=IF(param_mode_affichage="mois",EOMONTH(S$3,0),S$3+6)),"◆",""))</f>
      </c>
      <c r="T225" s="26">
        <f>IF(OR($A225="",T$3=""),"",IF(AND($J225&lt;&gt;"",$K225&lt;&gt;"",$J225=$K225,$J225&gt;=T$3,$J225&lt;=IF(param_mode_affichage="mois",EOMONTH(T$3,0),T$3+6)),"◆",""))</f>
      </c>
      <c r="U225" s="26">
        <f>IF(OR($A225="",U$3=""),"",IF(AND($J225&lt;&gt;"",$K225&lt;&gt;"",$J225=$K225,$J225&gt;=U$3,$J225&lt;=IF(param_mode_affichage="mois",EOMONTH(U$3,0),U$3+6)),"◆",""))</f>
      </c>
      <c r="V225" s="26">
        <f>IF(OR($A225="",V$3=""),"",IF(AND($J225&lt;&gt;"",$K225&lt;&gt;"",$J225=$K225,$J225&gt;=V$3,$J225&lt;=IF(param_mode_affichage="mois",EOMONTH(V$3,0),V$3+6)),"◆",""))</f>
      </c>
      <c r="W225" s="26">
        <f>IF(OR($A225="",W$3=""),"",IF(AND($J225&lt;&gt;"",$K225&lt;&gt;"",$J225=$K225,$J225&gt;=W$3,$J225&lt;=IF(param_mode_affichage="mois",EOMONTH(W$3,0),W$3+6)),"◆",""))</f>
      </c>
      <c r="X225" s="26">
        <f>IF(OR($A225="",X$3=""),"",IF(AND($J225&lt;&gt;"",$K225&lt;&gt;"",$J225=$K225,$J225&gt;=X$3,$J225&lt;=IF(param_mode_affichage="mois",EOMONTH(X$3,0),X$3+6)),"◆",""))</f>
      </c>
      <c r="Y225" s="26">
        <f>IF(OR($A225="",Y$3=""),"",IF(AND($J225&lt;&gt;"",$K225&lt;&gt;"",$J225=$K225,$J225&gt;=Y$3,$J225&lt;=IF(param_mode_affichage="mois",EOMONTH(Y$3,0),Y$3+6)),"◆",""))</f>
      </c>
      <c r="Z225" s="26">
        <f>IF(OR($A225="",Z$3=""),"",IF(AND($J225&lt;&gt;"",$K225&lt;&gt;"",$J225=$K225,$J225&gt;=Z$3,$J225&lt;=IF(param_mode_affichage="mois",EOMONTH(Z$3,0),Z$3+6)),"◆",""))</f>
      </c>
      <c r="AA225" s="26">
        <f>IF(OR($A225="",AA$3=""),"",IF(AND($J225&lt;&gt;"",$K225&lt;&gt;"",$J225=$K225,$J225&gt;=AA$3,$J225&lt;=IF(param_mode_affichage="mois",EOMONTH(AA$3,0),AA$3+6)),"◆",""))</f>
      </c>
      <c r="AB225" s="26">
        <f>IF(OR($A225="",AB$3=""),"",IF(AND($J225&lt;&gt;"",$K225&lt;&gt;"",$J225=$K225,$J225&gt;=AB$3,$J225&lt;=IF(param_mode_affichage="mois",EOMONTH(AB$3,0),AB$3+6)),"◆",""))</f>
      </c>
      <c r="AC225" s="26">
        <f>IF(OR($A225="",AC$3=""),"",IF(AND($J225&lt;&gt;"",$K225&lt;&gt;"",$J225=$K225,$J225&gt;=AC$3,$J225&lt;=IF(param_mode_affichage="mois",EOMONTH(AC$3,0),AC$3+6)),"◆",""))</f>
      </c>
      <c r="AD225" s="26">
        <f>IF(OR($A225="",AD$3=""),"",IF(AND($J225&lt;&gt;"",$K225&lt;&gt;"",$J225=$K225,$J225&gt;=AD$3,$J225&lt;=IF(param_mode_affichage="mois",EOMONTH(AD$3,0),AD$3+6)),"◆",""))</f>
      </c>
      <c r="AE225" s="26">
        <f>IF(OR($A225="",AE$3=""),"",IF(AND($J225&lt;&gt;"",$K225&lt;&gt;"",$J225=$K225,$J225&gt;=AE$3,$J225&lt;=IF(param_mode_affichage="mois",EOMONTH(AE$3,0),AE$3+6)),"◆",""))</f>
      </c>
      <c r="AF225" s="26">
        <f>IF(OR($A225="",AF$3=""),"",IF(AND($J225&lt;&gt;"",$K225&lt;&gt;"",$J225=$K225,$J225&gt;=AF$3,$J225&lt;=IF(param_mode_affichage="mois",EOMONTH(AF$3,0),AF$3+6)),"◆",""))</f>
      </c>
      <c r="AG225" s="26">
        <f>IF(OR($A225="",AG$3=""),"",IF(AND($J225&lt;&gt;"",$K225&lt;&gt;"",$J225=$K225,$J225&gt;=AG$3,$J225&lt;=IF(param_mode_affichage="mois",EOMONTH(AG$3,0),AG$3+6)),"◆",""))</f>
      </c>
      <c r="AH225" s="26">
        <f>IF(OR($A225="",AH$3=""),"",IF(AND($J225&lt;&gt;"",$K225&lt;&gt;"",$J225=$K225,$J225&gt;=AH$3,$J225&lt;=IF(param_mode_affichage="mois",EOMONTH(AH$3,0),AH$3+6)),"◆",""))</f>
      </c>
      <c r="AI225" s="26">
        <f>IF(OR($A225="",AI$3=""),"",IF(AND($J225&lt;&gt;"",$K225&lt;&gt;"",$J225=$K225,$J225&gt;=AI$3,$J225&lt;=IF(param_mode_affichage="mois",EOMONTH(AI$3,0),AI$3+6)),"◆",""))</f>
      </c>
      <c r="AJ225" s="26">
        <f>IF(OR($A225="",AJ$3=""),"",IF(AND($J225&lt;&gt;"",$K225&lt;&gt;"",$J225=$K225,$J225&gt;=AJ$3,$J225&lt;=IF(param_mode_affichage="mois",EOMONTH(AJ$3,0),AJ$3+6)),"◆",""))</f>
      </c>
      <c r="AK225" s="26">
        <f>IF(OR($A225="",AK$3=""),"",IF(AND($J225&lt;&gt;"",$K225&lt;&gt;"",$J225=$K225,$J225&gt;=AK$3,$J225&lt;=IF(param_mode_affichage="mois",EOMONTH(AK$3,0),AK$3+6)),"◆",""))</f>
      </c>
      <c r="AL225" s="26">
        <f>IF(OR($A225="",AL$3=""),"",IF(AND($J225&lt;&gt;"",$K225&lt;&gt;"",$J225=$K225,$J225&gt;=AL$3,$J225&lt;=IF(param_mode_affichage="mois",EOMONTH(AL$3,0),AL$3+6)),"◆",""))</f>
      </c>
      <c r="AM225" s="26">
        <f>IF(OR($A225="",AM$3=""),"",IF(AND($J225&lt;&gt;"",$K225&lt;&gt;"",$J225=$K225,$J225&gt;=AM$3,$J225&lt;=IF(param_mode_affichage="mois",EOMONTH(AM$3,0),AM$3+6)),"◆",""))</f>
      </c>
      <c r="AN225" s="26">
        <f>IF(OR($A225="",AN$3=""),"",IF(AND($J225&lt;&gt;"",$K225&lt;&gt;"",$J225=$K225,$J225&gt;=AN$3,$J225&lt;=IF(param_mode_affichage="mois",EOMONTH(AN$3,0),AN$3+6)),"◆",""))</f>
      </c>
      <c r="AO225" s="26">
        <f>IF(OR($A225="",AO$3=""),"",IF(AND($J225&lt;&gt;"",$K225&lt;&gt;"",$J225=$K225,$J225&gt;=AO$3,$J225&lt;=IF(param_mode_affichage="mois",EOMONTH(AO$3,0),AO$3+6)),"◆",""))</f>
      </c>
      <c r="AP225" s="26">
        <f>IF(OR($A225="",AP$3=""),"",IF(AND($J225&lt;&gt;"",$K225&lt;&gt;"",$J225=$K225,$J225&gt;=AP$3,$J225&lt;=IF(param_mode_affichage="mois",EOMONTH(AP$3,0),AP$3+6)),"◆",""))</f>
      </c>
      <c r="AQ225" s="26">
        <f>IF(OR($A225="",AQ$3=""),"",IF(AND($J225&lt;&gt;"",$K225&lt;&gt;"",$J225=$K225,$J225&gt;=AQ$3,$J225&lt;=IF(param_mode_affichage="mois",EOMONTH(AQ$3,0),AQ$3+6)),"◆",""))</f>
      </c>
      <c r="AR225" s="26">
        <f>IF(OR($A225="",AR$3=""),"",IF(AND($J225&lt;&gt;"",$K225&lt;&gt;"",$J225=$K225,$J225&gt;=AR$3,$J225&lt;=IF(param_mode_affichage="mois",EOMONTH(AR$3,0),AR$3+6)),"◆",""))</f>
      </c>
      <c r="AS225" s="26">
        <f>IF(OR($A225="",AS$3=""),"",IF(AND($J225&lt;&gt;"",$K225&lt;&gt;"",$J225=$K225,$J225&gt;=AS$3,$J225&lt;=IF(param_mode_affichage="mois",EOMONTH(AS$3,0),AS$3+6)),"◆",""))</f>
      </c>
      <c r="AT225" s="26">
        <f>IF(OR($A225="",AT$3=""),"",IF(AND($J225&lt;&gt;"",$K225&lt;&gt;"",$J225=$K225,$J225&gt;=AT$3,$J225&lt;=IF(param_mode_affichage="mois",EOMONTH(AT$3,0),AT$3+6)),"◆",""))</f>
      </c>
      <c r="AU225" s="26">
        <f>IF(OR($A225="",AU$3=""),"",IF(AND($J225&lt;&gt;"",$K225&lt;&gt;"",$J225=$K225,$J225&gt;=AU$3,$J225&lt;=IF(param_mode_affichage="mois",EOMONTH(AU$3,0),AU$3+6)),"◆",""))</f>
      </c>
      <c r="AV225" s="26">
        <f>IF(OR($A225="",AV$3=""),"",IF(AND($J225&lt;&gt;"",$K225&lt;&gt;"",$J225=$K225,$J225&gt;=AV$3,$J225&lt;=IF(param_mode_affichage="mois",EOMONTH(AV$3,0),AV$3+6)),"◆",""))</f>
      </c>
      <c r="AW225" s="26">
        <f>IF(OR($A225="",AW$3=""),"",IF(AND($J225&lt;&gt;"",$K225&lt;&gt;"",$J225=$K225,$J225&gt;=AW$3,$J225&lt;=IF(param_mode_affichage="mois",EOMONTH(AW$3,0),AW$3+6)),"◆",""))</f>
      </c>
      <c r="AX225" s="26">
        <f>IF(OR($A225="",AX$3=""),"",IF(AND($J225&lt;&gt;"",$K225&lt;&gt;"",$J225=$K225,$J225&gt;=AX$3,$J225&lt;=IF(param_mode_affichage="mois",EOMONTH(AX$3,0),AX$3+6)),"◆",""))</f>
      </c>
      <c r="AY225" s="26">
        <f>IF(OR($A225="",AY$3=""),"",IF(AND($J225&lt;&gt;"",$K225&lt;&gt;"",$J225=$K225,$J225&gt;=AY$3,$J225&lt;=IF(param_mode_affichage="mois",EOMONTH(AY$3,0),AY$3+6)),"◆",""))</f>
      </c>
      <c r="AZ225" s="26">
        <f>IF(OR($A225="",AZ$3=""),"",IF(AND($J225&lt;&gt;"",$K225&lt;&gt;"",$J225=$K225,$J225&gt;=AZ$3,$J225&lt;=IF(param_mode_affichage="mois",EOMONTH(AZ$3,0),AZ$3+6)),"◆",""))</f>
      </c>
      <c r="BA225" s="26">
        <f>IF(OR($A225="",BA$3=""),"",IF(AND($J225&lt;&gt;"",$K225&lt;&gt;"",$J225=$K225,$J225&gt;=BA$3,$J225&lt;=IF(param_mode_affichage="mois",EOMONTH(BA$3,0),BA$3+6)),"◆",""))</f>
      </c>
      <c r="BB225" s="26">
        <f>IF(OR($A225="",BB$3=""),"",IF(AND($J225&lt;&gt;"",$K225&lt;&gt;"",$J225=$K225,$J225&gt;=BB$3,$J225&lt;=IF(param_mode_affichage="mois",EOMONTH(BB$3,0),BB$3+6)),"◆",""))</f>
      </c>
      <c r="BC225" s="26">
        <f>IF(OR($A225="",BC$3=""),"",IF(AND($J225&lt;&gt;"",$K225&lt;&gt;"",$J225=$K225,$J225&gt;=BC$3,$J225&lt;=IF(param_mode_affichage="mois",EOMONTH(BC$3,0),BC$3+6)),"◆",""))</f>
      </c>
      <c r="BD225" s="26">
        <f>IF(OR($A225="",BD$3=""),"",IF(AND($J225&lt;&gt;"",$K225&lt;&gt;"",$J225=$K225,$J225&gt;=BD$3,$J225&lt;=IF(param_mode_affichage="mois",EOMONTH(BD$3,0),BD$3+6)),"◆",""))</f>
      </c>
      <c r="BE225" s="26">
        <f>IF(OR($A225="",BE$3=""),"",IF(AND($J225&lt;&gt;"",$K225&lt;&gt;"",$J225=$K225,$J225&gt;=BE$3,$J225&lt;=IF(param_mode_affichage="mois",EOMONTH(BE$3,0),BE$3+6)),"◆",""))</f>
      </c>
      <c r="BF225" s="26">
        <f>IF(OR($A225="",BF$3=""),"",IF(AND($J225&lt;&gt;"",$K225&lt;&gt;"",$J225=$K225,$J225&gt;=BF$3,$J225&lt;=IF(param_mode_affichage="mois",EOMONTH(BF$3,0),BF$3+6)),"◆",""))</f>
      </c>
      <c r="BG225" s="26">
        <f>IF(OR($A225="",BG$3=""),"",IF(AND($J225&lt;&gt;"",$K225&lt;&gt;"",$J225=$K225,$J225&gt;=BG$3,$J225&lt;=IF(param_mode_affichage="mois",EOMONTH(BG$3,0),BG$3+6)),"◆",""))</f>
      </c>
      <c r="BH225" s="26">
        <f>IF(OR($A225="",BH$3=""),"",IF(AND($J225&lt;&gt;"",$K225&lt;&gt;"",$J225=$K225,$J225&gt;=BH$3,$J225&lt;=IF(param_mode_affichage="mois",EOMONTH(BH$3,0),BH$3+6)),"◆",""))</f>
      </c>
      <c r="BI225" s="26">
        <f>IF(OR($A225="",BI$3=""),"",IF(AND($J225&lt;&gt;"",$K225&lt;&gt;"",$J225=$K225,$J225&gt;=BI$3,$J225&lt;=IF(param_mode_affichage="mois",EOMONTH(BI$3,0),BI$3+6)),"◆",""))</f>
      </c>
      <c r="BJ225" s="26">
        <f>IF(OR($A225="",BJ$3=""),"",IF(AND($J225&lt;&gt;"",$K225&lt;&gt;"",$J225=$K225,$J225&gt;=BJ$3,$J225&lt;=IF(param_mode_affichage="mois",EOMONTH(BJ$3,0),BJ$3+6)),"◆",""))</f>
      </c>
      <c r="BK225" s="26">
        <f>IF(OR($A225="",BK$3=""),"",IF(AND($J225&lt;&gt;"",$K225&lt;&gt;"",$J225=$K225,$J225&gt;=BK$3,$J225&lt;=IF(param_mode_affichage="mois",EOMONTH(BK$3,0),BK$3+6)),"◆",""))</f>
      </c>
      <c r="BL225" s="26">
        <f>IF(OR($A225="",BL$3=""),"",IF(AND($J225&lt;&gt;"",$K225&lt;&gt;"",$J225=$K225,$J225&gt;=BL$3,$J225&lt;=IF(param_mode_affichage="mois",EOMONTH(BL$3,0),BL$3+6)),"◆",""))</f>
      </c>
    </row>
    <row r="226" spans="1:64" x14ac:dyDescent="0.25">
      <c r="A226" s="23">
        <f>IFERROR(INDEX(tblTasks[ID],ROW()-4),"")</f>
      </c>
      <c r="B226" s="24">
        <f>IF($A226="","",INDEX(tblTasks[Sujet],ROW()-4))</f>
      </c>
      <c r="C226" s="23">
        <f>IF($A226="","",INDEX(tblTasks[Responsable],ROW()-4))</f>
      </c>
      <c r="D226" s="23">
        <f>IF($A226="","",INDEX(tblTasks[Statut],ROW()-4))</f>
      </c>
      <c r="E226" s="23">
        <f>IF($A226="","",INDEX(tblTasks[Depend_de],ROW()-4))</f>
      </c>
      <c r="F226" s="23">
        <f>IF($A226="","",INDEX(tblTasks[Blocage],ROW()-4))</f>
      </c>
      <c r="G226" s="23">
        <f>IF($A226="","",INDEX(tblTasks[Niveau_criticite],ROW()-4))</f>
      </c>
      <c r="H226" s="23">
        <f>IF($A226="","",INDEX(tblTasks[Goulot],ROW()-4))</f>
      </c>
      <c r="I226" s="23">
        <f>IF($A226="","",IF(LOWER($F226)="oui","non",IF($E226="","oui",IFERROR(IF(LOWER(INDEX(tblTasks[Statut],MATCH($E226,tblTasks[ID],0)))="clos","oui","non"),"non"))))</f>
      </c>
      <c r="J226" s="25">
        <f>IF($A226="","",INDEX(tblTasks[Date_debut_prevue],ROW()-4))</f>
      </c>
      <c r="K226" s="25">
        <f>IF($A226="","",INDEX(tblTasks[Date_fin_prevue],ROW()-4))</f>
      </c>
      <c r="L226" s="23">
        <f>IF($A226="","",INDEX(tblTasks[Irreversibilite],ROW()-4))</f>
      </c>
      <c r="M226" s="26">
        <f>IF(OR($A226="",M$3=""),"",IF(AND($J226&lt;&gt;"",$K226&lt;&gt;"",$J226=$K226,$J226&gt;=M$3,$J226&lt;=IF(param_mode_affichage="mois",EOMONTH(M$3,0),M$3+6)),"◆",""))</f>
      </c>
      <c r="N226" s="26">
        <f>IF(OR($A226="",N$3=""),"",IF(AND($J226&lt;&gt;"",$K226&lt;&gt;"",$J226=$K226,$J226&gt;=N$3,$J226&lt;=IF(param_mode_affichage="mois",EOMONTH(N$3,0),N$3+6)),"◆",""))</f>
      </c>
      <c r="O226" s="26">
        <f>IF(OR($A226="",O$3=""),"",IF(AND($J226&lt;&gt;"",$K226&lt;&gt;"",$J226=$K226,$J226&gt;=O$3,$J226&lt;=IF(param_mode_affichage="mois",EOMONTH(O$3,0),O$3+6)),"◆",""))</f>
      </c>
      <c r="P226" s="26">
        <f>IF(OR($A226="",P$3=""),"",IF(AND($J226&lt;&gt;"",$K226&lt;&gt;"",$J226=$K226,$J226&gt;=P$3,$J226&lt;=IF(param_mode_affichage="mois",EOMONTH(P$3,0),P$3+6)),"◆",""))</f>
      </c>
      <c r="Q226" s="26">
        <f>IF(OR($A226="",Q$3=""),"",IF(AND($J226&lt;&gt;"",$K226&lt;&gt;"",$J226=$K226,$J226&gt;=Q$3,$J226&lt;=IF(param_mode_affichage="mois",EOMONTH(Q$3,0),Q$3+6)),"◆",""))</f>
      </c>
      <c r="R226" s="26">
        <f>IF(OR($A226="",R$3=""),"",IF(AND($J226&lt;&gt;"",$K226&lt;&gt;"",$J226=$K226,$J226&gt;=R$3,$J226&lt;=IF(param_mode_affichage="mois",EOMONTH(R$3,0),R$3+6)),"◆",""))</f>
      </c>
      <c r="S226" s="26">
        <f>IF(OR($A226="",S$3=""),"",IF(AND($J226&lt;&gt;"",$K226&lt;&gt;"",$J226=$K226,$J226&gt;=S$3,$J226&lt;=IF(param_mode_affichage="mois",EOMONTH(S$3,0),S$3+6)),"◆",""))</f>
      </c>
      <c r="T226" s="26">
        <f>IF(OR($A226="",T$3=""),"",IF(AND($J226&lt;&gt;"",$K226&lt;&gt;"",$J226=$K226,$J226&gt;=T$3,$J226&lt;=IF(param_mode_affichage="mois",EOMONTH(T$3,0),T$3+6)),"◆",""))</f>
      </c>
      <c r="U226" s="26">
        <f>IF(OR($A226="",U$3=""),"",IF(AND($J226&lt;&gt;"",$K226&lt;&gt;"",$J226=$K226,$J226&gt;=U$3,$J226&lt;=IF(param_mode_affichage="mois",EOMONTH(U$3,0),U$3+6)),"◆",""))</f>
      </c>
      <c r="V226" s="26">
        <f>IF(OR($A226="",V$3=""),"",IF(AND($J226&lt;&gt;"",$K226&lt;&gt;"",$J226=$K226,$J226&gt;=V$3,$J226&lt;=IF(param_mode_affichage="mois",EOMONTH(V$3,0),V$3+6)),"◆",""))</f>
      </c>
      <c r="W226" s="26">
        <f>IF(OR($A226="",W$3=""),"",IF(AND($J226&lt;&gt;"",$K226&lt;&gt;"",$J226=$K226,$J226&gt;=W$3,$J226&lt;=IF(param_mode_affichage="mois",EOMONTH(W$3,0),W$3+6)),"◆",""))</f>
      </c>
      <c r="X226" s="26">
        <f>IF(OR($A226="",X$3=""),"",IF(AND($J226&lt;&gt;"",$K226&lt;&gt;"",$J226=$K226,$J226&gt;=X$3,$J226&lt;=IF(param_mode_affichage="mois",EOMONTH(X$3,0),X$3+6)),"◆",""))</f>
      </c>
      <c r="Y226" s="26">
        <f>IF(OR($A226="",Y$3=""),"",IF(AND($J226&lt;&gt;"",$K226&lt;&gt;"",$J226=$K226,$J226&gt;=Y$3,$J226&lt;=IF(param_mode_affichage="mois",EOMONTH(Y$3,0),Y$3+6)),"◆",""))</f>
      </c>
      <c r="Z226" s="26">
        <f>IF(OR($A226="",Z$3=""),"",IF(AND($J226&lt;&gt;"",$K226&lt;&gt;"",$J226=$K226,$J226&gt;=Z$3,$J226&lt;=IF(param_mode_affichage="mois",EOMONTH(Z$3,0),Z$3+6)),"◆",""))</f>
      </c>
      <c r="AA226" s="26">
        <f>IF(OR($A226="",AA$3=""),"",IF(AND($J226&lt;&gt;"",$K226&lt;&gt;"",$J226=$K226,$J226&gt;=AA$3,$J226&lt;=IF(param_mode_affichage="mois",EOMONTH(AA$3,0),AA$3+6)),"◆",""))</f>
      </c>
      <c r="AB226" s="26">
        <f>IF(OR($A226="",AB$3=""),"",IF(AND($J226&lt;&gt;"",$K226&lt;&gt;"",$J226=$K226,$J226&gt;=AB$3,$J226&lt;=IF(param_mode_affichage="mois",EOMONTH(AB$3,0),AB$3+6)),"◆",""))</f>
      </c>
      <c r="AC226" s="26">
        <f>IF(OR($A226="",AC$3=""),"",IF(AND($J226&lt;&gt;"",$K226&lt;&gt;"",$J226=$K226,$J226&gt;=AC$3,$J226&lt;=IF(param_mode_affichage="mois",EOMONTH(AC$3,0),AC$3+6)),"◆",""))</f>
      </c>
      <c r="AD226" s="26">
        <f>IF(OR($A226="",AD$3=""),"",IF(AND($J226&lt;&gt;"",$K226&lt;&gt;"",$J226=$K226,$J226&gt;=AD$3,$J226&lt;=IF(param_mode_affichage="mois",EOMONTH(AD$3,0),AD$3+6)),"◆",""))</f>
      </c>
      <c r="AE226" s="26">
        <f>IF(OR($A226="",AE$3=""),"",IF(AND($J226&lt;&gt;"",$K226&lt;&gt;"",$J226=$K226,$J226&gt;=AE$3,$J226&lt;=IF(param_mode_affichage="mois",EOMONTH(AE$3,0),AE$3+6)),"◆",""))</f>
      </c>
      <c r="AF226" s="26">
        <f>IF(OR($A226="",AF$3=""),"",IF(AND($J226&lt;&gt;"",$K226&lt;&gt;"",$J226=$K226,$J226&gt;=AF$3,$J226&lt;=IF(param_mode_affichage="mois",EOMONTH(AF$3,0),AF$3+6)),"◆",""))</f>
      </c>
      <c r="AG226" s="26">
        <f>IF(OR($A226="",AG$3=""),"",IF(AND($J226&lt;&gt;"",$K226&lt;&gt;"",$J226=$K226,$J226&gt;=AG$3,$J226&lt;=IF(param_mode_affichage="mois",EOMONTH(AG$3,0),AG$3+6)),"◆",""))</f>
      </c>
      <c r="AH226" s="26">
        <f>IF(OR($A226="",AH$3=""),"",IF(AND($J226&lt;&gt;"",$K226&lt;&gt;"",$J226=$K226,$J226&gt;=AH$3,$J226&lt;=IF(param_mode_affichage="mois",EOMONTH(AH$3,0),AH$3+6)),"◆",""))</f>
      </c>
      <c r="AI226" s="26">
        <f>IF(OR($A226="",AI$3=""),"",IF(AND($J226&lt;&gt;"",$K226&lt;&gt;"",$J226=$K226,$J226&gt;=AI$3,$J226&lt;=IF(param_mode_affichage="mois",EOMONTH(AI$3,0),AI$3+6)),"◆",""))</f>
      </c>
      <c r="AJ226" s="26">
        <f>IF(OR($A226="",AJ$3=""),"",IF(AND($J226&lt;&gt;"",$K226&lt;&gt;"",$J226=$K226,$J226&gt;=AJ$3,$J226&lt;=IF(param_mode_affichage="mois",EOMONTH(AJ$3,0),AJ$3+6)),"◆",""))</f>
      </c>
      <c r="AK226" s="26">
        <f>IF(OR($A226="",AK$3=""),"",IF(AND($J226&lt;&gt;"",$K226&lt;&gt;"",$J226=$K226,$J226&gt;=AK$3,$J226&lt;=IF(param_mode_affichage="mois",EOMONTH(AK$3,0),AK$3+6)),"◆",""))</f>
      </c>
      <c r="AL226" s="26">
        <f>IF(OR($A226="",AL$3=""),"",IF(AND($J226&lt;&gt;"",$K226&lt;&gt;"",$J226=$K226,$J226&gt;=AL$3,$J226&lt;=IF(param_mode_affichage="mois",EOMONTH(AL$3,0),AL$3+6)),"◆",""))</f>
      </c>
      <c r="AM226" s="26">
        <f>IF(OR($A226="",AM$3=""),"",IF(AND($J226&lt;&gt;"",$K226&lt;&gt;"",$J226=$K226,$J226&gt;=AM$3,$J226&lt;=IF(param_mode_affichage="mois",EOMONTH(AM$3,0),AM$3+6)),"◆",""))</f>
      </c>
      <c r="AN226" s="26">
        <f>IF(OR($A226="",AN$3=""),"",IF(AND($J226&lt;&gt;"",$K226&lt;&gt;"",$J226=$K226,$J226&gt;=AN$3,$J226&lt;=IF(param_mode_affichage="mois",EOMONTH(AN$3,0),AN$3+6)),"◆",""))</f>
      </c>
      <c r="AO226" s="26">
        <f>IF(OR($A226="",AO$3=""),"",IF(AND($J226&lt;&gt;"",$K226&lt;&gt;"",$J226=$K226,$J226&gt;=AO$3,$J226&lt;=IF(param_mode_affichage="mois",EOMONTH(AO$3,0),AO$3+6)),"◆",""))</f>
      </c>
      <c r="AP226" s="26">
        <f>IF(OR($A226="",AP$3=""),"",IF(AND($J226&lt;&gt;"",$K226&lt;&gt;"",$J226=$K226,$J226&gt;=AP$3,$J226&lt;=IF(param_mode_affichage="mois",EOMONTH(AP$3,0),AP$3+6)),"◆",""))</f>
      </c>
      <c r="AQ226" s="26">
        <f>IF(OR($A226="",AQ$3=""),"",IF(AND($J226&lt;&gt;"",$K226&lt;&gt;"",$J226=$K226,$J226&gt;=AQ$3,$J226&lt;=IF(param_mode_affichage="mois",EOMONTH(AQ$3,0),AQ$3+6)),"◆",""))</f>
      </c>
      <c r="AR226" s="26">
        <f>IF(OR($A226="",AR$3=""),"",IF(AND($J226&lt;&gt;"",$K226&lt;&gt;"",$J226=$K226,$J226&gt;=AR$3,$J226&lt;=IF(param_mode_affichage="mois",EOMONTH(AR$3,0),AR$3+6)),"◆",""))</f>
      </c>
      <c r="AS226" s="26">
        <f>IF(OR($A226="",AS$3=""),"",IF(AND($J226&lt;&gt;"",$K226&lt;&gt;"",$J226=$K226,$J226&gt;=AS$3,$J226&lt;=IF(param_mode_affichage="mois",EOMONTH(AS$3,0),AS$3+6)),"◆",""))</f>
      </c>
      <c r="AT226" s="26">
        <f>IF(OR($A226="",AT$3=""),"",IF(AND($J226&lt;&gt;"",$K226&lt;&gt;"",$J226=$K226,$J226&gt;=AT$3,$J226&lt;=IF(param_mode_affichage="mois",EOMONTH(AT$3,0),AT$3+6)),"◆",""))</f>
      </c>
      <c r="AU226" s="26">
        <f>IF(OR($A226="",AU$3=""),"",IF(AND($J226&lt;&gt;"",$K226&lt;&gt;"",$J226=$K226,$J226&gt;=AU$3,$J226&lt;=IF(param_mode_affichage="mois",EOMONTH(AU$3,0),AU$3+6)),"◆",""))</f>
      </c>
      <c r="AV226" s="26">
        <f>IF(OR($A226="",AV$3=""),"",IF(AND($J226&lt;&gt;"",$K226&lt;&gt;"",$J226=$K226,$J226&gt;=AV$3,$J226&lt;=IF(param_mode_affichage="mois",EOMONTH(AV$3,0),AV$3+6)),"◆",""))</f>
      </c>
      <c r="AW226" s="26">
        <f>IF(OR($A226="",AW$3=""),"",IF(AND($J226&lt;&gt;"",$K226&lt;&gt;"",$J226=$K226,$J226&gt;=AW$3,$J226&lt;=IF(param_mode_affichage="mois",EOMONTH(AW$3,0),AW$3+6)),"◆",""))</f>
      </c>
      <c r="AX226" s="26">
        <f>IF(OR($A226="",AX$3=""),"",IF(AND($J226&lt;&gt;"",$K226&lt;&gt;"",$J226=$K226,$J226&gt;=AX$3,$J226&lt;=IF(param_mode_affichage="mois",EOMONTH(AX$3,0),AX$3+6)),"◆",""))</f>
      </c>
      <c r="AY226" s="26">
        <f>IF(OR($A226="",AY$3=""),"",IF(AND($J226&lt;&gt;"",$K226&lt;&gt;"",$J226=$K226,$J226&gt;=AY$3,$J226&lt;=IF(param_mode_affichage="mois",EOMONTH(AY$3,0),AY$3+6)),"◆",""))</f>
      </c>
      <c r="AZ226" s="26">
        <f>IF(OR($A226="",AZ$3=""),"",IF(AND($J226&lt;&gt;"",$K226&lt;&gt;"",$J226=$K226,$J226&gt;=AZ$3,$J226&lt;=IF(param_mode_affichage="mois",EOMONTH(AZ$3,0),AZ$3+6)),"◆",""))</f>
      </c>
      <c r="BA226" s="26">
        <f>IF(OR($A226="",BA$3=""),"",IF(AND($J226&lt;&gt;"",$K226&lt;&gt;"",$J226=$K226,$J226&gt;=BA$3,$J226&lt;=IF(param_mode_affichage="mois",EOMONTH(BA$3,0),BA$3+6)),"◆",""))</f>
      </c>
      <c r="BB226" s="26">
        <f>IF(OR($A226="",BB$3=""),"",IF(AND($J226&lt;&gt;"",$K226&lt;&gt;"",$J226=$K226,$J226&gt;=BB$3,$J226&lt;=IF(param_mode_affichage="mois",EOMONTH(BB$3,0),BB$3+6)),"◆",""))</f>
      </c>
      <c r="BC226" s="26">
        <f>IF(OR($A226="",BC$3=""),"",IF(AND($J226&lt;&gt;"",$K226&lt;&gt;"",$J226=$K226,$J226&gt;=BC$3,$J226&lt;=IF(param_mode_affichage="mois",EOMONTH(BC$3,0),BC$3+6)),"◆",""))</f>
      </c>
      <c r="BD226" s="26">
        <f>IF(OR($A226="",BD$3=""),"",IF(AND($J226&lt;&gt;"",$K226&lt;&gt;"",$J226=$K226,$J226&gt;=BD$3,$J226&lt;=IF(param_mode_affichage="mois",EOMONTH(BD$3,0),BD$3+6)),"◆",""))</f>
      </c>
      <c r="BE226" s="26">
        <f>IF(OR($A226="",BE$3=""),"",IF(AND($J226&lt;&gt;"",$K226&lt;&gt;"",$J226=$K226,$J226&gt;=BE$3,$J226&lt;=IF(param_mode_affichage="mois",EOMONTH(BE$3,0),BE$3+6)),"◆",""))</f>
      </c>
      <c r="BF226" s="26">
        <f>IF(OR($A226="",BF$3=""),"",IF(AND($J226&lt;&gt;"",$K226&lt;&gt;"",$J226=$K226,$J226&gt;=BF$3,$J226&lt;=IF(param_mode_affichage="mois",EOMONTH(BF$3,0),BF$3+6)),"◆",""))</f>
      </c>
      <c r="BG226" s="26">
        <f>IF(OR($A226="",BG$3=""),"",IF(AND($J226&lt;&gt;"",$K226&lt;&gt;"",$J226=$K226,$J226&gt;=BG$3,$J226&lt;=IF(param_mode_affichage="mois",EOMONTH(BG$3,0),BG$3+6)),"◆",""))</f>
      </c>
      <c r="BH226" s="26">
        <f>IF(OR($A226="",BH$3=""),"",IF(AND($J226&lt;&gt;"",$K226&lt;&gt;"",$J226=$K226,$J226&gt;=BH$3,$J226&lt;=IF(param_mode_affichage="mois",EOMONTH(BH$3,0),BH$3+6)),"◆",""))</f>
      </c>
      <c r="BI226" s="26">
        <f>IF(OR($A226="",BI$3=""),"",IF(AND($J226&lt;&gt;"",$K226&lt;&gt;"",$J226=$K226,$J226&gt;=BI$3,$J226&lt;=IF(param_mode_affichage="mois",EOMONTH(BI$3,0),BI$3+6)),"◆",""))</f>
      </c>
      <c r="BJ226" s="26">
        <f>IF(OR($A226="",BJ$3=""),"",IF(AND($J226&lt;&gt;"",$K226&lt;&gt;"",$J226=$K226,$J226&gt;=BJ$3,$J226&lt;=IF(param_mode_affichage="mois",EOMONTH(BJ$3,0),BJ$3+6)),"◆",""))</f>
      </c>
      <c r="BK226" s="26">
        <f>IF(OR($A226="",BK$3=""),"",IF(AND($J226&lt;&gt;"",$K226&lt;&gt;"",$J226=$K226,$J226&gt;=BK$3,$J226&lt;=IF(param_mode_affichage="mois",EOMONTH(BK$3,0),BK$3+6)),"◆",""))</f>
      </c>
      <c r="BL226" s="26">
        <f>IF(OR($A226="",BL$3=""),"",IF(AND($J226&lt;&gt;"",$K226&lt;&gt;"",$J226=$K226,$J226&gt;=BL$3,$J226&lt;=IF(param_mode_affichage="mois",EOMONTH(BL$3,0),BL$3+6)),"◆",""))</f>
      </c>
    </row>
    <row r="227" spans="1:64" x14ac:dyDescent="0.25">
      <c r="A227" s="23">
        <f>IFERROR(INDEX(tblTasks[ID],ROW()-4),"")</f>
      </c>
      <c r="B227" s="24">
        <f>IF($A227="","",INDEX(tblTasks[Sujet],ROW()-4))</f>
      </c>
      <c r="C227" s="23">
        <f>IF($A227="","",INDEX(tblTasks[Responsable],ROW()-4))</f>
      </c>
      <c r="D227" s="23">
        <f>IF($A227="","",INDEX(tblTasks[Statut],ROW()-4))</f>
      </c>
      <c r="E227" s="23">
        <f>IF($A227="","",INDEX(tblTasks[Depend_de],ROW()-4))</f>
      </c>
      <c r="F227" s="23">
        <f>IF($A227="","",INDEX(tblTasks[Blocage],ROW()-4))</f>
      </c>
      <c r="G227" s="23">
        <f>IF($A227="","",INDEX(tblTasks[Niveau_criticite],ROW()-4))</f>
      </c>
      <c r="H227" s="23">
        <f>IF($A227="","",INDEX(tblTasks[Goulot],ROW()-4))</f>
      </c>
      <c r="I227" s="23">
        <f>IF($A227="","",IF(LOWER($F227)="oui","non",IF($E227="","oui",IFERROR(IF(LOWER(INDEX(tblTasks[Statut],MATCH($E227,tblTasks[ID],0)))="clos","oui","non"),"non"))))</f>
      </c>
      <c r="J227" s="25">
        <f>IF($A227="","",INDEX(tblTasks[Date_debut_prevue],ROW()-4))</f>
      </c>
      <c r="K227" s="25">
        <f>IF($A227="","",INDEX(tblTasks[Date_fin_prevue],ROW()-4))</f>
      </c>
      <c r="L227" s="23">
        <f>IF($A227="","",INDEX(tblTasks[Irreversibilite],ROW()-4))</f>
      </c>
      <c r="M227" s="26">
        <f>IF(OR($A227="",M$3=""),"",IF(AND($J227&lt;&gt;"",$K227&lt;&gt;"",$J227=$K227,$J227&gt;=M$3,$J227&lt;=IF(param_mode_affichage="mois",EOMONTH(M$3,0),M$3+6)),"◆",""))</f>
      </c>
      <c r="N227" s="26">
        <f>IF(OR($A227="",N$3=""),"",IF(AND($J227&lt;&gt;"",$K227&lt;&gt;"",$J227=$K227,$J227&gt;=N$3,$J227&lt;=IF(param_mode_affichage="mois",EOMONTH(N$3,0),N$3+6)),"◆",""))</f>
      </c>
      <c r="O227" s="26">
        <f>IF(OR($A227="",O$3=""),"",IF(AND($J227&lt;&gt;"",$K227&lt;&gt;"",$J227=$K227,$J227&gt;=O$3,$J227&lt;=IF(param_mode_affichage="mois",EOMONTH(O$3,0),O$3+6)),"◆",""))</f>
      </c>
      <c r="P227" s="26">
        <f>IF(OR($A227="",P$3=""),"",IF(AND($J227&lt;&gt;"",$K227&lt;&gt;"",$J227=$K227,$J227&gt;=P$3,$J227&lt;=IF(param_mode_affichage="mois",EOMONTH(P$3,0),P$3+6)),"◆",""))</f>
      </c>
      <c r="Q227" s="26">
        <f>IF(OR($A227="",Q$3=""),"",IF(AND($J227&lt;&gt;"",$K227&lt;&gt;"",$J227=$K227,$J227&gt;=Q$3,$J227&lt;=IF(param_mode_affichage="mois",EOMONTH(Q$3,0),Q$3+6)),"◆",""))</f>
      </c>
      <c r="R227" s="26">
        <f>IF(OR($A227="",R$3=""),"",IF(AND($J227&lt;&gt;"",$K227&lt;&gt;"",$J227=$K227,$J227&gt;=R$3,$J227&lt;=IF(param_mode_affichage="mois",EOMONTH(R$3,0),R$3+6)),"◆",""))</f>
      </c>
      <c r="S227" s="26">
        <f>IF(OR($A227="",S$3=""),"",IF(AND($J227&lt;&gt;"",$K227&lt;&gt;"",$J227=$K227,$J227&gt;=S$3,$J227&lt;=IF(param_mode_affichage="mois",EOMONTH(S$3,0),S$3+6)),"◆",""))</f>
      </c>
      <c r="T227" s="26">
        <f>IF(OR($A227="",T$3=""),"",IF(AND($J227&lt;&gt;"",$K227&lt;&gt;"",$J227=$K227,$J227&gt;=T$3,$J227&lt;=IF(param_mode_affichage="mois",EOMONTH(T$3,0),T$3+6)),"◆",""))</f>
      </c>
      <c r="U227" s="26">
        <f>IF(OR($A227="",U$3=""),"",IF(AND($J227&lt;&gt;"",$K227&lt;&gt;"",$J227=$K227,$J227&gt;=U$3,$J227&lt;=IF(param_mode_affichage="mois",EOMONTH(U$3,0),U$3+6)),"◆",""))</f>
      </c>
      <c r="V227" s="26">
        <f>IF(OR($A227="",V$3=""),"",IF(AND($J227&lt;&gt;"",$K227&lt;&gt;"",$J227=$K227,$J227&gt;=V$3,$J227&lt;=IF(param_mode_affichage="mois",EOMONTH(V$3,0),V$3+6)),"◆",""))</f>
      </c>
      <c r="W227" s="26">
        <f>IF(OR($A227="",W$3=""),"",IF(AND($J227&lt;&gt;"",$K227&lt;&gt;"",$J227=$K227,$J227&gt;=W$3,$J227&lt;=IF(param_mode_affichage="mois",EOMONTH(W$3,0),W$3+6)),"◆",""))</f>
      </c>
      <c r="X227" s="26">
        <f>IF(OR($A227="",X$3=""),"",IF(AND($J227&lt;&gt;"",$K227&lt;&gt;"",$J227=$K227,$J227&gt;=X$3,$J227&lt;=IF(param_mode_affichage="mois",EOMONTH(X$3,0),X$3+6)),"◆",""))</f>
      </c>
      <c r="Y227" s="26">
        <f>IF(OR($A227="",Y$3=""),"",IF(AND($J227&lt;&gt;"",$K227&lt;&gt;"",$J227=$K227,$J227&gt;=Y$3,$J227&lt;=IF(param_mode_affichage="mois",EOMONTH(Y$3,0),Y$3+6)),"◆",""))</f>
      </c>
      <c r="Z227" s="26">
        <f>IF(OR($A227="",Z$3=""),"",IF(AND($J227&lt;&gt;"",$K227&lt;&gt;"",$J227=$K227,$J227&gt;=Z$3,$J227&lt;=IF(param_mode_affichage="mois",EOMONTH(Z$3,0),Z$3+6)),"◆",""))</f>
      </c>
      <c r="AA227" s="26">
        <f>IF(OR($A227="",AA$3=""),"",IF(AND($J227&lt;&gt;"",$K227&lt;&gt;"",$J227=$K227,$J227&gt;=AA$3,$J227&lt;=IF(param_mode_affichage="mois",EOMONTH(AA$3,0),AA$3+6)),"◆",""))</f>
      </c>
      <c r="AB227" s="26">
        <f>IF(OR($A227="",AB$3=""),"",IF(AND($J227&lt;&gt;"",$K227&lt;&gt;"",$J227=$K227,$J227&gt;=AB$3,$J227&lt;=IF(param_mode_affichage="mois",EOMONTH(AB$3,0),AB$3+6)),"◆",""))</f>
      </c>
      <c r="AC227" s="26">
        <f>IF(OR($A227="",AC$3=""),"",IF(AND($J227&lt;&gt;"",$K227&lt;&gt;"",$J227=$K227,$J227&gt;=AC$3,$J227&lt;=IF(param_mode_affichage="mois",EOMONTH(AC$3,0),AC$3+6)),"◆",""))</f>
      </c>
      <c r="AD227" s="26">
        <f>IF(OR($A227="",AD$3=""),"",IF(AND($J227&lt;&gt;"",$K227&lt;&gt;"",$J227=$K227,$J227&gt;=AD$3,$J227&lt;=IF(param_mode_affichage="mois",EOMONTH(AD$3,0),AD$3+6)),"◆",""))</f>
      </c>
      <c r="AE227" s="26">
        <f>IF(OR($A227="",AE$3=""),"",IF(AND($J227&lt;&gt;"",$K227&lt;&gt;"",$J227=$K227,$J227&gt;=AE$3,$J227&lt;=IF(param_mode_affichage="mois",EOMONTH(AE$3,0),AE$3+6)),"◆",""))</f>
      </c>
      <c r="AF227" s="26">
        <f>IF(OR($A227="",AF$3=""),"",IF(AND($J227&lt;&gt;"",$K227&lt;&gt;"",$J227=$K227,$J227&gt;=AF$3,$J227&lt;=IF(param_mode_affichage="mois",EOMONTH(AF$3,0),AF$3+6)),"◆",""))</f>
      </c>
      <c r="AG227" s="26">
        <f>IF(OR($A227="",AG$3=""),"",IF(AND($J227&lt;&gt;"",$K227&lt;&gt;"",$J227=$K227,$J227&gt;=AG$3,$J227&lt;=IF(param_mode_affichage="mois",EOMONTH(AG$3,0),AG$3+6)),"◆",""))</f>
      </c>
      <c r="AH227" s="26">
        <f>IF(OR($A227="",AH$3=""),"",IF(AND($J227&lt;&gt;"",$K227&lt;&gt;"",$J227=$K227,$J227&gt;=AH$3,$J227&lt;=IF(param_mode_affichage="mois",EOMONTH(AH$3,0),AH$3+6)),"◆",""))</f>
      </c>
      <c r="AI227" s="26">
        <f>IF(OR($A227="",AI$3=""),"",IF(AND($J227&lt;&gt;"",$K227&lt;&gt;"",$J227=$K227,$J227&gt;=AI$3,$J227&lt;=IF(param_mode_affichage="mois",EOMONTH(AI$3,0),AI$3+6)),"◆",""))</f>
      </c>
      <c r="AJ227" s="26">
        <f>IF(OR($A227="",AJ$3=""),"",IF(AND($J227&lt;&gt;"",$K227&lt;&gt;"",$J227=$K227,$J227&gt;=AJ$3,$J227&lt;=IF(param_mode_affichage="mois",EOMONTH(AJ$3,0),AJ$3+6)),"◆",""))</f>
      </c>
      <c r="AK227" s="26">
        <f>IF(OR($A227="",AK$3=""),"",IF(AND($J227&lt;&gt;"",$K227&lt;&gt;"",$J227=$K227,$J227&gt;=AK$3,$J227&lt;=IF(param_mode_affichage="mois",EOMONTH(AK$3,0),AK$3+6)),"◆",""))</f>
      </c>
      <c r="AL227" s="26">
        <f>IF(OR($A227="",AL$3=""),"",IF(AND($J227&lt;&gt;"",$K227&lt;&gt;"",$J227=$K227,$J227&gt;=AL$3,$J227&lt;=IF(param_mode_affichage="mois",EOMONTH(AL$3,0),AL$3+6)),"◆",""))</f>
      </c>
      <c r="AM227" s="26">
        <f>IF(OR($A227="",AM$3=""),"",IF(AND($J227&lt;&gt;"",$K227&lt;&gt;"",$J227=$K227,$J227&gt;=AM$3,$J227&lt;=IF(param_mode_affichage="mois",EOMONTH(AM$3,0),AM$3+6)),"◆",""))</f>
      </c>
      <c r="AN227" s="26">
        <f>IF(OR($A227="",AN$3=""),"",IF(AND($J227&lt;&gt;"",$K227&lt;&gt;"",$J227=$K227,$J227&gt;=AN$3,$J227&lt;=IF(param_mode_affichage="mois",EOMONTH(AN$3,0),AN$3+6)),"◆",""))</f>
      </c>
      <c r="AO227" s="26">
        <f>IF(OR($A227="",AO$3=""),"",IF(AND($J227&lt;&gt;"",$K227&lt;&gt;"",$J227=$K227,$J227&gt;=AO$3,$J227&lt;=IF(param_mode_affichage="mois",EOMONTH(AO$3,0),AO$3+6)),"◆",""))</f>
      </c>
      <c r="AP227" s="26">
        <f>IF(OR($A227="",AP$3=""),"",IF(AND($J227&lt;&gt;"",$K227&lt;&gt;"",$J227=$K227,$J227&gt;=AP$3,$J227&lt;=IF(param_mode_affichage="mois",EOMONTH(AP$3,0),AP$3+6)),"◆",""))</f>
      </c>
      <c r="AQ227" s="26">
        <f>IF(OR($A227="",AQ$3=""),"",IF(AND($J227&lt;&gt;"",$K227&lt;&gt;"",$J227=$K227,$J227&gt;=AQ$3,$J227&lt;=IF(param_mode_affichage="mois",EOMONTH(AQ$3,0),AQ$3+6)),"◆",""))</f>
      </c>
      <c r="AR227" s="26">
        <f>IF(OR($A227="",AR$3=""),"",IF(AND($J227&lt;&gt;"",$K227&lt;&gt;"",$J227=$K227,$J227&gt;=AR$3,$J227&lt;=IF(param_mode_affichage="mois",EOMONTH(AR$3,0),AR$3+6)),"◆",""))</f>
      </c>
      <c r="AS227" s="26">
        <f>IF(OR($A227="",AS$3=""),"",IF(AND($J227&lt;&gt;"",$K227&lt;&gt;"",$J227=$K227,$J227&gt;=AS$3,$J227&lt;=IF(param_mode_affichage="mois",EOMONTH(AS$3,0),AS$3+6)),"◆",""))</f>
      </c>
      <c r="AT227" s="26">
        <f>IF(OR($A227="",AT$3=""),"",IF(AND($J227&lt;&gt;"",$K227&lt;&gt;"",$J227=$K227,$J227&gt;=AT$3,$J227&lt;=IF(param_mode_affichage="mois",EOMONTH(AT$3,0),AT$3+6)),"◆",""))</f>
      </c>
      <c r="AU227" s="26">
        <f>IF(OR($A227="",AU$3=""),"",IF(AND($J227&lt;&gt;"",$K227&lt;&gt;"",$J227=$K227,$J227&gt;=AU$3,$J227&lt;=IF(param_mode_affichage="mois",EOMONTH(AU$3,0),AU$3+6)),"◆",""))</f>
      </c>
      <c r="AV227" s="26">
        <f>IF(OR($A227="",AV$3=""),"",IF(AND($J227&lt;&gt;"",$K227&lt;&gt;"",$J227=$K227,$J227&gt;=AV$3,$J227&lt;=IF(param_mode_affichage="mois",EOMONTH(AV$3,0),AV$3+6)),"◆",""))</f>
      </c>
      <c r="AW227" s="26">
        <f>IF(OR($A227="",AW$3=""),"",IF(AND($J227&lt;&gt;"",$K227&lt;&gt;"",$J227=$K227,$J227&gt;=AW$3,$J227&lt;=IF(param_mode_affichage="mois",EOMONTH(AW$3,0),AW$3+6)),"◆",""))</f>
      </c>
      <c r="AX227" s="26">
        <f>IF(OR($A227="",AX$3=""),"",IF(AND($J227&lt;&gt;"",$K227&lt;&gt;"",$J227=$K227,$J227&gt;=AX$3,$J227&lt;=IF(param_mode_affichage="mois",EOMONTH(AX$3,0),AX$3+6)),"◆",""))</f>
      </c>
      <c r="AY227" s="26">
        <f>IF(OR($A227="",AY$3=""),"",IF(AND($J227&lt;&gt;"",$K227&lt;&gt;"",$J227=$K227,$J227&gt;=AY$3,$J227&lt;=IF(param_mode_affichage="mois",EOMONTH(AY$3,0),AY$3+6)),"◆",""))</f>
      </c>
      <c r="AZ227" s="26">
        <f>IF(OR($A227="",AZ$3=""),"",IF(AND($J227&lt;&gt;"",$K227&lt;&gt;"",$J227=$K227,$J227&gt;=AZ$3,$J227&lt;=IF(param_mode_affichage="mois",EOMONTH(AZ$3,0),AZ$3+6)),"◆",""))</f>
      </c>
      <c r="BA227" s="26">
        <f>IF(OR($A227="",BA$3=""),"",IF(AND($J227&lt;&gt;"",$K227&lt;&gt;"",$J227=$K227,$J227&gt;=BA$3,$J227&lt;=IF(param_mode_affichage="mois",EOMONTH(BA$3,0),BA$3+6)),"◆",""))</f>
      </c>
      <c r="BB227" s="26">
        <f>IF(OR($A227="",BB$3=""),"",IF(AND($J227&lt;&gt;"",$K227&lt;&gt;"",$J227=$K227,$J227&gt;=BB$3,$J227&lt;=IF(param_mode_affichage="mois",EOMONTH(BB$3,0),BB$3+6)),"◆",""))</f>
      </c>
      <c r="BC227" s="26">
        <f>IF(OR($A227="",BC$3=""),"",IF(AND($J227&lt;&gt;"",$K227&lt;&gt;"",$J227=$K227,$J227&gt;=BC$3,$J227&lt;=IF(param_mode_affichage="mois",EOMONTH(BC$3,0),BC$3+6)),"◆",""))</f>
      </c>
      <c r="BD227" s="26">
        <f>IF(OR($A227="",BD$3=""),"",IF(AND($J227&lt;&gt;"",$K227&lt;&gt;"",$J227=$K227,$J227&gt;=BD$3,$J227&lt;=IF(param_mode_affichage="mois",EOMONTH(BD$3,0),BD$3+6)),"◆",""))</f>
      </c>
      <c r="BE227" s="26">
        <f>IF(OR($A227="",BE$3=""),"",IF(AND($J227&lt;&gt;"",$K227&lt;&gt;"",$J227=$K227,$J227&gt;=BE$3,$J227&lt;=IF(param_mode_affichage="mois",EOMONTH(BE$3,0),BE$3+6)),"◆",""))</f>
      </c>
      <c r="BF227" s="26">
        <f>IF(OR($A227="",BF$3=""),"",IF(AND($J227&lt;&gt;"",$K227&lt;&gt;"",$J227=$K227,$J227&gt;=BF$3,$J227&lt;=IF(param_mode_affichage="mois",EOMONTH(BF$3,0),BF$3+6)),"◆",""))</f>
      </c>
      <c r="BG227" s="26">
        <f>IF(OR($A227="",BG$3=""),"",IF(AND($J227&lt;&gt;"",$K227&lt;&gt;"",$J227=$K227,$J227&gt;=BG$3,$J227&lt;=IF(param_mode_affichage="mois",EOMONTH(BG$3,0),BG$3+6)),"◆",""))</f>
      </c>
      <c r="BH227" s="26">
        <f>IF(OR($A227="",BH$3=""),"",IF(AND($J227&lt;&gt;"",$K227&lt;&gt;"",$J227=$K227,$J227&gt;=BH$3,$J227&lt;=IF(param_mode_affichage="mois",EOMONTH(BH$3,0),BH$3+6)),"◆",""))</f>
      </c>
      <c r="BI227" s="26">
        <f>IF(OR($A227="",BI$3=""),"",IF(AND($J227&lt;&gt;"",$K227&lt;&gt;"",$J227=$K227,$J227&gt;=BI$3,$J227&lt;=IF(param_mode_affichage="mois",EOMONTH(BI$3,0),BI$3+6)),"◆",""))</f>
      </c>
      <c r="BJ227" s="26">
        <f>IF(OR($A227="",BJ$3=""),"",IF(AND($J227&lt;&gt;"",$K227&lt;&gt;"",$J227=$K227,$J227&gt;=BJ$3,$J227&lt;=IF(param_mode_affichage="mois",EOMONTH(BJ$3,0),BJ$3+6)),"◆",""))</f>
      </c>
      <c r="BK227" s="26">
        <f>IF(OR($A227="",BK$3=""),"",IF(AND($J227&lt;&gt;"",$K227&lt;&gt;"",$J227=$K227,$J227&gt;=BK$3,$J227&lt;=IF(param_mode_affichage="mois",EOMONTH(BK$3,0),BK$3+6)),"◆",""))</f>
      </c>
      <c r="BL227" s="26">
        <f>IF(OR($A227="",BL$3=""),"",IF(AND($J227&lt;&gt;"",$K227&lt;&gt;"",$J227=$K227,$J227&gt;=BL$3,$J227&lt;=IF(param_mode_affichage="mois",EOMONTH(BL$3,0),BL$3+6)),"◆",""))</f>
      </c>
    </row>
    <row r="228" spans="1:64" x14ac:dyDescent="0.25">
      <c r="A228" s="23">
        <f>IFERROR(INDEX(tblTasks[ID],ROW()-4),"")</f>
      </c>
      <c r="B228" s="24">
        <f>IF($A228="","",INDEX(tblTasks[Sujet],ROW()-4))</f>
      </c>
      <c r="C228" s="23">
        <f>IF($A228="","",INDEX(tblTasks[Responsable],ROW()-4))</f>
      </c>
      <c r="D228" s="23">
        <f>IF($A228="","",INDEX(tblTasks[Statut],ROW()-4))</f>
      </c>
      <c r="E228" s="23">
        <f>IF($A228="","",INDEX(tblTasks[Depend_de],ROW()-4))</f>
      </c>
      <c r="F228" s="23">
        <f>IF($A228="","",INDEX(tblTasks[Blocage],ROW()-4))</f>
      </c>
      <c r="G228" s="23">
        <f>IF($A228="","",INDEX(tblTasks[Niveau_criticite],ROW()-4))</f>
      </c>
      <c r="H228" s="23">
        <f>IF($A228="","",INDEX(tblTasks[Goulot],ROW()-4))</f>
      </c>
      <c r="I228" s="23">
        <f>IF($A228="","",IF(LOWER($F228)="oui","non",IF($E228="","oui",IFERROR(IF(LOWER(INDEX(tblTasks[Statut],MATCH($E228,tblTasks[ID],0)))="clos","oui","non"),"non"))))</f>
      </c>
      <c r="J228" s="25">
        <f>IF($A228="","",INDEX(tblTasks[Date_debut_prevue],ROW()-4))</f>
      </c>
      <c r="K228" s="25">
        <f>IF($A228="","",INDEX(tblTasks[Date_fin_prevue],ROW()-4))</f>
      </c>
      <c r="L228" s="23">
        <f>IF($A228="","",INDEX(tblTasks[Irreversibilite],ROW()-4))</f>
      </c>
      <c r="M228" s="26">
        <f>IF(OR($A228="",M$3=""),"",IF(AND($J228&lt;&gt;"",$K228&lt;&gt;"",$J228=$K228,$J228&gt;=M$3,$J228&lt;=IF(param_mode_affichage="mois",EOMONTH(M$3,0),M$3+6)),"◆",""))</f>
      </c>
      <c r="N228" s="26">
        <f>IF(OR($A228="",N$3=""),"",IF(AND($J228&lt;&gt;"",$K228&lt;&gt;"",$J228=$K228,$J228&gt;=N$3,$J228&lt;=IF(param_mode_affichage="mois",EOMONTH(N$3,0),N$3+6)),"◆",""))</f>
      </c>
      <c r="O228" s="26">
        <f>IF(OR($A228="",O$3=""),"",IF(AND($J228&lt;&gt;"",$K228&lt;&gt;"",$J228=$K228,$J228&gt;=O$3,$J228&lt;=IF(param_mode_affichage="mois",EOMONTH(O$3,0),O$3+6)),"◆",""))</f>
      </c>
      <c r="P228" s="26">
        <f>IF(OR($A228="",P$3=""),"",IF(AND($J228&lt;&gt;"",$K228&lt;&gt;"",$J228=$K228,$J228&gt;=P$3,$J228&lt;=IF(param_mode_affichage="mois",EOMONTH(P$3,0),P$3+6)),"◆",""))</f>
      </c>
      <c r="Q228" s="26">
        <f>IF(OR($A228="",Q$3=""),"",IF(AND($J228&lt;&gt;"",$K228&lt;&gt;"",$J228=$K228,$J228&gt;=Q$3,$J228&lt;=IF(param_mode_affichage="mois",EOMONTH(Q$3,0),Q$3+6)),"◆",""))</f>
      </c>
      <c r="R228" s="26">
        <f>IF(OR($A228="",R$3=""),"",IF(AND($J228&lt;&gt;"",$K228&lt;&gt;"",$J228=$K228,$J228&gt;=R$3,$J228&lt;=IF(param_mode_affichage="mois",EOMONTH(R$3,0),R$3+6)),"◆",""))</f>
      </c>
      <c r="S228" s="26">
        <f>IF(OR($A228="",S$3=""),"",IF(AND($J228&lt;&gt;"",$K228&lt;&gt;"",$J228=$K228,$J228&gt;=S$3,$J228&lt;=IF(param_mode_affichage="mois",EOMONTH(S$3,0),S$3+6)),"◆",""))</f>
      </c>
      <c r="T228" s="26">
        <f>IF(OR($A228="",T$3=""),"",IF(AND($J228&lt;&gt;"",$K228&lt;&gt;"",$J228=$K228,$J228&gt;=T$3,$J228&lt;=IF(param_mode_affichage="mois",EOMONTH(T$3,0),T$3+6)),"◆",""))</f>
      </c>
      <c r="U228" s="26">
        <f>IF(OR($A228="",U$3=""),"",IF(AND($J228&lt;&gt;"",$K228&lt;&gt;"",$J228=$K228,$J228&gt;=U$3,$J228&lt;=IF(param_mode_affichage="mois",EOMONTH(U$3,0),U$3+6)),"◆",""))</f>
      </c>
      <c r="V228" s="26">
        <f>IF(OR($A228="",V$3=""),"",IF(AND($J228&lt;&gt;"",$K228&lt;&gt;"",$J228=$K228,$J228&gt;=V$3,$J228&lt;=IF(param_mode_affichage="mois",EOMONTH(V$3,0),V$3+6)),"◆",""))</f>
      </c>
      <c r="W228" s="26">
        <f>IF(OR($A228="",W$3=""),"",IF(AND($J228&lt;&gt;"",$K228&lt;&gt;"",$J228=$K228,$J228&gt;=W$3,$J228&lt;=IF(param_mode_affichage="mois",EOMONTH(W$3,0),W$3+6)),"◆",""))</f>
      </c>
      <c r="X228" s="26">
        <f>IF(OR($A228="",X$3=""),"",IF(AND($J228&lt;&gt;"",$K228&lt;&gt;"",$J228=$K228,$J228&gt;=X$3,$J228&lt;=IF(param_mode_affichage="mois",EOMONTH(X$3,0),X$3+6)),"◆",""))</f>
      </c>
      <c r="Y228" s="26">
        <f>IF(OR($A228="",Y$3=""),"",IF(AND($J228&lt;&gt;"",$K228&lt;&gt;"",$J228=$K228,$J228&gt;=Y$3,$J228&lt;=IF(param_mode_affichage="mois",EOMONTH(Y$3,0),Y$3+6)),"◆",""))</f>
      </c>
      <c r="Z228" s="26">
        <f>IF(OR($A228="",Z$3=""),"",IF(AND($J228&lt;&gt;"",$K228&lt;&gt;"",$J228=$K228,$J228&gt;=Z$3,$J228&lt;=IF(param_mode_affichage="mois",EOMONTH(Z$3,0),Z$3+6)),"◆",""))</f>
      </c>
      <c r="AA228" s="26">
        <f>IF(OR($A228="",AA$3=""),"",IF(AND($J228&lt;&gt;"",$K228&lt;&gt;"",$J228=$K228,$J228&gt;=AA$3,$J228&lt;=IF(param_mode_affichage="mois",EOMONTH(AA$3,0),AA$3+6)),"◆",""))</f>
      </c>
      <c r="AB228" s="26">
        <f>IF(OR($A228="",AB$3=""),"",IF(AND($J228&lt;&gt;"",$K228&lt;&gt;"",$J228=$K228,$J228&gt;=AB$3,$J228&lt;=IF(param_mode_affichage="mois",EOMONTH(AB$3,0),AB$3+6)),"◆",""))</f>
      </c>
      <c r="AC228" s="26">
        <f>IF(OR($A228="",AC$3=""),"",IF(AND($J228&lt;&gt;"",$K228&lt;&gt;"",$J228=$K228,$J228&gt;=AC$3,$J228&lt;=IF(param_mode_affichage="mois",EOMONTH(AC$3,0),AC$3+6)),"◆",""))</f>
      </c>
      <c r="AD228" s="26">
        <f>IF(OR($A228="",AD$3=""),"",IF(AND($J228&lt;&gt;"",$K228&lt;&gt;"",$J228=$K228,$J228&gt;=AD$3,$J228&lt;=IF(param_mode_affichage="mois",EOMONTH(AD$3,0),AD$3+6)),"◆",""))</f>
      </c>
      <c r="AE228" s="26">
        <f>IF(OR($A228="",AE$3=""),"",IF(AND($J228&lt;&gt;"",$K228&lt;&gt;"",$J228=$K228,$J228&gt;=AE$3,$J228&lt;=IF(param_mode_affichage="mois",EOMONTH(AE$3,0),AE$3+6)),"◆",""))</f>
      </c>
      <c r="AF228" s="26">
        <f>IF(OR($A228="",AF$3=""),"",IF(AND($J228&lt;&gt;"",$K228&lt;&gt;"",$J228=$K228,$J228&gt;=AF$3,$J228&lt;=IF(param_mode_affichage="mois",EOMONTH(AF$3,0),AF$3+6)),"◆",""))</f>
      </c>
      <c r="AG228" s="26">
        <f>IF(OR($A228="",AG$3=""),"",IF(AND($J228&lt;&gt;"",$K228&lt;&gt;"",$J228=$K228,$J228&gt;=AG$3,$J228&lt;=IF(param_mode_affichage="mois",EOMONTH(AG$3,0),AG$3+6)),"◆",""))</f>
      </c>
      <c r="AH228" s="26">
        <f>IF(OR($A228="",AH$3=""),"",IF(AND($J228&lt;&gt;"",$K228&lt;&gt;"",$J228=$K228,$J228&gt;=AH$3,$J228&lt;=IF(param_mode_affichage="mois",EOMONTH(AH$3,0),AH$3+6)),"◆",""))</f>
      </c>
      <c r="AI228" s="26">
        <f>IF(OR($A228="",AI$3=""),"",IF(AND($J228&lt;&gt;"",$K228&lt;&gt;"",$J228=$K228,$J228&gt;=AI$3,$J228&lt;=IF(param_mode_affichage="mois",EOMONTH(AI$3,0),AI$3+6)),"◆",""))</f>
      </c>
      <c r="AJ228" s="26">
        <f>IF(OR($A228="",AJ$3=""),"",IF(AND($J228&lt;&gt;"",$K228&lt;&gt;"",$J228=$K228,$J228&gt;=AJ$3,$J228&lt;=IF(param_mode_affichage="mois",EOMONTH(AJ$3,0),AJ$3+6)),"◆",""))</f>
      </c>
      <c r="AK228" s="26">
        <f>IF(OR($A228="",AK$3=""),"",IF(AND($J228&lt;&gt;"",$K228&lt;&gt;"",$J228=$K228,$J228&gt;=AK$3,$J228&lt;=IF(param_mode_affichage="mois",EOMONTH(AK$3,0),AK$3+6)),"◆",""))</f>
      </c>
      <c r="AL228" s="26">
        <f>IF(OR($A228="",AL$3=""),"",IF(AND($J228&lt;&gt;"",$K228&lt;&gt;"",$J228=$K228,$J228&gt;=AL$3,$J228&lt;=IF(param_mode_affichage="mois",EOMONTH(AL$3,0),AL$3+6)),"◆",""))</f>
      </c>
      <c r="AM228" s="26">
        <f>IF(OR($A228="",AM$3=""),"",IF(AND($J228&lt;&gt;"",$K228&lt;&gt;"",$J228=$K228,$J228&gt;=AM$3,$J228&lt;=IF(param_mode_affichage="mois",EOMONTH(AM$3,0),AM$3+6)),"◆",""))</f>
      </c>
      <c r="AN228" s="26">
        <f>IF(OR($A228="",AN$3=""),"",IF(AND($J228&lt;&gt;"",$K228&lt;&gt;"",$J228=$K228,$J228&gt;=AN$3,$J228&lt;=IF(param_mode_affichage="mois",EOMONTH(AN$3,0),AN$3+6)),"◆",""))</f>
      </c>
      <c r="AO228" s="26">
        <f>IF(OR($A228="",AO$3=""),"",IF(AND($J228&lt;&gt;"",$K228&lt;&gt;"",$J228=$K228,$J228&gt;=AO$3,$J228&lt;=IF(param_mode_affichage="mois",EOMONTH(AO$3,0),AO$3+6)),"◆",""))</f>
      </c>
      <c r="AP228" s="26">
        <f>IF(OR($A228="",AP$3=""),"",IF(AND($J228&lt;&gt;"",$K228&lt;&gt;"",$J228=$K228,$J228&gt;=AP$3,$J228&lt;=IF(param_mode_affichage="mois",EOMONTH(AP$3,0),AP$3+6)),"◆",""))</f>
      </c>
      <c r="AQ228" s="26">
        <f>IF(OR($A228="",AQ$3=""),"",IF(AND($J228&lt;&gt;"",$K228&lt;&gt;"",$J228=$K228,$J228&gt;=AQ$3,$J228&lt;=IF(param_mode_affichage="mois",EOMONTH(AQ$3,0),AQ$3+6)),"◆",""))</f>
      </c>
      <c r="AR228" s="26">
        <f>IF(OR($A228="",AR$3=""),"",IF(AND($J228&lt;&gt;"",$K228&lt;&gt;"",$J228=$K228,$J228&gt;=AR$3,$J228&lt;=IF(param_mode_affichage="mois",EOMONTH(AR$3,0),AR$3+6)),"◆",""))</f>
      </c>
      <c r="AS228" s="26">
        <f>IF(OR($A228="",AS$3=""),"",IF(AND($J228&lt;&gt;"",$K228&lt;&gt;"",$J228=$K228,$J228&gt;=AS$3,$J228&lt;=IF(param_mode_affichage="mois",EOMONTH(AS$3,0),AS$3+6)),"◆",""))</f>
      </c>
      <c r="AT228" s="26">
        <f>IF(OR($A228="",AT$3=""),"",IF(AND($J228&lt;&gt;"",$K228&lt;&gt;"",$J228=$K228,$J228&gt;=AT$3,$J228&lt;=IF(param_mode_affichage="mois",EOMONTH(AT$3,0),AT$3+6)),"◆",""))</f>
      </c>
      <c r="AU228" s="26">
        <f>IF(OR($A228="",AU$3=""),"",IF(AND($J228&lt;&gt;"",$K228&lt;&gt;"",$J228=$K228,$J228&gt;=AU$3,$J228&lt;=IF(param_mode_affichage="mois",EOMONTH(AU$3,0),AU$3+6)),"◆",""))</f>
      </c>
      <c r="AV228" s="26">
        <f>IF(OR($A228="",AV$3=""),"",IF(AND($J228&lt;&gt;"",$K228&lt;&gt;"",$J228=$K228,$J228&gt;=AV$3,$J228&lt;=IF(param_mode_affichage="mois",EOMONTH(AV$3,0),AV$3+6)),"◆",""))</f>
      </c>
      <c r="AW228" s="26">
        <f>IF(OR($A228="",AW$3=""),"",IF(AND($J228&lt;&gt;"",$K228&lt;&gt;"",$J228=$K228,$J228&gt;=AW$3,$J228&lt;=IF(param_mode_affichage="mois",EOMONTH(AW$3,0),AW$3+6)),"◆",""))</f>
      </c>
      <c r="AX228" s="26">
        <f>IF(OR($A228="",AX$3=""),"",IF(AND($J228&lt;&gt;"",$K228&lt;&gt;"",$J228=$K228,$J228&gt;=AX$3,$J228&lt;=IF(param_mode_affichage="mois",EOMONTH(AX$3,0),AX$3+6)),"◆",""))</f>
      </c>
      <c r="AY228" s="26">
        <f>IF(OR($A228="",AY$3=""),"",IF(AND($J228&lt;&gt;"",$K228&lt;&gt;"",$J228=$K228,$J228&gt;=AY$3,$J228&lt;=IF(param_mode_affichage="mois",EOMONTH(AY$3,0),AY$3+6)),"◆",""))</f>
      </c>
      <c r="AZ228" s="26">
        <f>IF(OR($A228="",AZ$3=""),"",IF(AND($J228&lt;&gt;"",$K228&lt;&gt;"",$J228=$K228,$J228&gt;=AZ$3,$J228&lt;=IF(param_mode_affichage="mois",EOMONTH(AZ$3,0),AZ$3+6)),"◆",""))</f>
      </c>
      <c r="BA228" s="26">
        <f>IF(OR($A228="",BA$3=""),"",IF(AND($J228&lt;&gt;"",$K228&lt;&gt;"",$J228=$K228,$J228&gt;=BA$3,$J228&lt;=IF(param_mode_affichage="mois",EOMONTH(BA$3,0),BA$3+6)),"◆",""))</f>
      </c>
      <c r="BB228" s="26">
        <f>IF(OR($A228="",BB$3=""),"",IF(AND($J228&lt;&gt;"",$K228&lt;&gt;"",$J228=$K228,$J228&gt;=BB$3,$J228&lt;=IF(param_mode_affichage="mois",EOMONTH(BB$3,0),BB$3+6)),"◆",""))</f>
      </c>
      <c r="BC228" s="26">
        <f>IF(OR($A228="",BC$3=""),"",IF(AND($J228&lt;&gt;"",$K228&lt;&gt;"",$J228=$K228,$J228&gt;=BC$3,$J228&lt;=IF(param_mode_affichage="mois",EOMONTH(BC$3,0),BC$3+6)),"◆",""))</f>
      </c>
      <c r="BD228" s="26">
        <f>IF(OR($A228="",BD$3=""),"",IF(AND($J228&lt;&gt;"",$K228&lt;&gt;"",$J228=$K228,$J228&gt;=BD$3,$J228&lt;=IF(param_mode_affichage="mois",EOMONTH(BD$3,0),BD$3+6)),"◆",""))</f>
      </c>
      <c r="BE228" s="26">
        <f>IF(OR($A228="",BE$3=""),"",IF(AND($J228&lt;&gt;"",$K228&lt;&gt;"",$J228=$K228,$J228&gt;=BE$3,$J228&lt;=IF(param_mode_affichage="mois",EOMONTH(BE$3,0),BE$3+6)),"◆",""))</f>
      </c>
      <c r="BF228" s="26">
        <f>IF(OR($A228="",BF$3=""),"",IF(AND($J228&lt;&gt;"",$K228&lt;&gt;"",$J228=$K228,$J228&gt;=BF$3,$J228&lt;=IF(param_mode_affichage="mois",EOMONTH(BF$3,0),BF$3+6)),"◆",""))</f>
      </c>
      <c r="BG228" s="26">
        <f>IF(OR($A228="",BG$3=""),"",IF(AND($J228&lt;&gt;"",$K228&lt;&gt;"",$J228=$K228,$J228&gt;=BG$3,$J228&lt;=IF(param_mode_affichage="mois",EOMONTH(BG$3,0),BG$3+6)),"◆",""))</f>
      </c>
      <c r="BH228" s="26">
        <f>IF(OR($A228="",BH$3=""),"",IF(AND($J228&lt;&gt;"",$K228&lt;&gt;"",$J228=$K228,$J228&gt;=BH$3,$J228&lt;=IF(param_mode_affichage="mois",EOMONTH(BH$3,0),BH$3+6)),"◆",""))</f>
      </c>
      <c r="BI228" s="26">
        <f>IF(OR($A228="",BI$3=""),"",IF(AND($J228&lt;&gt;"",$K228&lt;&gt;"",$J228=$K228,$J228&gt;=BI$3,$J228&lt;=IF(param_mode_affichage="mois",EOMONTH(BI$3,0),BI$3+6)),"◆",""))</f>
      </c>
      <c r="BJ228" s="26">
        <f>IF(OR($A228="",BJ$3=""),"",IF(AND($J228&lt;&gt;"",$K228&lt;&gt;"",$J228=$K228,$J228&gt;=BJ$3,$J228&lt;=IF(param_mode_affichage="mois",EOMONTH(BJ$3,0),BJ$3+6)),"◆",""))</f>
      </c>
      <c r="BK228" s="26">
        <f>IF(OR($A228="",BK$3=""),"",IF(AND($J228&lt;&gt;"",$K228&lt;&gt;"",$J228=$K228,$J228&gt;=BK$3,$J228&lt;=IF(param_mode_affichage="mois",EOMONTH(BK$3,0),BK$3+6)),"◆",""))</f>
      </c>
      <c r="BL228" s="26">
        <f>IF(OR($A228="",BL$3=""),"",IF(AND($J228&lt;&gt;"",$K228&lt;&gt;"",$J228=$K228,$J228&gt;=BL$3,$J228&lt;=IF(param_mode_affichage="mois",EOMONTH(BL$3,0),BL$3+6)),"◆",""))</f>
      </c>
    </row>
    <row r="229" spans="1:64" x14ac:dyDescent="0.25">
      <c r="A229" s="23">
        <f>IFERROR(INDEX(tblTasks[ID],ROW()-4),"")</f>
      </c>
      <c r="B229" s="24">
        <f>IF($A229="","",INDEX(tblTasks[Sujet],ROW()-4))</f>
      </c>
      <c r="C229" s="23">
        <f>IF($A229="","",INDEX(tblTasks[Responsable],ROW()-4))</f>
      </c>
      <c r="D229" s="23">
        <f>IF($A229="","",INDEX(tblTasks[Statut],ROW()-4))</f>
      </c>
      <c r="E229" s="23">
        <f>IF($A229="","",INDEX(tblTasks[Depend_de],ROW()-4))</f>
      </c>
      <c r="F229" s="23">
        <f>IF($A229="","",INDEX(tblTasks[Blocage],ROW()-4))</f>
      </c>
      <c r="G229" s="23">
        <f>IF($A229="","",INDEX(tblTasks[Niveau_criticite],ROW()-4))</f>
      </c>
      <c r="H229" s="23">
        <f>IF($A229="","",INDEX(tblTasks[Goulot],ROW()-4))</f>
      </c>
      <c r="I229" s="23">
        <f>IF($A229="","",IF(LOWER($F229)="oui","non",IF($E229="","oui",IFERROR(IF(LOWER(INDEX(tblTasks[Statut],MATCH($E229,tblTasks[ID],0)))="clos","oui","non"),"non"))))</f>
      </c>
      <c r="J229" s="25">
        <f>IF($A229="","",INDEX(tblTasks[Date_debut_prevue],ROW()-4))</f>
      </c>
      <c r="K229" s="25">
        <f>IF($A229="","",INDEX(tblTasks[Date_fin_prevue],ROW()-4))</f>
      </c>
      <c r="L229" s="23">
        <f>IF($A229="","",INDEX(tblTasks[Irreversibilite],ROW()-4))</f>
      </c>
      <c r="M229" s="26">
        <f>IF(OR($A229="",M$3=""),"",IF(AND($J229&lt;&gt;"",$K229&lt;&gt;"",$J229=$K229,$J229&gt;=M$3,$J229&lt;=IF(param_mode_affichage="mois",EOMONTH(M$3,0),M$3+6)),"◆",""))</f>
      </c>
      <c r="N229" s="26">
        <f>IF(OR($A229="",N$3=""),"",IF(AND($J229&lt;&gt;"",$K229&lt;&gt;"",$J229=$K229,$J229&gt;=N$3,$J229&lt;=IF(param_mode_affichage="mois",EOMONTH(N$3,0),N$3+6)),"◆",""))</f>
      </c>
      <c r="O229" s="26">
        <f>IF(OR($A229="",O$3=""),"",IF(AND($J229&lt;&gt;"",$K229&lt;&gt;"",$J229=$K229,$J229&gt;=O$3,$J229&lt;=IF(param_mode_affichage="mois",EOMONTH(O$3,0),O$3+6)),"◆",""))</f>
      </c>
      <c r="P229" s="26">
        <f>IF(OR($A229="",P$3=""),"",IF(AND($J229&lt;&gt;"",$K229&lt;&gt;"",$J229=$K229,$J229&gt;=P$3,$J229&lt;=IF(param_mode_affichage="mois",EOMONTH(P$3,0),P$3+6)),"◆",""))</f>
      </c>
      <c r="Q229" s="26">
        <f>IF(OR($A229="",Q$3=""),"",IF(AND($J229&lt;&gt;"",$K229&lt;&gt;"",$J229=$K229,$J229&gt;=Q$3,$J229&lt;=IF(param_mode_affichage="mois",EOMONTH(Q$3,0),Q$3+6)),"◆",""))</f>
      </c>
      <c r="R229" s="26">
        <f>IF(OR($A229="",R$3=""),"",IF(AND($J229&lt;&gt;"",$K229&lt;&gt;"",$J229=$K229,$J229&gt;=R$3,$J229&lt;=IF(param_mode_affichage="mois",EOMONTH(R$3,0),R$3+6)),"◆",""))</f>
      </c>
      <c r="S229" s="26">
        <f>IF(OR($A229="",S$3=""),"",IF(AND($J229&lt;&gt;"",$K229&lt;&gt;"",$J229=$K229,$J229&gt;=S$3,$J229&lt;=IF(param_mode_affichage="mois",EOMONTH(S$3,0),S$3+6)),"◆",""))</f>
      </c>
      <c r="T229" s="26">
        <f>IF(OR($A229="",T$3=""),"",IF(AND($J229&lt;&gt;"",$K229&lt;&gt;"",$J229=$K229,$J229&gt;=T$3,$J229&lt;=IF(param_mode_affichage="mois",EOMONTH(T$3,0),T$3+6)),"◆",""))</f>
      </c>
      <c r="U229" s="26">
        <f>IF(OR($A229="",U$3=""),"",IF(AND($J229&lt;&gt;"",$K229&lt;&gt;"",$J229=$K229,$J229&gt;=U$3,$J229&lt;=IF(param_mode_affichage="mois",EOMONTH(U$3,0),U$3+6)),"◆",""))</f>
      </c>
      <c r="V229" s="26">
        <f>IF(OR($A229="",V$3=""),"",IF(AND($J229&lt;&gt;"",$K229&lt;&gt;"",$J229=$K229,$J229&gt;=V$3,$J229&lt;=IF(param_mode_affichage="mois",EOMONTH(V$3,0),V$3+6)),"◆",""))</f>
      </c>
      <c r="W229" s="26">
        <f>IF(OR($A229="",W$3=""),"",IF(AND($J229&lt;&gt;"",$K229&lt;&gt;"",$J229=$K229,$J229&gt;=W$3,$J229&lt;=IF(param_mode_affichage="mois",EOMONTH(W$3,0),W$3+6)),"◆",""))</f>
      </c>
      <c r="X229" s="26">
        <f>IF(OR($A229="",X$3=""),"",IF(AND($J229&lt;&gt;"",$K229&lt;&gt;"",$J229=$K229,$J229&gt;=X$3,$J229&lt;=IF(param_mode_affichage="mois",EOMONTH(X$3,0),X$3+6)),"◆",""))</f>
      </c>
      <c r="Y229" s="26">
        <f>IF(OR($A229="",Y$3=""),"",IF(AND($J229&lt;&gt;"",$K229&lt;&gt;"",$J229=$K229,$J229&gt;=Y$3,$J229&lt;=IF(param_mode_affichage="mois",EOMONTH(Y$3,0),Y$3+6)),"◆",""))</f>
      </c>
      <c r="Z229" s="26">
        <f>IF(OR($A229="",Z$3=""),"",IF(AND($J229&lt;&gt;"",$K229&lt;&gt;"",$J229=$K229,$J229&gt;=Z$3,$J229&lt;=IF(param_mode_affichage="mois",EOMONTH(Z$3,0),Z$3+6)),"◆",""))</f>
      </c>
      <c r="AA229" s="26">
        <f>IF(OR($A229="",AA$3=""),"",IF(AND($J229&lt;&gt;"",$K229&lt;&gt;"",$J229=$K229,$J229&gt;=AA$3,$J229&lt;=IF(param_mode_affichage="mois",EOMONTH(AA$3,0),AA$3+6)),"◆",""))</f>
      </c>
      <c r="AB229" s="26">
        <f>IF(OR($A229="",AB$3=""),"",IF(AND($J229&lt;&gt;"",$K229&lt;&gt;"",$J229=$K229,$J229&gt;=AB$3,$J229&lt;=IF(param_mode_affichage="mois",EOMONTH(AB$3,0),AB$3+6)),"◆",""))</f>
      </c>
      <c r="AC229" s="26">
        <f>IF(OR($A229="",AC$3=""),"",IF(AND($J229&lt;&gt;"",$K229&lt;&gt;"",$J229=$K229,$J229&gt;=AC$3,$J229&lt;=IF(param_mode_affichage="mois",EOMONTH(AC$3,0),AC$3+6)),"◆",""))</f>
      </c>
      <c r="AD229" s="26">
        <f>IF(OR($A229="",AD$3=""),"",IF(AND($J229&lt;&gt;"",$K229&lt;&gt;"",$J229=$K229,$J229&gt;=AD$3,$J229&lt;=IF(param_mode_affichage="mois",EOMONTH(AD$3,0),AD$3+6)),"◆",""))</f>
      </c>
      <c r="AE229" s="26">
        <f>IF(OR($A229="",AE$3=""),"",IF(AND($J229&lt;&gt;"",$K229&lt;&gt;"",$J229=$K229,$J229&gt;=AE$3,$J229&lt;=IF(param_mode_affichage="mois",EOMONTH(AE$3,0),AE$3+6)),"◆",""))</f>
      </c>
      <c r="AF229" s="26">
        <f>IF(OR($A229="",AF$3=""),"",IF(AND($J229&lt;&gt;"",$K229&lt;&gt;"",$J229=$K229,$J229&gt;=AF$3,$J229&lt;=IF(param_mode_affichage="mois",EOMONTH(AF$3,0),AF$3+6)),"◆",""))</f>
      </c>
      <c r="AG229" s="26">
        <f>IF(OR($A229="",AG$3=""),"",IF(AND($J229&lt;&gt;"",$K229&lt;&gt;"",$J229=$K229,$J229&gt;=AG$3,$J229&lt;=IF(param_mode_affichage="mois",EOMONTH(AG$3,0),AG$3+6)),"◆",""))</f>
      </c>
      <c r="AH229" s="26">
        <f>IF(OR($A229="",AH$3=""),"",IF(AND($J229&lt;&gt;"",$K229&lt;&gt;"",$J229=$K229,$J229&gt;=AH$3,$J229&lt;=IF(param_mode_affichage="mois",EOMONTH(AH$3,0),AH$3+6)),"◆",""))</f>
      </c>
      <c r="AI229" s="26">
        <f>IF(OR($A229="",AI$3=""),"",IF(AND($J229&lt;&gt;"",$K229&lt;&gt;"",$J229=$K229,$J229&gt;=AI$3,$J229&lt;=IF(param_mode_affichage="mois",EOMONTH(AI$3,0),AI$3+6)),"◆",""))</f>
      </c>
      <c r="AJ229" s="26">
        <f>IF(OR($A229="",AJ$3=""),"",IF(AND($J229&lt;&gt;"",$K229&lt;&gt;"",$J229=$K229,$J229&gt;=AJ$3,$J229&lt;=IF(param_mode_affichage="mois",EOMONTH(AJ$3,0),AJ$3+6)),"◆",""))</f>
      </c>
      <c r="AK229" s="26">
        <f>IF(OR($A229="",AK$3=""),"",IF(AND($J229&lt;&gt;"",$K229&lt;&gt;"",$J229=$K229,$J229&gt;=AK$3,$J229&lt;=IF(param_mode_affichage="mois",EOMONTH(AK$3,0),AK$3+6)),"◆",""))</f>
      </c>
      <c r="AL229" s="26">
        <f>IF(OR($A229="",AL$3=""),"",IF(AND($J229&lt;&gt;"",$K229&lt;&gt;"",$J229=$K229,$J229&gt;=AL$3,$J229&lt;=IF(param_mode_affichage="mois",EOMONTH(AL$3,0),AL$3+6)),"◆",""))</f>
      </c>
      <c r="AM229" s="26">
        <f>IF(OR($A229="",AM$3=""),"",IF(AND($J229&lt;&gt;"",$K229&lt;&gt;"",$J229=$K229,$J229&gt;=AM$3,$J229&lt;=IF(param_mode_affichage="mois",EOMONTH(AM$3,0),AM$3+6)),"◆",""))</f>
      </c>
      <c r="AN229" s="26">
        <f>IF(OR($A229="",AN$3=""),"",IF(AND($J229&lt;&gt;"",$K229&lt;&gt;"",$J229=$K229,$J229&gt;=AN$3,$J229&lt;=IF(param_mode_affichage="mois",EOMONTH(AN$3,0),AN$3+6)),"◆",""))</f>
      </c>
      <c r="AO229" s="26">
        <f>IF(OR($A229="",AO$3=""),"",IF(AND($J229&lt;&gt;"",$K229&lt;&gt;"",$J229=$K229,$J229&gt;=AO$3,$J229&lt;=IF(param_mode_affichage="mois",EOMONTH(AO$3,0),AO$3+6)),"◆",""))</f>
      </c>
      <c r="AP229" s="26">
        <f>IF(OR($A229="",AP$3=""),"",IF(AND($J229&lt;&gt;"",$K229&lt;&gt;"",$J229=$K229,$J229&gt;=AP$3,$J229&lt;=IF(param_mode_affichage="mois",EOMONTH(AP$3,0),AP$3+6)),"◆",""))</f>
      </c>
      <c r="AQ229" s="26">
        <f>IF(OR($A229="",AQ$3=""),"",IF(AND($J229&lt;&gt;"",$K229&lt;&gt;"",$J229=$K229,$J229&gt;=AQ$3,$J229&lt;=IF(param_mode_affichage="mois",EOMONTH(AQ$3,0),AQ$3+6)),"◆",""))</f>
      </c>
      <c r="AR229" s="26">
        <f>IF(OR($A229="",AR$3=""),"",IF(AND($J229&lt;&gt;"",$K229&lt;&gt;"",$J229=$K229,$J229&gt;=AR$3,$J229&lt;=IF(param_mode_affichage="mois",EOMONTH(AR$3,0),AR$3+6)),"◆",""))</f>
      </c>
      <c r="AS229" s="26">
        <f>IF(OR($A229="",AS$3=""),"",IF(AND($J229&lt;&gt;"",$K229&lt;&gt;"",$J229=$K229,$J229&gt;=AS$3,$J229&lt;=IF(param_mode_affichage="mois",EOMONTH(AS$3,0),AS$3+6)),"◆",""))</f>
      </c>
      <c r="AT229" s="26">
        <f>IF(OR($A229="",AT$3=""),"",IF(AND($J229&lt;&gt;"",$K229&lt;&gt;"",$J229=$K229,$J229&gt;=AT$3,$J229&lt;=IF(param_mode_affichage="mois",EOMONTH(AT$3,0),AT$3+6)),"◆",""))</f>
      </c>
      <c r="AU229" s="26">
        <f>IF(OR($A229="",AU$3=""),"",IF(AND($J229&lt;&gt;"",$K229&lt;&gt;"",$J229=$K229,$J229&gt;=AU$3,$J229&lt;=IF(param_mode_affichage="mois",EOMONTH(AU$3,0),AU$3+6)),"◆",""))</f>
      </c>
      <c r="AV229" s="26">
        <f>IF(OR($A229="",AV$3=""),"",IF(AND($J229&lt;&gt;"",$K229&lt;&gt;"",$J229=$K229,$J229&gt;=AV$3,$J229&lt;=IF(param_mode_affichage="mois",EOMONTH(AV$3,0),AV$3+6)),"◆",""))</f>
      </c>
      <c r="AW229" s="26">
        <f>IF(OR($A229="",AW$3=""),"",IF(AND($J229&lt;&gt;"",$K229&lt;&gt;"",$J229=$K229,$J229&gt;=AW$3,$J229&lt;=IF(param_mode_affichage="mois",EOMONTH(AW$3,0),AW$3+6)),"◆",""))</f>
      </c>
      <c r="AX229" s="26">
        <f>IF(OR($A229="",AX$3=""),"",IF(AND($J229&lt;&gt;"",$K229&lt;&gt;"",$J229=$K229,$J229&gt;=AX$3,$J229&lt;=IF(param_mode_affichage="mois",EOMONTH(AX$3,0),AX$3+6)),"◆",""))</f>
      </c>
      <c r="AY229" s="26">
        <f>IF(OR($A229="",AY$3=""),"",IF(AND($J229&lt;&gt;"",$K229&lt;&gt;"",$J229=$K229,$J229&gt;=AY$3,$J229&lt;=IF(param_mode_affichage="mois",EOMONTH(AY$3,0),AY$3+6)),"◆",""))</f>
      </c>
      <c r="AZ229" s="26">
        <f>IF(OR($A229="",AZ$3=""),"",IF(AND($J229&lt;&gt;"",$K229&lt;&gt;"",$J229=$K229,$J229&gt;=AZ$3,$J229&lt;=IF(param_mode_affichage="mois",EOMONTH(AZ$3,0),AZ$3+6)),"◆",""))</f>
      </c>
      <c r="BA229" s="26">
        <f>IF(OR($A229="",BA$3=""),"",IF(AND($J229&lt;&gt;"",$K229&lt;&gt;"",$J229=$K229,$J229&gt;=BA$3,$J229&lt;=IF(param_mode_affichage="mois",EOMONTH(BA$3,0),BA$3+6)),"◆",""))</f>
      </c>
      <c r="BB229" s="26">
        <f>IF(OR($A229="",BB$3=""),"",IF(AND($J229&lt;&gt;"",$K229&lt;&gt;"",$J229=$K229,$J229&gt;=BB$3,$J229&lt;=IF(param_mode_affichage="mois",EOMONTH(BB$3,0),BB$3+6)),"◆",""))</f>
      </c>
      <c r="BC229" s="26">
        <f>IF(OR($A229="",BC$3=""),"",IF(AND($J229&lt;&gt;"",$K229&lt;&gt;"",$J229=$K229,$J229&gt;=BC$3,$J229&lt;=IF(param_mode_affichage="mois",EOMONTH(BC$3,0),BC$3+6)),"◆",""))</f>
      </c>
      <c r="BD229" s="26">
        <f>IF(OR($A229="",BD$3=""),"",IF(AND($J229&lt;&gt;"",$K229&lt;&gt;"",$J229=$K229,$J229&gt;=BD$3,$J229&lt;=IF(param_mode_affichage="mois",EOMONTH(BD$3,0),BD$3+6)),"◆",""))</f>
      </c>
      <c r="BE229" s="26">
        <f>IF(OR($A229="",BE$3=""),"",IF(AND($J229&lt;&gt;"",$K229&lt;&gt;"",$J229=$K229,$J229&gt;=BE$3,$J229&lt;=IF(param_mode_affichage="mois",EOMONTH(BE$3,0),BE$3+6)),"◆",""))</f>
      </c>
      <c r="BF229" s="26">
        <f>IF(OR($A229="",BF$3=""),"",IF(AND($J229&lt;&gt;"",$K229&lt;&gt;"",$J229=$K229,$J229&gt;=BF$3,$J229&lt;=IF(param_mode_affichage="mois",EOMONTH(BF$3,0),BF$3+6)),"◆",""))</f>
      </c>
      <c r="BG229" s="26">
        <f>IF(OR($A229="",BG$3=""),"",IF(AND($J229&lt;&gt;"",$K229&lt;&gt;"",$J229=$K229,$J229&gt;=BG$3,$J229&lt;=IF(param_mode_affichage="mois",EOMONTH(BG$3,0),BG$3+6)),"◆",""))</f>
      </c>
      <c r="BH229" s="26">
        <f>IF(OR($A229="",BH$3=""),"",IF(AND($J229&lt;&gt;"",$K229&lt;&gt;"",$J229=$K229,$J229&gt;=BH$3,$J229&lt;=IF(param_mode_affichage="mois",EOMONTH(BH$3,0),BH$3+6)),"◆",""))</f>
      </c>
      <c r="BI229" s="26">
        <f>IF(OR($A229="",BI$3=""),"",IF(AND($J229&lt;&gt;"",$K229&lt;&gt;"",$J229=$K229,$J229&gt;=BI$3,$J229&lt;=IF(param_mode_affichage="mois",EOMONTH(BI$3,0),BI$3+6)),"◆",""))</f>
      </c>
      <c r="BJ229" s="26">
        <f>IF(OR($A229="",BJ$3=""),"",IF(AND($J229&lt;&gt;"",$K229&lt;&gt;"",$J229=$K229,$J229&gt;=BJ$3,$J229&lt;=IF(param_mode_affichage="mois",EOMONTH(BJ$3,0),BJ$3+6)),"◆",""))</f>
      </c>
      <c r="BK229" s="26">
        <f>IF(OR($A229="",BK$3=""),"",IF(AND($J229&lt;&gt;"",$K229&lt;&gt;"",$J229=$K229,$J229&gt;=BK$3,$J229&lt;=IF(param_mode_affichage="mois",EOMONTH(BK$3,0),BK$3+6)),"◆",""))</f>
      </c>
      <c r="BL229" s="26">
        <f>IF(OR($A229="",BL$3=""),"",IF(AND($J229&lt;&gt;"",$K229&lt;&gt;"",$J229=$K229,$J229&gt;=BL$3,$J229&lt;=IF(param_mode_affichage="mois",EOMONTH(BL$3,0),BL$3+6)),"◆",""))</f>
      </c>
    </row>
    <row r="230" spans="1:64" x14ac:dyDescent="0.25">
      <c r="A230" s="23">
        <f>IFERROR(INDEX(tblTasks[ID],ROW()-4),"")</f>
      </c>
      <c r="B230" s="24">
        <f>IF($A230="","",INDEX(tblTasks[Sujet],ROW()-4))</f>
      </c>
      <c r="C230" s="23">
        <f>IF($A230="","",INDEX(tblTasks[Responsable],ROW()-4))</f>
      </c>
      <c r="D230" s="23">
        <f>IF($A230="","",INDEX(tblTasks[Statut],ROW()-4))</f>
      </c>
      <c r="E230" s="23">
        <f>IF($A230="","",INDEX(tblTasks[Depend_de],ROW()-4))</f>
      </c>
      <c r="F230" s="23">
        <f>IF($A230="","",INDEX(tblTasks[Blocage],ROW()-4))</f>
      </c>
      <c r="G230" s="23">
        <f>IF($A230="","",INDEX(tblTasks[Niveau_criticite],ROW()-4))</f>
      </c>
      <c r="H230" s="23">
        <f>IF($A230="","",INDEX(tblTasks[Goulot],ROW()-4))</f>
      </c>
      <c r="I230" s="23">
        <f>IF($A230="","",IF(LOWER($F230)="oui","non",IF($E230="","oui",IFERROR(IF(LOWER(INDEX(tblTasks[Statut],MATCH($E230,tblTasks[ID],0)))="clos","oui","non"),"non"))))</f>
      </c>
      <c r="J230" s="25">
        <f>IF($A230="","",INDEX(tblTasks[Date_debut_prevue],ROW()-4))</f>
      </c>
      <c r="K230" s="25">
        <f>IF($A230="","",INDEX(tblTasks[Date_fin_prevue],ROW()-4))</f>
      </c>
      <c r="L230" s="23">
        <f>IF($A230="","",INDEX(tblTasks[Irreversibilite],ROW()-4))</f>
      </c>
      <c r="M230" s="26">
        <f>IF(OR($A230="",M$3=""),"",IF(AND($J230&lt;&gt;"",$K230&lt;&gt;"",$J230=$K230,$J230&gt;=M$3,$J230&lt;=IF(param_mode_affichage="mois",EOMONTH(M$3,0),M$3+6)),"◆",""))</f>
      </c>
      <c r="N230" s="26">
        <f>IF(OR($A230="",N$3=""),"",IF(AND($J230&lt;&gt;"",$K230&lt;&gt;"",$J230=$K230,$J230&gt;=N$3,$J230&lt;=IF(param_mode_affichage="mois",EOMONTH(N$3,0),N$3+6)),"◆",""))</f>
      </c>
      <c r="O230" s="26">
        <f>IF(OR($A230="",O$3=""),"",IF(AND($J230&lt;&gt;"",$K230&lt;&gt;"",$J230=$K230,$J230&gt;=O$3,$J230&lt;=IF(param_mode_affichage="mois",EOMONTH(O$3,0),O$3+6)),"◆",""))</f>
      </c>
      <c r="P230" s="26">
        <f>IF(OR($A230="",P$3=""),"",IF(AND($J230&lt;&gt;"",$K230&lt;&gt;"",$J230=$K230,$J230&gt;=P$3,$J230&lt;=IF(param_mode_affichage="mois",EOMONTH(P$3,0),P$3+6)),"◆",""))</f>
      </c>
      <c r="Q230" s="26">
        <f>IF(OR($A230="",Q$3=""),"",IF(AND($J230&lt;&gt;"",$K230&lt;&gt;"",$J230=$K230,$J230&gt;=Q$3,$J230&lt;=IF(param_mode_affichage="mois",EOMONTH(Q$3,0),Q$3+6)),"◆",""))</f>
      </c>
      <c r="R230" s="26">
        <f>IF(OR($A230="",R$3=""),"",IF(AND($J230&lt;&gt;"",$K230&lt;&gt;"",$J230=$K230,$J230&gt;=R$3,$J230&lt;=IF(param_mode_affichage="mois",EOMONTH(R$3,0),R$3+6)),"◆",""))</f>
      </c>
      <c r="S230" s="26">
        <f>IF(OR($A230="",S$3=""),"",IF(AND($J230&lt;&gt;"",$K230&lt;&gt;"",$J230=$K230,$J230&gt;=S$3,$J230&lt;=IF(param_mode_affichage="mois",EOMONTH(S$3,0),S$3+6)),"◆",""))</f>
      </c>
      <c r="T230" s="26">
        <f>IF(OR($A230="",T$3=""),"",IF(AND($J230&lt;&gt;"",$K230&lt;&gt;"",$J230=$K230,$J230&gt;=T$3,$J230&lt;=IF(param_mode_affichage="mois",EOMONTH(T$3,0),T$3+6)),"◆",""))</f>
      </c>
      <c r="U230" s="26">
        <f>IF(OR($A230="",U$3=""),"",IF(AND($J230&lt;&gt;"",$K230&lt;&gt;"",$J230=$K230,$J230&gt;=U$3,$J230&lt;=IF(param_mode_affichage="mois",EOMONTH(U$3,0),U$3+6)),"◆",""))</f>
      </c>
      <c r="V230" s="26">
        <f>IF(OR($A230="",V$3=""),"",IF(AND($J230&lt;&gt;"",$K230&lt;&gt;"",$J230=$K230,$J230&gt;=V$3,$J230&lt;=IF(param_mode_affichage="mois",EOMONTH(V$3,0),V$3+6)),"◆",""))</f>
      </c>
      <c r="W230" s="26">
        <f>IF(OR($A230="",W$3=""),"",IF(AND($J230&lt;&gt;"",$K230&lt;&gt;"",$J230=$K230,$J230&gt;=W$3,$J230&lt;=IF(param_mode_affichage="mois",EOMONTH(W$3,0),W$3+6)),"◆",""))</f>
      </c>
      <c r="X230" s="26">
        <f>IF(OR($A230="",X$3=""),"",IF(AND($J230&lt;&gt;"",$K230&lt;&gt;"",$J230=$K230,$J230&gt;=X$3,$J230&lt;=IF(param_mode_affichage="mois",EOMONTH(X$3,0),X$3+6)),"◆",""))</f>
      </c>
      <c r="Y230" s="26">
        <f>IF(OR($A230="",Y$3=""),"",IF(AND($J230&lt;&gt;"",$K230&lt;&gt;"",$J230=$K230,$J230&gt;=Y$3,$J230&lt;=IF(param_mode_affichage="mois",EOMONTH(Y$3,0),Y$3+6)),"◆",""))</f>
      </c>
      <c r="Z230" s="26">
        <f>IF(OR($A230="",Z$3=""),"",IF(AND($J230&lt;&gt;"",$K230&lt;&gt;"",$J230=$K230,$J230&gt;=Z$3,$J230&lt;=IF(param_mode_affichage="mois",EOMONTH(Z$3,0),Z$3+6)),"◆",""))</f>
      </c>
      <c r="AA230" s="26">
        <f>IF(OR($A230="",AA$3=""),"",IF(AND($J230&lt;&gt;"",$K230&lt;&gt;"",$J230=$K230,$J230&gt;=AA$3,$J230&lt;=IF(param_mode_affichage="mois",EOMONTH(AA$3,0),AA$3+6)),"◆",""))</f>
      </c>
      <c r="AB230" s="26">
        <f>IF(OR($A230="",AB$3=""),"",IF(AND($J230&lt;&gt;"",$K230&lt;&gt;"",$J230=$K230,$J230&gt;=AB$3,$J230&lt;=IF(param_mode_affichage="mois",EOMONTH(AB$3,0),AB$3+6)),"◆",""))</f>
      </c>
      <c r="AC230" s="26">
        <f>IF(OR($A230="",AC$3=""),"",IF(AND($J230&lt;&gt;"",$K230&lt;&gt;"",$J230=$K230,$J230&gt;=AC$3,$J230&lt;=IF(param_mode_affichage="mois",EOMONTH(AC$3,0),AC$3+6)),"◆",""))</f>
      </c>
      <c r="AD230" s="26">
        <f>IF(OR($A230="",AD$3=""),"",IF(AND($J230&lt;&gt;"",$K230&lt;&gt;"",$J230=$K230,$J230&gt;=AD$3,$J230&lt;=IF(param_mode_affichage="mois",EOMONTH(AD$3,0),AD$3+6)),"◆",""))</f>
      </c>
      <c r="AE230" s="26">
        <f>IF(OR($A230="",AE$3=""),"",IF(AND($J230&lt;&gt;"",$K230&lt;&gt;"",$J230=$K230,$J230&gt;=AE$3,$J230&lt;=IF(param_mode_affichage="mois",EOMONTH(AE$3,0),AE$3+6)),"◆",""))</f>
      </c>
      <c r="AF230" s="26">
        <f>IF(OR($A230="",AF$3=""),"",IF(AND($J230&lt;&gt;"",$K230&lt;&gt;"",$J230=$K230,$J230&gt;=AF$3,$J230&lt;=IF(param_mode_affichage="mois",EOMONTH(AF$3,0),AF$3+6)),"◆",""))</f>
      </c>
      <c r="AG230" s="26">
        <f>IF(OR($A230="",AG$3=""),"",IF(AND($J230&lt;&gt;"",$K230&lt;&gt;"",$J230=$K230,$J230&gt;=AG$3,$J230&lt;=IF(param_mode_affichage="mois",EOMONTH(AG$3,0),AG$3+6)),"◆",""))</f>
      </c>
      <c r="AH230" s="26">
        <f>IF(OR($A230="",AH$3=""),"",IF(AND($J230&lt;&gt;"",$K230&lt;&gt;"",$J230=$K230,$J230&gt;=AH$3,$J230&lt;=IF(param_mode_affichage="mois",EOMONTH(AH$3,0),AH$3+6)),"◆",""))</f>
      </c>
      <c r="AI230" s="26">
        <f>IF(OR($A230="",AI$3=""),"",IF(AND($J230&lt;&gt;"",$K230&lt;&gt;"",$J230=$K230,$J230&gt;=AI$3,$J230&lt;=IF(param_mode_affichage="mois",EOMONTH(AI$3,0),AI$3+6)),"◆",""))</f>
      </c>
      <c r="AJ230" s="26">
        <f>IF(OR($A230="",AJ$3=""),"",IF(AND($J230&lt;&gt;"",$K230&lt;&gt;"",$J230=$K230,$J230&gt;=AJ$3,$J230&lt;=IF(param_mode_affichage="mois",EOMONTH(AJ$3,0),AJ$3+6)),"◆",""))</f>
      </c>
      <c r="AK230" s="26">
        <f>IF(OR($A230="",AK$3=""),"",IF(AND($J230&lt;&gt;"",$K230&lt;&gt;"",$J230=$K230,$J230&gt;=AK$3,$J230&lt;=IF(param_mode_affichage="mois",EOMONTH(AK$3,0),AK$3+6)),"◆",""))</f>
      </c>
      <c r="AL230" s="26">
        <f>IF(OR($A230="",AL$3=""),"",IF(AND($J230&lt;&gt;"",$K230&lt;&gt;"",$J230=$K230,$J230&gt;=AL$3,$J230&lt;=IF(param_mode_affichage="mois",EOMONTH(AL$3,0),AL$3+6)),"◆",""))</f>
      </c>
      <c r="AM230" s="26">
        <f>IF(OR($A230="",AM$3=""),"",IF(AND($J230&lt;&gt;"",$K230&lt;&gt;"",$J230=$K230,$J230&gt;=AM$3,$J230&lt;=IF(param_mode_affichage="mois",EOMONTH(AM$3,0),AM$3+6)),"◆",""))</f>
      </c>
      <c r="AN230" s="26">
        <f>IF(OR($A230="",AN$3=""),"",IF(AND($J230&lt;&gt;"",$K230&lt;&gt;"",$J230=$K230,$J230&gt;=AN$3,$J230&lt;=IF(param_mode_affichage="mois",EOMONTH(AN$3,0),AN$3+6)),"◆",""))</f>
      </c>
      <c r="AO230" s="26">
        <f>IF(OR($A230="",AO$3=""),"",IF(AND($J230&lt;&gt;"",$K230&lt;&gt;"",$J230=$K230,$J230&gt;=AO$3,$J230&lt;=IF(param_mode_affichage="mois",EOMONTH(AO$3,0),AO$3+6)),"◆",""))</f>
      </c>
      <c r="AP230" s="26">
        <f>IF(OR($A230="",AP$3=""),"",IF(AND($J230&lt;&gt;"",$K230&lt;&gt;"",$J230=$K230,$J230&gt;=AP$3,$J230&lt;=IF(param_mode_affichage="mois",EOMONTH(AP$3,0),AP$3+6)),"◆",""))</f>
      </c>
      <c r="AQ230" s="26">
        <f>IF(OR($A230="",AQ$3=""),"",IF(AND($J230&lt;&gt;"",$K230&lt;&gt;"",$J230=$K230,$J230&gt;=AQ$3,$J230&lt;=IF(param_mode_affichage="mois",EOMONTH(AQ$3,0),AQ$3+6)),"◆",""))</f>
      </c>
      <c r="AR230" s="26">
        <f>IF(OR($A230="",AR$3=""),"",IF(AND($J230&lt;&gt;"",$K230&lt;&gt;"",$J230=$K230,$J230&gt;=AR$3,$J230&lt;=IF(param_mode_affichage="mois",EOMONTH(AR$3,0),AR$3+6)),"◆",""))</f>
      </c>
      <c r="AS230" s="26">
        <f>IF(OR($A230="",AS$3=""),"",IF(AND($J230&lt;&gt;"",$K230&lt;&gt;"",$J230=$K230,$J230&gt;=AS$3,$J230&lt;=IF(param_mode_affichage="mois",EOMONTH(AS$3,0),AS$3+6)),"◆",""))</f>
      </c>
      <c r="AT230" s="26">
        <f>IF(OR($A230="",AT$3=""),"",IF(AND($J230&lt;&gt;"",$K230&lt;&gt;"",$J230=$K230,$J230&gt;=AT$3,$J230&lt;=IF(param_mode_affichage="mois",EOMONTH(AT$3,0),AT$3+6)),"◆",""))</f>
      </c>
      <c r="AU230" s="26">
        <f>IF(OR($A230="",AU$3=""),"",IF(AND($J230&lt;&gt;"",$K230&lt;&gt;"",$J230=$K230,$J230&gt;=AU$3,$J230&lt;=IF(param_mode_affichage="mois",EOMONTH(AU$3,0),AU$3+6)),"◆",""))</f>
      </c>
      <c r="AV230" s="26">
        <f>IF(OR($A230="",AV$3=""),"",IF(AND($J230&lt;&gt;"",$K230&lt;&gt;"",$J230=$K230,$J230&gt;=AV$3,$J230&lt;=IF(param_mode_affichage="mois",EOMONTH(AV$3,0),AV$3+6)),"◆",""))</f>
      </c>
      <c r="AW230" s="26">
        <f>IF(OR($A230="",AW$3=""),"",IF(AND($J230&lt;&gt;"",$K230&lt;&gt;"",$J230=$K230,$J230&gt;=AW$3,$J230&lt;=IF(param_mode_affichage="mois",EOMONTH(AW$3,0),AW$3+6)),"◆",""))</f>
      </c>
      <c r="AX230" s="26">
        <f>IF(OR($A230="",AX$3=""),"",IF(AND($J230&lt;&gt;"",$K230&lt;&gt;"",$J230=$K230,$J230&gt;=AX$3,$J230&lt;=IF(param_mode_affichage="mois",EOMONTH(AX$3,0),AX$3+6)),"◆",""))</f>
      </c>
      <c r="AY230" s="26">
        <f>IF(OR($A230="",AY$3=""),"",IF(AND($J230&lt;&gt;"",$K230&lt;&gt;"",$J230=$K230,$J230&gt;=AY$3,$J230&lt;=IF(param_mode_affichage="mois",EOMONTH(AY$3,0),AY$3+6)),"◆",""))</f>
      </c>
      <c r="AZ230" s="26">
        <f>IF(OR($A230="",AZ$3=""),"",IF(AND($J230&lt;&gt;"",$K230&lt;&gt;"",$J230=$K230,$J230&gt;=AZ$3,$J230&lt;=IF(param_mode_affichage="mois",EOMONTH(AZ$3,0),AZ$3+6)),"◆",""))</f>
      </c>
      <c r="BA230" s="26">
        <f>IF(OR($A230="",BA$3=""),"",IF(AND($J230&lt;&gt;"",$K230&lt;&gt;"",$J230=$K230,$J230&gt;=BA$3,$J230&lt;=IF(param_mode_affichage="mois",EOMONTH(BA$3,0),BA$3+6)),"◆",""))</f>
      </c>
      <c r="BB230" s="26">
        <f>IF(OR($A230="",BB$3=""),"",IF(AND($J230&lt;&gt;"",$K230&lt;&gt;"",$J230=$K230,$J230&gt;=BB$3,$J230&lt;=IF(param_mode_affichage="mois",EOMONTH(BB$3,0),BB$3+6)),"◆",""))</f>
      </c>
      <c r="BC230" s="26">
        <f>IF(OR($A230="",BC$3=""),"",IF(AND($J230&lt;&gt;"",$K230&lt;&gt;"",$J230=$K230,$J230&gt;=BC$3,$J230&lt;=IF(param_mode_affichage="mois",EOMONTH(BC$3,0),BC$3+6)),"◆",""))</f>
      </c>
      <c r="BD230" s="26">
        <f>IF(OR($A230="",BD$3=""),"",IF(AND($J230&lt;&gt;"",$K230&lt;&gt;"",$J230=$K230,$J230&gt;=BD$3,$J230&lt;=IF(param_mode_affichage="mois",EOMONTH(BD$3,0),BD$3+6)),"◆",""))</f>
      </c>
      <c r="BE230" s="26">
        <f>IF(OR($A230="",BE$3=""),"",IF(AND($J230&lt;&gt;"",$K230&lt;&gt;"",$J230=$K230,$J230&gt;=BE$3,$J230&lt;=IF(param_mode_affichage="mois",EOMONTH(BE$3,0),BE$3+6)),"◆",""))</f>
      </c>
      <c r="BF230" s="26">
        <f>IF(OR($A230="",BF$3=""),"",IF(AND($J230&lt;&gt;"",$K230&lt;&gt;"",$J230=$K230,$J230&gt;=BF$3,$J230&lt;=IF(param_mode_affichage="mois",EOMONTH(BF$3,0),BF$3+6)),"◆",""))</f>
      </c>
      <c r="BG230" s="26">
        <f>IF(OR($A230="",BG$3=""),"",IF(AND($J230&lt;&gt;"",$K230&lt;&gt;"",$J230=$K230,$J230&gt;=BG$3,$J230&lt;=IF(param_mode_affichage="mois",EOMONTH(BG$3,0),BG$3+6)),"◆",""))</f>
      </c>
      <c r="BH230" s="26">
        <f>IF(OR($A230="",BH$3=""),"",IF(AND($J230&lt;&gt;"",$K230&lt;&gt;"",$J230=$K230,$J230&gt;=BH$3,$J230&lt;=IF(param_mode_affichage="mois",EOMONTH(BH$3,0),BH$3+6)),"◆",""))</f>
      </c>
      <c r="BI230" s="26">
        <f>IF(OR($A230="",BI$3=""),"",IF(AND($J230&lt;&gt;"",$K230&lt;&gt;"",$J230=$K230,$J230&gt;=BI$3,$J230&lt;=IF(param_mode_affichage="mois",EOMONTH(BI$3,0),BI$3+6)),"◆",""))</f>
      </c>
      <c r="BJ230" s="26">
        <f>IF(OR($A230="",BJ$3=""),"",IF(AND($J230&lt;&gt;"",$K230&lt;&gt;"",$J230=$K230,$J230&gt;=BJ$3,$J230&lt;=IF(param_mode_affichage="mois",EOMONTH(BJ$3,0),BJ$3+6)),"◆",""))</f>
      </c>
      <c r="BK230" s="26">
        <f>IF(OR($A230="",BK$3=""),"",IF(AND($J230&lt;&gt;"",$K230&lt;&gt;"",$J230=$K230,$J230&gt;=BK$3,$J230&lt;=IF(param_mode_affichage="mois",EOMONTH(BK$3,0),BK$3+6)),"◆",""))</f>
      </c>
      <c r="BL230" s="26">
        <f>IF(OR($A230="",BL$3=""),"",IF(AND($J230&lt;&gt;"",$K230&lt;&gt;"",$J230=$K230,$J230&gt;=BL$3,$J230&lt;=IF(param_mode_affichage="mois",EOMONTH(BL$3,0),BL$3+6)),"◆",""))</f>
      </c>
    </row>
    <row r="231" spans="1:64" x14ac:dyDescent="0.25">
      <c r="A231" s="23">
        <f>IFERROR(INDEX(tblTasks[ID],ROW()-4),"")</f>
      </c>
      <c r="B231" s="24">
        <f>IF($A231="","",INDEX(tblTasks[Sujet],ROW()-4))</f>
      </c>
      <c r="C231" s="23">
        <f>IF($A231="","",INDEX(tblTasks[Responsable],ROW()-4))</f>
      </c>
      <c r="D231" s="23">
        <f>IF($A231="","",INDEX(tblTasks[Statut],ROW()-4))</f>
      </c>
      <c r="E231" s="23">
        <f>IF($A231="","",INDEX(tblTasks[Depend_de],ROW()-4))</f>
      </c>
      <c r="F231" s="23">
        <f>IF($A231="","",INDEX(tblTasks[Blocage],ROW()-4))</f>
      </c>
      <c r="G231" s="23">
        <f>IF($A231="","",INDEX(tblTasks[Niveau_criticite],ROW()-4))</f>
      </c>
      <c r="H231" s="23">
        <f>IF($A231="","",INDEX(tblTasks[Goulot],ROW()-4))</f>
      </c>
      <c r="I231" s="23">
        <f>IF($A231="","",IF(LOWER($F231)="oui","non",IF($E231="","oui",IFERROR(IF(LOWER(INDEX(tblTasks[Statut],MATCH($E231,tblTasks[ID],0)))="clos","oui","non"),"non"))))</f>
      </c>
      <c r="J231" s="25">
        <f>IF($A231="","",INDEX(tblTasks[Date_debut_prevue],ROW()-4))</f>
      </c>
      <c r="K231" s="25">
        <f>IF($A231="","",INDEX(tblTasks[Date_fin_prevue],ROW()-4))</f>
      </c>
      <c r="L231" s="23">
        <f>IF($A231="","",INDEX(tblTasks[Irreversibilite],ROW()-4))</f>
      </c>
      <c r="M231" s="26">
        <f>IF(OR($A231="",M$3=""),"",IF(AND($J231&lt;&gt;"",$K231&lt;&gt;"",$J231=$K231,$J231&gt;=M$3,$J231&lt;=IF(param_mode_affichage="mois",EOMONTH(M$3,0),M$3+6)),"◆",""))</f>
      </c>
      <c r="N231" s="26">
        <f>IF(OR($A231="",N$3=""),"",IF(AND($J231&lt;&gt;"",$K231&lt;&gt;"",$J231=$K231,$J231&gt;=N$3,$J231&lt;=IF(param_mode_affichage="mois",EOMONTH(N$3,0),N$3+6)),"◆",""))</f>
      </c>
      <c r="O231" s="26">
        <f>IF(OR($A231="",O$3=""),"",IF(AND($J231&lt;&gt;"",$K231&lt;&gt;"",$J231=$K231,$J231&gt;=O$3,$J231&lt;=IF(param_mode_affichage="mois",EOMONTH(O$3,0),O$3+6)),"◆",""))</f>
      </c>
      <c r="P231" s="26">
        <f>IF(OR($A231="",P$3=""),"",IF(AND($J231&lt;&gt;"",$K231&lt;&gt;"",$J231=$K231,$J231&gt;=P$3,$J231&lt;=IF(param_mode_affichage="mois",EOMONTH(P$3,0),P$3+6)),"◆",""))</f>
      </c>
      <c r="Q231" s="26">
        <f>IF(OR($A231="",Q$3=""),"",IF(AND($J231&lt;&gt;"",$K231&lt;&gt;"",$J231=$K231,$J231&gt;=Q$3,$J231&lt;=IF(param_mode_affichage="mois",EOMONTH(Q$3,0),Q$3+6)),"◆",""))</f>
      </c>
      <c r="R231" s="26">
        <f>IF(OR($A231="",R$3=""),"",IF(AND($J231&lt;&gt;"",$K231&lt;&gt;"",$J231=$K231,$J231&gt;=R$3,$J231&lt;=IF(param_mode_affichage="mois",EOMONTH(R$3,0),R$3+6)),"◆",""))</f>
      </c>
      <c r="S231" s="26">
        <f>IF(OR($A231="",S$3=""),"",IF(AND($J231&lt;&gt;"",$K231&lt;&gt;"",$J231=$K231,$J231&gt;=S$3,$J231&lt;=IF(param_mode_affichage="mois",EOMONTH(S$3,0),S$3+6)),"◆",""))</f>
      </c>
      <c r="T231" s="26">
        <f>IF(OR($A231="",T$3=""),"",IF(AND($J231&lt;&gt;"",$K231&lt;&gt;"",$J231=$K231,$J231&gt;=T$3,$J231&lt;=IF(param_mode_affichage="mois",EOMONTH(T$3,0),T$3+6)),"◆",""))</f>
      </c>
      <c r="U231" s="26">
        <f>IF(OR($A231="",U$3=""),"",IF(AND($J231&lt;&gt;"",$K231&lt;&gt;"",$J231=$K231,$J231&gt;=U$3,$J231&lt;=IF(param_mode_affichage="mois",EOMONTH(U$3,0),U$3+6)),"◆",""))</f>
      </c>
      <c r="V231" s="26">
        <f>IF(OR($A231="",V$3=""),"",IF(AND($J231&lt;&gt;"",$K231&lt;&gt;"",$J231=$K231,$J231&gt;=V$3,$J231&lt;=IF(param_mode_affichage="mois",EOMONTH(V$3,0),V$3+6)),"◆",""))</f>
      </c>
      <c r="W231" s="26">
        <f>IF(OR($A231="",W$3=""),"",IF(AND($J231&lt;&gt;"",$K231&lt;&gt;"",$J231=$K231,$J231&gt;=W$3,$J231&lt;=IF(param_mode_affichage="mois",EOMONTH(W$3,0),W$3+6)),"◆",""))</f>
      </c>
      <c r="X231" s="26">
        <f>IF(OR($A231="",X$3=""),"",IF(AND($J231&lt;&gt;"",$K231&lt;&gt;"",$J231=$K231,$J231&gt;=X$3,$J231&lt;=IF(param_mode_affichage="mois",EOMONTH(X$3,0),X$3+6)),"◆",""))</f>
      </c>
      <c r="Y231" s="26">
        <f>IF(OR($A231="",Y$3=""),"",IF(AND($J231&lt;&gt;"",$K231&lt;&gt;"",$J231=$K231,$J231&gt;=Y$3,$J231&lt;=IF(param_mode_affichage="mois",EOMONTH(Y$3,0),Y$3+6)),"◆",""))</f>
      </c>
      <c r="Z231" s="26">
        <f>IF(OR($A231="",Z$3=""),"",IF(AND($J231&lt;&gt;"",$K231&lt;&gt;"",$J231=$K231,$J231&gt;=Z$3,$J231&lt;=IF(param_mode_affichage="mois",EOMONTH(Z$3,0),Z$3+6)),"◆",""))</f>
      </c>
      <c r="AA231" s="26">
        <f>IF(OR($A231="",AA$3=""),"",IF(AND($J231&lt;&gt;"",$K231&lt;&gt;"",$J231=$K231,$J231&gt;=AA$3,$J231&lt;=IF(param_mode_affichage="mois",EOMONTH(AA$3,0),AA$3+6)),"◆",""))</f>
      </c>
      <c r="AB231" s="26">
        <f>IF(OR($A231="",AB$3=""),"",IF(AND($J231&lt;&gt;"",$K231&lt;&gt;"",$J231=$K231,$J231&gt;=AB$3,$J231&lt;=IF(param_mode_affichage="mois",EOMONTH(AB$3,0),AB$3+6)),"◆",""))</f>
      </c>
      <c r="AC231" s="26">
        <f>IF(OR($A231="",AC$3=""),"",IF(AND($J231&lt;&gt;"",$K231&lt;&gt;"",$J231=$K231,$J231&gt;=AC$3,$J231&lt;=IF(param_mode_affichage="mois",EOMONTH(AC$3,0),AC$3+6)),"◆",""))</f>
      </c>
      <c r="AD231" s="26">
        <f>IF(OR($A231="",AD$3=""),"",IF(AND($J231&lt;&gt;"",$K231&lt;&gt;"",$J231=$K231,$J231&gt;=AD$3,$J231&lt;=IF(param_mode_affichage="mois",EOMONTH(AD$3,0),AD$3+6)),"◆",""))</f>
      </c>
      <c r="AE231" s="26">
        <f>IF(OR($A231="",AE$3=""),"",IF(AND($J231&lt;&gt;"",$K231&lt;&gt;"",$J231=$K231,$J231&gt;=AE$3,$J231&lt;=IF(param_mode_affichage="mois",EOMONTH(AE$3,0),AE$3+6)),"◆",""))</f>
      </c>
      <c r="AF231" s="26">
        <f>IF(OR($A231="",AF$3=""),"",IF(AND($J231&lt;&gt;"",$K231&lt;&gt;"",$J231=$K231,$J231&gt;=AF$3,$J231&lt;=IF(param_mode_affichage="mois",EOMONTH(AF$3,0),AF$3+6)),"◆",""))</f>
      </c>
      <c r="AG231" s="26">
        <f>IF(OR($A231="",AG$3=""),"",IF(AND($J231&lt;&gt;"",$K231&lt;&gt;"",$J231=$K231,$J231&gt;=AG$3,$J231&lt;=IF(param_mode_affichage="mois",EOMONTH(AG$3,0),AG$3+6)),"◆",""))</f>
      </c>
      <c r="AH231" s="26">
        <f>IF(OR($A231="",AH$3=""),"",IF(AND($J231&lt;&gt;"",$K231&lt;&gt;"",$J231=$K231,$J231&gt;=AH$3,$J231&lt;=IF(param_mode_affichage="mois",EOMONTH(AH$3,0),AH$3+6)),"◆",""))</f>
      </c>
      <c r="AI231" s="26">
        <f>IF(OR($A231="",AI$3=""),"",IF(AND($J231&lt;&gt;"",$K231&lt;&gt;"",$J231=$K231,$J231&gt;=AI$3,$J231&lt;=IF(param_mode_affichage="mois",EOMONTH(AI$3,0),AI$3+6)),"◆",""))</f>
      </c>
      <c r="AJ231" s="26">
        <f>IF(OR($A231="",AJ$3=""),"",IF(AND($J231&lt;&gt;"",$K231&lt;&gt;"",$J231=$K231,$J231&gt;=AJ$3,$J231&lt;=IF(param_mode_affichage="mois",EOMONTH(AJ$3,0),AJ$3+6)),"◆",""))</f>
      </c>
      <c r="AK231" s="26">
        <f>IF(OR($A231="",AK$3=""),"",IF(AND($J231&lt;&gt;"",$K231&lt;&gt;"",$J231=$K231,$J231&gt;=AK$3,$J231&lt;=IF(param_mode_affichage="mois",EOMONTH(AK$3,0),AK$3+6)),"◆",""))</f>
      </c>
      <c r="AL231" s="26">
        <f>IF(OR($A231="",AL$3=""),"",IF(AND($J231&lt;&gt;"",$K231&lt;&gt;"",$J231=$K231,$J231&gt;=AL$3,$J231&lt;=IF(param_mode_affichage="mois",EOMONTH(AL$3,0),AL$3+6)),"◆",""))</f>
      </c>
      <c r="AM231" s="26">
        <f>IF(OR($A231="",AM$3=""),"",IF(AND($J231&lt;&gt;"",$K231&lt;&gt;"",$J231=$K231,$J231&gt;=AM$3,$J231&lt;=IF(param_mode_affichage="mois",EOMONTH(AM$3,0),AM$3+6)),"◆",""))</f>
      </c>
      <c r="AN231" s="26">
        <f>IF(OR($A231="",AN$3=""),"",IF(AND($J231&lt;&gt;"",$K231&lt;&gt;"",$J231=$K231,$J231&gt;=AN$3,$J231&lt;=IF(param_mode_affichage="mois",EOMONTH(AN$3,0),AN$3+6)),"◆",""))</f>
      </c>
      <c r="AO231" s="26">
        <f>IF(OR($A231="",AO$3=""),"",IF(AND($J231&lt;&gt;"",$K231&lt;&gt;"",$J231=$K231,$J231&gt;=AO$3,$J231&lt;=IF(param_mode_affichage="mois",EOMONTH(AO$3,0),AO$3+6)),"◆",""))</f>
      </c>
      <c r="AP231" s="26">
        <f>IF(OR($A231="",AP$3=""),"",IF(AND($J231&lt;&gt;"",$K231&lt;&gt;"",$J231=$K231,$J231&gt;=AP$3,$J231&lt;=IF(param_mode_affichage="mois",EOMONTH(AP$3,0),AP$3+6)),"◆",""))</f>
      </c>
      <c r="AQ231" s="26">
        <f>IF(OR($A231="",AQ$3=""),"",IF(AND($J231&lt;&gt;"",$K231&lt;&gt;"",$J231=$K231,$J231&gt;=AQ$3,$J231&lt;=IF(param_mode_affichage="mois",EOMONTH(AQ$3,0),AQ$3+6)),"◆",""))</f>
      </c>
      <c r="AR231" s="26">
        <f>IF(OR($A231="",AR$3=""),"",IF(AND($J231&lt;&gt;"",$K231&lt;&gt;"",$J231=$K231,$J231&gt;=AR$3,$J231&lt;=IF(param_mode_affichage="mois",EOMONTH(AR$3,0),AR$3+6)),"◆",""))</f>
      </c>
      <c r="AS231" s="26">
        <f>IF(OR($A231="",AS$3=""),"",IF(AND($J231&lt;&gt;"",$K231&lt;&gt;"",$J231=$K231,$J231&gt;=AS$3,$J231&lt;=IF(param_mode_affichage="mois",EOMONTH(AS$3,0),AS$3+6)),"◆",""))</f>
      </c>
      <c r="AT231" s="26">
        <f>IF(OR($A231="",AT$3=""),"",IF(AND($J231&lt;&gt;"",$K231&lt;&gt;"",$J231=$K231,$J231&gt;=AT$3,$J231&lt;=IF(param_mode_affichage="mois",EOMONTH(AT$3,0),AT$3+6)),"◆",""))</f>
      </c>
      <c r="AU231" s="26">
        <f>IF(OR($A231="",AU$3=""),"",IF(AND($J231&lt;&gt;"",$K231&lt;&gt;"",$J231=$K231,$J231&gt;=AU$3,$J231&lt;=IF(param_mode_affichage="mois",EOMONTH(AU$3,0),AU$3+6)),"◆",""))</f>
      </c>
      <c r="AV231" s="26">
        <f>IF(OR($A231="",AV$3=""),"",IF(AND($J231&lt;&gt;"",$K231&lt;&gt;"",$J231=$K231,$J231&gt;=AV$3,$J231&lt;=IF(param_mode_affichage="mois",EOMONTH(AV$3,0),AV$3+6)),"◆",""))</f>
      </c>
      <c r="AW231" s="26">
        <f>IF(OR($A231="",AW$3=""),"",IF(AND($J231&lt;&gt;"",$K231&lt;&gt;"",$J231=$K231,$J231&gt;=AW$3,$J231&lt;=IF(param_mode_affichage="mois",EOMONTH(AW$3,0),AW$3+6)),"◆",""))</f>
      </c>
      <c r="AX231" s="26">
        <f>IF(OR($A231="",AX$3=""),"",IF(AND($J231&lt;&gt;"",$K231&lt;&gt;"",$J231=$K231,$J231&gt;=AX$3,$J231&lt;=IF(param_mode_affichage="mois",EOMONTH(AX$3,0),AX$3+6)),"◆",""))</f>
      </c>
      <c r="AY231" s="26">
        <f>IF(OR($A231="",AY$3=""),"",IF(AND($J231&lt;&gt;"",$K231&lt;&gt;"",$J231=$K231,$J231&gt;=AY$3,$J231&lt;=IF(param_mode_affichage="mois",EOMONTH(AY$3,0),AY$3+6)),"◆",""))</f>
      </c>
      <c r="AZ231" s="26">
        <f>IF(OR($A231="",AZ$3=""),"",IF(AND($J231&lt;&gt;"",$K231&lt;&gt;"",$J231=$K231,$J231&gt;=AZ$3,$J231&lt;=IF(param_mode_affichage="mois",EOMONTH(AZ$3,0),AZ$3+6)),"◆",""))</f>
      </c>
      <c r="BA231" s="26">
        <f>IF(OR($A231="",BA$3=""),"",IF(AND($J231&lt;&gt;"",$K231&lt;&gt;"",$J231=$K231,$J231&gt;=BA$3,$J231&lt;=IF(param_mode_affichage="mois",EOMONTH(BA$3,0),BA$3+6)),"◆",""))</f>
      </c>
      <c r="BB231" s="26">
        <f>IF(OR($A231="",BB$3=""),"",IF(AND($J231&lt;&gt;"",$K231&lt;&gt;"",$J231=$K231,$J231&gt;=BB$3,$J231&lt;=IF(param_mode_affichage="mois",EOMONTH(BB$3,0),BB$3+6)),"◆",""))</f>
      </c>
      <c r="BC231" s="26">
        <f>IF(OR($A231="",BC$3=""),"",IF(AND($J231&lt;&gt;"",$K231&lt;&gt;"",$J231=$K231,$J231&gt;=BC$3,$J231&lt;=IF(param_mode_affichage="mois",EOMONTH(BC$3,0),BC$3+6)),"◆",""))</f>
      </c>
      <c r="BD231" s="26">
        <f>IF(OR($A231="",BD$3=""),"",IF(AND($J231&lt;&gt;"",$K231&lt;&gt;"",$J231=$K231,$J231&gt;=BD$3,$J231&lt;=IF(param_mode_affichage="mois",EOMONTH(BD$3,0),BD$3+6)),"◆",""))</f>
      </c>
      <c r="BE231" s="26">
        <f>IF(OR($A231="",BE$3=""),"",IF(AND($J231&lt;&gt;"",$K231&lt;&gt;"",$J231=$K231,$J231&gt;=BE$3,$J231&lt;=IF(param_mode_affichage="mois",EOMONTH(BE$3,0),BE$3+6)),"◆",""))</f>
      </c>
      <c r="BF231" s="26">
        <f>IF(OR($A231="",BF$3=""),"",IF(AND($J231&lt;&gt;"",$K231&lt;&gt;"",$J231=$K231,$J231&gt;=BF$3,$J231&lt;=IF(param_mode_affichage="mois",EOMONTH(BF$3,0),BF$3+6)),"◆",""))</f>
      </c>
      <c r="BG231" s="26">
        <f>IF(OR($A231="",BG$3=""),"",IF(AND($J231&lt;&gt;"",$K231&lt;&gt;"",$J231=$K231,$J231&gt;=BG$3,$J231&lt;=IF(param_mode_affichage="mois",EOMONTH(BG$3,0),BG$3+6)),"◆",""))</f>
      </c>
      <c r="BH231" s="26">
        <f>IF(OR($A231="",BH$3=""),"",IF(AND($J231&lt;&gt;"",$K231&lt;&gt;"",$J231=$K231,$J231&gt;=BH$3,$J231&lt;=IF(param_mode_affichage="mois",EOMONTH(BH$3,0),BH$3+6)),"◆",""))</f>
      </c>
      <c r="BI231" s="26">
        <f>IF(OR($A231="",BI$3=""),"",IF(AND($J231&lt;&gt;"",$K231&lt;&gt;"",$J231=$K231,$J231&gt;=BI$3,$J231&lt;=IF(param_mode_affichage="mois",EOMONTH(BI$3,0),BI$3+6)),"◆",""))</f>
      </c>
      <c r="BJ231" s="26">
        <f>IF(OR($A231="",BJ$3=""),"",IF(AND($J231&lt;&gt;"",$K231&lt;&gt;"",$J231=$K231,$J231&gt;=BJ$3,$J231&lt;=IF(param_mode_affichage="mois",EOMONTH(BJ$3,0),BJ$3+6)),"◆",""))</f>
      </c>
      <c r="BK231" s="26">
        <f>IF(OR($A231="",BK$3=""),"",IF(AND($J231&lt;&gt;"",$K231&lt;&gt;"",$J231=$K231,$J231&gt;=BK$3,$J231&lt;=IF(param_mode_affichage="mois",EOMONTH(BK$3,0),BK$3+6)),"◆",""))</f>
      </c>
      <c r="BL231" s="26">
        <f>IF(OR($A231="",BL$3=""),"",IF(AND($J231&lt;&gt;"",$K231&lt;&gt;"",$J231=$K231,$J231&gt;=BL$3,$J231&lt;=IF(param_mode_affichage="mois",EOMONTH(BL$3,0),BL$3+6)),"◆",""))</f>
      </c>
    </row>
    <row r="232" spans="1:64" x14ac:dyDescent="0.25">
      <c r="A232" s="23">
        <f>IFERROR(INDEX(tblTasks[ID],ROW()-4),"")</f>
      </c>
      <c r="B232" s="24">
        <f>IF($A232="","",INDEX(tblTasks[Sujet],ROW()-4))</f>
      </c>
      <c r="C232" s="23">
        <f>IF($A232="","",INDEX(tblTasks[Responsable],ROW()-4))</f>
      </c>
      <c r="D232" s="23">
        <f>IF($A232="","",INDEX(tblTasks[Statut],ROW()-4))</f>
      </c>
      <c r="E232" s="23">
        <f>IF($A232="","",INDEX(tblTasks[Depend_de],ROW()-4))</f>
      </c>
      <c r="F232" s="23">
        <f>IF($A232="","",INDEX(tblTasks[Blocage],ROW()-4))</f>
      </c>
      <c r="G232" s="23">
        <f>IF($A232="","",INDEX(tblTasks[Niveau_criticite],ROW()-4))</f>
      </c>
      <c r="H232" s="23">
        <f>IF($A232="","",INDEX(tblTasks[Goulot],ROW()-4))</f>
      </c>
      <c r="I232" s="23">
        <f>IF($A232="","",IF(LOWER($F232)="oui","non",IF($E232="","oui",IFERROR(IF(LOWER(INDEX(tblTasks[Statut],MATCH($E232,tblTasks[ID],0)))="clos","oui","non"),"non"))))</f>
      </c>
      <c r="J232" s="25">
        <f>IF($A232="","",INDEX(tblTasks[Date_debut_prevue],ROW()-4))</f>
      </c>
      <c r="K232" s="25">
        <f>IF($A232="","",INDEX(tblTasks[Date_fin_prevue],ROW()-4))</f>
      </c>
      <c r="L232" s="23">
        <f>IF($A232="","",INDEX(tblTasks[Irreversibilite],ROW()-4))</f>
      </c>
      <c r="M232" s="26">
        <f>IF(OR($A232="",M$3=""),"",IF(AND($J232&lt;&gt;"",$K232&lt;&gt;"",$J232=$K232,$J232&gt;=M$3,$J232&lt;=IF(param_mode_affichage="mois",EOMONTH(M$3,0),M$3+6)),"◆",""))</f>
      </c>
      <c r="N232" s="26">
        <f>IF(OR($A232="",N$3=""),"",IF(AND($J232&lt;&gt;"",$K232&lt;&gt;"",$J232=$K232,$J232&gt;=N$3,$J232&lt;=IF(param_mode_affichage="mois",EOMONTH(N$3,0),N$3+6)),"◆",""))</f>
      </c>
      <c r="O232" s="26">
        <f>IF(OR($A232="",O$3=""),"",IF(AND($J232&lt;&gt;"",$K232&lt;&gt;"",$J232=$K232,$J232&gt;=O$3,$J232&lt;=IF(param_mode_affichage="mois",EOMONTH(O$3,0),O$3+6)),"◆",""))</f>
      </c>
      <c r="P232" s="26">
        <f>IF(OR($A232="",P$3=""),"",IF(AND($J232&lt;&gt;"",$K232&lt;&gt;"",$J232=$K232,$J232&gt;=P$3,$J232&lt;=IF(param_mode_affichage="mois",EOMONTH(P$3,0),P$3+6)),"◆",""))</f>
      </c>
      <c r="Q232" s="26">
        <f>IF(OR($A232="",Q$3=""),"",IF(AND($J232&lt;&gt;"",$K232&lt;&gt;"",$J232=$K232,$J232&gt;=Q$3,$J232&lt;=IF(param_mode_affichage="mois",EOMONTH(Q$3,0),Q$3+6)),"◆",""))</f>
      </c>
      <c r="R232" s="26">
        <f>IF(OR($A232="",R$3=""),"",IF(AND($J232&lt;&gt;"",$K232&lt;&gt;"",$J232=$K232,$J232&gt;=R$3,$J232&lt;=IF(param_mode_affichage="mois",EOMONTH(R$3,0),R$3+6)),"◆",""))</f>
      </c>
      <c r="S232" s="26">
        <f>IF(OR($A232="",S$3=""),"",IF(AND($J232&lt;&gt;"",$K232&lt;&gt;"",$J232=$K232,$J232&gt;=S$3,$J232&lt;=IF(param_mode_affichage="mois",EOMONTH(S$3,0),S$3+6)),"◆",""))</f>
      </c>
      <c r="T232" s="26">
        <f>IF(OR($A232="",T$3=""),"",IF(AND($J232&lt;&gt;"",$K232&lt;&gt;"",$J232=$K232,$J232&gt;=T$3,$J232&lt;=IF(param_mode_affichage="mois",EOMONTH(T$3,0),T$3+6)),"◆",""))</f>
      </c>
      <c r="U232" s="26">
        <f>IF(OR($A232="",U$3=""),"",IF(AND($J232&lt;&gt;"",$K232&lt;&gt;"",$J232=$K232,$J232&gt;=U$3,$J232&lt;=IF(param_mode_affichage="mois",EOMONTH(U$3,0),U$3+6)),"◆",""))</f>
      </c>
      <c r="V232" s="26">
        <f>IF(OR($A232="",V$3=""),"",IF(AND($J232&lt;&gt;"",$K232&lt;&gt;"",$J232=$K232,$J232&gt;=V$3,$J232&lt;=IF(param_mode_affichage="mois",EOMONTH(V$3,0),V$3+6)),"◆",""))</f>
      </c>
      <c r="W232" s="26">
        <f>IF(OR($A232="",W$3=""),"",IF(AND($J232&lt;&gt;"",$K232&lt;&gt;"",$J232=$K232,$J232&gt;=W$3,$J232&lt;=IF(param_mode_affichage="mois",EOMONTH(W$3,0),W$3+6)),"◆",""))</f>
      </c>
      <c r="X232" s="26">
        <f>IF(OR($A232="",X$3=""),"",IF(AND($J232&lt;&gt;"",$K232&lt;&gt;"",$J232=$K232,$J232&gt;=X$3,$J232&lt;=IF(param_mode_affichage="mois",EOMONTH(X$3,0),X$3+6)),"◆",""))</f>
      </c>
      <c r="Y232" s="26">
        <f>IF(OR($A232="",Y$3=""),"",IF(AND($J232&lt;&gt;"",$K232&lt;&gt;"",$J232=$K232,$J232&gt;=Y$3,$J232&lt;=IF(param_mode_affichage="mois",EOMONTH(Y$3,0),Y$3+6)),"◆",""))</f>
      </c>
      <c r="Z232" s="26">
        <f>IF(OR($A232="",Z$3=""),"",IF(AND($J232&lt;&gt;"",$K232&lt;&gt;"",$J232=$K232,$J232&gt;=Z$3,$J232&lt;=IF(param_mode_affichage="mois",EOMONTH(Z$3,0),Z$3+6)),"◆",""))</f>
      </c>
      <c r="AA232" s="26">
        <f>IF(OR($A232="",AA$3=""),"",IF(AND($J232&lt;&gt;"",$K232&lt;&gt;"",$J232=$K232,$J232&gt;=AA$3,$J232&lt;=IF(param_mode_affichage="mois",EOMONTH(AA$3,0),AA$3+6)),"◆",""))</f>
      </c>
      <c r="AB232" s="26">
        <f>IF(OR($A232="",AB$3=""),"",IF(AND($J232&lt;&gt;"",$K232&lt;&gt;"",$J232=$K232,$J232&gt;=AB$3,$J232&lt;=IF(param_mode_affichage="mois",EOMONTH(AB$3,0),AB$3+6)),"◆",""))</f>
      </c>
      <c r="AC232" s="26">
        <f>IF(OR($A232="",AC$3=""),"",IF(AND($J232&lt;&gt;"",$K232&lt;&gt;"",$J232=$K232,$J232&gt;=AC$3,$J232&lt;=IF(param_mode_affichage="mois",EOMONTH(AC$3,0),AC$3+6)),"◆",""))</f>
      </c>
      <c r="AD232" s="26">
        <f>IF(OR($A232="",AD$3=""),"",IF(AND($J232&lt;&gt;"",$K232&lt;&gt;"",$J232=$K232,$J232&gt;=AD$3,$J232&lt;=IF(param_mode_affichage="mois",EOMONTH(AD$3,0),AD$3+6)),"◆",""))</f>
      </c>
      <c r="AE232" s="26">
        <f>IF(OR($A232="",AE$3=""),"",IF(AND($J232&lt;&gt;"",$K232&lt;&gt;"",$J232=$K232,$J232&gt;=AE$3,$J232&lt;=IF(param_mode_affichage="mois",EOMONTH(AE$3,0),AE$3+6)),"◆",""))</f>
      </c>
      <c r="AF232" s="26">
        <f>IF(OR($A232="",AF$3=""),"",IF(AND($J232&lt;&gt;"",$K232&lt;&gt;"",$J232=$K232,$J232&gt;=AF$3,$J232&lt;=IF(param_mode_affichage="mois",EOMONTH(AF$3,0),AF$3+6)),"◆",""))</f>
      </c>
      <c r="AG232" s="26">
        <f>IF(OR($A232="",AG$3=""),"",IF(AND($J232&lt;&gt;"",$K232&lt;&gt;"",$J232=$K232,$J232&gt;=AG$3,$J232&lt;=IF(param_mode_affichage="mois",EOMONTH(AG$3,0),AG$3+6)),"◆",""))</f>
      </c>
      <c r="AH232" s="26">
        <f>IF(OR($A232="",AH$3=""),"",IF(AND($J232&lt;&gt;"",$K232&lt;&gt;"",$J232=$K232,$J232&gt;=AH$3,$J232&lt;=IF(param_mode_affichage="mois",EOMONTH(AH$3,0),AH$3+6)),"◆",""))</f>
      </c>
      <c r="AI232" s="26">
        <f>IF(OR($A232="",AI$3=""),"",IF(AND($J232&lt;&gt;"",$K232&lt;&gt;"",$J232=$K232,$J232&gt;=AI$3,$J232&lt;=IF(param_mode_affichage="mois",EOMONTH(AI$3,0),AI$3+6)),"◆",""))</f>
      </c>
      <c r="AJ232" s="26">
        <f>IF(OR($A232="",AJ$3=""),"",IF(AND($J232&lt;&gt;"",$K232&lt;&gt;"",$J232=$K232,$J232&gt;=AJ$3,$J232&lt;=IF(param_mode_affichage="mois",EOMONTH(AJ$3,0),AJ$3+6)),"◆",""))</f>
      </c>
      <c r="AK232" s="26">
        <f>IF(OR($A232="",AK$3=""),"",IF(AND($J232&lt;&gt;"",$K232&lt;&gt;"",$J232=$K232,$J232&gt;=AK$3,$J232&lt;=IF(param_mode_affichage="mois",EOMONTH(AK$3,0),AK$3+6)),"◆",""))</f>
      </c>
      <c r="AL232" s="26">
        <f>IF(OR($A232="",AL$3=""),"",IF(AND($J232&lt;&gt;"",$K232&lt;&gt;"",$J232=$K232,$J232&gt;=AL$3,$J232&lt;=IF(param_mode_affichage="mois",EOMONTH(AL$3,0),AL$3+6)),"◆",""))</f>
      </c>
      <c r="AM232" s="26">
        <f>IF(OR($A232="",AM$3=""),"",IF(AND($J232&lt;&gt;"",$K232&lt;&gt;"",$J232=$K232,$J232&gt;=AM$3,$J232&lt;=IF(param_mode_affichage="mois",EOMONTH(AM$3,0),AM$3+6)),"◆",""))</f>
      </c>
      <c r="AN232" s="26">
        <f>IF(OR($A232="",AN$3=""),"",IF(AND($J232&lt;&gt;"",$K232&lt;&gt;"",$J232=$K232,$J232&gt;=AN$3,$J232&lt;=IF(param_mode_affichage="mois",EOMONTH(AN$3,0),AN$3+6)),"◆",""))</f>
      </c>
      <c r="AO232" s="26">
        <f>IF(OR($A232="",AO$3=""),"",IF(AND($J232&lt;&gt;"",$K232&lt;&gt;"",$J232=$K232,$J232&gt;=AO$3,$J232&lt;=IF(param_mode_affichage="mois",EOMONTH(AO$3,0),AO$3+6)),"◆",""))</f>
      </c>
      <c r="AP232" s="26">
        <f>IF(OR($A232="",AP$3=""),"",IF(AND($J232&lt;&gt;"",$K232&lt;&gt;"",$J232=$K232,$J232&gt;=AP$3,$J232&lt;=IF(param_mode_affichage="mois",EOMONTH(AP$3,0),AP$3+6)),"◆",""))</f>
      </c>
      <c r="AQ232" s="26">
        <f>IF(OR($A232="",AQ$3=""),"",IF(AND($J232&lt;&gt;"",$K232&lt;&gt;"",$J232=$K232,$J232&gt;=AQ$3,$J232&lt;=IF(param_mode_affichage="mois",EOMONTH(AQ$3,0),AQ$3+6)),"◆",""))</f>
      </c>
      <c r="AR232" s="26">
        <f>IF(OR($A232="",AR$3=""),"",IF(AND($J232&lt;&gt;"",$K232&lt;&gt;"",$J232=$K232,$J232&gt;=AR$3,$J232&lt;=IF(param_mode_affichage="mois",EOMONTH(AR$3,0),AR$3+6)),"◆",""))</f>
      </c>
      <c r="AS232" s="26">
        <f>IF(OR($A232="",AS$3=""),"",IF(AND($J232&lt;&gt;"",$K232&lt;&gt;"",$J232=$K232,$J232&gt;=AS$3,$J232&lt;=IF(param_mode_affichage="mois",EOMONTH(AS$3,0),AS$3+6)),"◆",""))</f>
      </c>
      <c r="AT232" s="26">
        <f>IF(OR($A232="",AT$3=""),"",IF(AND($J232&lt;&gt;"",$K232&lt;&gt;"",$J232=$K232,$J232&gt;=AT$3,$J232&lt;=IF(param_mode_affichage="mois",EOMONTH(AT$3,0),AT$3+6)),"◆",""))</f>
      </c>
      <c r="AU232" s="26">
        <f>IF(OR($A232="",AU$3=""),"",IF(AND($J232&lt;&gt;"",$K232&lt;&gt;"",$J232=$K232,$J232&gt;=AU$3,$J232&lt;=IF(param_mode_affichage="mois",EOMONTH(AU$3,0),AU$3+6)),"◆",""))</f>
      </c>
      <c r="AV232" s="26">
        <f>IF(OR($A232="",AV$3=""),"",IF(AND($J232&lt;&gt;"",$K232&lt;&gt;"",$J232=$K232,$J232&gt;=AV$3,$J232&lt;=IF(param_mode_affichage="mois",EOMONTH(AV$3,0),AV$3+6)),"◆",""))</f>
      </c>
      <c r="AW232" s="26">
        <f>IF(OR($A232="",AW$3=""),"",IF(AND($J232&lt;&gt;"",$K232&lt;&gt;"",$J232=$K232,$J232&gt;=AW$3,$J232&lt;=IF(param_mode_affichage="mois",EOMONTH(AW$3,0),AW$3+6)),"◆",""))</f>
      </c>
      <c r="AX232" s="26">
        <f>IF(OR($A232="",AX$3=""),"",IF(AND($J232&lt;&gt;"",$K232&lt;&gt;"",$J232=$K232,$J232&gt;=AX$3,$J232&lt;=IF(param_mode_affichage="mois",EOMONTH(AX$3,0),AX$3+6)),"◆",""))</f>
      </c>
      <c r="AY232" s="26">
        <f>IF(OR($A232="",AY$3=""),"",IF(AND($J232&lt;&gt;"",$K232&lt;&gt;"",$J232=$K232,$J232&gt;=AY$3,$J232&lt;=IF(param_mode_affichage="mois",EOMONTH(AY$3,0),AY$3+6)),"◆",""))</f>
      </c>
      <c r="AZ232" s="26">
        <f>IF(OR($A232="",AZ$3=""),"",IF(AND($J232&lt;&gt;"",$K232&lt;&gt;"",$J232=$K232,$J232&gt;=AZ$3,$J232&lt;=IF(param_mode_affichage="mois",EOMONTH(AZ$3,0),AZ$3+6)),"◆",""))</f>
      </c>
      <c r="BA232" s="26">
        <f>IF(OR($A232="",BA$3=""),"",IF(AND($J232&lt;&gt;"",$K232&lt;&gt;"",$J232=$K232,$J232&gt;=BA$3,$J232&lt;=IF(param_mode_affichage="mois",EOMONTH(BA$3,0),BA$3+6)),"◆",""))</f>
      </c>
      <c r="BB232" s="26">
        <f>IF(OR($A232="",BB$3=""),"",IF(AND($J232&lt;&gt;"",$K232&lt;&gt;"",$J232=$K232,$J232&gt;=BB$3,$J232&lt;=IF(param_mode_affichage="mois",EOMONTH(BB$3,0),BB$3+6)),"◆",""))</f>
      </c>
      <c r="BC232" s="26">
        <f>IF(OR($A232="",BC$3=""),"",IF(AND($J232&lt;&gt;"",$K232&lt;&gt;"",$J232=$K232,$J232&gt;=BC$3,$J232&lt;=IF(param_mode_affichage="mois",EOMONTH(BC$3,0),BC$3+6)),"◆",""))</f>
      </c>
      <c r="BD232" s="26">
        <f>IF(OR($A232="",BD$3=""),"",IF(AND($J232&lt;&gt;"",$K232&lt;&gt;"",$J232=$K232,$J232&gt;=BD$3,$J232&lt;=IF(param_mode_affichage="mois",EOMONTH(BD$3,0),BD$3+6)),"◆",""))</f>
      </c>
      <c r="BE232" s="26">
        <f>IF(OR($A232="",BE$3=""),"",IF(AND($J232&lt;&gt;"",$K232&lt;&gt;"",$J232=$K232,$J232&gt;=BE$3,$J232&lt;=IF(param_mode_affichage="mois",EOMONTH(BE$3,0),BE$3+6)),"◆",""))</f>
      </c>
      <c r="BF232" s="26">
        <f>IF(OR($A232="",BF$3=""),"",IF(AND($J232&lt;&gt;"",$K232&lt;&gt;"",$J232=$K232,$J232&gt;=BF$3,$J232&lt;=IF(param_mode_affichage="mois",EOMONTH(BF$3,0),BF$3+6)),"◆",""))</f>
      </c>
      <c r="BG232" s="26">
        <f>IF(OR($A232="",BG$3=""),"",IF(AND($J232&lt;&gt;"",$K232&lt;&gt;"",$J232=$K232,$J232&gt;=BG$3,$J232&lt;=IF(param_mode_affichage="mois",EOMONTH(BG$3,0),BG$3+6)),"◆",""))</f>
      </c>
      <c r="BH232" s="26">
        <f>IF(OR($A232="",BH$3=""),"",IF(AND($J232&lt;&gt;"",$K232&lt;&gt;"",$J232=$K232,$J232&gt;=BH$3,$J232&lt;=IF(param_mode_affichage="mois",EOMONTH(BH$3,0),BH$3+6)),"◆",""))</f>
      </c>
      <c r="BI232" s="26">
        <f>IF(OR($A232="",BI$3=""),"",IF(AND($J232&lt;&gt;"",$K232&lt;&gt;"",$J232=$K232,$J232&gt;=BI$3,$J232&lt;=IF(param_mode_affichage="mois",EOMONTH(BI$3,0),BI$3+6)),"◆",""))</f>
      </c>
      <c r="BJ232" s="26">
        <f>IF(OR($A232="",BJ$3=""),"",IF(AND($J232&lt;&gt;"",$K232&lt;&gt;"",$J232=$K232,$J232&gt;=BJ$3,$J232&lt;=IF(param_mode_affichage="mois",EOMONTH(BJ$3,0),BJ$3+6)),"◆",""))</f>
      </c>
      <c r="BK232" s="26">
        <f>IF(OR($A232="",BK$3=""),"",IF(AND($J232&lt;&gt;"",$K232&lt;&gt;"",$J232=$K232,$J232&gt;=BK$3,$J232&lt;=IF(param_mode_affichage="mois",EOMONTH(BK$3,0),BK$3+6)),"◆",""))</f>
      </c>
      <c r="BL232" s="26">
        <f>IF(OR($A232="",BL$3=""),"",IF(AND($J232&lt;&gt;"",$K232&lt;&gt;"",$J232=$K232,$J232&gt;=BL$3,$J232&lt;=IF(param_mode_affichage="mois",EOMONTH(BL$3,0),BL$3+6)),"◆",""))</f>
      </c>
    </row>
    <row r="233" spans="1:64" x14ac:dyDescent="0.25">
      <c r="A233" s="23">
        <f>IFERROR(INDEX(tblTasks[ID],ROW()-4),"")</f>
      </c>
      <c r="B233" s="24">
        <f>IF($A233="","",INDEX(tblTasks[Sujet],ROW()-4))</f>
      </c>
      <c r="C233" s="23">
        <f>IF($A233="","",INDEX(tblTasks[Responsable],ROW()-4))</f>
      </c>
      <c r="D233" s="23">
        <f>IF($A233="","",INDEX(tblTasks[Statut],ROW()-4))</f>
      </c>
      <c r="E233" s="23">
        <f>IF($A233="","",INDEX(tblTasks[Depend_de],ROW()-4))</f>
      </c>
      <c r="F233" s="23">
        <f>IF($A233="","",INDEX(tblTasks[Blocage],ROW()-4))</f>
      </c>
      <c r="G233" s="23">
        <f>IF($A233="","",INDEX(tblTasks[Niveau_criticite],ROW()-4))</f>
      </c>
      <c r="H233" s="23">
        <f>IF($A233="","",INDEX(tblTasks[Goulot],ROW()-4))</f>
      </c>
      <c r="I233" s="23">
        <f>IF($A233="","",IF(LOWER($F233)="oui","non",IF($E233="","oui",IFERROR(IF(LOWER(INDEX(tblTasks[Statut],MATCH($E233,tblTasks[ID],0)))="clos","oui","non"),"non"))))</f>
      </c>
      <c r="J233" s="25">
        <f>IF($A233="","",INDEX(tblTasks[Date_debut_prevue],ROW()-4))</f>
      </c>
      <c r="K233" s="25">
        <f>IF($A233="","",INDEX(tblTasks[Date_fin_prevue],ROW()-4))</f>
      </c>
      <c r="L233" s="23">
        <f>IF($A233="","",INDEX(tblTasks[Irreversibilite],ROW()-4))</f>
      </c>
      <c r="M233" s="26">
        <f>IF(OR($A233="",M$3=""),"",IF(AND($J233&lt;&gt;"",$K233&lt;&gt;"",$J233=$K233,$J233&gt;=M$3,$J233&lt;=IF(param_mode_affichage="mois",EOMONTH(M$3,0),M$3+6)),"◆",""))</f>
      </c>
      <c r="N233" s="26">
        <f>IF(OR($A233="",N$3=""),"",IF(AND($J233&lt;&gt;"",$K233&lt;&gt;"",$J233=$K233,$J233&gt;=N$3,$J233&lt;=IF(param_mode_affichage="mois",EOMONTH(N$3,0),N$3+6)),"◆",""))</f>
      </c>
      <c r="O233" s="26">
        <f>IF(OR($A233="",O$3=""),"",IF(AND($J233&lt;&gt;"",$K233&lt;&gt;"",$J233=$K233,$J233&gt;=O$3,$J233&lt;=IF(param_mode_affichage="mois",EOMONTH(O$3,0),O$3+6)),"◆",""))</f>
      </c>
      <c r="P233" s="26">
        <f>IF(OR($A233="",P$3=""),"",IF(AND($J233&lt;&gt;"",$K233&lt;&gt;"",$J233=$K233,$J233&gt;=P$3,$J233&lt;=IF(param_mode_affichage="mois",EOMONTH(P$3,0),P$3+6)),"◆",""))</f>
      </c>
      <c r="Q233" s="26">
        <f>IF(OR($A233="",Q$3=""),"",IF(AND($J233&lt;&gt;"",$K233&lt;&gt;"",$J233=$K233,$J233&gt;=Q$3,$J233&lt;=IF(param_mode_affichage="mois",EOMONTH(Q$3,0),Q$3+6)),"◆",""))</f>
      </c>
      <c r="R233" s="26">
        <f>IF(OR($A233="",R$3=""),"",IF(AND($J233&lt;&gt;"",$K233&lt;&gt;"",$J233=$K233,$J233&gt;=R$3,$J233&lt;=IF(param_mode_affichage="mois",EOMONTH(R$3,0),R$3+6)),"◆",""))</f>
      </c>
      <c r="S233" s="26">
        <f>IF(OR($A233="",S$3=""),"",IF(AND($J233&lt;&gt;"",$K233&lt;&gt;"",$J233=$K233,$J233&gt;=S$3,$J233&lt;=IF(param_mode_affichage="mois",EOMONTH(S$3,0),S$3+6)),"◆",""))</f>
      </c>
      <c r="T233" s="26">
        <f>IF(OR($A233="",T$3=""),"",IF(AND($J233&lt;&gt;"",$K233&lt;&gt;"",$J233=$K233,$J233&gt;=T$3,$J233&lt;=IF(param_mode_affichage="mois",EOMONTH(T$3,0),T$3+6)),"◆",""))</f>
      </c>
      <c r="U233" s="26">
        <f>IF(OR($A233="",U$3=""),"",IF(AND($J233&lt;&gt;"",$K233&lt;&gt;"",$J233=$K233,$J233&gt;=U$3,$J233&lt;=IF(param_mode_affichage="mois",EOMONTH(U$3,0),U$3+6)),"◆",""))</f>
      </c>
      <c r="V233" s="26">
        <f>IF(OR($A233="",V$3=""),"",IF(AND($J233&lt;&gt;"",$K233&lt;&gt;"",$J233=$K233,$J233&gt;=V$3,$J233&lt;=IF(param_mode_affichage="mois",EOMONTH(V$3,0),V$3+6)),"◆",""))</f>
      </c>
      <c r="W233" s="26">
        <f>IF(OR($A233="",W$3=""),"",IF(AND($J233&lt;&gt;"",$K233&lt;&gt;"",$J233=$K233,$J233&gt;=W$3,$J233&lt;=IF(param_mode_affichage="mois",EOMONTH(W$3,0),W$3+6)),"◆",""))</f>
      </c>
      <c r="X233" s="26">
        <f>IF(OR($A233="",X$3=""),"",IF(AND($J233&lt;&gt;"",$K233&lt;&gt;"",$J233=$K233,$J233&gt;=X$3,$J233&lt;=IF(param_mode_affichage="mois",EOMONTH(X$3,0),X$3+6)),"◆",""))</f>
      </c>
      <c r="Y233" s="26">
        <f>IF(OR($A233="",Y$3=""),"",IF(AND($J233&lt;&gt;"",$K233&lt;&gt;"",$J233=$K233,$J233&gt;=Y$3,$J233&lt;=IF(param_mode_affichage="mois",EOMONTH(Y$3,0),Y$3+6)),"◆",""))</f>
      </c>
      <c r="Z233" s="26">
        <f>IF(OR($A233="",Z$3=""),"",IF(AND($J233&lt;&gt;"",$K233&lt;&gt;"",$J233=$K233,$J233&gt;=Z$3,$J233&lt;=IF(param_mode_affichage="mois",EOMONTH(Z$3,0),Z$3+6)),"◆",""))</f>
      </c>
      <c r="AA233" s="26">
        <f>IF(OR($A233="",AA$3=""),"",IF(AND($J233&lt;&gt;"",$K233&lt;&gt;"",$J233=$K233,$J233&gt;=AA$3,$J233&lt;=IF(param_mode_affichage="mois",EOMONTH(AA$3,0),AA$3+6)),"◆",""))</f>
      </c>
      <c r="AB233" s="26">
        <f>IF(OR($A233="",AB$3=""),"",IF(AND($J233&lt;&gt;"",$K233&lt;&gt;"",$J233=$K233,$J233&gt;=AB$3,$J233&lt;=IF(param_mode_affichage="mois",EOMONTH(AB$3,0),AB$3+6)),"◆",""))</f>
      </c>
      <c r="AC233" s="26">
        <f>IF(OR($A233="",AC$3=""),"",IF(AND($J233&lt;&gt;"",$K233&lt;&gt;"",$J233=$K233,$J233&gt;=AC$3,$J233&lt;=IF(param_mode_affichage="mois",EOMONTH(AC$3,0),AC$3+6)),"◆",""))</f>
      </c>
      <c r="AD233" s="26">
        <f>IF(OR($A233="",AD$3=""),"",IF(AND($J233&lt;&gt;"",$K233&lt;&gt;"",$J233=$K233,$J233&gt;=AD$3,$J233&lt;=IF(param_mode_affichage="mois",EOMONTH(AD$3,0),AD$3+6)),"◆",""))</f>
      </c>
      <c r="AE233" s="26">
        <f>IF(OR($A233="",AE$3=""),"",IF(AND($J233&lt;&gt;"",$K233&lt;&gt;"",$J233=$K233,$J233&gt;=AE$3,$J233&lt;=IF(param_mode_affichage="mois",EOMONTH(AE$3,0),AE$3+6)),"◆",""))</f>
      </c>
      <c r="AF233" s="26">
        <f>IF(OR($A233="",AF$3=""),"",IF(AND($J233&lt;&gt;"",$K233&lt;&gt;"",$J233=$K233,$J233&gt;=AF$3,$J233&lt;=IF(param_mode_affichage="mois",EOMONTH(AF$3,0),AF$3+6)),"◆",""))</f>
      </c>
      <c r="AG233" s="26">
        <f>IF(OR($A233="",AG$3=""),"",IF(AND($J233&lt;&gt;"",$K233&lt;&gt;"",$J233=$K233,$J233&gt;=AG$3,$J233&lt;=IF(param_mode_affichage="mois",EOMONTH(AG$3,0),AG$3+6)),"◆",""))</f>
      </c>
      <c r="AH233" s="26">
        <f>IF(OR($A233="",AH$3=""),"",IF(AND($J233&lt;&gt;"",$K233&lt;&gt;"",$J233=$K233,$J233&gt;=AH$3,$J233&lt;=IF(param_mode_affichage="mois",EOMONTH(AH$3,0),AH$3+6)),"◆",""))</f>
      </c>
      <c r="AI233" s="26">
        <f>IF(OR($A233="",AI$3=""),"",IF(AND($J233&lt;&gt;"",$K233&lt;&gt;"",$J233=$K233,$J233&gt;=AI$3,$J233&lt;=IF(param_mode_affichage="mois",EOMONTH(AI$3,0),AI$3+6)),"◆",""))</f>
      </c>
      <c r="AJ233" s="26">
        <f>IF(OR($A233="",AJ$3=""),"",IF(AND($J233&lt;&gt;"",$K233&lt;&gt;"",$J233=$K233,$J233&gt;=AJ$3,$J233&lt;=IF(param_mode_affichage="mois",EOMONTH(AJ$3,0),AJ$3+6)),"◆",""))</f>
      </c>
      <c r="AK233" s="26">
        <f>IF(OR($A233="",AK$3=""),"",IF(AND($J233&lt;&gt;"",$K233&lt;&gt;"",$J233=$K233,$J233&gt;=AK$3,$J233&lt;=IF(param_mode_affichage="mois",EOMONTH(AK$3,0),AK$3+6)),"◆",""))</f>
      </c>
      <c r="AL233" s="26">
        <f>IF(OR($A233="",AL$3=""),"",IF(AND($J233&lt;&gt;"",$K233&lt;&gt;"",$J233=$K233,$J233&gt;=AL$3,$J233&lt;=IF(param_mode_affichage="mois",EOMONTH(AL$3,0),AL$3+6)),"◆",""))</f>
      </c>
      <c r="AM233" s="26">
        <f>IF(OR($A233="",AM$3=""),"",IF(AND($J233&lt;&gt;"",$K233&lt;&gt;"",$J233=$K233,$J233&gt;=AM$3,$J233&lt;=IF(param_mode_affichage="mois",EOMONTH(AM$3,0),AM$3+6)),"◆",""))</f>
      </c>
      <c r="AN233" s="26">
        <f>IF(OR($A233="",AN$3=""),"",IF(AND($J233&lt;&gt;"",$K233&lt;&gt;"",$J233=$K233,$J233&gt;=AN$3,$J233&lt;=IF(param_mode_affichage="mois",EOMONTH(AN$3,0),AN$3+6)),"◆",""))</f>
      </c>
      <c r="AO233" s="26">
        <f>IF(OR($A233="",AO$3=""),"",IF(AND($J233&lt;&gt;"",$K233&lt;&gt;"",$J233=$K233,$J233&gt;=AO$3,$J233&lt;=IF(param_mode_affichage="mois",EOMONTH(AO$3,0),AO$3+6)),"◆",""))</f>
      </c>
      <c r="AP233" s="26">
        <f>IF(OR($A233="",AP$3=""),"",IF(AND($J233&lt;&gt;"",$K233&lt;&gt;"",$J233=$K233,$J233&gt;=AP$3,$J233&lt;=IF(param_mode_affichage="mois",EOMONTH(AP$3,0),AP$3+6)),"◆",""))</f>
      </c>
      <c r="AQ233" s="26">
        <f>IF(OR($A233="",AQ$3=""),"",IF(AND($J233&lt;&gt;"",$K233&lt;&gt;"",$J233=$K233,$J233&gt;=AQ$3,$J233&lt;=IF(param_mode_affichage="mois",EOMONTH(AQ$3,0),AQ$3+6)),"◆",""))</f>
      </c>
      <c r="AR233" s="26">
        <f>IF(OR($A233="",AR$3=""),"",IF(AND($J233&lt;&gt;"",$K233&lt;&gt;"",$J233=$K233,$J233&gt;=AR$3,$J233&lt;=IF(param_mode_affichage="mois",EOMONTH(AR$3,0),AR$3+6)),"◆",""))</f>
      </c>
      <c r="AS233" s="26">
        <f>IF(OR($A233="",AS$3=""),"",IF(AND($J233&lt;&gt;"",$K233&lt;&gt;"",$J233=$K233,$J233&gt;=AS$3,$J233&lt;=IF(param_mode_affichage="mois",EOMONTH(AS$3,0),AS$3+6)),"◆",""))</f>
      </c>
      <c r="AT233" s="26">
        <f>IF(OR($A233="",AT$3=""),"",IF(AND($J233&lt;&gt;"",$K233&lt;&gt;"",$J233=$K233,$J233&gt;=AT$3,$J233&lt;=IF(param_mode_affichage="mois",EOMONTH(AT$3,0),AT$3+6)),"◆",""))</f>
      </c>
      <c r="AU233" s="26">
        <f>IF(OR($A233="",AU$3=""),"",IF(AND($J233&lt;&gt;"",$K233&lt;&gt;"",$J233=$K233,$J233&gt;=AU$3,$J233&lt;=IF(param_mode_affichage="mois",EOMONTH(AU$3,0),AU$3+6)),"◆",""))</f>
      </c>
      <c r="AV233" s="26">
        <f>IF(OR($A233="",AV$3=""),"",IF(AND($J233&lt;&gt;"",$K233&lt;&gt;"",$J233=$K233,$J233&gt;=AV$3,$J233&lt;=IF(param_mode_affichage="mois",EOMONTH(AV$3,0),AV$3+6)),"◆",""))</f>
      </c>
      <c r="AW233" s="26">
        <f>IF(OR($A233="",AW$3=""),"",IF(AND($J233&lt;&gt;"",$K233&lt;&gt;"",$J233=$K233,$J233&gt;=AW$3,$J233&lt;=IF(param_mode_affichage="mois",EOMONTH(AW$3,0),AW$3+6)),"◆",""))</f>
      </c>
      <c r="AX233" s="26">
        <f>IF(OR($A233="",AX$3=""),"",IF(AND($J233&lt;&gt;"",$K233&lt;&gt;"",$J233=$K233,$J233&gt;=AX$3,$J233&lt;=IF(param_mode_affichage="mois",EOMONTH(AX$3,0),AX$3+6)),"◆",""))</f>
      </c>
      <c r="AY233" s="26">
        <f>IF(OR($A233="",AY$3=""),"",IF(AND($J233&lt;&gt;"",$K233&lt;&gt;"",$J233=$K233,$J233&gt;=AY$3,$J233&lt;=IF(param_mode_affichage="mois",EOMONTH(AY$3,0),AY$3+6)),"◆",""))</f>
      </c>
      <c r="AZ233" s="26">
        <f>IF(OR($A233="",AZ$3=""),"",IF(AND($J233&lt;&gt;"",$K233&lt;&gt;"",$J233=$K233,$J233&gt;=AZ$3,$J233&lt;=IF(param_mode_affichage="mois",EOMONTH(AZ$3,0),AZ$3+6)),"◆",""))</f>
      </c>
      <c r="BA233" s="26">
        <f>IF(OR($A233="",BA$3=""),"",IF(AND($J233&lt;&gt;"",$K233&lt;&gt;"",$J233=$K233,$J233&gt;=BA$3,$J233&lt;=IF(param_mode_affichage="mois",EOMONTH(BA$3,0),BA$3+6)),"◆",""))</f>
      </c>
      <c r="BB233" s="26">
        <f>IF(OR($A233="",BB$3=""),"",IF(AND($J233&lt;&gt;"",$K233&lt;&gt;"",$J233=$K233,$J233&gt;=BB$3,$J233&lt;=IF(param_mode_affichage="mois",EOMONTH(BB$3,0),BB$3+6)),"◆",""))</f>
      </c>
      <c r="BC233" s="26">
        <f>IF(OR($A233="",BC$3=""),"",IF(AND($J233&lt;&gt;"",$K233&lt;&gt;"",$J233=$K233,$J233&gt;=BC$3,$J233&lt;=IF(param_mode_affichage="mois",EOMONTH(BC$3,0),BC$3+6)),"◆",""))</f>
      </c>
      <c r="BD233" s="26">
        <f>IF(OR($A233="",BD$3=""),"",IF(AND($J233&lt;&gt;"",$K233&lt;&gt;"",$J233=$K233,$J233&gt;=BD$3,$J233&lt;=IF(param_mode_affichage="mois",EOMONTH(BD$3,0),BD$3+6)),"◆",""))</f>
      </c>
      <c r="BE233" s="26">
        <f>IF(OR($A233="",BE$3=""),"",IF(AND($J233&lt;&gt;"",$K233&lt;&gt;"",$J233=$K233,$J233&gt;=BE$3,$J233&lt;=IF(param_mode_affichage="mois",EOMONTH(BE$3,0),BE$3+6)),"◆",""))</f>
      </c>
      <c r="BF233" s="26">
        <f>IF(OR($A233="",BF$3=""),"",IF(AND($J233&lt;&gt;"",$K233&lt;&gt;"",$J233=$K233,$J233&gt;=BF$3,$J233&lt;=IF(param_mode_affichage="mois",EOMONTH(BF$3,0),BF$3+6)),"◆",""))</f>
      </c>
      <c r="BG233" s="26">
        <f>IF(OR($A233="",BG$3=""),"",IF(AND($J233&lt;&gt;"",$K233&lt;&gt;"",$J233=$K233,$J233&gt;=BG$3,$J233&lt;=IF(param_mode_affichage="mois",EOMONTH(BG$3,0),BG$3+6)),"◆",""))</f>
      </c>
      <c r="BH233" s="26">
        <f>IF(OR($A233="",BH$3=""),"",IF(AND($J233&lt;&gt;"",$K233&lt;&gt;"",$J233=$K233,$J233&gt;=BH$3,$J233&lt;=IF(param_mode_affichage="mois",EOMONTH(BH$3,0),BH$3+6)),"◆",""))</f>
      </c>
      <c r="BI233" s="26">
        <f>IF(OR($A233="",BI$3=""),"",IF(AND($J233&lt;&gt;"",$K233&lt;&gt;"",$J233=$K233,$J233&gt;=BI$3,$J233&lt;=IF(param_mode_affichage="mois",EOMONTH(BI$3,0),BI$3+6)),"◆",""))</f>
      </c>
      <c r="BJ233" s="26">
        <f>IF(OR($A233="",BJ$3=""),"",IF(AND($J233&lt;&gt;"",$K233&lt;&gt;"",$J233=$K233,$J233&gt;=BJ$3,$J233&lt;=IF(param_mode_affichage="mois",EOMONTH(BJ$3,0),BJ$3+6)),"◆",""))</f>
      </c>
      <c r="BK233" s="26">
        <f>IF(OR($A233="",BK$3=""),"",IF(AND($J233&lt;&gt;"",$K233&lt;&gt;"",$J233=$K233,$J233&gt;=BK$3,$J233&lt;=IF(param_mode_affichage="mois",EOMONTH(BK$3,0),BK$3+6)),"◆",""))</f>
      </c>
      <c r="BL233" s="26">
        <f>IF(OR($A233="",BL$3=""),"",IF(AND($J233&lt;&gt;"",$K233&lt;&gt;"",$J233=$K233,$J233&gt;=BL$3,$J233&lt;=IF(param_mode_affichage="mois",EOMONTH(BL$3,0),BL$3+6)),"◆",""))</f>
      </c>
    </row>
    <row r="234" spans="1:64" x14ac:dyDescent="0.25">
      <c r="A234" s="23">
        <f>IFERROR(INDEX(tblTasks[ID],ROW()-4),"")</f>
      </c>
      <c r="B234" s="24">
        <f>IF($A234="","",INDEX(tblTasks[Sujet],ROW()-4))</f>
      </c>
      <c r="C234" s="23">
        <f>IF($A234="","",INDEX(tblTasks[Responsable],ROW()-4))</f>
      </c>
      <c r="D234" s="23">
        <f>IF($A234="","",INDEX(tblTasks[Statut],ROW()-4))</f>
      </c>
      <c r="E234" s="23">
        <f>IF($A234="","",INDEX(tblTasks[Depend_de],ROW()-4))</f>
      </c>
      <c r="F234" s="23">
        <f>IF($A234="","",INDEX(tblTasks[Blocage],ROW()-4))</f>
      </c>
      <c r="G234" s="23">
        <f>IF($A234="","",INDEX(tblTasks[Niveau_criticite],ROW()-4))</f>
      </c>
      <c r="H234" s="23">
        <f>IF($A234="","",INDEX(tblTasks[Goulot],ROW()-4))</f>
      </c>
      <c r="I234" s="23">
        <f>IF($A234="","",IF(LOWER($F234)="oui","non",IF($E234="","oui",IFERROR(IF(LOWER(INDEX(tblTasks[Statut],MATCH($E234,tblTasks[ID],0)))="clos","oui","non"),"non"))))</f>
      </c>
      <c r="J234" s="25">
        <f>IF($A234="","",INDEX(tblTasks[Date_debut_prevue],ROW()-4))</f>
      </c>
      <c r="K234" s="25">
        <f>IF($A234="","",INDEX(tblTasks[Date_fin_prevue],ROW()-4))</f>
      </c>
      <c r="L234" s="23">
        <f>IF($A234="","",INDEX(tblTasks[Irreversibilite],ROW()-4))</f>
      </c>
      <c r="M234" s="26">
        <f>IF(OR($A234="",M$3=""),"",IF(AND($J234&lt;&gt;"",$K234&lt;&gt;"",$J234=$K234,$J234&gt;=M$3,$J234&lt;=IF(param_mode_affichage="mois",EOMONTH(M$3,0),M$3+6)),"◆",""))</f>
      </c>
      <c r="N234" s="26">
        <f>IF(OR($A234="",N$3=""),"",IF(AND($J234&lt;&gt;"",$K234&lt;&gt;"",$J234=$K234,$J234&gt;=N$3,$J234&lt;=IF(param_mode_affichage="mois",EOMONTH(N$3,0),N$3+6)),"◆",""))</f>
      </c>
      <c r="O234" s="26">
        <f>IF(OR($A234="",O$3=""),"",IF(AND($J234&lt;&gt;"",$K234&lt;&gt;"",$J234=$K234,$J234&gt;=O$3,$J234&lt;=IF(param_mode_affichage="mois",EOMONTH(O$3,0),O$3+6)),"◆",""))</f>
      </c>
      <c r="P234" s="26">
        <f>IF(OR($A234="",P$3=""),"",IF(AND($J234&lt;&gt;"",$K234&lt;&gt;"",$J234=$K234,$J234&gt;=P$3,$J234&lt;=IF(param_mode_affichage="mois",EOMONTH(P$3,0),P$3+6)),"◆",""))</f>
      </c>
      <c r="Q234" s="26">
        <f>IF(OR($A234="",Q$3=""),"",IF(AND($J234&lt;&gt;"",$K234&lt;&gt;"",$J234=$K234,$J234&gt;=Q$3,$J234&lt;=IF(param_mode_affichage="mois",EOMONTH(Q$3,0),Q$3+6)),"◆",""))</f>
      </c>
      <c r="R234" s="26">
        <f>IF(OR($A234="",R$3=""),"",IF(AND($J234&lt;&gt;"",$K234&lt;&gt;"",$J234=$K234,$J234&gt;=R$3,$J234&lt;=IF(param_mode_affichage="mois",EOMONTH(R$3,0),R$3+6)),"◆",""))</f>
      </c>
      <c r="S234" s="26">
        <f>IF(OR($A234="",S$3=""),"",IF(AND($J234&lt;&gt;"",$K234&lt;&gt;"",$J234=$K234,$J234&gt;=S$3,$J234&lt;=IF(param_mode_affichage="mois",EOMONTH(S$3,0),S$3+6)),"◆",""))</f>
      </c>
      <c r="T234" s="26">
        <f>IF(OR($A234="",T$3=""),"",IF(AND($J234&lt;&gt;"",$K234&lt;&gt;"",$J234=$K234,$J234&gt;=T$3,$J234&lt;=IF(param_mode_affichage="mois",EOMONTH(T$3,0),T$3+6)),"◆",""))</f>
      </c>
      <c r="U234" s="26">
        <f>IF(OR($A234="",U$3=""),"",IF(AND($J234&lt;&gt;"",$K234&lt;&gt;"",$J234=$K234,$J234&gt;=U$3,$J234&lt;=IF(param_mode_affichage="mois",EOMONTH(U$3,0),U$3+6)),"◆",""))</f>
      </c>
      <c r="V234" s="26">
        <f>IF(OR($A234="",V$3=""),"",IF(AND($J234&lt;&gt;"",$K234&lt;&gt;"",$J234=$K234,$J234&gt;=V$3,$J234&lt;=IF(param_mode_affichage="mois",EOMONTH(V$3,0),V$3+6)),"◆",""))</f>
      </c>
      <c r="W234" s="26">
        <f>IF(OR($A234="",W$3=""),"",IF(AND($J234&lt;&gt;"",$K234&lt;&gt;"",$J234=$K234,$J234&gt;=W$3,$J234&lt;=IF(param_mode_affichage="mois",EOMONTH(W$3,0),W$3+6)),"◆",""))</f>
      </c>
      <c r="X234" s="26">
        <f>IF(OR($A234="",X$3=""),"",IF(AND($J234&lt;&gt;"",$K234&lt;&gt;"",$J234=$K234,$J234&gt;=X$3,$J234&lt;=IF(param_mode_affichage="mois",EOMONTH(X$3,0),X$3+6)),"◆",""))</f>
      </c>
      <c r="Y234" s="26">
        <f>IF(OR($A234="",Y$3=""),"",IF(AND($J234&lt;&gt;"",$K234&lt;&gt;"",$J234=$K234,$J234&gt;=Y$3,$J234&lt;=IF(param_mode_affichage="mois",EOMONTH(Y$3,0),Y$3+6)),"◆",""))</f>
      </c>
      <c r="Z234" s="26">
        <f>IF(OR($A234="",Z$3=""),"",IF(AND($J234&lt;&gt;"",$K234&lt;&gt;"",$J234=$K234,$J234&gt;=Z$3,$J234&lt;=IF(param_mode_affichage="mois",EOMONTH(Z$3,0),Z$3+6)),"◆",""))</f>
      </c>
      <c r="AA234" s="26">
        <f>IF(OR($A234="",AA$3=""),"",IF(AND($J234&lt;&gt;"",$K234&lt;&gt;"",$J234=$K234,$J234&gt;=AA$3,$J234&lt;=IF(param_mode_affichage="mois",EOMONTH(AA$3,0),AA$3+6)),"◆",""))</f>
      </c>
      <c r="AB234" s="26">
        <f>IF(OR($A234="",AB$3=""),"",IF(AND($J234&lt;&gt;"",$K234&lt;&gt;"",$J234=$K234,$J234&gt;=AB$3,$J234&lt;=IF(param_mode_affichage="mois",EOMONTH(AB$3,0),AB$3+6)),"◆",""))</f>
      </c>
      <c r="AC234" s="26">
        <f>IF(OR($A234="",AC$3=""),"",IF(AND($J234&lt;&gt;"",$K234&lt;&gt;"",$J234=$K234,$J234&gt;=AC$3,$J234&lt;=IF(param_mode_affichage="mois",EOMONTH(AC$3,0),AC$3+6)),"◆",""))</f>
      </c>
      <c r="AD234" s="26">
        <f>IF(OR($A234="",AD$3=""),"",IF(AND($J234&lt;&gt;"",$K234&lt;&gt;"",$J234=$K234,$J234&gt;=AD$3,$J234&lt;=IF(param_mode_affichage="mois",EOMONTH(AD$3,0),AD$3+6)),"◆",""))</f>
      </c>
      <c r="AE234" s="26">
        <f>IF(OR($A234="",AE$3=""),"",IF(AND($J234&lt;&gt;"",$K234&lt;&gt;"",$J234=$K234,$J234&gt;=AE$3,$J234&lt;=IF(param_mode_affichage="mois",EOMONTH(AE$3,0),AE$3+6)),"◆",""))</f>
      </c>
      <c r="AF234" s="26">
        <f>IF(OR($A234="",AF$3=""),"",IF(AND($J234&lt;&gt;"",$K234&lt;&gt;"",$J234=$K234,$J234&gt;=AF$3,$J234&lt;=IF(param_mode_affichage="mois",EOMONTH(AF$3,0),AF$3+6)),"◆",""))</f>
      </c>
      <c r="AG234" s="26">
        <f>IF(OR($A234="",AG$3=""),"",IF(AND($J234&lt;&gt;"",$K234&lt;&gt;"",$J234=$K234,$J234&gt;=AG$3,$J234&lt;=IF(param_mode_affichage="mois",EOMONTH(AG$3,0),AG$3+6)),"◆",""))</f>
      </c>
      <c r="AH234" s="26">
        <f>IF(OR($A234="",AH$3=""),"",IF(AND($J234&lt;&gt;"",$K234&lt;&gt;"",$J234=$K234,$J234&gt;=AH$3,$J234&lt;=IF(param_mode_affichage="mois",EOMONTH(AH$3,0),AH$3+6)),"◆",""))</f>
      </c>
      <c r="AI234" s="26">
        <f>IF(OR($A234="",AI$3=""),"",IF(AND($J234&lt;&gt;"",$K234&lt;&gt;"",$J234=$K234,$J234&gt;=AI$3,$J234&lt;=IF(param_mode_affichage="mois",EOMONTH(AI$3,0),AI$3+6)),"◆",""))</f>
      </c>
      <c r="AJ234" s="26">
        <f>IF(OR($A234="",AJ$3=""),"",IF(AND($J234&lt;&gt;"",$K234&lt;&gt;"",$J234=$K234,$J234&gt;=AJ$3,$J234&lt;=IF(param_mode_affichage="mois",EOMONTH(AJ$3,0),AJ$3+6)),"◆",""))</f>
      </c>
      <c r="AK234" s="26">
        <f>IF(OR($A234="",AK$3=""),"",IF(AND($J234&lt;&gt;"",$K234&lt;&gt;"",$J234=$K234,$J234&gt;=AK$3,$J234&lt;=IF(param_mode_affichage="mois",EOMONTH(AK$3,0),AK$3+6)),"◆",""))</f>
      </c>
      <c r="AL234" s="26">
        <f>IF(OR($A234="",AL$3=""),"",IF(AND($J234&lt;&gt;"",$K234&lt;&gt;"",$J234=$K234,$J234&gt;=AL$3,$J234&lt;=IF(param_mode_affichage="mois",EOMONTH(AL$3,0),AL$3+6)),"◆",""))</f>
      </c>
      <c r="AM234" s="26">
        <f>IF(OR($A234="",AM$3=""),"",IF(AND($J234&lt;&gt;"",$K234&lt;&gt;"",$J234=$K234,$J234&gt;=AM$3,$J234&lt;=IF(param_mode_affichage="mois",EOMONTH(AM$3,0),AM$3+6)),"◆",""))</f>
      </c>
      <c r="AN234" s="26">
        <f>IF(OR($A234="",AN$3=""),"",IF(AND($J234&lt;&gt;"",$K234&lt;&gt;"",$J234=$K234,$J234&gt;=AN$3,$J234&lt;=IF(param_mode_affichage="mois",EOMONTH(AN$3,0),AN$3+6)),"◆",""))</f>
      </c>
      <c r="AO234" s="26">
        <f>IF(OR($A234="",AO$3=""),"",IF(AND($J234&lt;&gt;"",$K234&lt;&gt;"",$J234=$K234,$J234&gt;=AO$3,$J234&lt;=IF(param_mode_affichage="mois",EOMONTH(AO$3,0),AO$3+6)),"◆",""))</f>
      </c>
      <c r="AP234" s="26">
        <f>IF(OR($A234="",AP$3=""),"",IF(AND($J234&lt;&gt;"",$K234&lt;&gt;"",$J234=$K234,$J234&gt;=AP$3,$J234&lt;=IF(param_mode_affichage="mois",EOMONTH(AP$3,0),AP$3+6)),"◆",""))</f>
      </c>
      <c r="AQ234" s="26">
        <f>IF(OR($A234="",AQ$3=""),"",IF(AND($J234&lt;&gt;"",$K234&lt;&gt;"",$J234=$K234,$J234&gt;=AQ$3,$J234&lt;=IF(param_mode_affichage="mois",EOMONTH(AQ$3,0),AQ$3+6)),"◆",""))</f>
      </c>
      <c r="AR234" s="26">
        <f>IF(OR($A234="",AR$3=""),"",IF(AND($J234&lt;&gt;"",$K234&lt;&gt;"",$J234=$K234,$J234&gt;=AR$3,$J234&lt;=IF(param_mode_affichage="mois",EOMONTH(AR$3,0),AR$3+6)),"◆",""))</f>
      </c>
      <c r="AS234" s="26">
        <f>IF(OR($A234="",AS$3=""),"",IF(AND($J234&lt;&gt;"",$K234&lt;&gt;"",$J234=$K234,$J234&gt;=AS$3,$J234&lt;=IF(param_mode_affichage="mois",EOMONTH(AS$3,0),AS$3+6)),"◆",""))</f>
      </c>
      <c r="AT234" s="26">
        <f>IF(OR($A234="",AT$3=""),"",IF(AND($J234&lt;&gt;"",$K234&lt;&gt;"",$J234=$K234,$J234&gt;=AT$3,$J234&lt;=IF(param_mode_affichage="mois",EOMONTH(AT$3,0),AT$3+6)),"◆",""))</f>
      </c>
      <c r="AU234" s="26">
        <f>IF(OR($A234="",AU$3=""),"",IF(AND($J234&lt;&gt;"",$K234&lt;&gt;"",$J234=$K234,$J234&gt;=AU$3,$J234&lt;=IF(param_mode_affichage="mois",EOMONTH(AU$3,0),AU$3+6)),"◆",""))</f>
      </c>
      <c r="AV234" s="26">
        <f>IF(OR($A234="",AV$3=""),"",IF(AND($J234&lt;&gt;"",$K234&lt;&gt;"",$J234=$K234,$J234&gt;=AV$3,$J234&lt;=IF(param_mode_affichage="mois",EOMONTH(AV$3,0),AV$3+6)),"◆",""))</f>
      </c>
      <c r="AW234" s="26">
        <f>IF(OR($A234="",AW$3=""),"",IF(AND($J234&lt;&gt;"",$K234&lt;&gt;"",$J234=$K234,$J234&gt;=AW$3,$J234&lt;=IF(param_mode_affichage="mois",EOMONTH(AW$3,0),AW$3+6)),"◆",""))</f>
      </c>
      <c r="AX234" s="26">
        <f>IF(OR($A234="",AX$3=""),"",IF(AND($J234&lt;&gt;"",$K234&lt;&gt;"",$J234=$K234,$J234&gt;=AX$3,$J234&lt;=IF(param_mode_affichage="mois",EOMONTH(AX$3,0),AX$3+6)),"◆",""))</f>
      </c>
      <c r="AY234" s="26">
        <f>IF(OR($A234="",AY$3=""),"",IF(AND($J234&lt;&gt;"",$K234&lt;&gt;"",$J234=$K234,$J234&gt;=AY$3,$J234&lt;=IF(param_mode_affichage="mois",EOMONTH(AY$3,0),AY$3+6)),"◆",""))</f>
      </c>
      <c r="AZ234" s="26">
        <f>IF(OR($A234="",AZ$3=""),"",IF(AND($J234&lt;&gt;"",$K234&lt;&gt;"",$J234=$K234,$J234&gt;=AZ$3,$J234&lt;=IF(param_mode_affichage="mois",EOMONTH(AZ$3,0),AZ$3+6)),"◆",""))</f>
      </c>
      <c r="BA234" s="26">
        <f>IF(OR($A234="",BA$3=""),"",IF(AND($J234&lt;&gt;"",$K234&lt;&gt;"",$J234=$K234,$J234&gt;=BA$3,$J234&lt;=IF(param_mode_affichage="mois",EOMONTH(BA$3,0),BA$3+6)),"◆",""))</f>
      </c>
      <c r="BB234" s="26">
        <f>IF(OR($A234="",BB$3=""),"",IF(AND($J234&lt;&gt;"",$K234&lt;&gt;"",$J234=$K234,$J234&gt;=BB$3,$J234&lt;=IF(param_mode_affichage="mois",EOMONTH(BB$3,0),BB$3+6)),"◆",""))</f>
      </c>
      <c r="BC234" s="26">
        <f>IF(OR($A234="",BC$3=""),"",IF(AND($J234&lt;&gt;"",$K234&lt;&gt;"",$J234=$K234,$J234&gt;=BC$3,$J234&lt;=IF(param_mode_affichage="mois",EOMONTH(BC$3,0),BC$3+6)),"◆",""))</f>
      </c>
      <c r="BD234" s="26">
        <f>IF(OR($A234="",BD$3=""),"",IF(AND($J234&lt;&gt;"",$K234&lt;&gt;"",$J234=$K234,$J234&gt;=BD$3,$J234&lt;=IF(param_mode_affichage="mois",EOMONTH(BD$3,0),BD$3+6)),"◆",""))</f>
      </c>
      <c r="BE234" s="26">
        <f>IF(OR($A234="",BE$3=""),"",IF(AND($J234&lt;&gt;"",$K234&lt;&gt;"",$J234=$K234,$J234&gt;=BE$3,$J234&lt;=IF(param_mode_affichage="mois",EOMONTH(BE$3,0),BE$3+6)),"◆",""))</f>
      </c>
      <c r="BF234" s="26">
        <f>IF(OR($A234="",BF$3=""),"",IF(AND($J234&lt;&gt;"",$K234&lt;&gt;"",$J234=$K234,$J234&gt;=BF$3,$J234&lt;=IF(param_mode_affichage="mois",EOMONTH(BF$3,0),BF$3+6)),"◆",""))</f>
      </c>
      <c r="BG234" s="26">
        <f>IF(OR($A234="",BG$3=""),"",IF(AND($J234&lt;&gt;"",$K234&lt;&gt;"",$J234=$K234,$J234&gt;=BG$3,$J234&lt;=IF(param_mode_affichage="mois",EOMONTH(BG$3,0),BG$3+6)),"◆",""))</f>
      </c>
      <c r="BH234" s="26">
        <f>IF(OR($A234="",BH$3=""),"",IF(AND($J234&lt;&gt;"",$K234&lt;&gt;"",$J234=$K234,$J234&gt;=BH$3,$J234&lt;=IF(param_mode_affichage="mois",EOMONTH(BH$3,0),BH$3+6)),"◆",""))</f>
      </c>
      <c r="BI234" s="26">
        <f>IF(OR($A234="",BI$3=""),"",IF(AND($J234&lt;&gt;"",$K234&lt;&gt;"",$J234=$K234,$J234&gt;=BI$3,$J234&lt;=IF(param_mode_affichage="mois",EOMONTH(BI$3,0),BI$3+6)),"◆",""))</f>
      </c>
      <c r="BJ234" s="26">
        <f>IF(OR($A234="",BJ$3=""),"",IF(AND($J234&lt;&gt;"",$K234&lt;&gt;"",$J234=$K234,$J234&gt;=BJ$3,$J234&lt;=IF(param_mode_affichage="mois",EOMONTH(BJ$3,0),BJ$3+6)),"◆",""))</f>
      </c>
      <c r="BK234" s="26">
        <f>IF(OR($A234="",BK$3=""),"",IF(AND($J234&lt;&gt;"",$K234&lt;&gt;"",$J234=$K234,$J234&gt;=BK$3,$J234&lt;=IF(param_mode_affichage="mois",EOMONTH(BK$3,0),BK$3+6)),"◆",""))</f>
      </c>
      <c r="BL234" s="26">
        <f>IF(OR($A234="",BL$3=""),"",IF(AND($J234&lt;&gt;"",$K234&lt;&gt;"",$J234=$K234,$J234&gt;=BL$3,$J234&lt;=IF(param_mode_affichage="mois",EOMONTH(BL$3,0),BL$3+6)),"◆",""))</f>
      </c>
    </row>
    <row r="235" spans="1:64" x14ac:dyDescent="0.25">
      <c r="A235" s="23">
        <f>IFERROR(INDEX(tblTasks[ID],ROW()-4),"")</f>
      </c>
      <c r="B235" s="24">
        <f>IF($A235="","",INDEX(tblTasks[Sujet],ROW()-4))</f>
      </c>
      <c r="C235" s="23">
        <f>IF($A235="","",INDEX(tblTasks[Responsable],ROW()-4))</f>
      </c>
      <c r="D235" s="23">
        <f>IF($A235="","",INDEX(tblTasks[Statut],ROW()-4))</f>
      </c>
      <c r="E235" s="23">
        <f>IF($A235="","",INDEX(tblTasks[Depend_de],ROW()-4))</f>
      </c>
      <c r="F235" s="23">
        <f>IF($A235="","",INDEX(tblTasks[Blocage],ROW()-4))</f>
      </c>
      <c r="G235" s="23">
        <f>IF($A235="","",INDEX(tblTasks[Niveau_criticite],ROW()-4))</f>
      </c>
      <c r="H235" s="23">
        <f>IF($A235="","",INDEX(tblTasks[Goulot],ROW()-4))</f>
      </c>
      <c r="I235" s="23">
        <f>IF($A235="","",IF(LOWER($F235)="oui","non",IF($E235="","oui",IFERROR(IF(LOWER(INDEX(tblTasks[Statut],MATCH($E235,tblTasks[ID],0)))="clos","oui","non"),"non"))))</f>
      </c>
      <c r="J235" s="25">
        <f>IF($A235="","",INDEX(tblTasks[Date_debut_prevue],ROW()-4))</f>
      </c>
      <c r="K235" s="25">
        <f>IF($A235="","",INDEX(tblTasks[Date_fin_prevue],ROW()-4))</f>
      </c>
      <c r="L235" s="23">
        <f>IF($A235="","",INDEX(tblTasks[Irreversibilite],ROW()-4))</f>
      </c>
      <c r="M235" s="26">
        <f>IF(OR($A235="",M$3=""),"",IF(AND($J235&lt;&gt;"",$K235&lt;&gt;"",$J235=$K235,$J235&gt;=M$3,$J235&lt;=IF(param_mode_affichage="mois",EOMONTH(M$3,0),M$3+6)),"◆",""))</f>
      </c>
      <c r="N235" s="26">
        <f>IF(OR($A235="",N$3=""),"",IF(AND($J235&lt;&gt;"",$K235&lt;&gt;"",$J235=$K235,$J235&gt;=N$3,$J235&lt;=IF(param_mode_affichage="mois",EOMONTH(N$3,0),N$3+6)),"◆",""))</f>
      </c>
      <c r="O235" s="26">
        <f>IF(OR($A235="",O$3=""),"",IF(AND($J235&lt;&gt;"",$K235&lt;&gt;"",$J235=$K235,$J235&gt;=O$3,$J235&lt;=IF(param_mode_affichage="mois",EOMONTH(O$3,0),O$3+6)),"◆",""))</f>
      </c>
      <c r="P235" s="26">
        <f>IF(OR($A235="",P$3=""),"",IF(AND($J235&lt;&gt;"",$K235&lt;&gt;"",$J235=$K235,$J235&gt;=P$3,$J235&lt;=IF(param_mode_affichage="mois",EOMONTH(P$3,0),P$3+6)),"◆",""))</f>
      </c>
      <c r="Q235" s="26">
        <f>IF(OR($A235="",Q$3=""),"",IF(AND($J235&lt;&gt;"",$K235&lt;&gt;"",$J235=$K235,$J235&gt;=Q$3,$J235&lt;=IF(param_mode_affichage="mois",EOMONTH(Q$3,0),Q$3+6)),"◆",""))</f>
      </c>
      <c r="R235" s="26">
        <f>IF(OR($A235="",R$3=""),"",IF(AND($J235&lt;&gt;"",$K235&lt;&gt;"",$J235=$K235,$J235&gt;=R$3,$J235&lt;=IF(param_mode_affichage="mois",EOMONTH(R$3,0),R$3+6)),"◆",""))</f>
      </c>
      <c r="S235" s="26">
        <f>IF(OR($A235="",S$3=""),"",IF(AND($J235&lt;&gt;"",$K235&lt;&gt;"",$J235=$K235,$J235&gt;=S$3,$J235&lt;=IF(param_mode_affichage="mois",EOMONTH(S$3,0),S$3+6)),"◆",""))</f>
      </c>
      <c r="T235" s="26">
        <f>IF(OR($A235="",T$3=""),"",IF(AND($J235&lt;&gt;"",$K235&lt;&gt;"",$J235=$K235,$J235&gt;=T$3,$J235&lt;=IF(param_mode_affichage="mois",EOMONTH(T$3,0),T$3+6)),"◆",""))</f>
      </c>
      <c r="U235" s="26">
        <f>IF(OR($A235="",U$3=""),"",IF(AND($J235&lt;&gt;"",$K235&lt;&gt;"",$J235=$K235,$J235&gt;=U$3,$J235&lt;=IF(param_mode_affichage="mois",EOMONTH(U$3,0),U$3+6)),"◆",""))</f>
      </c>
      <c r="V235" s="26">
        <f>IF(OR($A235="",V$3=""),"",IF(AND($J235&lt;&gt;"",$K235&lt;&gt;"",$J235=$K235,$J235&gt;=V$3,$J235&lt;=IF(param_mode_affichage="mois",EOMONTH(V$3,0),V$3+6)),"◆",""))</f>
      </c>
      <c r="W235" s="26">
        <f>IF(OR($A235="",W$3=""),"",IF(AND($J235&lt;&gt;"",$K235&lt;&gt;"",$J235=$K235,$J235&gt;=W$3,$J235&lt;=IF(param_mode_affichage="mois",EOMONTH(W$3,0),W$3+6)),"◆",""))</f>
      </c>
      <c r="X235" s="26">
        <f>IF(OR($A235="",X$3=""),"",IF(AND($J235&lt;&gt;"",$K235&lt;&gt;"",$J235=$K235,$J235&gt;=X$3,$J235&lt;=IF(param_mode_affichage="mois",EOMONTH(X$3,0),X$3+6)),"◆",""))</f>
      </c>
      <c r="Y235" s="26">
        <f>IF(OR($A235="",Y$3=""),"",IF(AND($J235&lt;&gt;"",$K235&lt;&gt;"",$J235=$K235,$J235&gt;=Y$3,$J235&lt;=IF(param_mode_affichage="mois",EOMONTH(Y$3,0),Y$3+6)),"◆",""))</f>
      </c>
      <c r="Z235" s="26">
        <f>IF(OR($A235="",Z$3=""),"",IF(AND($J235&lt;&gt;"",$K235&lt;&gt;"",$J235=$K235,$J235&gt;=Z$3,$J235&lt;=IF(param_mode_affichage="mois",EOMONTH(Z$3,0),Z$3+6)),"◆",""))</f>
      </c>
      <c r="AA235" s="26">
        <f>IF(OR($A235="",AA$3=""),"",IF(AND($J235&lt;&gt;"",$K235&lt;&gt;"",$J235=$K235,$J235&gt;=AA$3,$J235&lt;=IF(param_mode_affichage="mois",EOMONTH(AA$3,0),AA$3+6)),"◆",""))</f>
      </c>
      <c r="AB235" s="26">
        <f>IF(OR($A235="",AB$3=""),"",IF(AND($J235&lt;&gt;"",$K235&lt;&gt;"",$J235=$K235,$J235&gt;=AB$3,$J235&lt;=IF(param_mode_affichage="mois",EOMONTH(AB$3,0),AB$3+6)),"◆",""))</f>
      </c>
      <c r="AC235" s="26">
        <f>IF(OR($A235="",AC$3=""),"",IF(AND($J235&lt;&gt;"",$K235&lt;&gt;"",$J235=$K235,$J235&gt;=AC$3,$J235&lt;=IF(param_mode_affichage="mois",EOMONTH(AC$3,0),AC$3+6)),"◆",""))</f>
      </c>
      <c r="AD235" s="26">
        <f>IF(OR($A235="",AD$3=""),"",IF(AND($J235&lt;&gt;"",$K235&lt;&gt;"",$J235=$K235,$J235&gt;=AD$3,$J235&lt;=IF(param_mode_affichage="mois",EOMONTH(AD$3,0),AD$3+6)),"◆",""))</f>
      </c>
      <c r="AE235" s="26">
        <f>IF(OR($A235="",AE$3=""),"",IF(AND($J235&lt;&gt;"",$K235&lt;&gt;"",$J235=$K235,$J235&gt;=AE$3,$J235&lt;=IF(param_mode_affichage="mois",EOMONTH(AE$3,0),AE$3+6)),"◆",""))</f>
      </c>
      <c r="AF235" s="26">
        <f>IF(OR($A235="",AF$3=""),"",IF(AND($J235&lt;&gt;"",$K235&lt;&gt;"",$J235=$K235,$J235&gt;=AF$3,$J235&lt;=IF(param_mode_affichage="mois",EOMONTH(AF$3,0),AF$3+6)),"◆",""))</f>
      </c>
      <c r="AG235" s="26">
        <f>IF(OR($A235="",AG$3=""),"",IF(AND($J235&lt;&gt;"",$K235&lt;&gt;"",$J235=$K235,$J235&gt;=AG$3,$J235&lt;=IF(param_mode_affichage="mois",EOMONTH(AG$3,0),AG$3+6)),"◆",""))</f>
      </c>
      <c r="AH235" s="26">
        <f>IF(OR($A235="",AH$3=""),"",IF(AND($J235&lt;&gt;"",$K235&lt;&gt;"",$J235=$K235,$J235&gt;=AH$3,$J235&lt;=IF(param_mode_affichage="mois",EOMONTH(AH$3,0),AH$3+6)),"◆",""))</f>
      </c>
      <c r="AI235" s="26">
        <f>IF(OR($A235="",AI$3=""),"",IF(AND($J235&lt;&gt;"",$K235&lt;&gt;"",$J235=$K235,$J235&gt;=AI$3,$J235&lt;=IF(param_mode_affichage="mois",EOMONTH(AI$3,0),AI$3+6)),"◆",""))</f>
      </c>
      <c r="AJ235" s="26">
        <f>IF(OR($A235="",AJ$3=""),"",IF(AND($J235&lt;&gt;"",$K235&lt;&gt;"",$J235=$K235,$J235&gt;=AJ$3,$J235&lt;=IF(param_mode_affichage="mois",EOMONTH(AJ$3,0),AJ$3+6)),"◆",""))</f>
      </c>
      <c r="AK235" s="26">
        <f>IF(OR($A235="",AK$3=""),"",IF(AND($J235&lt;&gt;"",$K235&lt;&gt;"",$J235=$K235,$J235&gt;=AK$3,$J235&lt;=IF(param_mode_affichage="mois",EOMONTH(AK$3,0),AK$3+6)),"◆",""))</f>
      </c>
      <c r="AL235" s="26">
        <f>IF(OR($A235="",AL$3=""),"",IF(AND($J235&lt;&gt;"",$K235&lt;&gt;"",$J235=$K235,$J235&gt;=AL$3,$J235&lt;=IF(param_mode_affichage="mois",EOMONTH(AL$3,0),AL$3+6)),"◆",""))</f>
      </c>
      <c r="AM235" s="26">
        <f>IF(OR($A235="",AM$3=""),"",IF(AND($J235&lt;&gt;"",$K235&lt;&gt;"",$J235=$K235,$J235&gt;=AM$3,$J235&lt;=IF(param_mode_affichage="mois",EOMONTH(AM$3,0),AM$3+6)),"◆",""))</f>
      </c>
      <c r="AN235" s="26">
        <f>IF(OR($A235="",AN$3=""),"",IF(AND($J235&lt;&gt;"",$K235&lt;&gt;"",$J235=$K235,$J235&gt;=AN$3,$J235&lt;=IF(param_mode_affichage="mois",EOMONTH(AN$3,0),AN$3+6)),"◆",""))</f>
      </c>
      <c r="AO235" s="26">
        <f>IF(OR($A235="",AO$3=""),"",IF(AND($J235&lt;&gt;"",$K235&lt;&gt;"",$J235=$K235,$J235&gt;=AO$3,$J235&lt;=IF(param_mode_affichage="mois",EOMONTH(AO$3,0),AO$3+6)),"◆",""))</f>
      </c>
      <c r="AP235" s="26">
        <f>IF(OR($A235="",AP$3=""),"",IF(AND($J235&lt;&gt;"",$K235&lt;&gt;"",$J235=$K235,$J235&gt;=AP$3,$J235&lt;=IF(param_mode_affichage="mois",EOMONTH(AP$3,0),AP$3+6)),"◆",""))</f>
      </c>
      <c r="AQ235" s="26">
        <f>IF(OR($A235="",AQ$3=""),"",IF(AND($J235&lt;&gt;"",$K235&lt;&gt;"",$J235=$K235,$J235&gt;=AQ$3,$J235&lt;=IF(param_mode_affichage="mois",EOMONTH(AQ$3,0),AQ$3+6)),"◆",""))</f>
      </c>
      <c r="AR235" s="26">
        <f>IF(OR($A235="",AR$3=""),"",IF(AND($J235&lt;&gt;"",$K235&lt;&gt;"",$J235=$K235,$J235&gt;=AR$3,$J235&lt;=IF(param_mode_affichage="mois",EOMONTH(AR$3,0),AR$3+6)),"◆",""))</f>
      </c>
      <c r="AS235" s="26">
        <f>IF(OR($A235="",AS$3=""),"",IF(AND($J235&lt;&gt;"",$K235&lt;&gt;"",$J235=$K235,$J235&gt;=AS$3,$J235&lt;=IF(param_mode_affichage="mois",EOMONTH(AS$3,0),AS$3+6)),"◆",""))</f>
      </c>
      <c r="AT235" s="26">
        <f>IF(OR($A235="",AT$3=""),"",IF(AND($J235&lt;&gt;"",$K235&lt;&gt;"",$J235=$K235,$J235&gt;=AT$3,$J235&lt;=IF(param_mode_affichage="mois",EOMONTH(AT$3,0),AT$3+6)),"◆",""))</f>
      </c>
      <c r="AU235" s="26">
        <f>IF(OR($A235="",AU$3=""),"",IF(AND($J235&lt;&gt;"",$K235&lt;&gt;"",$J235=$K235,$J235&gt;=AU$3,$J235&lt;=IF(param_mode_affichage="mois",EOMONTH(AU$3,0),AU$3+6)),"◆",""))</f>
      </c>
      <c r="AV235" s="26">
        <f>IF(OR($A235="",AV$3=""),"",IF(AND($J235&lt;&gt;"",$K235&lt;&gt;"",$J235=$K235,$J235&gt;=AV$3,$J235&lt;=IF(param_mode_affichage="mois",EOMONTH(AV$3,0),AV$3+6)),"◆",""))</f>
      </c>
      <c r="AW235" s="26">
        <f>IF(OR($A235="",AW$3=""),"",IF(AND($J235&lt;&gt;"",$K235&lt;&gt;"",$J235=$K235,$J235&gt;=AW$3,$J235&lt;=IF(param_mode_affichage="mois",EOMONTH(AW$3,0),AW$3+6)),"◆",""))</f>
      </c>
      <c r="AX235" s="26">
        <f>IF(OR($A235="",AX$3=""),"",IF(AND($J235&lt;&gt;"",$K235&lt;&gt;"",$J235=$K235,$J235&gt;=AX$3,$J235&lt;=IF(param_mode_affichage="mois",EOMONTH(AX$3,0),AX$3+6)),"◆",""))</f>
      </c>
      <c r="AY235" s="26">
        <f>IF(OR($A235="",AY$3=""),"",IF(AND($J235&lt;&gt;"",$K235&lt;&gt;"",$J235=$K235,$J235&gt;=AY$3,$J235&lt;=IF(param_mode_affichage="mois",EOMONTH(AY$3,0),AY$3+6)),"◆",""))</f>
      </c>
      <c r="AZ235" s="26">
        <f>IF(OR($A235="",AZ$3=""),"",IF(AND($J235&lt;&gt;"",$K235&lt;&gt;"",$J235=$K235,$J235&gt;=AZ$3,$J235&lt;=IF(param_mode_affichage="mois",EOMONTH(AZ$3,0),AZ$3+6)),"◆",""))</f>
      </c>
      <c r="BA235" s="26">
        <f>IF(OR($A235="",BA$3=""),"",IF(AND($J235&lt;&gt;"",$K235&lt;&gt;"",$J235=$K235,$J235&gt;=BA$3,$J235&lt;=IF(param_mode_affichage="mois",EOMONTH(BA$3,0),BA$3+6)),"◆",""))</f>
      </c>
      <c r="BB235" s="26">
        <f>IF(OR($A235="",BB$3=""),"",IF(AND($J235&lt;&gt;"",$K235&lt;&gt;"",$J235=$K235,$J235&gt;=BB$3,$J235&lt;=IF(param_mode_affichage="mois",EOMONTH(BB$3,0),BB$3+6)),"◆",""))</f>
      </c>
      <c r="BC235" s="26">
        <f>IF(OR($A235="",BC$3=""),"",IF(AND($J235&lt;&gt;"",$K235&lt;&gt;"",$J235=$K235,$J235&gt;=BC$3,$J235&lt;=IF(param_mode_affichage="mois",EOMONTH(BC$3,0),BC$3+6)),"◆",""))</f>
      </c>
      <c r="BD235" s="26">
        <f>IF(OR($A235="",BD$3=""),"",IF(AND($J235&lt;&gt;"",$K235&lt;&gt;"",$J235=$K235,$J235&gt;=BD$3,$J235&lt;=IF(param_mode_affichage="mois",EOMONTH(BD$3,0),BD$3+6)),"◆",""))</f>
      </c>
      <c r="BE235" s="26">
        <f>IF(OR($A235="",BE$3=""),"",IF(AND($J235&lt;&gt;"",$K235&lt;&gt;"",$J235=$K235,$J235&gt;=BE$3,$J235&lt;=IF(param_mode_affichage="mois",EOMONTH(BE$3,0),BE$3+6)),"◆",""))</f>
      </c>
      <c r="BF235" s="26">
        <f>IF(OR($A235="",BF$3=""),"",IF(AND($J235&lt;&gt;"",$K235&lt;&gt;"",$J235=$K235,$J235&gt;=BF$3,$J235&lt;=IF(param_mode_affichage="mois",EOMONTH(BF$3,0),BF$3+6)),"◆",""))</f>
      </c>
      <c r="BG235" s="26">
        <f>IF(OR($A235="",BG$3=""),"",IF(AND($J235&lt;&gt;"",$K235&lt;&gt;"",$J235=$K235,$J235&gt;=BG$3,$J235&lt;=IF(param_mode_affichage="mois",EOMONTH(BG$3,0),BG$3+6)),"◆",""))</f>
      </c>
      <c r="BH235" s="26">
        <f>IF(OR($A235="",BH$3=""),"",IF(AND($J235&lt;&gt;"",$K235&lt;&gt;"",$J235=$K235,$J235&gt;=BH$3,$J235&lt;=IF(param_mode_affichage="mois",EOMONTH(BH$3,0),BH$3+6)),"◆",""))</f>
      </c>
      <c r="BI235" s="26">
        <f>IF(OR($A235="",BI$3=""),"",IF(AND($J235&lt;&gt;"",$K235&lt;&gt;"",$J235=$K235,$J235&gt;=BI$3,$J235&lt;=IF(param_mode_affichage="mois",EOMONTH(BI$3,0),BI$3+6)),"◆",""))</f>
      </c>
      <c r="BJ235" s="26">
        <f>IF(OR($A235="",BJ$3=""),"",IF(AND($J235&lt;&gt;"",$K235&lt;&gt;"",$J235=$K235,$J235&gt;=BJ$3,$J235&lt;=IF(param_mode_affichage="mois",EOMONTH(BJ$3,0),BJ$3+6)),"◆",""))</f>
      </c>
      <c r="BK235" s="26">
        <f>IF(OR($A235="",BK$3=""),"",IF(AND($J235&lt;&gt;"",$K235&lt;&gt;"",$J235=$K235,$J235&gt;=BK$3,$J235&lt;=IF(param_mode_affichage="mois",EOMONTH(BK$3,0),BK$3+6)),"◆",""))</f>
      </c>
      <c r="BL235" s="26">
        <f>IF(OR($A235="",BL$3=""),"",IF(AND($J235&lt;&gt;"",$K235&lt;&gt;"",$J235=$K235,$J235&gt;=BL$3,$J235&lt;=IF(param_mode_affichage="mois",EOMONTH(BL$3,0),BL$3+6)),"◆",""))</f>
      </c>
    </row>
    <row r="236" spans="1:64" x14ac:dyDescent="0.25">
      <c r="A236" s="23">
        <f>IFERROR(INDEX(tblTasks[ID],ROW()-4),"")</f>
      </c>
      <c r="B236" s="24">
        <f>IF($A236="","",INDEX(tblTasks[Sujet],ROW()-4))</f>
      </c>
      <c r="C236" s="23">
        <f>IF($A236="","",INDEX(tblTasks[Responsable],ROW()-4))</f>
      </c>
      <c r="D236" s="23">
        <f>IF($A236="","",INDEX(tblTasks[Statut],ROW()-4))</f>
      </c>
      <c r="E236" s="23">
        <f>IF($A236="","",INDEX(tblTasks[Depend_de],ROW()-4))</f>
      </c>
      <c r="F236" s="23">
        <f>IF($A236="","",INDEX(tblTasks[Blocage],ROW()-4))</f>
      </c>
      <c r="G236" s="23">
        <f>IF($A236="","",INDEX(tblTasks[Niveau_criticite],ROW()-4))</f>
      </c>
      <c r="H236" s="23">
        <f>IF($A236="","",INDEX(tblTasks[Goulot],ROW()-4))</f>
      </c>
      <c r="I236" s="23">
        <f>IF($A236="","",IF(LOWER($F236)="oui","non",IF($E236="","oui",IFERROR(IF(LOWER(INDEX(tblTasks[Statut],MATCH($E236,tblTasks[ID],0)))="clos","oui","non"),"non"))))</f>
      </c>
      <c r="J236" s="25">
        <f>IF($A236="","",INDEX(tblTasks[Date_debut_prevue],ROW()-4))</f>
      </c>
      <c r="K236" s="25">
        <f>IF($A236="","",INDEX(tblTasks[Date_fin_prevue],ROW()-4))</f>
      </c>
      <c r="L236" s="23">
        <f>IF($A236="","",INDEX(tblTasks[Irreversibilite],ROW()-4))</f>
      </c>
      <c r="M236" s="26">
        <f>IF(OR($A236="",M$3=""),"",IF(AND($J236&lt;&gt;"",$K236&lt;&gt;"",$J236=$K236,$J236&gt;=M$3,$J236&lt;=IF(param_mode_affichage="mois",EOMONTH(M$3,0),M$3+6)),"◆",""))</f>
      </c>
      <c r="N236" s="26">
        <f>IF(OR($A236="",N$3=""),"",IF(AND($J236&lt;&gt;"",$K236&lt;&gt;"",$J236=$K236,$J236&gt;=N$3,$J236&lt;=IF(param_mode_affichage="mois",EOMONTH(N$3,0),N$3+6)),"◆",""))</f>
      </c>
      <c r="O236" s="26">
        <f>IF(OR($A236="",O$3=""),"",IF(AND($J236&lt;&gt;"",$K236&lt;&gt;"",$J236=$K236,$J236&gt;=O$3,$J236&lt;=IF(param_mode_affichage="mois",EOMONTH(O$3,0),O$3+6)),"◆",""))</f>
      </c>
      <c r="P236" s="26">
        <f>IF(OR($A236="",P$3=""),"",IF(AND($J236&lt;&gt;"",$K236&lt;&gt;"",$J236=$K236,$J236&gt;=P$3,$J236&lt;=IF(param_mode_affichage="mois",EOMONTH(P$3,0),P$3+6)),"◆",""))</f>
      </c>
      <c r="Q236" s="26">
        <f>IF(OR($A236="",Q$3=""),"",IF(AND($J236&lt;&gt;"",$K236&lt;&gt;"",$J236=$K236,$J236&gt;=Q$3,$J236&lt;=IF(param_mode_affichage="mois",EOMONTH(Q$3,0),Q$3+6)),"◆",""))</f>
      </c>
      <c r="R236" s="26">
        <f>IF(OR($A236="",R$3=""),"",IF(AND($J236&lt;&gt;"",$K236&lt;&gt;"",$J236=$K236,$J236&gt;=R$3,$J236&lt;=IF(param_mode_affichage="mois",EOMONTH(R$3,0),R$3+6)),"◆",""))</f>
      </c>
      <c r="S236" s="26">
        <f>IF(OR($A236="",S$3=""),"",IF(AND($J236&lt;&gt;"",$K236&lt;&gt;"",$J236=$K236,$J236&gt;=S$3,$J236&lt;=IF(param_mode_affichage="mois",EOMONTH(S$3,0),S$3+6)),"◆",""))</f>
      </c>
      <c r="T236" s="26">
        <f>IF(OR($A236="",T$3=""),"",IF(AND($J236&lt;&gt;"",$K236&lt;&gt;"",$J236=$K236,$J236&gt;=T$3,$J236&lt;=IF(param_mode_affichage="mois",EOMONTH(T$3,0),T$3+6)),"◆",""))</f>
      </c>
      <c r="U236" s="26">
        <f>IF(OR($A236="",U$3=""),"",IF(AND($J236&lt;&gt;"",$K236&lt;&gt;"",$J236=$K236,$J236&gt;=U$3,$J236&lt;=IF(param_mode_affichage="mois",EOMONTH(U$3,0),U$3+6)),"◆",""))</f>
      </c>
      <c r="V236" s="26">
        <f>IF(OR($A236="",V$3=""),"",IF(AND($J236&lt;&gt;"",$K236&lt;&gt;"",$J236=$K236,$J236&gt;=V$3,$J236&lt;=IF(param_mode_affichage="mois",EOMONTH(V$3,0),V$3+6)),"◆",""))</f>
      </c>
      <c r="W236" s="26">
        <f>IF(OR($A236="",W$3=""),"",IF(AND($J236&lt;&gt;"",$K236&lt;&gt;"",$J236=$K236,$J236&gt;=W$3,$J236&lt;=IF(param_mode_affichage="mois",EOMONTH(W$3,0),W$3+6)),"◆",""))</f>
      </c>
      <c r="X236" s="26">
        <f>IF(OR($A236="",X$3=""),"",IF(AND($J236&lt;&gt;"",$K236&lt;&gt;"",$J236=$K236,$J236&gt;=X$3,$J236&lt;=IF(param_mode_affichage="mois",EOMONTH(X$3,0),X$3+6)),"◆",""))</f>
      </c>
      <c r="Y236" s="26">
        <f>IF(OR($A236="",Y$3=""),"",IF(AND($J236&lt;&gt;"",$K236&lt;&gt;"",$J236=$K236,$J236&gt;=Y$3,$J236&lt;=IF(param_mode_affichage="mois",EOMONTH(Y$3,0),Y$3+6)),"◆",""))</f>
      </c>
      <c r="Z236" s="26">
        <f>IF(OR($A236="",Z$3=""),"",IF(AND($J236&lt;&gt;"",$K236&lt;&gt;"",$J236=$K236,$J236&gt;=Z$3,$J236&lt;=IF(param_mode_affichage="mois",EOMONTH(Z$3,0),Z$3+6)),"◆",""))</f>
      </c>
      <c r="AA236" s="26">
        <f>IF(OR($A236="",AA$3=""),"",IF(AND($J236&lt;&gt;"",$K236&lt;&gt;"",$J236=$K236,$J236&gt;=AA$3,$J236&lt;=IF(param_mode_affichage="mois",EOMONTH(AA$3,0),AA$3+6)),"◆",""))</f>
      </c>
      <c r="AB236" s="26">
        <f>IF(OR($A236="",AB$3=""),"",IF(AND($J236&lt;&gt;"",$K236&lt;&gt;"",$J236=$K236,$J236&gt;=AB$3,$J236&lt;=IF(param_mode_affichage="mois",EOMONTH(AB$3,0),AB$3+6)),"◆",""))</f>
      </c>
      <c r="AC236" s="26">
        <f>IF(OR($A236="",AC$3=""),"",IF(AND($J236&lt;&gt;"",$K236&lt;&gt;"",$J236=$K236,$J236&gt;=AC$3,$J236&lt;=IF(param_mode_affichage="mois",EOMONTH(AC$3,0),AC$3+6)),"◆",""))</f>
      </c>
      <c r="AD236" s="26">
        <f>IF(OR($A236="",AD$3=""),"",IF(AND($J236&lt;&gt;"",$K236&lt;&gt;"",$J236=$K236,$J236&gt;=AD$3,$J236&lt;=IF(param_mode_affichage="mois",EOMONTH(AD$3,0),AD$3+6)),"◆",""))</f>
      </c>
      <c r="AE236" s="26">
        <f>IF(OR($A236="",AE$3=""),"",IF(AND($J236&lt;&gt;"",$K236&lt;&gt;"",$J236=$K236,$J236&gt;=AE$3,$J236&lt;=IF(param_mode_affichage="mois",EOMONTH(AE$3,0),AE$3+6)),"◆",""))</f>
      </c>
      <c r="AF236" s="26">
        <f>IF(OR($A236="",AF$3=""),"",IF(AND($J236&lt;&gt;"",$K236&lt;&gt;"",$J236=$K236,$J236&gt;=AF$3,$J236&lt;=IF(param_mode_affichage="mois",EOMONTH(AF$3,0),AF$3+6)),"◆",""))</f>
      </c>
      <c r="AG236" s="26">
        <f>IF(OR($A236="",AG$3=""),"",IF(AND($J236&lt;&gt;"",$K236&lt;&gt;"",$J236=$K236,$J236&gt;=AG$3,$J236&lt;=IF(param_mode_affichage="mois",EOMONTH(AG$3,0),AG$3+6)),"◆",""))</f>
      </c>
      <c r="AH236" s="26">
        <f>IF(OR($A236="",AH$3=""),"",IF(AND($J236&lt;&gt;"",$K236&lt;&gt;"",$J236=$K236,$J236&gt;=AH$3,$J236&lt;=IF(param_mode_affichage="mois",EOMONTH(AH$3,0),AH$3+6)),"◆",""))</f>
      </c>
      <c r="AI236" s="26">
        <f>IF(OR($A236="",AI$3=""),"",IF(AND($J236&lt;&gt;"",$K236&lt;&gt;"",$J236=$K236,$J236&gt;=AI$3,$J236&lt;=IF(param_mode_affichage="mois",EOMONTH(AI$3,0),AI$3+6)),"◆",""))</f>
      </c>
      <c r="AJ236" s="26">
        <f>IF(OR($A236="",AJ$3=""),"",IF(AND($J236&lt;&gt;"",$K236&lt;&gt;"",$J236=$K236,$J236&gt;=AJ$3,$J236&lt;=IF(param_mode_affichage="mois",EOMONTH(AJ$3,0),AJ$3+6)),"◆",""))</f>
      </c>
      <c r="AK236" s="26">
        <f>IF(OR($A236="",AK$3=""),"",IF(AND($J236&lt;&gt;"",$K236&lt;&gt;"",$J236=$K236,$J236&gt;=AK$3,$J236&lt;=IF(param_mode_affichage="mois",EOMONTH(AK$3,0),AK$3+6)),"◆",""))</f>
      </c>
      <c r="AL236" s="26">
        <f>IF(OR($A236="",AL$3=""),"",IF(AND($J236&lt;&gt;"",$K236&lt;&gt;"",$J236=$K236,$J236&gt;=AL$3,$J236&lt;=IF(param_mode_affichage="mois",EOMONTH(AL$3,0),AL$3+6)),"◆",""))</f>
      </c>
      <c r="AM236" s="26">
        <f>IF(OR($A236="",AM$3=""),"",IF(AND($J236&lt;&gt;"",$K236&lt;&gt;"",$J236=$K236,$J236&gt;=AM$3,$J236&lt;=IF(param_mode_affichage="mois",EOMONTH(AM$3,0),AM$3+6)),"◆",""))</f>
      </c>
      <c r="AN236" s="26">
        <f>IF(OR($A236="",AN$3=""),"",IF(AND($J236&lt;&gt;"",$K236&lt;&gt;"",$J236=$K236,$J236&gt;=AN$3,$J236&lt;=IF(param_mode_affichage="mois",EOMONTH(AN$3,0),AN$3+6)),"◆",""))</f>
      </c>
      <c r="AO236" s="26">
        <f>IF(OR($A236="",AO$3=""),"",IF(AND($J236&lt;&gt;"",$K236&lt;&gt;"",$J236=$K236,$J236&gt;=AO$3,$J236&lt;=IF(param_mode_affichage="mois",EOMONTH(AO$3,0),AO$3+6)),"◆",""))</f>
      </c>
      <c r="AP236" s="26">
        <f>IF(OR($A236="",AP$3=""),"",IF(AND($J236&lt;&gt;"",$K236&lt;&gt;"",$J236=$K236,$J236&gt;=AP$3,$J236&lt;=IF(param_mode_affichage="mois",EOMONTH(AP$3,0),AP$3+6)),"◆",""))</f>
      </c>
      <c r="AQ236" s="26">
        <f>IF(OR($A236="",AQ$3=""),"",IF(AND($J236&lt;&gt;"",$K236&lt;&gt;"",$J236=$K236,$J236&gt;=AQ$3,$J236&lt;=IF(param_mode_affichage="mois",EOMONTH(AQ$3,0),AQ$3+6)),"◆",""))</f>
      </c>
      <c r="AR236" s="26">
        <f>IF(OR($A236="",AR$3=""),"",IF(AND($J236&lt;&gt;"",$K236&lt;&gt;"",$J236=$K236,$J236&gt;=AR$3,$J236&lt;=IF(param_mode_affichage="mois",EOMONTH(AR$3,0),AR$3+6)),"◆",""))</f>
      </c>
      <c r="AS236" s="26">
        <f>IF(OR($A236="",AS$3=""),"",IF(AND($J236&lt;&gt;"",$K236&lt;&gt;"",$J236=$K236,$J236&gt;=AS$3,$J236&lt;=IF(param_mode_affichage="mois",EOMONTH(AS$3,0),AS$3+6)),"◆",""))</f>
      </c>
      <c r="AT236" s="26">
        <f>IF(OR($A236="",AT$3=""),"",IF(AND($J236&lt;&gt;"",$K236&lt;&gt;"",$J236=$K236,$J236&gt;=AT$3,$J236&lt;=IF(param_mode_affichage="mois",EOMONTH(AT$3,0),AT$3+6)),"◆",""))</f>
      </c>
      <c r="AU236" s="26">
        <f>IF(OR($A236="",AU$3=""),"",IF(AND($J236&lt;&gt;"",$K236&lt;&gt;"",$J236=$K236,$J236&gt;=AU$3,$J236&lt;=IF(param_mode_affichage="mois",EOMONTH(AU$3,0),AU$3+6)),"◆",""))</f>
      </c>
      <c r="AV236" s="26">
        <f>IF(OR($A236="",AV$3=""),"",IF(AND($J236&lt;&gt;"",$K236&lt;&gt;"",$J236=$K236,$J236&gt;=AV$3,$J236&lt;=IF(param_mode_affichage="mois",EOMONTH(AV$3,0),AV$3+6)),"◆",""))</f>
      </c>
      <c r="AW236" s="26">
        <f>IF(OR($A236="",AW$3=""),"",IF(AND($J236&lt;&gt;"",$K236&lt;&gt;"",$J236=$K236,$J236&gt;=AW$3,$J236&lt;=IF(param_mode_affichage="mois",EOMONTH(AW$3,0),AW$3+6)),"◆",""))</f>
      </c>
      <c r="AX236" s="26">
        <f>IF(OR($A236="",AX$3=""),"",IF(AND($J236&lt;&gt;"",$K236&lt;&gt;"",$J236=$K236,$J236&gt;=AX$3,$J236&lt;=IF(param_mode_affichage="mois",EOMONTH(AX$3,0),AX$3+6)),"◆",""))</f>
      </c>
      <c r="AY236" s="26">
        <f>IF(OR($A236="",AY$3=""),"",IF(AND($J236&lt;&gt;"",$K236&lt;&gt;"",$J236=$K236,$J236&gt;=AY$3,$J236&lt;=IF(param_mode_affichage="mois",EOMONTH(AY$3,0),AY$3+6)),"◆",""))</f>
      </c>
      <c r="AZ236" s="26">
        <f>IF(OR($A236="",AZ$3=""),"",IF(AND($J236&lt;&gt;"",$K236&lt;&gt;"",$J236=$K236,$J236&gt;=AZ$3,$J236&lt;=IF(param_mode_affichage="mois",EOMONTH(AZ$3,0),AZ$3+6)),"◆",""))</f>
      </c>
      <c r="BA236" s="26">
        <f>IF(OR($A236="",BA$3=""),"",IF(AND($J236&lt;&gt;"",$K236&lt;&gt;"",$J236=$K236,$J236&gt;=BA$3,$J236&lt;=IF(param_mode_affichage="mois",EOMONTH(BA$3,0),BA$3+6)),"◆",""))</f>
      </c>
      <c r="BB236" s="26">
        <f>IF(OR($A236="",BB$3=""),"",IF(AND($J236&lt;&gt;"",$K236&lt;&gt;"",$J236=$K236,$J236&gt;=BB$3,$J236&lt;=IF(param_mode_affichage="mois",EOMONTH(BB$3,0),BB$3+6)),"◆",""))</f>
      </c>
      <c r="BC236" s="26">
        <f>IF(OR($A236="",BC$3=""),"",IF(AND($J236&lt;&gt;"",$K236&lt;&gt;"",$J236=$K236,$J236&gt;=BC$3,$J236&lt;=IF(param_mode_affichage="mois",EOMONTH(BC$3,0),BC$3+6)),"◆",""))</f>
      </c>
      <c r="BD236" s="26">
        <f>IF(OR($A236="",BD$3=""),"",IF(AND($J236&lt;&gt;"",$K236&lt;&gt;"",$J236=$K236,$J236&gt;=BD$3,$J236&lt;=IF(param_mode_affichage="mois",EOMONTH(BD$3,0),BD$3+6)),"◆",""))</f>
      </c>
      <c r="BE236" s="26">
        <f>IF(OR($A236="",BE$3=""),"",IF(AND($J236&lt;&gt;"",$K236&lt;&gt;"",$J236=$K236,$J236&gt;=BE$3,$J236&lt;=IF(param_mode_affichage="mois",EOMONTH(BE$3,0),BE$3+6)),"◆",""))</f>
      </c>
      <c r="BF236" s="26">
        <f>IF(OR($A236="",BF$3=""),"",IF(AND($J236&lt;&gt;"",$K236&lt;&gt;"",$J236=$K236,$J236&gt;=BF$3,$J236&lt;=IF(param_mode_affichage="mois",EOMONTH(BF$3,0),BF$3+6)),"◆",""))</f>
      </c>
      <c r="BG236" s="26">
        <f>IF(OR($A236="",BG$3=""),"",IF(AND($J236&lt;&gt;"",$K236&lt;&gt;"",$J236=$K236,$J236&gt;=BG$3,$J236&lt;=IF(param_mode_affichage="mois",EOMONTH(BG$3,0),BG$3+6)),"◆",""))</f>
      </c>
      <c r="BH236" s="26">
        <f>IF(OR($A236="",BH$3=""),"",IF(AND($J236&lt;&gt;"",$K236&lt;&gt;"",$J236=$K236,$J236&gt;=BH$3,$J236&lt;=IF(param_mode_affichage="mois",EOMONTH(BH$3,0),BH$3+6)),"◆",""))</f>
      </c>
      <c r="BI236" s="26">
        <f>IF(OR($A236="",BI$3=""),"",IF(AND($J236&lt;&gt;"",$K236&lt;&gt;"",$J236=$K236,$J236&gt;=BI$3,$J236&lt;=IF(param_mode_affichage="mois",EOMONTH(BI$3,0),BI$3+6)),"◆",""))</f>
      </c>
      <c r="BJ236" s="26">
        <f>IF(OR($A236="",BJ$3=""),"",IF(AND($J236&lt;&gt;"",$K236&lt;&gt;"",$J236=$K236,$J236&gt;=BJ$3,$J236&lt;=IF(param_mode_affichage="mois",EOMONTH(BJ$3,0),BJ$3+6)),"◆",""))</f>
      </c>
      <c r="BK236" s="26">
        <f>IF(OR($A236="",BK$3=""),"",IF(AND($J236&lt;&gt;"",$K236&lt;&gt;"",$J236=$K236,$J236&gt;=BK$3,$J236&lt;=IF(param_mode_affichage="mois",EOMONTH(BK$3,0),BK$3+6)),"◆",""))</f>
      </c>
      <c r="BL236" s="26">
        <f>IF(OR($A236="",BL$3=""),"",IF(AND($J236&lt;&gt;"",$K236&lt;&gt;"",$J236=$K236,$J236&gt;=BL$3,$J236&lt;=IF(param_mode_affichage="mois",EOMONTH(BL$3,0),BL$3+6)),"◆",""))</f>
      </c>
    </row>
    <row r="237" spans="1:64" x14ac:dyDescent="0.25">
      <c r="A237" s="23">
        <f>IFERROR(INDEX(tblTasks[ID],ROW()-4),"")</f>
      </c>
      <c r="B237" s="24">
        <f>IF($A237="","",INDEX(tblTasks[Sujet],ROW()-4))</f>
      </c>
      <c r="C237" s="23">
        <f>IF($A237="","",INDEX(tblTasks[Responsable],ROW()-4))</f>
      </c>
      <c r="D237" s="23">
        <f>IF($A237="","",INDEX(tblTasks[Statut],ROW()-4))</f>
      </c>
      <c r="E237" s="23">
        <f>IF($A237="","",INDEX(tblTasks[Depend_de],ROW()-4))</f>
      </c>
      <c r="F237" s="23">
        <f>IF($A237="","",INDEX(tblTasks[Blocage],ROW()-4))</f>
      </c>
      <c r="G237" s="23">
        <f>IF($A237="","",INDEX(tblTasks[Niveau_criticite],ROW()-4))</f>
      </c>
      <c r="H237" s="23">
        <f>IF($A237="","",INDEX(tblTasks[Goulot],ROW()-4))</f>
      </c>
      <c r="I237" s="23">
        <f>IF($A237="","",IF(LOWER($F237)="oui","non",IF($E237="","oui",IFERROR(IF(LOWER(INDEX(tblTasks[Statut],MATCH($E237,tblTasks[ID],0)))="clos","oui","non"),"non"))))</f>
      </c>
      <c r="J237" s="25">
        <f>IF($A237="","",INDEX(tblTasks[Date_debut_prevue],ROW()-4))</f>
      </c>
      <c r="K237" s="25">
        <f>IF($A237="","",INDEX(tblTasks[Date_fin_prevue],ROW()-4))</f>
      </c>
      <c r="L237" s="23">
        <f>IF($A237="","",INDEX(tblTasks[Irreversibilite],ROW()-4))</f>
      </c>
      <c r="M237" s="26">
        <f>IF(OR($A237="",M$3=""),"",IF(AND($J237&lt;&gt;"",$K237&lt;&gt;"",$J237=$K237,$J237&gt;=M$3,$J237&lt;=IF(param_mode_affichage="mois",EOMONTH(M$3,0),M$3+6)),"◆",""))</f>
      </c>
      <c r="N237" s="26">
        <f>IF(OR($A237="",N$3=""),"",IF(AND($J237&lt;&gt;"",$K237&lt;&gt;"",$J237=$K237,$J237&gt;=N$3,$J237&lt;=IF(param_mode_affichage="mois",EOMONTH(N$3,0),N$3+6)),"◆",""))</f>
      </c>
      <c r="O237" s="26">
        <f>IF(OR($A237="",O$3=""),"",IF(AND($J237&lt;&gt;"",$K237&lt;&gt;"",$J237=$K237,$J237&gt;=O$3,$J237&lt;=IF(param_mode_affichage="mois",EOMONTH(O$3,0),O$3+6)),"◆",""))</f>
      </c>
      <c r="P237" s="26">
        <f>IF(OR($A237="",P$3=""),"",IF(AND($J237&lt;&gt;"",$K237&lt;&gt;"",$J237=$K237,$J237&gt;=P$3,$J237&lt;=IF(param_mode_affichage="mois",EOMONTH(P$3,0),P$3+6)),"◆",""))</f>
      </c>
      <c r="Q237" s="26">
        <f>IF(OR($A237="",Q$3=""),"",IF(AND($J237&lt;&gt;"",$K237&lt;&gt;"",$J237=$K237,$J237&gt;=Q$3,$J237&lt;=IF(param_mode_affichage="mois",EOMONTH(Q$3,0),Q$3+6)),"◆",""))</f>
      </c>
      <c r="R237" s="26">
        <f>IF(OR($A237="",R$3=""),"",IF(AND($J237&lt;&gt;"",$K237&lt;&gt;"",$J237=$K237,$J237&gt;=R$3,$J237&lt;=IF(param_mode_affichage="mois",EOMONTH(R$3,0),R$3+6)),"◆",""))</f>
      </c>
      <c r="S237" s="26">
        <f>IF(OR($A237="",S$3=""),"",IF(AND($J237&lt;&gt;"",$K237&lt;&gt;"",$J237=$K237,$J237&gt;=S$3,$J237&lt;=IF(param_mode_affichage="mois",EOMONTH(S$3,0),S$3+6)),"◆",""))</f>
      </c>
      <c r="T237" s="26">
        <f>IF(OR($A237="",T$3=""),"",IF(AND($J237&lt;&gt;"",$K237&lt;&gt;"",$J237=$K237,$J237&gt;=T$3,$J237&lt;=IF(param_mode_affichage="mois",EOMONTH(T$3,0),T$3+6)),"◆",""))</f>
      </c>
      <c r="U237" s="26">
        <f>IF(OR($A237="",U$3=""),"",IF(AND($J237&lt;&gt;"",$K237&lt;&gt;"",$J237=$K237,$J237&gt;=U$3,$J237&lt;=IF(param_mode_affichage="mois",EOMONTH(U$3,0),U$3+6)),"◆",""))</f>
      </c>
      <c r="V237" s="26">
        <f>IF(OR($A237="",V$3=""),"",IF(AND($J237&lt;&gt;"",$K237&lt;&gt;"",$J237=$K237,$J237&gt;=V$3,$J237&lt;=IF(param_mode_affichage="mois",EOMONTH(V$3,0),V$3+6)),"◆",""))</f>
      </c>
      <c r="W237" s="26">
        <f>IF(OR($A237="",W$3=""),"",IF(AND($J237&lt;&gt;"",$K237&lt;&gt;"",$J237=$K237,$J237&gt;=W$3,$J237&lt;=IF(param_mode_affichage="mois",EOMONTH(W$3,0),W$3+6)),"◆",""))</f>
      </c>
      <c r="X237" s="26">
        <f>IF(OR($A237="",X$3=""),"",IF(AND($J237&lt;&gt;"",$K237&lt;&gt;"",$J237=$K237,$J237&gt;=X$3,$J237&lt;=IF(param_mode_affichage="mois",EOMONTH(X$3,0),X$3+6)),"◆",""))</f>
      </c>
      <c r="Y237" s="26">
        <f>IF(OR($A237="",Y$3=""),"",IF(AND($J237&lt;&gt;"",$K237&lt;&gt;"",$J237=$K237,$J237&gt;=Y$3,$J237&lt;=IF(param_mode_affichage="mois",EOMONTH(Y$3,0),Y$3+6)),"◆",""))</f>
      </c>
      <c r="Z237" s="26">
        <f>IF(OR($A237="",Z$3=""),"",IF(AND($J237&lt;&gt;"",$K237&lt;&gt;"",$J237=$K237,$J237&gt;=Z$3,$J237&lt;=IF(param_mode_affichage="mois",EOMONTH(Z$3,0),Z$3+6)),"◆",""))</f>
      </c>
      <c r="AA237" s="26">
        <f>IF(OR($A237="",AA$3=""),"",IF(AND($J237&lt;&gt;"",$K237&lt;&gt;"",$J237=$K237,$J237&gt;=AA$3,$J237&lt;=IF(param_mode_affichage="mois",EOMONTH(AA$3,0),AA$3+6)),"◆",""))</f>
      </c>
      <c r="AB237" s="26">
        <f>IF(OR($A237="",AB$3=""),"",IF(AND($J237&lt;&gt;"",$K237&lt;&gt;"",$J237=$K237,$J237&gt;=AB$3,$J237&lt;=IF(param_mode_affichage="mois",EOMONTH(AB$3,0),AB$3+6)),"◆",""))</f>
      </c>
      <c r="AC237" s="26">
        <f>IF(OR($A237="",AC$3=""),"",IF(AND($J237&lt;&gt;"",$K237&lt;&gt;"",$J237=$K237,$J237&gt;=AC$3,$J237&lt;=IF(param_mode_affichage="mois",EOMONTH(AC$3,0),AC$3+6)),"◆",""))</f>
      </c>
      <c r="AD237" s="26">
        <f>IF(OR($A237="",AD$3=""),"",IF(AND($J237&lt;&gt;"",$K237&lt;&gt;"",$J237=$K237,$J237&gt;=AD$3,$J237&lt;=IF(param_mode_affichage="mois",EOMONTH(AD$3,0),AD$3+6)),"◆",""))</f>
      </c>
      <c r="AE237" s="26">
        <f>IF(OR($A237="",AE$3=""),"",IF(AND($J237&lt;&gt;"",$K237&lt;&gt;"",$J237=$K237,$J237&gt;=AE$3,$J237&lt;=IF(param_mode_affichage="mois",EOMONTH(AE$3,0),AE$3+6)),"◆",""))</f>
      </c>
      <c r="AF237" s="26">
        <f>IF(OR($A237="",AF$3=""),"",IF(AND($J237&lt;&gt;"",$K237&lt;&gt;"",$J237=$K237,$J237&gt;=AF$3,$J237&lt;=IF(param_mode_affichage="mois",EOMONTH(AF$3,0),AF$3+6)),"◆",""))</f>
      </c>
      <c r="AG237" s="26">
        <f>IF(OR($A237="",AG$3=""),"",IF(AND($J237&lt;&gt;"",$K237&lt;&gt;"",$J237=$K237,$J237&gt;=AG$3,$J237&lt;=IF(param_mode_affichage="mois",EOMONTH(AG$3,0),AG$3+6)),"◆",""))</f>
      </c>
      <c r="AH237" s="26">
        <f>IF(OR($A237="",AH$3=""),"",IF(AND($J237&lt;&gt;"",$K237&lt;&gt;"",$J237=$K237,$J237&gt;=AH$3,$J237&lt;=IF(param_mode_affichage="mois",EOMONTH(AH$3,0),AH$3+6)),"◆",""))</f>
      </c>
      <c r="AI237" s="26">
        <f>IF(OR($A237="",AI$3=""),"",IF(AND($J237&lt;&gt;"",$K237&lt;&gt;"",$J237=$K237,$J237&gt;=AI$3,$J237&lt;=IF(param_mode_affichage="mois",EOMONTH(AI$3,0),AI$3+6)),"◆",""))</f>
      </c>
      <c r="AJ237" s="26">
        <f>IF(OR($A237="",AJ$3=""),"",IF(AND($J237&lt;&gt;"",$K237&lt;&gt;"",$J237=$K237,$J237&gt;=AJ$3,$J237&lt;=IF(param_mode_affichage="mois",EOMONTH(AJ$3,0),AJ$3+6)),"◆",""))</f>
      </c>
      <c r="AK237" s="26">
        <f>IF(OR($A237="",AK$3=""),"",IF(AND($J237&lt;&gt;"",$K237&lt;&gt;"",$J237=$K237,$J237&gt;=AK$3,$J237&lt;=IF(param_mode_affichage="mois",EOMONTH(AK$3,0),AK$3+6)),"◆",""))</f>
      </c>
      <c r="AL237" s="26">
        <f>IF(OR($A237="",AL$3=""),"",IF(AND($J237&lt;&gt;"",$K237&lt;&gt;"",$J237=$K237,$J237&gt;=AL$3,$J237&lt;=IF(param_mode_affichage="mois",EOMONTH(AL$3,0),AL$3+6)),"◆",""))</f>
      </c>
      <c r="AM237" s="26">
        <f>IF(OR($A237="",AM$3=""),"",IF(AND($J237&lt;&gt;"",$K237&lt;&gt;"",$J237=$K237,$J237&gt;=AM$3,$J237&lt;=IF(param_mode_affichage="mois",EOMONTH(AM$3,0),AM$3+6)),"◆",""))</f>
      </c>
      <c r="AN237" s="26">
        <f>IF(OR($A237="",AN$3=""),"",IF(AND($J237&lt;&gt;"",$K237&lt;&gt;"",$J237=$K237,$J237&gt;=AN$3,$J237&lt;=IF(param_mode_affichage="mois",EOMONTH(AN$3,0),AN$3+6)),"◆",""))</f>
      </c>
      <c r="AO237" s="26">
        <f>IF(OR($A237="",AO$3=""),"",IF(AND($J237&lt;&gt;"",$K237&lt;&gt;"",$J237=$K237,$J237&gt;=AO$3,$J237&lt;=IF(param_mode_affichage="mois",EOMONTH(AO$3,0),AO$3+6)),"◆",""))</f>
      </c>
      <c r="AP237" s="26">
        <f>IF(OR($A237="",AP$3=""),"",IF(AND($J237&lt;&gt;"",$K237&lt;&gt;"",$J237=$K237,$J237&gt;=AP$3,$J237&lt;=IF(param_mode_affichage="mois",EOMONTH(AP$3,0),AP$3+6)),"◆",""))</f>
      </c>
      <c r="AQ237" s="26">
        <f>IF(OR($A237="",AQ$3=""),"",IF(AND($J237&lt;&gt;"",$K237&lt;&gt;"",$J237=$K237,$J237&gt;=AQ$3,$J237&lt;=IF(param_mode_affichage="mois",EOMONTH(AQ$3,0),AQ$3+6)),"◆",""))</f>
      </c>
      <c r="AR237" s="26">
        <f>IF(OR($A237="",AR$3=""),"",IF(AND($J237&lt;&gt;"",$K237&lt;&gt;"",$J237=$K237,$J237&gt;=AR$3,$J237&lt;=IF(param_mode_affichage="mois",EOMONTH(AR$3,0),AR$3+6)),"◆",""))</f>
      </c>
      <c r="AS237" s="26">
        <f>IF(OR($A237="",AS$3=""),"",IF(AND($J237&lt;&gt;"",$K237&lt;&gt;"",$J237=$K237,$J237&gt;=AS$3,$J237&lt;=IF(param_mode_affichage="mois",EOMONTH(AS$3,0),AS$3+6)),"◆",""))</f>
      </c>
      <c r="AT237" s="26">
        <f>IF(OR($A237="",AT$3=""),"",IF(AND($J237&lt;&gt;"",$K237&lt;&gt;"",$J237=$K237,$J237&gt;=AT$3,$J237&lt;=IF(param_mode_affichage="mois",EOMONTH(AT$3,0),AT$3+6)),"◆",""))</f>
      </c>
      <c r="AU237" s="26">
        <f>IF(OR($A237="",AU$3=""),"",IF(AND($J237&lt;&gt;"",$K237&lt;&gt;"",$J237=$K237,$J237&gt;=AU$3,$J237&lt;=IF(param_mode_affichage="mois",EOMONTH(AU$3,0),AU$3+6)),"◆",""))</f>
      </c>
      <c r="AV237" s="26">
        <f>IF(OR($A237="",AV$3=""),"",IF(AND($J237&lt;&gt;"",$K237&lt;&gt;"",$J237=$K237,$J237&gt;=AV$3,$J237&lt;=IF(param_mode_affichage="mois",EOMONTH(AV$3,0),AV$3+6)),"◆",""))</f>
      </c>
      <c r="AW237" s="26">
        <f>IF(OR($A237="",AW$3=""),"",IF(AND($J237&lt;&gt;"",$K237&lt;&gt;"",$J237=$K237,$J237&gt;=AW$3,$J237&lt;=IF(param_mode_affichage="mois",EOMONTH(AW$3,0),AW$3+6)),"◆",""))</f>
      </c>
      <c r="AX237" s="26">
        <f>IF(OR($A237="",AX$3=""),"",IF(AND($J237&lt;&gt;"",$K237&lt;&gt;"",$J237=$K237,$J237&gt;=AX$3,$J237&lt;=IF(param_mode_affichage="mois",EOMONTH(AX$3,0),AX$3+6)),"◆",""))</f>
      </c>
      <c r="AY237" s="26">
        <f>IF(OR($A237="",AY$3=""),"",IF(AND($J237&lt;&gt;"",$K237&lt;&gt;"",$J237=$K237,$J237&gt;=AY$3,$J237&lt;=IF(param_mode_affichage="mois",EOMONTH(AY$3,0),AY$3+6)),"◆",""))</f>
      </c>
      <c r="AZ237" s="26">
        <f>IF(OR($A237="",AZ$3=""),"",IF(AND($J237&lt;&gt;"",$K237&lt;&gt;"",$J237=$K237,$J237&gt;=AZ$3,$J237&lt;=IF(param_mode_affichage="mois",EOMONTH(AZ$3,0),AZ$3+6)),"◆",""))</f>
      </c>
      <c r="BA237" s="26">
        <f>IF(OR($A237="",BA$3=""),"",IF(AND($J237&lt;&gt;"",$K237&lt;&gt;"",$J237=$K237,$J237&gt;=BA$3,$J237&lt;=IF(param_mode_affichage="mois",EOMONTH(BA$3,0),BA$3+6)),"◆",""))</f>
      </c>
      <c r="BB237" s="26">
        <f>IF(OR($A237="",BB$3=""),"",IF(AND($J237&lt;&gt;"",$K237&lt;&gt;"",$J237=$K237,$J237&gt;=BB$3,$J237&lt;=IF(param_mode_affichage="mois",EOMONTH(BB$3,0),BB$3+6)),"◆",""))</f>
      </c>
      <c r="BC237" s="26">
        <f>IF(OR($A237="",BC$3=""),"",IF(AND($J237&lt;&gt;"",$K237&lt;&gt;"",$J237=$K237,$J237&gt;=BC$3,$J237&lt;=IF(param_mode_affichage="mois",EOMONTH(BC$3,0),BC$3+6)),"◆",""))</f>
      </c>
      <c r="BD237" s="26">
        <f>IF(OR($A237="",BD$3=""),"",IF(AND($J237&lt;&gt;"",$K237&lt;&gt;"",$J237=$K237,$J237&gt;=BD$3,$J237&lt;=IF(param_mode_affichage="mois",EOMONTH(BD$3,0),BD$3+6)),"◆",""))</f>
      </c>
      <c r="BE237" s="26">
        <f>IF(OR($A237="",BE$3=""),"",IF(AND($J237&lt;&gt;"",$K237&lt;&gt;"",$J237=$K237,$J237&gt;=BE$3,$J237&lt;=IF(param_mode_affichage="mois",EOMONTH(BE$3,0),BE$3+6)),"◆",""))</f>
      </c>
      <c r="BF237" s="26">
        <f>IF(OR($A237="",BF$3=""),"",IF(AND($J237&lt;&gt;"",$K237&lt;&gt;"",$J237=$K237,$J237&gt;=BF$3,$J237&lt;=IF(param_mode_affichage="mois",EOMONTH(BF$3,0),BF$3+6)),"◆",""))</f>
      </c>
      <c r="BG237" s="26">
        <f>IF(OR($A237="",BG$3=""),"",IF(AND($J237&lt;&gt;"",$K237&lt;&gt;"",$J237=$K237,$J237&gt;=BG$3,$J237&lt;=IF(param_mode_affichage="mois",EOMONTH(BG$3,0),BG$3+6)),"◆",""))</f>
      </c>
      <c r="BH237" s="26">
        <f>IF(OR($A237="",BH$3=""),"",IF(AND($J237&lt;&gt;"",$K237&lt;&gt;"",$J237=$K237,$J237&gt;=BH$3,$J237&lt;=IF(param_mode_affichage="mois",EOMONTH(BH$3,0),BH$3+6)),"◆",""))</f>
      </c>
      <c r="BI237" s="26">
        <f>IF(OR($A237="",BI$3=""),"",IF(AND($J237&lt;&gt;"",$K237&lt;&gt;"",$J237=$K237,$J237&gt;=BI$3,$J237&lt;=IF(param_mode_affichage="mois",EOMONTH(BI$3,0),BI$3+6)),"◆",""))</f>
      </c>
      <c r="BJ237" s="26">
        <f>IF(OR($A237="",BJ$3=""),"",IF(AND($J237&lt;&gt;"",$K237&lt;&gt;"",$J237=$K237,$J237&gt;=BJ$3,$J237&lt;=IF(param_mode_affichage="mois",EOMONTH(BJ$3,0),BJ$3+6)),"◆",""))</f>
      </c>
      <c r="BK237" s="26">
        <f>IF(OR($A237="",BK$3=""),"",IF(AND($J237&lt;&gt;"",$K237&lt;&gt;"",$J237=$K237,$J237&gt;=BK$3,$J237&lt;=IF(param_mode_affichage="mois",EOMONTH(BK$3,0),BK$3+6)),"◆",""))</f>
      </c>
      <c r="BL237" s="26">
        <f>IF(OR($A237="",BL$3=""),"",IF(AND($J237&lt;&gt;"",$K237&lt;&gt;"",$J237=$K237,$J237&gt;=BL$3,$J237&lt;=IF(param_mode_affichage="mois",EOMONTH(BL$3,0),BL$3+6)),"◆",""))</f>
      </c>
    </row>
    <row r="238" spans="1:64" x14ac:dyDescent="0.25">
      <c r="A238" s="23">
        <f>IFERROR(INDEX(tblTasks[ID],ROW()-4),"")</f>
      </c>
      <c r="B238" s="24">
        <f>IF($A238="","",INDEX(tblTasks[Sujet],ROW()-4))</f>
      </c>
      <c r="C238" s="23">
        <f>IF($A238="","",INDEX(tblTasks[Responsable],ROW()-4))</f>
      </c>
      <c r="D238" s="23">
        <f>IF($A238="","",INDEX(tblTasks[Statut],ROW()-4))</f>
      </c>
      <c r="E238" s="23">
        <f>IF($A238="","",INDEX(tblTasks[Depend_de],ROW()-4))</f>
      </c>
      <c r="F238" s="23">
        <f>IF($A238="","",INDEX(tblTasks[Blocage],ROW()-4))</f>
      </c>
      <c r="G238" s="23">
        <f>IF($A238="","",INDEX(tblTasks[Niveau_criticite],ROW()-4))</f>
      </c>
      <c r="H238" s="23">
        <f>IF($A238="","",INDEX(tblTasks[Goulot],ROW()-4))</f>
      </c>
      <c r="I238" s="23">
        <f>IF($A238="","",IF(LOWER($F238)="oui","non",IF($E238="","oui",IFERROR(IF(LOWER(INDEX(tblTasks[Statut],MATCH($E238,tblTasks[ID],0)))="clos","oui","non"),"non"))))</f>
      </c>
      <c r="J238" s="25">
        <f>IF($A238="","",INDEX(tblTasks[Date_debut_prevue],ROW()-4))</f>
      </c>
      <c r="K238" s="25">
        <f>IF($A238="","",INDEX(tblTasks[Date_fin_prevue],ROW()-4))</f>
      </c>
      <c r="L238" s="23">
        <f>IF($A238="","",INDEX(tblTasks[Irreversibilite],ROW()-4))</f>
      </c>
      <c r="M238" s="26">
        <f>IF(OR($A238="",M$3=""),"",IF(AND($J238&lt;&gt;"",$K238&lt;&gt;"",$J238=$K238,$J238&gt;=M$3,$J238&lt;=IF(param_mode_affichage="mois",EOMONTH(M$3,0),M$3+6)),"◆",""))</f>
      </c>
      <c r="N238" s="26">
        <f>IF(OR($A238="",N$3=""),"",IF(AND($J238&lt;&gt;"",$K238&lt;&gt;"",$J238=$K238,$J238&gt;=N$3,$J238&lt;=IF(param_mode_affichage="mois",EOMONTH(N$3,0),N$3+6)),"◆",""))</f>
      </c>
      <c r="O238" s="26">
        <f>IF(OR($A238="",O$3=""),"",IF(AND($J238&lt;&gt;"",$K238&lt;&gt;"",$J238=$K238,$J238&gt;=O$3,$J238&lt;=IF(param_mode_affichage="mois",EOMONTH(O$3,0),O$3+6)),"◆",""))</f>
      </c>
      <c r="P238" s="26">
        <f>IF(OR($A238="",P$3=""),"",IF(AND($J238&lt;&gt;"",$K238&lt;&gt;"",$J238=$K238,$J238&gt;=P$3,$J238&lt;=IF(param_mode_affichage="mois",EOMONTH(P$3,0),P$3+6)),"◆",""))</f>
      </c>
      <c r="Q238" s="26">
        <f>IF(OR($A238="",Q$3=""),"",IF(AND($J238&lt;&gt;"",$K238&lt;&gt;"",$J238=$K238,$J238&gt;=Q$3,$J238&lt;=IF(param_mode_affichage="mois",EOMONTH(Q$3,0),Q$3+6)),"◆",""))</f>
      </c>
      <c r="R238" s="26">
        <f>IF(OR($A238="",R$3=""),"",IF(AND($J238&lt;&gt;"",$K238&lt;&gt;"",$J238=$K238,$J238&gt;=R$3,$J238&lt;=IF(param_mode_affichage="mois",EOMONTH(R$3,0),R$3+6)),"◆",""))</f>
      </c>
      <c r="S238" s="26">
        <f>IF(OR($A238="",S$3=""),"",IF(AND($J238&lt;&gt;"",$K238&lt;&gt;"",$J238=$K238,$J238&gt;=S$3,$J238&lt;=IF(param_mode_affichage="mois",EOMONTH(S$3,0),S$3+6)),"◆",""))</f>
      </c>
      <c r="T238" s="26">
        <f>IF(OR($A238="",T$3=""),"",IF(AND($J238&lt;&gt;"",$K238&lt;&gt;"",$J238=$K238,$J238&gt;=T$3,$J238&lt;=IF(param_mode_affichage="mois",EOMONTH(T$3,0),T$3+6)),"◆",""))</f>
      </c>
      <c r="U238" s="26">
        <f>IF(OR($A238="",U$3=""),"",IF(AND($J238&lt;&gt;"",$K238&lt;&gt;"",$J238=$K238,$J238&gt;=U$3,$J238&lt;=IF(param_mode_affichage="mois",EOMONTH(U$3,0),U$3+6)),"◆",""))</f>
      </c>
      <c r="V238" s="26">
        <f>IF(OR($A238="",V$3=""),"",IF(AND($J238&lt;&gt;"",$K238&lt;&gt;"",$J238=$K238,$J238&gt;=V$3,$J238&lt;=IF(param_mode_affichage="mois",EOMONTH(V$3,0),V$3+6)),"◆",""))</f>
      </c>
      <c r="W238" s="26">
        <f>IF(OR($A238="",W$3=""),"",IF(AND($J238&lt;&gt;"",$K238&lt;&gt;"",$J238=$K238,$J238&gt;=W$3,$J238&lt;=IF(param_mode_affichage="mois",EOMONTH(W$3,0),W$3+6)),"◆",""))</f>
      </c>
      <c r="X238" s="26">
        <f>IF(OR($A238="",X$3=""),"",IF(AND($J238&lt;&gt;"",$K238&lt;&gt;"",$J238=$K238,$J238&gt;=X$3,$J238&lt;=IF(param_mode_affichage="mois",EOMONTH(X$3,0),X$3+6)),"◆",""))</f>
      </c>
      <c r="Y238" s="26">
        <f>IF(OR($A238="",Y$3=""),"",IF(AND($J238&lt;&gt;"",$K238&lt;&gt;"",$J238=$K238,$J238&gt;=Y$3,$J238&lt;=IF(param_mode_affichage="mois",EOMONTH(Y$3,0),Y$3+6)),"◆",""))</f>
      </c>
      <c r="Z238" s="26">
        <f>IF(OR($A238="",Z$3=""),"",IF(AND($J238&lt;&gt;"",$K238&lt;&gt;"",$J238=$K238,$J238&gt;=Z$3,$J238&lt;=IF(param_mode_affichage="mois",EOMONTH(Z$3,0),Z$3+6)),"◆",""))</f>
      </c>
      <c r="AA238" s="26">
        <f>IF(OR($A238="",AA$3=""),"",IF(AND($J238&lt;&gt;"",$K238&lt;&gt;"",$J238=$K238,$J238&gt;=AA$3,$J238&lt;=IF(param_mode_affichage="mois",EOMONTH(AA$3,0),AA$3+6)),"◆",""))</f>
      </c>
      <c r="AB238" s="26">
        <f>IF(OR($A238="",AB$3=""),"",IF(AND($J238&lt;&gt;"",$K238&lt;&gt;"",$J238=$K238,$J238&gt;=AB$3,$J238&lt;=IF(param_mode_affichage="mois",EOMONTH(AB$3,0),AB$3+6)),"◆",""))</f>
      </c>
      <c r="AC238" s="26">
        <f>IF(OR($A238="",AC$3=""),"",IF(AND($J238&lt;&gt;"",$K238&lt;&gt;"",$J238=$K238,$J238&gt;=AC$3,$J238&lt;=IF(param_mode_affichage="mois",EOMONTH(AC$3,0),AC$3+6)),"◆",""))</f>
      </c>
      <c r="AD238" s="26">
        <f>IF(OR($A238="",AD$3=""),"",IF(AND($J238&lt;&gt;"",$K238&lt;&gt;"",$J238=$K238,$J238&gt;=AD$3,$J238&lt;=IF(param_mode_affichage="mois",EOMONTH(AD$3,0),AD$3+6)),"◆",""))</f>
      </c>
      <c r="AE238" s="26">
        <f>IF(OR($A238="",AE$3=""),"",IF(AND($J238&lt;&gt;"",$K238&lt;&gt;"",$J238=$K238,$J238&gt;=AE$3,$J238&lt;=IF(param_mode_affichage="mois",EOMONTH(AE$3,0),AE$3+6)),"◆",""))</f>
      </c>
      <c r="AF238" s="26">
        <f>IF(OR($A238="",AF$3=""),"",IF(AND($J238&lt;&gt;"",$K238&lt;&gt;"",$J238=$K238,$J238&gt;=AF$3,$J238&lt;=IF(param_mode_affichage="mois",EOMONTH(AF$3,0),AF$3+6)),"◆",""))</f>
      </c>
      <c r="AG238" s="26">
        <f>IF(OR($A238="",AG$3=""),"",IF(AND($J238&lt;&gt;"",$K238&lt;&gt;"",$J238=$K238,$J238&gt;=AG$3,$J238&lt;=IF(param_mode_affichage="mois",EOMONTH(AG$3,0),AG$3+6)),"◆",""))</f>
      </c>
      <c r="AH238" s="26">
        <f>IF(OR($A238="",AH$3=""),"",IF(AND($J238&lt;&gt;"",$K238&lt;&gt;"",$J238=$K238,$J238&gt;=AH$3,$J238&lt;=IF(param_mode_affichage="mois",EOMONTH(AH$3,0),AH$3+6)),"◆",""))</f>
      </c>
      <c r="AI238" s="26">
        <f>IF(OR($A238="",AI$3=""),"",IF(AND($J238&lt;&gt;"",$K238&lt;&gt;"",$J238=$K238,$J238&gt;=AI$3,$J238&lt;=IF(param_mode_affichage="mois",EOMONTH(AI$3,0),AI$3+6)),"◆",""))</f>
      </c>
      <c r="AJ238" s="26">
        <f>IF(OR($A238="",AJ$3=""),"",IF(AND($J238&lt;&gt;"",$K238&lt;&gt;"",$J238=$K238,$J238&gt;=AJ$3,$J238&lt;=IF(param_mode_affichage="mois",EOMONTH(AJ$3,0),AJ$3+6)),"◆",""))</f>
      </c>
      <c r="AK238" s="26">
        <f>IF(OR($A238="",AK$3=""),"",IF(AND($J238&lt;&gt;"",$K238&lt;&gt;"",$J238=$K238,$J238&gt;=AK$3,$J238&lt;=IF(param_mode_affichage="mois",EOMONTH(AK$3,0),AK$3+6)),"◆",""))</f>
      </c>
      <c r="AL238" s="26">
        <f>IF(OR($A238="",AL$3=""),"",IF(AND($J238&lt;&gt;"",$K238&lt;&gt;"",$J238=$K238,$J238&gt;=AL$3,$J238&lt;=IF(param_mode_affichage="mois",EOMONTH(AL$3,0),AL$3+6)),"◆",""))</f>
      </c>
      <c r="AM238" s="26">
        <f>IF(OR($A238="",AM$3=""),"",IF(AND($J238&lt;&gt;"",$K238&lt;&gt;"",$J238=$K238,$J238&gt;=AM$3,$J238&lt;=IF(param_mode_affichage="mois",EOMONTH(AM$3,0),AM$3+6)),"◆",""))</f>
      </c>
      <c r="AN238" s="26">
        <f>IF(OR($A238="",AN$3=""),"",IF(AND($J238&lt;&gt;"",$K238&lt;&gt;"",$J238=$K238,$J238&gt;=AN$3,$J238&lt;=IF(param_mode_affichage="mois",EOMONTH(AN$3,0),AN$3+6)),"◆",""))</f>
      </c>
      <c r="AO238" s="26">
        <f>IF(OR($A238="",AO$3=""),"",IF(AND($J238&lt;&gt;"",$K238&lt;&gt;"",$J238=$K238,$J238&gt;=AO$3,$J238&lt;=IF(param_mode_affichage="mois",EOMONTH(AO$3,0),AO$3+6)),"◆",""))</f>
      </c>
      <c r="AP238" s="26">
        <f>IF(OR($A238="",AP$3=""),"",IF(AND($J238&lt;&gt;"",$K238&lt;&gt;"",$J238=$K238,$J238&gt;=AP$3,$J238&lt;=IF(param_mode_affichage="mois",EOMONTH(AP$3,0),AP$3+6)),"◆",""))</f>
      </c>
      <c r="AQ238" s="26">
        <f>IF(OR($A238="",AQ$3=""),"",IF(AND($J238&lt;&gt;"",$K238&lt;&gt;"",$J238=$K238,$J238&gt;=AQ$3,$J238&lt;=IF(param_mode_affichage="mois",EOMONTH(AQ$3,0),AQ$3+6)),"◆",""))</f>
      </c>
      <c r="AR238" s="26">
        <f>IF(OR($A238="",AR$3=""),"",IF(AND($J238&lt;&gt;"",$K238&lt;&gt;"",$J238=$K238,$J238&gt;=AR$3,$J238&lt;=IF(param_mode_affichage="mois",EOMONTH(AR$3,0),AR$3+6)),"◆",""))</f>
      </c>
      <c r="AS238" s="26">
        <f>IF(OR($A238="",AS$3=""),"",IF(AND($J238&lt;&gt;"",$K238&lt;&gt;"",$J238=$K238,$J238&gt;=AS$3,$J238&lt;=IF(param_mode_affichage="mois",EOMONTH(AS$3,0),AS$3+6)),"◆",""))</f>
      </c>
      <c r="AT238" s="26">
        <f>IF(OR($A238="",AT$3=""),"",IF(AND($J238&lt;&gt;"",$K238&lt;&gt;"",$J238=$K238,$J238&gt;=AT$3,$J238&lt;=IF(param_mode_affichage="mois",EOMONTH(AT$3,0),AT$3+6)),"◆",""))</f>
      </c>
      <c r="AU238" s="26">
        <f>IF(OR($A238="",AU$3=""),"",IF(AND($J238&lt;&gt;"",$K238&lt;&gt;"",$J238=$K238,$J238&gt;=AU$3,$J238&lt;=IF(param_mode_affichage="mois",EOMONTH(AU$3,0),AU$3+6)),"◆",""))</f>
      </c>
      <c r="AV238" s="26">
        <f>IF(OR($A238="",AV$3=""),"",IF(AND($J238&lt;&gt;"",$K238&lt;&gt;"",$J238=$K238,$J238&gt;=AV$3,$J238&lt;=IF(param_mode_affichage="mois",EOMONTH(AV$3,0),AV$3+6)),"◆",""))</f>
      </c>
      <c r="AW238" s="26">
        <f>IF(OR($A238="",AW$3=""),"",IF(AND($J238&lt;&gt;"",$K238&lt;&gt;"",$J238=$K238,$J238&gt;=AW$3,$J238&lt;=IF(param_mode_affichage="mois",EOMONTH(AW$3,0),AW$3+6)),"◆",""))</f>
      </c>
      <c r="AX238" s="26">
        <f>IF(OR($A238="",AX$3=""),"",IF(AND($J238&lt;&gt;"",$K238&lt;&gt;"",$J238=$K238,$J238&gt;=AX$3,$J238&lt;=IF(param_mode_affichage="mois",EOMONTH(AX$3,0),AX$3+6)),"◆",""))</f>
      </c>
      <c r="AY238" s="26">
        <f>IF(OR($A238="",AY$3=""),"",IF(AND($J238&lt;&gt;"",$K238&lt;&gt;"",$J238=$K238,$J238&gt;=AY$3,$J238&lt;=IF(param_mode_affichage="mois",EOMONTH(AY$3,0),AY$3+6)),"◆",""))</f>
      </c>
      <c r="AZ238" s="26">
        <f>IF(OR($A238="",AZ$3=""),"",IF(AND($J238&lt;&gt;"",$K238&lt;&gt;"",$J238=$K238,$J238&gt;=AZ$3,$J238&lt;=IF(param_mode_affichage="mois",EOMONTH(AZ$3,0),AZ$3+6)),"◆",""))</f>
      </c>
      <c r="BA238" s="26">
        <f>IF(OR($A238="",BA$3=""),"",IF(AND($J238&lt;&gt;"",$K238&lt;&gt;"",$J238=$K238,$J238&gt;=BA$3,$J238&lt;=IF(param_mode_affichage="mois",EOMONTH(BA$3,0),BA$3+6)),"◆",""))</f>
      </c>
      <c r="BB238" s="26">
        <f>IF(OR($A238="",BB$3=""),"",IF(AND($J238&lt;&gt;"",$K238&lt;&gt;"",$J238=$K238,$J238&gt;=BB$3,$J238&lt;=IF(param_mode_affichage="mois",EOMONTH(BB$3,0),BB$3+6)),"◆",""))</f>
      </c>
      <c r="BC238" s="26">
        <f>IF(OR($A238="",BC$3=""),"",IF(AND($J238&lt;&gt;"",$K238&lt;&gt;"",$J238=$K238,$J238&gt;=BC$3,$J238&lt;=IF(param_mode_affichage="mois",EOMONTH(BC$3,0),BC$3+6)),"◆",""))</f>
      </c>
      <c r="BD238" s="26">
        <f>IF(OR($A238="",BD$3=""),"",IF(AND($J238&lt;&gt;"",$K238&lt;&gt;"",$J238=$K238,$J238&gt;=BD$3,$J238&lt;=IF(param_mode_affichage="mois",EOMONTH(BD$3,0),BD$3+6)),"◆",""))</f>
      </c>
      <c r="BE238" s="26">
        <f>IF(OR($A238="",BE$3=""),"",IF(AND($J238&lt;&gt;"",$K238&lt;&gt;"",$J238=$K238,$J238&gt;=BE$3,$J238&lt;=IF(param_mode_affichage="mois",EOMONTH(BE$3,0),BE$3+6)),"◆",""))</f>
      </c>
      <c r="BF238" s="26">
        <f>IF(OR($A238="",BF$3=""),"",IF(AND($J238&lt;&gt;"",$K238&lt;&gt;"",$J238=$K238,$J238&gt;=BF$3,$J238&lt;=IF(param_mode_affichage="mois",EOMONTH(BF$3,0),BF$3+6)),"◆",""))</f>
      </c>
      <c r="BG238" s="26">
        <f>IF(OR($A238="",BG$3=""),"",IF(AND($J238&lt;&gt;"",$K238&lt;&gt;"",$J238=$K238,$J238&gt;=BG$3,$J238&lt;=IF(param_mode_affichage="mois",EOMONTH(BG$3,0),BG$3+6)),"◆",""))</f>
      </c>
      <c r="BH238" s="26">
        <f>IF(OR($A238="",BH$3=""),"",IF(AND($J238&lt;&gt;"",$K238&lt;&gt;"",$J238=$K238,$J238&gt;=BH$3,$J238&lt;=IF(param_mode_affichage="mois",EOMONTH(BH$3,0),BH$3+6)),"◆",""))</f>
      </c>
      <c r="BI238" s="26">
        <f>IF(OR($A238="",BI$3=""),"",IF(AND($J238&lt;&gt;"",$K238&lt;&gt;"",$J238=$K238,$J238&gt;=BI$3,$J238&lt;=IF(param_mode_affichage="mois",EOMONTH(BI$3,0),BI$3+6)),"◆",""))</f>
      </c>
      <c r="BJ238" s="26">
        <f>IF(OR($A238="",BJ$3=""),"",IF(AND($J238&lt;&gt;"",$K238&lt;&gt;"",$J238=$K238,$J238&gt;=BJ$3,$J238&lt;=IF(param_mode_affichage="mois",EOMONTH(BJ$3,0),BJ$3+6)),"◆",""))</f>
      </c>
      <c r="BK238" s="26">
        <f>IF(OR($A238="",BK$3=""),"",IF(AND($J238&lt;&gt;"",$K238&lt;&gt;"",$J238=$K238,$J238&gt;=BK$3,$J238&lt;=IF(param_mode_affichage="mois",EOMONTH(BK$3,0),BK$3+6)),"◆",""))</f>
      </c>
      <c r="BL238" s="26">
        <f>IF(OR($A238="",BL$3=""),"",IF(AND($J238&lt;&gt;"",$K238&lt;&gt;"",$J238=$K238,$J238&gt;=BL$3,$J238&lt;=IF(param_mode_affichage="mois",EOMONTH(BL$3,0),BL$3+6)),"◆",""))</f>
      </c>
    </row>
    <row r="239" spans="1:64" x14ac:dyDescent="0.25">
      <c r="A239" s="23">
        <f>IFERROR(INDEX(tblTasks[ID],ROW()-4),"")</f>
      </c>
      <c r="B239" s="24">
        <f>IF($A239="","",INDEX(tblTasks[Sujet],ROW()-4))</f>
      </c>
      <c r="C239" s="23">
        <f>IF($A239="","",INDEX(tblTasks[Responsable],ROW()-4))</f>
      </c>
      <c r="D239" s="23">
        <f>IF($A239="","",INDEX(tblTasks[Statut],ROW()-4))</f>
      </c>
      <c r="E239" s="23">
        <f>IF($A239="","",INDEX(tblTasks[Depend_de],ROW()-4))</f>
      </c>
      <c r="F239" s="23">
        <f>IF($A239="","",INDEX(tblTasks[Blocage],ROW()-4))</f>
      </c>
      <c r="G239" s="23">
        <f>IF($A239="","",INDEX(tblTasks[Niveau_criticite],ROW()-4))</f>
      </c>
      <c r="H239" s="23">
        <f>IF($A239="","",INDEX(tblTasks[Goulot],ROW()-4))</f>
      </c>
      <c r="I239" s="23">
        <f>IF($A239="","",IF(LOWER($F239)="oui","non",IF($E239="","oui",IFERROR(IF(LOWER(INDEX(tblTasks[Statut],MATCH($E239,tblTasks[ID],0)))="clos","oui","non"),"non"))))</f>
      </c>
      <c r="J239" s="25">
        <f>IF($A239="","",INDEX(tblTasks[Date_debut_prevue],ROW()-4))</f>
      </c>
      <c r="K239" s="25">
        <f>IF($A239="","",INDEX(tblTasks[Date_fin_prevue],ROW()-4))</f>
      </c>
      <c r="L239" s="23">
        <f>IF($A239="","",INDEX(tblTasks[Irreversibilite],ROW()-4))</f>
      </c>
      <c r="M239" s="26">
        <f>IF(OR($A239="",M$3=""),"",IF(AND($J239&lt;&gt;"",$K239&lt;&gt;"",$J239=$K239,$J239&gt;=M$3,$J239&lt;=IF(param_mode_affichage="mois",EOMONTH(M$3,0),M$3+6)),"◆",""))</f>
      </c>
      <c r="N239" s="26">
        <f>IF(OR($A239="",N$3=""),"",IF(AND($J239&lt;&gt;"",$K239&lt;&gt;"",$J239=$K239,$J239&gt;=N$3,$J239&lt;=IF(param_mode_affichage="mois",EOMONTH(N$3,0),N$3+6)),"◆",""))</f>
      </c>
      <c r="O239" s="26">
        <f>IF(OR($A239="",O$3=""),"",IF(AND($J239&lt;&gt;"",$K239&lt;&gt;"",$J239=$K239,$J239&gt;=O$3,$J239&lt;=IF(param_mode_affichage="mois",EOMONTH(O$3,0),O$3+6)),"◆",""))</f>
      </c>
      <c r="P239" s="26">
        <f>IF(OR($A239="",P$3=""),"",IF(AND($J239&lt;&gt;"",$K239&lt;&gt;"",$J239=$K239,$J239&gt;=P$3,$J239&lt;=IF(param_mode_affichage="mois",EOMONTH(P$3,0),P$3+6)),"◆",""))</f>
      </c>
      <c r="Q239" s="26">
        <f>IF(OR($A239="",Q$3=""),"",IF(AND($J239&lt;&gt;"",$K239&lt;&gt;"",$J239=$K239,$J239&gt;=Q$3,$J239&lt;=IF(param_mode_affichage="mois",EOMONTH(Q$3,0),Q$3+6)),"◆",""))</f>
      </c>
      <c r="R239" s="26">
        <f>IF(OR($A239="",R$3=""),"",IF(AND($J239&lt;&gt;"",$K239&lt;&gt;"",$J239=$K239,$J239&gt;=R$3,$J239&lt;=IF(param_mode_affichage="mois",EOMONTH(R$3,0),R$3+6)),"◆",""))</f>
      </c>
      <c r="S239" s="26">
        <f>IF(OR($A239="",S$3=""),"",IF(AND($J239&lt;&gt;"",$K239&lt;&gt;"",$J239=$K239,$J239&gt;=S$3,$J239&lt;=IF(param_mode_affichage="mois",EOMONTH(S$3,0),S$3+6)),"◆",""))</f>
      </c>
      <c r="T239" s="26">
        <f>IF(OR($A239="",T$3=""),"",IF(AND($J239&lt;&gt;"",$K239&lt;&gt;"",$J239=$K239,$J239&gt;=T$3,$J239&lt;=IF(param_mode_affichage="mois",EOMONTH(T$3,0),T$3+6)),"◆",""))</f>
      </c>
      <c r="U239" s="26">
        <f>IF(OR($A239="",U$3=""),"",IF(AND($J239&lt;&gt;"",$K239&lt;&gt;"",$J239=$K239,$J239&gt;=U$3,$J239&lt;=IF(param_mode_affichage="mois",EOMONTH(U$3,0),U$3+6)),"◆",""))</f>
      </c>
      <c r="V239" s="26">
        <f>IF(OR($A239="",V$3=""),"",IF(AND($J239&lt;&gt;"",$K239&lt;&gt;"",$J239=$K239,$J239&gt;=V$3,$J239&lt;=IF(param_mode_affichage="mois",EOMONTH(V$3,0),V$3+6)),"◆",""))</f>
      </c>
      <c r="W239" s="26">
        <f>IF(OR($A239="",W$3=""),"",IF(AND($J239&lt;&gt;"",$K239&lt;&gt;"",$J239=$K239,$J239&gt;=W$3,$J239&lt;=IF(param_mode_affichage="mois",EOMONTH(W$3,0),W$3+6)),"◆",""))</f>
      </c>
      <c r="X239" s="26">
        <f>IF(OR($A239="",X$3=""),"",IF(AND($J239&lt;&gt;"",$K239&lt;&gt;"",$J239=$K239,$J239&gt;=X$3,$J239&lt;=IF(param_mode_affichage="mois",EOMONTH(X$3,0),X$3+6)),"◆",""))</f>
      </c>
      <c r="Y239" s="26">
        <f>IF(OR($A239="",Y$3=""),"",IF(AND($J239&lt;&gt;"",$K239&lt;&gt;"",$J239=$K239,$J239&gt;=Y$3,$J239&lt;=IF(param_mode_affichage="mois",EOMONTH(Y$3,0),Y$3+6)),"◆",""))</f>
      </c>
      <c r="Z239" s="26">
        <f>IF(OR($A239="",Z$3=""),"",IF(AND($J239&lt;&gt;"",$K239&lt;&gt;"",$J239=$K239,$J239&gt;=Z$3,$J239&lt;=IF(param_mode_affichage="mois",EOMONTH(Z$3,0),Z$3+6)),"◆",""))</f>
      </c>
      <c r="AA239" s="26">
        <f>IF(OR($A239="",AA$3=""),"",IF(AND($J239&lt;&gt;"",$K239&lt;&gt;"",$J239=$K239,$J239&gt;=AA$3,$J239&lt;=IF(param_mode_affichage="mois",EOMONTH(AA$3,0),AA$3+6)),"◆",""))</f>
      </c>
      <c r="AB239" s="26">
        <f>IF(OR($A239="",AB$3=""),"",IF(AND($J239&lt;&gt;"",$K239&lt;&gt;"",$J239=$K239,$J239&gt;=AB$3,$J239&lt;=IF(param_mode_affichage="mois",EOMONTH(AB$3,0),AB$3+6)),"◆",""))</f>
      </c>
      <c r="AC239" s="26">
        <f>IF(OR($A239="",AC$3=""),"",IF(AND($J239&lt;&gt;"",$K239&lt;&gt;"",$J239=$K239,$J239&gt;=AC$3,$J239&lt;=IF(param_mode_affichage="mois",EOMONTH(AC$3,0),AC$3+6)),"◆",""))</f>
      </c>
      <c r="AD239" s="26">
        <f>IF(OR($A239="",AD$3=""),"",IF(AND($J239&lt;&gt;"",$K239&lt;&gt;"",$J239=$K239,$J239&gt;=AD$3,$J239&lt;=IF(param_mode_affichage="mois",EOMONTH(AD$3,0),AD$3+6)),"◆",""))</f>
      </c>
      <c r="AE239" s="26">
        <f>IF(OR($A239="",AE$3=""),"",IF(AND($J239&lt;&gt;"",$K239&lt;&gt;"",$J239=$K239,$J239&gt;=AE$3,$J239&lt;=IF(param_mode_affichage="mois",EOMONTH(AE$3,0),AE$3+6)),"◆",""))</f>
      </c>
      <c r="AF239" s="26">
        <f>IF(OR($A239="",AF$3=""),"",IF(AND($J239&lt;&gt;"",$K239&lt;&gt;"",$J239=$K239,$J239&gt;=AF$3,$J239&lt;=IF(param_mode_affichage="mois",EOMONTH(AF$3,0),AF$3+6)),"◆",""))</f>
      </c>
      <c r="AG239" s="26">
        <f>IF(OR($A239="",AG$3=""),"",IF(AND($J239&lt;&gt;"",$K239&lt;&gt;"",$J239=$K239,$J239&gt;=AG$3,$J239&lt;=IF(param_mode_affichage="mois",EOMONTH(AG$3,0),AG$3+6)),"◆",""))</f>
      </c>
      <c r="AH239" s="26">
        <f>IF(OR($A239="",AH$3=""),"",IF(AND($J239&lt;&gt;"",$K239&lt;&gt;"",$J239=$K239,$J239&gt;=AH$3,$J239&lt;=IF(param_mode_affichage="mois",EOMONTH(AH$3,0),AH$3+6)),"◆",""))</f>
      </c>
      <c r="AI239" s="26">
        <f>IF(OR($A239="",AI$3=""),"",IF(AND($J239&lt;&gt;"",$K239&lt;&gt;"",$J239=$K239,$J239&gt;=AI$3,$J239&lt;=IF(param_mode_affichage="mois",EOMONTH(AI$3,0),AI$3+6)),"◆",""))</f>
      </c>
      <c r="AJ239" s="26">
        <f>IF(OR($A239="",AJ$3=""),"",IF(AND($J239&lt;&gt;"",$K239&lt;&gt;"",$J239=$K239,$J239&gt;=AJ$3,$J239&lt;=IF(param_mode_affichage="mois",EOMONTH(AJ$3,0),AJ$3+6)),"◆",""))</f>
      </c>
      <c r="AK239" s="26">
        <f>IF(OR($A239="",AK$3=""),"",IF(AND($J239&lt;&gt;"",$K239&lt;&gt;"",$J239=$K239,$J239&gt;=AK$3,$J239&lt;=IF(param_mode_affichage="mois",EOMONTH(AK$3,0),AK$3+6)),"◆",""))</f>
      </c>
      <c r="AL239" s="26">
        <f>IF(OR($A239="",AL$3=""),"",IF(AND($J239&lt;&gt;"",$K239&lt;&gt;"",$J239=$K239,$J239&gt;=AL$3,$J239&lt;=IF(param_mode_affichage="mois",EOMONTH(AL$3,0),AL$3+6)),"◆",""))</f>
      </c>
      <c r="AM239" s="26">
        <f>IF(OR($A239="",AM$3=""),"",IF(AND($J239&lt;&gt;"",$K239&lt;&gt;"",$J239=$K239,$J239&gt;=AM$3,$J239&lt;=IF(param_mode_affichage="mois",EOMONTH(AM$3,0),AM$3+6)),"◆",""))</f>
      </c>
      <c r="AN239" s="26">
        <f>IF(OR($A239="",AN$3=""),"",IF(AND($J239&lt;&gt;"",$K239&lt;&gt;"",$J239=$K239,$J239&gt;=AN$3,$J239&lt;=IF(param_mode_affichage="mois",EOMONTH(AN$3,0),AN$3+6)),"◆",""))</f>
      </c>
      <c r="AO239" s="26">
        <f>IF(OR($A239="",AO$3=""),"",IF(AND($J239&lt;&gt;"",$K239&lt;&gt;"",$J239=$K239,$J239&gt;=AO$3,$J239&lt;=IF(param_mode_affichage="mois",EOMONTH(AO$3,0),AO$3+6)),"◆",""))</f>
      </c>
      <c r="AP239" s="26">
        <f>IF(OR($A239="",AP$3=""),"",IF(AND($J239&lt;&gt;"",$K239&lt;&gt;"",$J239=$K239,$J239&gt;=AP$3,$J239&lt;=IF(param_mode_affichage="mois",EOMONTH(AP$3,0),AP$3+6)),"◆",""))</f>
      </c>
      <c r="AQ239" s="26">
        <f>IF(OR($A239="",AQ$3=""),"",IF(AND($J239&lt;&gt;"",$K239&lt;&gt;"",$J239=$K239,$J239&gt;=AQ$3,$J239&lt;=IF(param_mode_affichage="mois",EOMONTH(AQ$3,0),AQ$3+6)),"◆",""))</f>
      </c>
      <c r="AR239" s="26">
        <f>IF(OR($A239="",AR$3=""),"",IF(AND($J239&lt;&gt;"",$K239&lt;&gt;"",$J239=$K239,$J239&gt;=AR$3,$J239&lt;=IF(param_mode_affichage="mois",EOMONTH(AR$3,0),AR$3+6)),"◆",""))</f>
      </c>
      <c r="AS239" s="26">
        <f>IF(OR($A239="",AS$3=""),"",IF(AND($J239&lt;&gt;"",$K239&lt;&gt;"",$J239=$K239,$J239&gt;=AS$3,$J239&lt;=IF(param_mode_affichage="mois",EOMONTH(AS$3,0),AS$3+6)),"◆",""))</f>
      </c>
      <c r="AT239" s="26">
        <f>IF(OR($A239="",AT$3=""),"",IF(AND($J239&lt;&gt;"",$K239&lt;&gt;"",$J239=$K239,$J239&gt;=AT$3,$J239&lt;=IF(param_mode_affichage="mois",EOMONTH(AT$3,0),AT$3+6)),"◆",""))</f>
      </c>
      <c r="AU239" s="26">
        <f>IF(OR($A239="",AU$3=""),"",IF(AND($J239&lt;&gt;"",$K239&lt;&gt;"",$J239=$K239,$J239&gt;=AU$3,$J239&lt;=IF(param_mode_affichage="mois",EOMONTH(AU$3,0),AU$3+6)),"◆",""))</f>
      </c>
      <c r="AV239" s="26">
        <f>IF(OR($A239="",AV$3=""),"",IF(AND($J239&lt;&gt;"",$K239&lt;&gt;"",$J239=$K239,$J239&gt;=AV$3,$J239&lt;=IF(param_mode_affichage="mois",EOMONTH(AV$3,0),AV$3+6)),"◆",""))</f>
      </c>
      <c r="AW239" s="26">
        <f>IF(OR($A239="",AW$3=""),"",IF(AND($J239&lt;&gt;"",$K239&lt;&gt;"",$J239=$K239,$J239&gt;=AW$3,$J239&lt;=IF(param_mode_affichage="mois",EOMONTH(AW$3,0),AW$3+6)),"◆",""))</f>
      </c>
      <c r="AX239" s="26">
        <f>IF(OR($A239="",AX$3=""),"",IF(AND($J239&lt;&gt;"",$K239&lt;&gt;"",$J239=$K239,$J239&gt;=AX$3,$J239&lt;=IF(param_mode_affichage="mois",EOMONTH(AX$3,0),AX$3+6)),"◆",""))</f>
      </c>
      <c r="AY239" s="26">
        <f>IF(OR($A239="",AY$3=""),"",IF(AND($J239&lt;&gt;"",$K239&lt;&gt;"",$J239=$K239,$J239&gt;=AY$3,$J239&lt;=IF(param_mode_affichage="mois",EOMONTH(AY$3,0),AY$3+6)),"◆",""))</f>
      </c>
      <c r="AZ239" s="26">
        <f>IF(OR($A239="",AZ$3=""),"",IF(AND($J239&lt;&gt;"",$K239&lt;&gt;"",$J239=$K239,$J239&gt;=AZ$3,$J239&lt;=IF(param_mode_affichage="mois",EOMONTH(AZ$3,0),AZ$3+6)),"◆",""))</f>
      </c>
      <c r="BA239" s="26">
        <f>IF(OR($A239="",BA$3=""),"",IF(AND($J239&lt;&gt;"",$K239&lt;&gt;"",$J239=$K239,$J239&gt;=BA$3,$J239&lt;=IF(param_mode_affichage="mois",EOMONTH(BA$3,0),BA$3+6)),"◆",""))</f>
      </c>
      <c r="BB239" s="26">
        <f>IF(OR($A239="",BB$3=""),"",IF(AND($J239&lt;&gt;"",$K239&lt;&gt;"",$J239=$K239,$J239&gt;=BB$3,$J239&lt;=IF(param_mode_affichage="mois",EOMONTH(BB$3,0),BB$3+6)),"◆",""))</f>
      </c>
      <c r="BC239" s="26">
        <f>IF(OR($A239="",BC$3=""),"",IF(AND($J239&lt;&gt;"",$K239&lt;&gt;"",$J239=$K239,$J239&gt;=BC$3,$J239&lt;=IF(param_mode_affichage="mois",EOMONTH(BC$3,0),BC$3+6)),"◆",""))</f>
      </c>
      <c r="BD239" s="26">
        <f>IF(OR($A239="",BD$3=""),"",IF(AND($J239&lt;&gt;"",$K239&lt;&gt;"",$J239=$K239,$J239&gt;=BD$3,$J239&lt;=IF(param_mode_affichage="mois",EOMONTH(BD$3,0),BD$3+6)),"◆",""))</f>
      </c>
      <c r="BE239" s="26">
        <f>IF(OR($A239="",BE$3=""),"",IF(AND($J239&lt;&gt;"",$K239&lt;&gt;"",$J239=$K239,$J239&gt;=BE$3,$J239&lt;=IF(param_mode_affichage="mois",EOMONTH(BE$3,0),BE$3+6)),"◆",""))</f>
      </c>
      <c r="BF239" s="26">
        <f>IF(OR($A239="",BF$3=""),"",IF(AND($J239&lt;&gt;"",$K239&lt;&gt;"",$J239=$K239,$J239&gt;=BF$3,$J239&lt;=IF(param_mode_affichage="mois",EOMONTH(BF$3,0),BF$3+6)),"◆",""))</f>
      </c>
      <c r="BG239" s="26">
        <f>IF(OR($A239="",BG$3=""),"",IF(AND($J239&lt;&gt;"",$K239&lt;&gt;"",$J239=$K239,$J239&gt;=BG$3,$J239&lt;=IF(param_mode_affichage="mois",EOMONTH(BG$3,0),BG$3+6)),"◆",""))</f>
      </c>
      <c r="BH239" s="26">
        <f>IF(OR($A239="",BH$3=""),"",IF(AND($J239&lt;&gt;"",$K239&lt;&gt;"",$J239=$K239,$J239&gt;=BH$3,$J239&lt;=IF(param_mode_affichage="mois",EOMONTH(BH$3,0),BH$3+6)),"◆",""))</f>
      </c>
      <c r="BI239" s="26">
        <f>IF(OR($A239="",BI$3=""),"",IF(AND($J239&lt;&gt;"",$K239&lt;&gt;"",$J239=$K239,$J239&gt;=BI$3,$J239&lt;=IF(param_mode_affichage="mois",EOMONTH(BI$3,0),BI$3+6)),"◆",""))</f>
      </c>
      <c r="BJ239" s="26">
        <f>IF(OR($A239="",BJ$3=""),"",IF(AND($J239&lt;&gt;"",$K239&lt;&gt;"",$J239=$K239,$J239&gt;=BJ$3,$J239&lt;=IF(param_mode_affichage="mois",EOMONTH(BJ$3,0),BJ$3+6)),"◆",""))</f>
      </c>
      <c r="BK239" s="26">
        <f>IF(OR($A239="",BK$3=""),"",IF(AND($J239&lt;&gt;"",$K239&lt;&gt;"",$J239=$K239,$J239&gt;=BK$3,$J239&lt;=IF(param_mode_affichage="mois",EOMONTH(BK$3,0),BK$3+6)),"◆",""))</f>
      </c>
      <c r="BL239" s="26">
        <f>IF(OR($A239="",BL$3=""),"",IF(AND($J239&lt;&gt;"",$K239&lt;&gt;"",$J239=$K239,$J239&gt;=BL$3,$J239&lt;=IF(param_mode_affichage="mois",EOMONTH(BL$3,0),BL$3+6)),"◆",""))</f>
      </c>
    </row>
    <row r="240" spans="1:64" x14ac:dyDescent="0.25">
      <c r="A240" s="23">
        <f>IFERROR(INDEX(tblTasks[ID],ROW()-4),"")</f>
      </c>
      <c r="B240" s="24">
        <f>IF($A240="","",INDEX(tblTasks[Sujet],ROW()-4))</f>
      </c>
      <c r="C240" s="23">
        <f>IF($A240="","",INDEX(tblTasks[Responsable],ROW()-4))</f>
      </c>
      <c r="D240" s="23">
        <f>IF($A240="","",INDEX(tblTasks[Statut],ROW()-4))</f>
      </c>
      <c r="E240" s="23">
        <f>IF($A240="","",INDEX(tblTasks[Depend_de],ROW()-4))</f>
      </c>
      <c r="F240" s="23">
        <f>IF($A240="","",INDEX(tblTasks[Blocage],ROW()-4))</f>
      </c>
      <c r="G240" s="23">
        <f>IF($A240="","",INDEX(tblTasks[Niveau_criticite],ROW()-4))</f>
      </c>
      <c r="H240" s="23">
        <f>IF($A240="","",INDEX(tblTasks[Goulot],ROW()-4))</f>
      </c>
      <c r="I240" s="23">
        <f>IF($A240="","",IF(LOWER($F240)="oui","non",IF($E240="","oui",IFERROR(IF(LOWER(INDEX(tblTasks[Statut],MATCH($E240,tblTasks[ID],0)))="clos","oui","non"),"non"))))</f>
      </c>
      <c r="J240" s="25">
        <f>IF($A240="","",INDEX(tblTasks[Date_debut_prevue],ROW()-4))</f>
      </c>
      <c r="K240" s="25">
        <f>IF($A240="","",INDEX(tblTasks[Date_fin_prevue],ROW()-4))</f>
      </c>
      <c r="L240" s="23">
        <f>IF($A240="","",INDEX(tblTasks[Irreversibilite],ROW()-4))</f>
      </c>
      <c r="M240" s="26">
        <f>IF(OR($A240="",M$3=""),"",IF(AND($J240&lt;&gt;"",$K240&lt;&gt;"",$J240=$K240,$J240&gt;=M$3,$J240&lt;=IF(param_mode_affichage="mois",EOMONTH(M$3,0),M$3+6)),"◆",""))</f>
      </c>
      <c r="N240" s="26">
        <f>IF(OR($A240="",N$3=""),"",IF(AND($J240&lt;&gt;"",$K240&lt;&gt;"",$J240=$K240,$J240&gt;=N$3,$J240&lt;=IF(param_mode_affichage="mois",EOMONTH(N$3,0),N$3+6)),"◆",""))</f>
      </c>
      <c r="O240" s="26">
        <f>IF(OR($A240="",O$3=""),"",IF(AND($J240&lt;&gt;"",$K240&lt;&gt;"",$J240=$K240,$J240&gt;=O$3,$J240&lt;=IF(param_mode_affichage="mois",EOMONTH(O$3,0),O$3+6)),"◆",""))</f>
      </c>
      <c r="P240" s="26">
        <f>IF(OR($A240="",P$3=""),"",IF(AND($J240&lt;&gt;"",$K240&lt;&gt;"",$J240=$K240,$J240&gt;=P$3,$J240&lt;=IF(param_mode_affichage="mois",EOMONTH(P$3,0),P$3+6)),"◆",""))</f>
      </c>
      <c r="Q240" s="26">
        <f>IF(OR($A240="",Q$3=""),"",IF(AND($J240&lt;&gt;"",$K240&lt;&gt;"",$J240=$K240,$J240&gt;=Q$3,$J240&lt;=IF(param_mode_affichage="mois",EOMONTH(Q$3,0),Q$3+6)),"◆",""))</f>
      </c>
      <c r="R240" s="26">
        <f>IF(OR($A240="",R$3=""),"",IF(AND($J240&lt;&gt;"",$K240&lt;&gt;"",$J240=$K240,$J240&gt;=R$3,$J240&lt;=IF(param_mode_affichage="mois",EOMONTH(R$3,0),R$3+6)),"◆",""))</f>
      </c>
      <c r="S240" s="26">
        <f>IF(OR($A240="",S$3=""),"",IF(AND($J240&lt;&gt;"",$K240&lt;&gt;"",$J240=$K240,$J240&gt;=S$3,$J240&lt;=IF(param_mode_affichage="mois",EOMONTH(S$3,0),S$3+6)),"◆",""))</f>
      </c>
      <c r="T240" s="26">
        <f>IF(OR($A240="",T$3=""),"",IF(AND($J240&lt;&gt;"",$K240&lt;&gt;"",$J240=$K240,$J240&gt;=T$3,$J240&lt;=IF(param_mode_affichage="mois",EOMONTH(T$3,0),T$3+6)),"◆",""))</f>
      </c>
      <c r="U240" s="26">
        <f>IF(OR($A240="",U$3=""),"",IF(AND($J240&lt;&gt;"",$K240&lt;&gt;"",$J240=$K240,$J240&gt;=U$3,$J240&lt;=IF(param_mode_affichage="mois",EOMONTH(U$3,0),U$3+6)),"◆",""))</f>
      </c>
      <c r="V240" s="26">
        <f>IF(OR($A240="",V$3=""),"",IF(AND($J240&lt;&gt;"",$K240&lt;&gt;"",$J240=$K240,$J240&gt;=V$3,$J240&lt;=IF(param_mode_affichage="mois",EOMONTH(V$3,0),V$3+6)),"◆",""))</f>
      </c>
      <c r="W240" s="26">
        <f>IF(OR($A240="",W$3=""),"",IF(AND($J240&lt;&gt;"",$K240&lt;&gt;"",$J240=$K240,$J240&gt;=W$3,$J240&lt;=IF(param_mode_affichage="mois",EOMONTH(W$3,0),W$3+6)),"◆",""))</f>
      </c>
      <c r="X240" s="26">
        <f>IF(OR($A240="",X$3=""),"",IF(AND($J240&lt;&gt;"",$K240&lt;&gt;"",$J240=$K240,$J240&gt;=X$3,$J240&lt;=IF(param_mode_affichage="mois",EOMONTH(X$3,0),X$3+6)),"◆",""))</f>
      </c>
      <c r="Y240" s="26">
        <f>IF(OR($A240="",Y$3=""),"",IF(AND($J240&lt;&gt;"",$K240&lt;&gt;"",$J240=$K240,$J240&gt;=Y$3,$J240&lt;=IF(param_mode_affichage="mois",EOMONTH(Y$3,0),Y$3+6)),"◆",""))</f>
      </c>
      <c r="Z240" s="26">
        <f>IF(OR($A240="",Z$3=""),"",IF(AND($J240&lt;&gt;"",$K240&lt;&gt;"",$J240=$K240,$J240&gt;=Z$3,$J240&lt;=IF(param_mode_affichage="mois",EOMONTH(Z$3,0),Z$3+6)),"◆",""))</f>
      </c>
      <c r="AA240" s="26">
        <f>IF(OR($A240="",AA$3=""),"",IF(AND($J240&lt;&gt;"",$K240&lt;&gt;"",$J240=$K240,$J240&gt;=AA$3,$J240&lt;=IF(param_mode_affichage="mois",EOMONTH(AA$3,0),AA$3+6)),"◆",""))</f>
      </c>
      <c r="AB240" s="26">
        <f>IF(OR($A240="",AB$3=""),"",IF(AND($J240&lt;&gt;"",$K240&lt;&gt;"",$J240=$K240,$J240&gt;=AB$3,$J240&lt;=IF(param_mode_affichage="mois",EOMONTH(AB$3,0),AB$3+6)),"◆",""))</f>
      </c>
      <c r="AC240" s="26">
        <f>IF(OR($A240="",AC$3=""),"",IF(AND($J240&lt;&gt;"",$K240&lt;&gt;"",$J240=$K240,$J240&gt;=AC$3,$J240&lt;=IF(param_mode_affichage="mois",EOMONTH(AC$3,0),AC$3+6)),"◆",""))</f>
      </c>
      <c r="AD240" s="26">
        <f>IF(OR($A240="",AD$3=""),"",IF(AND($J240&lt;&gt;"",$K240&lt;&gt;"",$J240=$K240,$J240&gt;=AD$3,$J240&lt;=IF(param_mode_affichage="mois",EOMONTH(AD$3,0),AD$3+6)),"◆",""))</f>
      </c>
      <c r="AE240" s="26">
        <f>IF(OR($A240="",AE$3=""),"",IF(AND($J240&lt;&gt;"",$K240&lt;&gt;"",$J240=$K240,$J240&gt;=AE$3,$J240&lt;=IF(param_mode_affichage="mois",EOMONTH(AE$3,0),AE$3+6)),"◆",""))</f>
      </c>
      <c r="AF240" s="26">
        <f>IF(OR($A240="",AF$3=""),"",IF(AND($J240&lt;&gt;"",$K240&lt;&gt;"",$J240=$K240,$J240&gt;=AF$3,$J240&lt;=IF(param_mode_affichage="mois",EOMONTH(AF$3,0),AF$3+6)),"◆",""))</f>
      </c>
      <c r="AG240" s="26">
        <f>IF(OR($A240="",AG$3=""),"",IF(AND($J240&lt;&gt;"",$K240&lt;&gt;"",$J240=$K240,$J240&gt;=AG$3,$J240&lt;=IF(param_mode_affichage="mois",EOMONTH(AG$3,0),AG$3+6)),"◆",""))</f>
      </c>
      <c r="AH240" s="26">
        <f>IF(OR($A240="",AH$3=""),"",IF(AND($J240&lt;&gt;"",$K240&lt;&gt;"",$J240=$K240,$J240&gt;=AH$3,$J240&lt;=IF(param_mode_affichage="mois",EOMONTH(AH$3,0),AH$3+6)),"◆",""))</f>
      </c>
      <c r="AI240" s="26">
        <f>IF(OR($A240="",AI$3=""),"",IF(AND($J240&lt;&gt;"",$K240&lt;&gt;"",$J240=$K240,$J240&gt;=AI$3,$J240&lt;=IF(param_mode_affichage="mois",EOMONTH(AI$3,0),AI$3+6)),"◆",""))</f>
      </c>
      <c r="AJ240" s="26">
        <f>IF(OR($A240="",AJ$3=""),"",IF(AND($J240&lt;&gt;"",$K240&lt;&gt;"",$J240=$K240,$J240&gt;=AJ$3,$J240&lt;=IF(param_mode_affichage="mois",EOMONTH(AJ$3,0),AJ$3+6)),"◆",""))</f>
      </c>
      <c r="AK240" s="26">
        <f>IF(OR($A240="",AK$3=""),"",IF(AND($J240&lt;&gt;"",$K240&lt;&gt;"",$J240=$K240,$J240&gt;=AK$3,$J240&lt;=IF(param_mode_affichage="mois",EOMONTH(AK$3,0),AK$3+6)),"◆",""))</f>
      </c>
      <c r="AL240" s="26">
        <f>IF(OR($A240="",AL$3=""),"",IF(AND($J240&lt;&gt;"",$K240&lt;&gt;"",$J240=$K240,$J240&gt;=AL$3,$J240&lt;=IF(param_mode_affichage="mois",EOMONTH(AL$3,0),AL$3+6)),"◆",""))</f>
      </c>
      <c r="AM240" s="26">
        <f>IF(OR($A240="",AM$3=""),"",IF(AND($J240&lt;&gt;"",$K240&lt;&gt;"",$J240=$K240,$J240&gt;=AM$3,$J240&lt;=IF(param_mode_affichage="mois",EOMONTH(AM$3,0),AM$3+6)),"◆",""))</f>
      </c>
      <c r="AN240" s="26">
        <f>IF(OR($A240="",AN$3=""),"",IF(AND($J240&lt;&gt;"",$K240&lt;&gt;"",$J240=$K240,$J240&gt;=AN$3,$J240&lt;=IF(param_mode_affichage="mois",EOMONTH(AN$3,0),AN$3+6)),"◆",""))</f>
      </c>
      <c r="AO240" s="26">
        <f>IF(OR($A240="",AO$3=""),"",IF(AND($J240&lt;&gt;"",$K240&lt;&gt;"",$J240=$K240,$J240&gt;=AO$3,$J240&lt;=IF(param_mode_affichage="mois",EOMONTH(AO$3,0),AO$3+6)),"◆",""))</f>
      </c>
      <c r="AP240" s="26">
        <f>IF(OR($A240="",AP$3=""),"",IF(AND($J240&lt;&gt;"",$K240&lt;&gt;"",$J240=$K240,$J240&gt;=AP$3,$J240&lt;=IF(param_mode_affichage="mois",EOMONTH(AP$3,0),AP$3+6)),"◆",""))</f>
      </c>
      <c r="AQ240" s="26">
        <f>IF(OR($A240="",AQ$3=""),"",IF(AND($J240&lt;&gt;"",$K240&lt;&gt;"",$J240=$K240,$J240&gt;=AQ$3,$J240&lt;=IF(param_mode_affichage="mois",EOMONTH(AQ$3,0),AQ$3+6)),"◆",""))</f>
      </c>
      <c r="AR240" s="26">
        <f>IF(OR($A240="",AR$3=""),"",IF(AND($J240&lt;&gt;"",$K240&lt;&gt;"",$J240=$K240,$J240&gt;=AR$3,$J240&lt;=IF(param_mode_affichage="mois",EOMONTH(AR$3,0),AR$3+6)),"◆",""))</f>
      </c>
      <c r="AS240" s="26">
        <f>IF(OR($A240="",AS$3=""),"",IF(AND($J240&lt;&gt;"",$K240&lt;&gt;"",$J240=$K240,$J240&gt;=AS$3,$J240&lt;=IF(param_mode_affichage="mois",EOMONTH(AS$3,0),AS$3+6)),"◆",""))</f>
      </c>
      <c r="AT240" s="26">
        <f>IF(OR($A240="",AT$3=""),"",IF(AND($J240&lt;&gt;"",$K240&lt;&gt;"",$J240=$K240,$J240&gt;=AT$3,$J240&lt;=IF(param_mode_affichage="mois",EOMONTH(AT$3,0),AT$3+6)),"◆",""))</f>
      </c>
      <c r="AU240" s="26">
        <f>IF(OR($A240="",AU$3=""),"",IF(AND($J240&lt;&gt;"",$K240&lt;&gt;"",$J240=$K240,$J240&gt;=AU$3,$J240&lt;=IF(param_mode_affichage="mois",EOMONTH(AU$3,0),AU$3+6)),"◆",""))</f>
      </c>
      <c r="AV240" s="26">
        <f>IF(OR($A240="",AV$3=""),"",IF(AND($J240&lt;&gt;"",$K240&lt;&gt;"",$J240=$K240,$J240&gt;=AV$3,$J240&lt;=IF(param_mode_affichage="mois",EOMONTH(AV$3,0),AV$3+6)),"◆",""))</f>
      </c>
      <c r="AW240" s="26">
        <f>IF(OR($A240="",AW$3=""),"",IF(AND($J240&lt;&gt;"",$K240&lt;&gt;"",$J240=$K240,$J240&gt;=AW$3,$J240&lt;=IF(param_mode_affichage="mois",EOMONTH(AW$3,0),AW$3+6)),"◆",""))</f>
      </c>
      <c r="AX240" s="26">
        <f>IF(OR($A240="",AX$3=""),"",IF(AND($J240&lt;&gt;"",$K240&lt;&gt;"",$J240=$K240,$J240&gt;=AX$3,$J240&lt;=IF(param_mode_affichage="mois",EOMONTH(AX$3,0),AX$3+6)),"◆",""))</f>
      </c>
      <c r="AY240" s="26">
        <f>IF(OR($A240="",AY$3=""),"",IF(AND($J240&lt;&gt;"",$K240&lt;&gt;"",$J240=$K240,$J240&gt;=AY$3,$J240&lt;=IF(param_mode_affichage="mois",EOMONTH(AY$3,0),AY$3+6)),"◆",""))</f>
      </c>
      <c r="AZ240" s="26">
        <f>IF(OR($A240="",AZ$3=""),"",IF(AND($J240&lt;&gt;"",$K240&lt;&gt;"",$J240=$K240,$J240&gt;=AZ$3,$J240&lt;=IF(param_mode_affichage="mois",EOMONTH(AZ$3,0),AZ$3+6)),"◆",""))</f>
      </c>
      <c r="BA240" s="26">
        <f>IF(OR($A240="",BA$3=""),"",IF(AND($J240&lt;&gt;"",$K240&lt;&gt;"",$J240=$K240,$J240&gt;=BA$3,$J240&lt;=IF(param_mode_affichage="mois",EOMONTH(BA$3,0),BA$3+6)),"◆",""))</f>
      </c>
      <c r="BB240" s="26">
        <f>IF(OR($A240="",BB$3=""),"",IF(AND($J240&lt;&gt;"",$K240&lt;&gt;"",$J240=$K240,$J240&gt;=BB$3,$J240&lt;=IF(param_mode_affichage="mois",EOMONTH(BB$3,0),BB$3+6)),"◆",""))</f>
      </c>
      <c r="BC240" s="26">
        <f>IF(OR($A240="",BC$3=""),"",IF(AND($J240&lt;&gt;"",$K240&lt;&gt;"",$J240=$K240,$J240&gt;=BC$3,$J240&lt;=IF(param_mode_affichage="mois",EOMONTH(BC$3,0),BC$3+6)),"◆",""))</f>
      </c>
      <c r="BD240" s="26">
        <f>IF(OR($A240="",BD$3=""),"",IF(AND($J240&lt;&gt;"",$K240&lt;&gt;"",$J240=$K240,$J240&gt;=BD$3,$J240&lt;=IF(param_mode_affichage="mois",EOMONTH(BD$3,0),BD$3+6)),"◆",""))</f>
      </c>
      <c r="BE240" s="26">
        <f>IF(OR($A240="",BE$3=""),"",IF(AND($J240&lt;&gt;"",$K240&lt;&gt;"",$J240=$K240,$J240&gt;=BE$3,$J240&lt;=IF(param_mode_affichage="mois",EOMONTH(BE$3,0),BE$3+6)),"◆",""))</f>
      </c>
      <c r="BF240" s="26">
        <f>IF(OR($A240="",BF$3=""),"",IF(AND($J240&lt;&gt;"",$K240&lt;&gt;"",$J240=$K240,$J240&gt;=BF$3,$J240&lt;=IF(param_mode_affichage="mois",EOMONTH(BF$3,0),BF$3+6)),"◆",""))</f>
      </c>
      <c r="BG240" s="26">
        <f>IF(OR($A240="",BG$3=""),"",IF(AND($J240&lt;&gt;"",$K240&lt;&gt;"",$J240=$K240,$J240&gt;=BG$3,$J240&lt;=IF(param_mode_affichage="mois",EOMONTH(BG$3,0),BG$3+6)),"◆",""))</f>
      </c>
      <c r="BH240" s="26">
        <f>IF(OR($A240="",BH$3=""),"",IF(AND($J240&lt;&gt;"",$K240&lt;&gt;"",$J240=$K240,$J240&gt;=BH$3,$J240&lt;=IF(param_mode_affichage="mois",EOMONTH(BH$3,0),BH$3+6)),"◆",""))</f>
      </c>
      <c r="BI240" s="26">
        <f>IF(OR($A240="",BI$3=""),"",IF(AND($J240&lt;&gt;"",$K240&lt;&gt;"",$J240=$K240,$J240&gt;=BI$3,$J240&lt;=IF(param_mode_affichage="mois",EOMONTH(BI$3,0),BI$3+6)),"◆",""))</f>
      </c>
      <c r="BJ240" s="26">
        <f>IF(OR($A240="",BJ$3=""),"",IF(AND($J240&lt;&gt;"",$K240&lt;&gt;"",$J240=$K240,$J240&gt;=BJ$3,$J240&lt;=IF(param_mode_affichage="mois",EOMONTH(BJ$3,0),BJ$3+6)),"◆",""))</f>
      </c>
      <c r="BK240" s="26">
        <f>IF(OR($A240="",BK$3=""),"",IF(AND($J240&lt;&gt;"",$K240&lt;&gt;"",$J240=$K240,$J240&gt;=BK$3,$J240&lt;=IF(param_mode_affichage="mois",EOMONTH(BK$3,0),BK$3+6)),"◆",""))</f>
      </c>
      <c r="BL240" s="26">
        <f>IF(OR($A240="",BL$3=""),"",IF(AND($J240&lt;&gt;"",$K240&lt;&gt;"",$J240=$K240,$J240&gt;=BL$3,$J240&lt;=IF(param_mode_affichage="mois",EOMONTH(BL$3,0),BL$3+6)),"◆",""))</f>
      </c>
    </row>
    <row r="241" spans="1:64" x14ac:dyDescent="0.25">
      <c r="A241" s="23">
        <f>IFERROR(INDEX(tblTasks[ID],ROW()-4),"")</f>
      </c>
      <c r="B241" s="24">
        <f>IF($A241="","",INDEX(tblTasks[Sujet],ROW()-4))</f>
      </c>
      <c r="C241" s="23">
        <f>IF($A241="","",INDEX(tblTasks[Responsable],ROW()-4))</f>
      </c>
      <c r="D241" s="23">
        <f>IF($A241="","",INDEX(tblTasks[Statut],ROW()-4))</f>
      </c>
      <c r="E241" s="23">
        <f>IF($A241="","",INDEX(tblTasks[Depend_de],ROW()-4))</f>
      </c>
      <c r="F241" s="23">
        <f>IF($A241="","",INDEX(tblTasks[Blocage],ROW()-4))</f>
      </c>
      <c r="G241" s="23">
        <f>IF($A241="","",INDEX(tblTasks[Niveau_criticite],ROW()-4))</f>
      </c>
      <c r="H241" s="23">
        <f>IF($A241="","",INDEX(tblTasks[Goulot],ROW()-4))</f>
      </c>
      <c r="I241" s="23">
        <f>IF($A241="","",IF(LOWER($F241)="oui","non",IF($E241="","oui",IFERROR(IF(LOWER(INDEX(tblTasks[Statut],MATCH($E241,tblTasks[ID],0)))="clos","oui","non"),"non"))))</f>
      </c>
      <c r="J241" s="25">
        <f>IF($A241="","",INDEX(tblTasks[Date_debut_prevue],ROW()-4))</f>
      </c>
      <c r="K241" s="25">
        <f>IF($A241="","",INDEX(tblTasks[Date_fin_prevue],ROW()-4))</f>
      </c>
      <c r="L241" s="23">
        <f>IF($A241="","",INDEX(tblTasks[Irreversibilite],ROW()-4))</f>
      </c>
      <c r="M241" s="26">
        <f>IF(OR($A241="",M$3=""),"",IF(AND($J241&lt;&gt;"",$K241&lt;&gt;"",$J241=$K241,$J241&gt;=M$3,$J241&lt;=IF(param_mode_affichage="mois",EOMONTH(M$3,0),M$3+6)),"◆",""))</f>
      </c>
      <c r="N241" s="26">
        <f>IF(OR($A241="",N$3=""),"",IF(AND($J241&lt;&gt;"",$K241&lt;&gt;"",$J241=$K241,$J241&gt;=N$3,$J241&lt;=IF(param_mode_affichage="mois",EOMONTH(N$3,0),N$3+6)),"◆",""))</f>
      </c>
      <c r="O241" s="26">
        <f>IF(OR($A241="",O$3=""),"",IF(AND($J241&lt;&gt;"",$K241&lt;&gt;"",$J241=$K241,$J241&gt;=O$3,$J241&lt;=IF(param_mode_affichage="mois",EOMONTH(O$3,0),O$3+6)),"◆",""))</f>
      </c>
      <c r="P241" s="26">
        <f>IF(OR($A241="",P$3=""),"",IF(AND($J241&lt;&gt;"",$K241&lt;&gt;"",$J241=$K241,$J241&gt;=P$3,$J241&lt;=IF(param_mode_affichage="mois",EOMONTH(P$3,0),P$3+6)),"◆",""))</f>
      </c>
      <c r="Q241" s="26">
        <f>IF(OR($A241="",Q$3=""),"",IF(AND($J241&lt;&gt;"",$K241&lt;&gt;"",$J241=$K241,$J241&gt;=Q$3,$J241&lt;=IF(param_mode_affichage="mois",EOMONTH(Q$3,0),Q$3+6)),"◆",""))</f>
      </c>
      <c r="R241" s="26">
        <f>IF(OR($A241="",R$3=""),"",IF(AND($J241&lt;&gt;"",$K241&lt;&gt;"",$J241=$K241,$J241&gt;=R$3,$J241&lt;=IF(param_mode_affichage="mois",EOMONTH(R$3,0),R$3+6)),"◆",""))</f>
      </c>
      <c r="S241" s="26">
        <f>IF(OR($A241="",S$3=""),"",IF(AND($J241&lt;&gt;"",$K241&lt;&gt;"",$J241=$K241,$J241&gt;=S$3,$J241&lt;=IF(param_mode_affichage="mois",EOMONTH(S$3,0),S$3+6)),"◆",""))</f>
      </c>
      <c r="T241" s="26">
        <f>IF(OR($A241="",T$3=""),"",IF(AND($J241&lt;&gt;"",$K241&lt;&gt;"",$J241=$K241,$J241&gt;=T$3,$J241&lt;=IF(param_mode_affichage="mois",EOMONTH(T$3,0),T$3+6)),"◆",""))</f>
      </c>
      <c r="U241" s="26">
        <f>IF(OR($A241="",U$3=""),"",IF(AND($J241&lt;&gt;"",$K241&lt;&gt;"",$J241=$K241,$J241&gt;=U$3,$J241&lt;=IF(param_mode_affichage="mois",EOMONTH(U$3,0),U$3+6)),"◆",""))</f>
      </c>
      <c r="V241" s="26">
        <f>IF(OR($A241="",V$3=""),"",IF(AND($J241&lt;&gt;"",$K241&lt;&gt;"",$J241=$K241,$J241&gt;=V$3,$J241&lt;=IF(param_mode_affichage="mois",EOMONTH(V$3,0),V$3+6)),"◆",""))</f>
      </c>
      <c r="W241" s="26">
        <f>IF(OR($A241="",W$3=""),"",IF(AND($J241&lt;&gt;"",$K241&lt;&gt;"",$J241=$K241,$J241&gt;=W$3,$J241&lt;=IF(param_mode_affichage="mois",EOMONTH(W$3,0),W$3+6)),"◆",""))</f>
      </c>
      <c r="X241" s="26">
        <f>IF(OR($A241="",X$3=""),"",IF(AND($J241&lt;&gt;"",$K241&lt;&gt;"",$J241=$K241,$J241&gt;=X$3,$J241&lt;=IF(param_mode_affichage="mois",EOMONTH(X$3,0),X$3+6)),"◆",""))</f>
      </c>
      <c r="Y241" s="26">
        <f>IF(OR($A241="",Y$3=""),"",IF(AND($J241&lt;&gt;"",$K241&lt;&gt;"",$J241=$K241,$J241&gt;=Y$3,$J241&lt;=IF(param_mode_affichage="mois",EOMONTH(Y$3,0),Y$3+6)),"◆",""))</f>
      </c>
      <c r="Z241" s="26">
        <f>IF(OR($A241="",Z$3=""),"",IF(AND($J241&lt;&gt;"",$K241&lt;&gt;"",$J241=$K241,$J241&gt;=Z$3,$J241&lt;=IF(param_mode_affichage="mois",EOMONTH(Z$3,0),Z$3+6)),"◆",""))</f>
      </c>
      <c r="AA241" s="26">
        <f>IF(OR($A241="",AA$3=""),"",IF(AND($J241&lt;&gt;"",$K241&lt;&gt;"",$J241=$K241,$J241&gt;=AA$3,$J241&lt;=IF(param_mode_affichage="mois",EOMONTH(AA$3,0),AA$3+6)),"◆",""))</f>
      </c>
      <c r="AB241" s="26">
        <f>IF(OR($A241="",AB$3=""),"",IF(AND($J241&lt;&gt;"",$K241&lt;&gt;"",$J241=$K241,$J241&gt;=AB$3,$J241&lt;=IF(param_mode_affichage="mois",EOMONTH(AB$3,0),AB$3+6)),"◆",""))</f>
      </c>
      <c r="AC241" s="26">
        <f>IF(OR($A241="",AC$3=""),"",IF(AND($J241&lt;&gt;"",$K241&lt;&gt;"",$J241=$K241,$J241&gt;=AC$3,$J241&lt;=IF(param_mode_affichage="mois",EOMONTH(AC$3,0),AC$3+6)),"◆",""))</f>
      </c>
      <c r="AD241" s="26">
        <f>IF(OR($A241="",AD$3=""),"",IF(AND($J241&lt;&gt;"",$K241&lt;&gt;"",$J241=$K241,$J241&gt;=AD$3,$J241&lt;=IF(param_mode_affichage="mois",EOMONTH(AD$3,0),AD$3+6)),"◆",""))</f>
      </c>
      <c r="AE241" s="26">
        <f>IF(OR($A241="",AE$3=""),"",IF(AND($J241&lt;&gt;"",$K241&lt;&gt;"",$J241=$K241,$J241&gt;=AE$3,$J241&lt;=IF(param_mode_affichage="mois",EOMONTH(AE$3,0),AE$3+6)),"◆",""))</f>
      </c>
      <c r="AF241" s="26">
        <f>IF(OR($A241="",AF$3=""),"",IF(AND($J241&lt;&gt;"",$K241&lt;&gt;"",$J241=$K241,$J241&gt;=AF$3,$J241&lt;=IF(param_mode_affichage="mois",EOMONTH(AF$3,0),AF$3+6)),"◆",""))</f>
      </c>
      <c r="AG241" s="26">
        <f>IF(OR($A241="",AG$3=""),"",IF(AND($J241&lt;&gt;"",$K241&lt;&gt;"",$J241=$K241,$J241&gt;=AG$3,$J241&lt;=IF(param_mode_affichage="mois",EOMONTH(AG$3,0),AG$3+6)),"◆",""))</f>
      </c>
      <c r="AH241" s="26">
        <f>IF(OR($A241="",AH$3=""),"",IF(AND($J241&lt;&gt;"",$K241&lt;&gt;"",$J241=$K241,$J241&gt;=AH$3,$J241&lt;=IF(param_mode_affichage="mois",EOMONTH(AH$3,0),AH$3+6)),"◆",""))</f>
      </c>
      <c r="AI241" s="26">
        <f>IF(OR($A241="",AI$3=""),"",IF(AND($J241&lt;&gt;"",$K241&lt;&gt;"",$J241=$K241,$J241&gt;=AI$3,$J241&lt;=IF(param_mode_affichage="mois",EOMONTH(AI$3,0),AI$3+6)),"◆",""))</f>
      </c>
      <c r="AJ241" s="26">
        <f>IF(OR($A241="",AJ$3=""),"",IF(AND($J241&lt;&gt;"",$K241&lt;&gt;"",$J241=$K241,$J241&gt;=AJ$3,$J241&lt;=IF(param_mode_affichage="mois",EOMONTH(AJ$3,0),AJ$3+6)),"◆",""))</f>
      </c>
      <c r="AK241" s="26">
        <f>IF(OR($A241="",AK$3=""),"",IF(AND($J241&lt;&gt;"",$K241&lt;&gt;"",$J241=$K241,$J241&gt;=AK$3,$J241&lt;=IF(param_mode_affichage="mois",EOMONTH(AK$3,0),AK$3+6)),"◆",""))</f>
      </c>
      <c r="AL241" s="26">
        <f>IF(OR($A241="",AL$3=""),"",IF(AND($J241&lt;&gt;"",$K241&lt;&gt;"",$J241=$K241,$J241&gt;=AL$3,$J241&lt;=IF(param_mode_affichage="mois",EOMONTH(AL$3,0),AL$3+6)),"◆",""))</f>
      </c>
      <c r="AM241" s="26">
        <f>IF(OR($A241="",AM$3=""),"",IF(AND($J241&lt;&gt;"",$K241&lt;&gt;"",$J241=$K241,$J241&gt;=AM$3,$J241&lt;=IF(param_mode_affichage="mois",EOMONTH(AM$3,0),AM$3+6)),"◆",""))</f>
      </c>
      <c r="AN241" s="26">
        <f>IF(OR($A241="",AN$3=""),"",IF(AND($J241&lt;&gt;"",$K241&lt;&gt;"",$J241=$K241,$J241&gt;=AN$3,$J241&lt;=IF(param_mode_affichage="mois",EOMONTH(AN$3,0),AN$3+6)),"◆",""))</f>
      </c>
      <c r="AO241" s="26">
        <f>IF(OR($A241="",AO$3=""),"",IF(AND($J241&lt;&gt;"",$K241&lt;&gt;"",$J241=$K241,$J241&gt;=AO$3,$J241&lt;=IF(param_mode_affichage="mois",EOMONTH(AO$3,0),AO$3+6)),"◆",""))</f>
      </c>
      <c r="AP241" s="26">
        <f>IF(OR($A241="",AP$3=""),"",IF(AND($J241&lt;&gt;"",$K241&lt;&gt;"",$J241=$K241,$J241&gt;=AP$3,$J241&lt;=IF(param_mode_affichage="mois",EOMONTH(AP$3,0),AP$3+6)),"◆",""))</f>
      </c>
      <c r="AQ241" s="26">
        <f>IF(OR($A241="",AQ$3=""),"",IF(AND($J241&lt;&gt;"",$K241&lt;&gt;"",$J241=$K241,$J241&gt;=AQ$3,$J241&lt;=IF(param_mode_affichage="mois",EOMONTH(AQ$3,0),AQ$3+6)),"◆",""))</f>
      </c>
      <c r="AR241" s="26">
        <f>IF(OR($A241="",AR$3=""),"",IF(AND($J241&lt;&gt;"",$K241&lt;&gt;"",$J241=$K241,$J241&gt;=AR$3,$J241&lt;=IF(param_mode_affichage="mois",EOMONTH(AR$3,0),AR$3+6)),"◆",""))</f>
      </c>
      <c r="AS241" s="26">
        <f>IF(OR($A241="",AS$3=""),"",IF(AND($J241&lt;&gt;"",$K241&lt;&gt;"",$J241=$K241,$J241&gt;=AS$3,$J241&lt;=IF(param_mode_affichage="mois",EOMONTH(AS$3,0),AS$3+6)),"◆",""))</f>
      </c>
      <c r="AT241" s="26">
        <f>IF(OR($A241="",AT$3=""),"",IF(AND($J241&lt;&gt;"",$K241&lt;&gt;"",$J241=$K241,$J241&gt;=AT$3,$J241&lt;=IF(param_mode_affichage="mois",EOMONTH(AT$3,0),AT$3+6)),"◆",""))</f>
      </c>
      <c r="AU241" s="26">
        <f>IF(OR($A241="",AU$3=""),"",IF(AND($J241&lt;&gt;"",$K241&lt;&gt;"",$J241=$K241,$J241&gt;=AU$3,$J241&lt;=IF(param_mode_affichage="mois",EOMONTH(AU$3,0),AU$3+6)),"◆",""))</f>
      </c>
      <c r="AV241" s="26">
        <f>IF(OR($A241="",AV$3=""),"",IF(AND($J241&lt;&gt;"",$K241&lt;&gt;"",$J241=$K241,$J241&gt;=AV$3,$J241&lt;=IF(param_mode_affichage="mois",EOMONTH(AV$3,0),AV$3+6)),"◆",""))</f>
      </c>
      <c r="AW241" s="26">
        <f>IF(OR($A241="",AW$3=""),"",IF(AND($J241&lt;&gt;"",$K241&lt;&gt;"",$J241=$K241,$J241&gt;=AW$3,$J241&lt;=IF(param_mode_affichage="mois",EOMONTH(AW$3,0),AW$3+6)),"◆",""))</f>
      </c>
      <c r="AX241" s="26">
        <f>IF(OR($A241="",AX$3=""),"",IF(AND($J241&lt;&gt;"",$K241&lt;&gt;"",$J241=$K241,$J241&gt;=AX$3,$J241&lt;=IF(param_mode_affichage="mois",EOMONTH(AX$3,0),AX$3+6)),"◆",""))</f>
      </c>
      <c r="AY241" s="26">
        <f>IF(OR($A241="",AY$3=""),"",IF(AND($J241&lt;&gt;"",$K241&lt;&gt;"",$J241=$K241,$J241&gt;=AY$3,$J241&lt;=IF(param_mode_affichage="mois",EOMONTH(AY$3,0),AY$3+6)),"◆",""))</f>
      </c>
      <c r="AZ241" s="26">
        <f>IF(OR($A241="",AZ$3=""),"",IF(AND($J241&lt;&gt;"",$K241&lt;&gt;"",$J241=$K241,$J241&gt;=AZ$3,$J241&lt;=IF(param_mode_affichage="mois",EOMONTH(AZ$3,0),AZ$3+6)),"◆",""))</f>
      </c>
      <c r="BA241" s="26">
        <f>IF(OR($A241="",BA$3=""),"",IF(AND($J241&lt;&gt;"",$K241&lt;&gt;"",$J241=$K241,$J241&gt;=BA$3,$J241&lt;=IF(param_mode_affichage="mois",EOMONTH(BA$3,0),BA$3+6)),"◆",""))</f>
      </c>
      <c r="BB241" s="26">
        <f>IF(OR($A241="",BB$3=""),"",IF(AND($J241&lt;&gt;"",$K241&lt;&gt;"",$J241=$K241,$J241&gt;=BB$3,$J241&lt;=IF(param_mode_affichage="mois",EOMONTH(BB$3,0),BB$3+6)),"◆",""))</f>
      </c>
      <c r="BC241" s="26">
        <f>IF(OR($A241="",BC$3=""),"",IF(AND($J241&lt;&gt;"",$K241&lt;&gt;"",$J241=$K241,$J241&gt;=BC$3,$J241&lt;=IF(param_mode_affichage="mois",EOMONTH(BC$3,0),BC$3+6)),"◆",""))</f>
      </c>
      <c r="BD241" s="26">
        <f>IF(OR($A241="",BD$3=""),"",IF(AND($J241&lt;&gt;"",$K241&lt;&gt;"",$J241=$K241,$J241&gt;=BD$3,$J241&lt;=IF(param_mode_affichage="mois",EOMONTH(BD$3,0),BD$3+6)),"◆",""))</f>
      </c>
      <c r="BE241" s="26">
        <f>IF(OR($A241="",BE$3=""),"",IF(AND($J241&lt;&gt;"",$K241&lt;&gt;"",$J241=$K241,$J241&gt;=BE$3,$J241&lt;=IF(param_mode_affichage="mois",EOMONTH(BE$3,0),BE$3+6)),"◆",""))</f>
      </c>
      <c r="BF241" s="26">
        <f>IF(OR($A241="",BF$3=""),"",IF(AND($J241&lt;&gt;"",$K241&lt;&gt;"",$J241=$K241,$J241&gt;=BF$3,$J241&lt;=IF(param_mode_affichage="mois",EOMONTH(BF$3,0),BF$3+6)),"◆",""))</f>
      </c>
      <c r="BG241" s="26">
        <f>IF(OR($A241="",BG$3=""),"",IF(AND($J241&lt;&gt;"",$K241&lt;&gt;"",$J241=$K241,$J241&gt;=BG$3,$J241&lt;=IF(param_mode_affichage="mois",EOMONTH(BG$3,0),BG$3+6)),"◆",""))</f>
      </c>
      <c r="BH241" s="26">
        <f>IF(OR($A241="",BH$3=""),"",IF(AND($J241&lt;&gt;"",$K241&lt;&gt;"",$J241=$K241,$J241&gt;=BH$3,$J241&lt;=IF(param_mode_affichage="mois",EOMONTH(BH$3,0),BH$3+6)),"◆",""))</f>
      </c>
      <c r="BI241" s="26">
        <f>IF(OR($A241="",BI$3=""),"",IF(AND($J241&lt;&gt;"",$K241&lt;&gt;"",$J241=$K241,$J241&gt;=BI$3,$J241&lt;=IF(param_mode_affichage="mois",EOMONTH(BI$3,0),BI$3+6)),"◆",""))</f>
      </c>
      <c r="BJ241" s="26">
        <f>IF(OR($A241="",BJ$3=""),"",IF(AND($J241&lt;&gt;"",$K241&lt;&gt;"",$J241=$K241,$J241&gt;=BJ$3,$J241&lt;=IF(param_mode_affichage="mois",EOMONTH(BJ$3,0),BJ$3+6)),"◆",""))</f>
      </c>
      <c r="BK241" s="26">
        <f>IF(OR($A241="",BK$3=""),"",IF(AND($J241&lt;&gt;"",$K241&lt;&gt;"",$J241=$K241,$J241&gt;=BK$3,$J241&lt;=IF(param_mode_affichage="mois",EOMONTH(BK$3,0),BK$3+6)),"◆",""))</f>
      </c>
      <c r="BL241" s="26">
        <f>IF(OR($A241="",BL$3=""),"",IF(AND($J241&lt;&gt;"",$K241&lt;&gt;"",$J241=$K241,$J241&gt;=BL$3,$J241&lt;=IF(param_mode_affichage="mois",EOMONTH(BL$3,0),BL$3+6)),"◆",""))</f>
      </c>
    </row>
    <row r="242" spans="1:64" x14ac:dyDescent="0.25">
      <c r="A242" s="23">
        <f>IFERROR(INDEX(tblTasks[ID],ROW()-4),"")</f>
      </c>
      <c r="B242" s="24">
        <f>IF($A242="","",INDEX(tblTasks[Sujet],ROW()-4))</f>
      </c>
      <c r="C242" s="23">
        <f>IF($A242="","",INDEX(tblTasks[Responsable],ROW()-4))</f>
      </c>
      <c r="D242" s="23">
        <f>IF($A242="","",INDEX(tblTasks[Statut],ROW()-4))</f>
      </c>
      <c r="E242" s="23">
        <f>IF($A242="","",INDEX(tblTasks[Depend_de],ROW()-4))</f>
      </c>
      <c r="F242" s="23">
        <f>IF($A242="","",INDEX(tblTasks[Blocage],ROW()-4))</f>
      </c>
      <c r="G242" s="23">
        <f>IF($A242="","",INDEX(tblTasks[Niveau_criticite],ROW()-4))</f>
      </c>
      <c r="H242" s="23">
        <f>IF($A242="","",INDEX(tblTasks[Goulot],ROW()-4))</f>
      </c>
      <c r="I242" s="23">
        <f>IF($A242="","",IF(LOWER($F242)="oui","non",IF($E242="","oui",IFERROR(IF(LOWER(INDEX(tblTasks[Statut],MATCH($E242,tblTasks[ID],0)))="clos","oui","non"),"non"))))</f>
      </c>
      <c r="J242" s="25">
        <f>IF($A242="","",INDEX(tblTasks[Date_debut_prevue],ROW()-4))</f>
      </c>
      <c r="K242" s="25">
        <f>IF($A242="","",INDEX(tblTasks[Date_fin_prevue],ROW()-4))</f>
      </c>
      <c r="L242" s="23">
        <f>IF($A242="","",INDEX(tblTasks[Irreversibilite],ROW()-4))</f>
      </c>
      <c r="M242" s="26">
        <f>IF(OR($A242="",M$3=""),"",IF(AND($J242&lt;&gt;"",$K242&lt;&gt;"",$J242=$K242,$J242&gt;=M$3,$J242&lt;=IF(param_mode_affichage="mois",EOMONTH(M$3,0),M$3+6)),"◆",""))</f>
      </c>
      <c r="N242" s="26">
        <f>IF(OR($A242="",N$3=""),"",IF(AND($J242&lt;&gt;"",$K242&lt;&gt;"",$J242=$K242,$J242&gt;=N$3,$J242&lt;=IF(param_mode_affichage="mois",EOMONTH(N$3,0),N$3+6)),"◆",""))</f>
      </c>
      <c r="O242" s="26">
        <f>IF(OR($A242="",O$3=""),"",IF(AND($J242&lt;&gt;"",$K242&lt;&gt;"",$J242=$K242,$J242&gt;=O$3,$J242&lt;=IF(param_mode_affichage="mois",EOMONTH(O$3,0),O$3+6)),"◆",""))</f>
      </c>
      <c r="P242" s="26">
        <f>IF(OR($A242="",P$3=""),"",IF(AND($J242&lt;&gt;"",$K242&lt;&gt;"",$J242=$K242,$J242&gt;=P$3,$J242&lt;=IF(param_mode_affichage="mois",EOMONTH(P$3,0),P$3+6)),"◆",""))</f>
      </c>
      <c r="Q242" s="26">
        <f>IF(OR($A242="",Q$3=""),"",IF(AND($J242&lt;&gt;"",$K242&lt;&gt;"",$J242=$K242,$J242&gt;=Q$3,$J242&lt;=IF(param_mode_affichage="mois",EOMONTH(Q$3,0),Q$3+6)),"◆",""))</f>
      </c>
      <c r="R242" s="26">
        <f>IF(OR($A242="",R$3=""),"",IF(AND($J242&lt;&gt;"",$K242&lt;&gt;"",$J242=$K242,$J242&gt;=R$3,$J242&lt;=IF(param_mode_affichage="mois",EOMONTH(R$3,0),R$3+6)),"◆",""))</f>
      </c>
      <c r="S242" s="26">
        <f>IF(OR($A242="",S$3=""),"",IF(AND($J242&lt;&gt;"",$K242&lt;&gt;"",$J242=$K242,$J242&gt;=S$3,$J242&lt;=IF(param_mode_affichage="mois",EOMONTH(S$3,0),S$3+6)),"◆",""))</f>
      </c>
      <c r="T242" s="26">
        <f>IF(OR($A242="",T$3=""),"",IF(AND($J242&lt;&gt;"",$K242&lt;&gt;"",$J242=$K242,$J242&gt;=T$3,$J242&lt;=IF(param_mode_affichage="mois",EOMONTH(T$3,0),T$3+6)),"◆",""))</f>
      </c>
      <c r="U242" s="26">
        <f>IF(OR($A242="",U$3=""),"",IF(AND($J242&lt;&gt;"",$K242&lt;&gt;"",$J242=$K242,$J242&gt;=U$3,$J242&lt;=IF(param_mode_affichage="mois",EOMONTH(U$3,0),U$3+6)),"◆",""))</f>
      </c>
      <c r="V242" s="26">
        <f>IF(OR($A242="",V$3=""),"",IF(AND($J242&lt;&gt;"",$K242&lt;&gt;"",$J242=$K242,$J242&gt;=V$3,$J242&lt;=IF(param_mode_affichage="mois",EOMONTH(V$3,0),V$3+6)),"◆",""))</f>
      </c>
      <c r="W242" s="26">
        <f>IF(OR($A242="",W$3=""),"",IF(AND($J242&lt;&gt;"",$K242&lt;&gt;"",$J242=$K242,$J242&gt;=W$3,$J242&lt;=IF(param_mode_affichage="mois",EOMONTH(W$3,0),W$3+6)),"◆",""))</f>
      </c>
      <c r="X242" s="26">
        <f>IF(OR($A242="",X$3=""),"",IF(AND($J242&lt;&gt;"",$K242&lt;&gt;"",$J242=$K242,$J242&gt;=X$3,$J242&lt;=IF(param_mode_affichage="mois",EOMONTH(X$3,0),X$3+6)),"◆",""))</f>
      </c>
      <c r="Y242" s="26">
        <f>IF(OR($A242="",Y$3=""),"",IF(AND($J242&lt;&gt;"",$K242&lt;&gt;"",$J242=$K242,$J242&gt;=Y$3,$J242&lt;=IF(param_mode_affichage="mois",EOMONTH(Y$3,0),Y$3+6)),"◆",""))</f>
      </c>
      <c r="Z242" s="26">
        <f>IF(OR($A242="",Z$3=""),"",IF(AND($J242&lt;&gt;"",$K242&lt;&gt;"",$J242=$K242,$J242&gt;=Z$3,$J242&lt;=IF(param_mode_affichage="mois",EOMONTH(Z$3,0),Z$3+6)),"◆",""))</f>
      </c>
      <c r="AA242" s="26">
        <f>IF(OR($A242="",AA$3=""),"",IF(AND($J242&lt;&gt;"",$K242&lt;&gt;"",$J242=$K242,$J242&gt;=AA$3,$J242&lt;=IF(param_mode_affichage="mois",EOMONTH(AA$3,0),AA$3+6)),"◆",""))</f>
      </c>
      <c r="AB242" s="26">
        <f>IF(OR($A242="",AB$3=""),"",IF(AND($J242&lt;&gt;"",$K242&lt;&gt;"",$J242=$K242,$J242&gt;=AB$3,$J242&lt;=IF(param_mode_affichage="mois",EOMONTH(AB$3,0),AB$3+6)),"◆",""))</f>
      </c>
      <c r="AC242" s="26">
        <f>IF(OR($A242="",AC$3=""),"",IF(AND($J242&lt;&gt;"",$K242&lt;&gt;"",$J242=$K242,$J242&gt;=AC$3,$J242&lt;=IF(param_mode_affichage="mois",EOMONTH(AC$3,0),AC$3+6)),"◆",""))</f>
      </c>
      <c r="AD242" s="26">
        <f>IF(OR($A242="",AD$3=""),"",IF(AND($J242&lt;&gt;"",$K242&lt;&gt;"",$J242=$K242,$J242&gt;=AD$3,$J242&lt;=IF(param_mode_affichage="mois",EOMONTH(AD$3,0),AD$3+6)),"◆",""))</f>
      </c>
      <c r="AE242" s="26">
        <f>IF(OR($A242="",AE$3=""),"",IF(AND($J242&lt;&gt;"",$K242&lt;&gt;"",$J242=$K242,$J242&gt;=AE$3,$J242&lt;=IF(param_mode_affichage="mois",EOMONTH(AE$3,0),AE$3+6)),"◆",""))</f>
      </c>
      <c r="AF242" s="26">
        <f>IF(OR($A242="",AF$3=""),"",IF(AND($J242&lt;&gt;"",$K242&lt;&gt;"",$J242=$K242,$J242&gt;=AF$3,$J242&lt;=IF(param_mode_affichage="mois",EOMONTH(AF$3,0),AF$3+6)),"◆",""))</f>
      </c>
      <c r="AG242" s="26">
        <f>IF(OR($A242="",AG$3=""),"",IF(AND($J242&lt;&gt;"",$K242&lt;&gt;"",$J242=$K242,$J242&gt;=AG$3,$J242&lt;=IF(param_mode_affichage="mois",EOMONTH(AG$3,0),AG$3+6)),"◆",""))</f>
      </c>
      <c r="AH242" s="26">
        <f>IF(OR($A242="",AH$3=""),"",IF(AND($J242&lt;&gt;"",$K242&lt;&gt;"",$J242=$K242,$J242&gt;=AH$3,$J242&lt;=IF(param_mode_affichage="mois",EOMONTH(AH$3,0),AH$3+6)),"◆",""))</f>
      </c>
      <c r="AI242" s="26">
        <f>IF(OR($A242="",AI$3=""),"",IF(AND($J242&lt;&gt;"",$K242&lt;&gt;"",$J242=$K242,$J242&gt;=AI$3,$J242&lt;=IF(param_mode_affichage="mois",EOMONTH(AI$3,0),AI$3+6)),"◆",""))</f>
      </c>
      <c r="AJ242" s="26">
        <f>IF(OR($A242="",AJ$3=""),"",IF(AND($J242&lt;&gt;"",$K242&lt;&gt;"",$J242=$K242,$J242&gt;=AJ$3,$J242&lt;=IF(param_mode_affichage="mois",EOMONTH(AJ$3,0),AJ$3+6)),"◆",""))</f>
      </c>
      <c r="AK242" s="26">
        <f>IF(OR($A242="",AK$3=""),"",IF(AND($J242&lt;&gt;"",$K242&lt;&gt;"",$J242=$K242,$J242&gt;=AK$3,$J242&lt;=IF(param_mode_affichage="mois",EOMONTH(AK$3,0),AK$3+6)),"◆",""))</f>
      </c>
      <c r="AL242" s="26">
        <f>IF(OR($A242="",AL$3=""),"",IF(AND($J242&lt;&gt;"",$K242&lt;&gt;"",$J242=$K242,$J242&gt;=AL$3,$J242&lt;=IF(param_mode_affichage="mois",EOMONTH(AL$3,0),AL$3+6)),"◆",""))</f>
      </c>
      <c r="AM242" s="26">
        <f>IF(OR($A242="",AM$3=""),"",IF(AND($J242&lt;&gt;"",$K242&lt;&gt;"",$J242=$K242,$J242&gt;=AM$3,$J242&lt;=IF(param_mode_affichage="mois",EOMONTH(AM$3,0),AM$3+6)),"◆",""))</f>
      </c>
      <c r="AN242" s="26">
        <f>IF(OR($A242="",AN$3=""),"",IF(AND($J242&lt;&gt;"",$K242&lt;&gt;"",$J242=$K242,$J242&gt;=AN$3,$J242&lt;=IF(param_mode_affichage="mois",EOMONTH(AN$3,0),AN$3+6)),"◆",""))</f>
      </c>
      <c r="AO242" s="26">
        <f>IF(OR($A242="",AO$3=""),"",IF(AND($J242&lt;&gt;"",$K242&lt;&gt;"",$J242=$K242,$J242&gt;=AO$3,$J242&lt;=IF(param_mode_affichage="mois",EOMONTH(AO$3,0),AO$3+6)),"◆",""))</f>
      </c>
      <c r="AP242" s="26">
        <f>IF(OR($A242="",AP$3=""),"",IF(AND($J242&lt;&gt;"",$K242&lt;&gt;"",$J242=$K242,$J242&gt;=AP$3,$J242&lt;=IF(param_mode_affichage="mois",EOMONTH(AP$3,0),AP$3+6)),"◆",""))</f>
      </c>
      <c r="AQ242" s="26">
        <f>IF(OR($A242="",AQ$3=""),"",IF(AND($J242&lt;&gt;"",$K242&lt;&gt;"",$J242=$K242,$J242&gt;=AQ$3,$J242&lt;=IF(param_mode_affichage="mois",EOMONTH(AQ$3,0),AQ$3+6)),"◆",""))</f>
      </c>
      <c r="AR242" s="26">
        <f>IF(OR($A242="",AR$3=""),"",IF(AND($J242&lt;&gt;"",$K242&lt;&gt;"",$J242=$K242,$J242&gt;=AR$3,$J242&lt;=IF(param_mode_affichage="mois",EOMONTH(AR$3,0),AR$3+6)),"◆",""))</f>
      </c>
      <c r="AS242" s="26">
        <f>IF(OR($A242="",AS$3=""),"",IF(AND($J242&lt;&gt;"",$K242&lt;&gt;"",$J242=$K242,$J242&gt;=AS$3,$J242&lt;=IF(param_mode_affichage="mois",EOMONTH(AS$3,0),AS$3+6)),"◆",""))</f>
      </c>
      <c r="AT242" s="26">
        <f>IF(OR($A242="",AT$3=""),"",IF(AND($J242&lt;&gt;"",$K242&lt;&gt;"",$J242=$K242,$J242&gt;=AT$3,$J242&lt;=IF(param_mode_affichage="mois",EOMONTH(AT$3,0),AT$3+6)),"◆",""))</f>
      </c>
      <c r="AU242" s="26">
        <f>IF(OR($A242="",AU$3=""),"",IF(AND($J242&lt;&gt;"",$K242&lt;&gt;"",$J242=$K242,$J242&gt;=AU$3,$J242&lt;=IF(param_mode_affichage="mois",EOMONTH(AU$3,0),AU$3+6)),"◆",""))</f>
      </c>
      <c r="AV242" s="26">
        <f>IF(OR($A242="",AV$3=""),"",IF(AND($J242&lt;&gt;"",$K242&lt;&gt;"",$J242=$K242,$J242&gt;=AV$3,$J242&lt;=IF(param_mode_affichage="mois",EOMONTH(AV$3,0),AV$3+6)),"◆",""))</f>
      </c>
      <c r="AW242" s="26">
        <f>IF(OR($A242="",AW$3=""),"",IF(AND($J242&lt;&gt;"",$K242&lt;&gt;"",$J242=$K242,$J242&gt;=AW$3,$J242&lt;=IF(param_mode_affichage="mois",EOMONTH(AW$3,0),AW$3+6)),"◆",""))</f>
      </c>
      <c r="AX242" s="26">
        <f>IF(OR($A242="",AX$3=""),"",IF(AND($J242&lt;&gt;"",$K242&lt;&gt;"",$J242=$K242,$J242&gt;=AX$3,$J242&lt;=IF(param_mode_affichage="mois",EOMONTH(AX$3,0),AX$3+6)),"◆",""))</f>
      </c>
      <c r="AY242" s="26">
        <f>IF(OR($A242="",AY$3=""),"",IF(AND($J242&lt;&gt;"",$K242&lt;&gt;"",$J242=$K242,$J242&gt;=AY$3,$J242&lt;=IF(param_mode_affichage="mois",EOMONTH(AY$3,0),AY$3+6)),"◆",""))</f>
      </c>
      <c r="AZ242" s="26">
        <f>IF(OR($A242="",AZ$3=""),"",IF(AND($J242&lt;&gt;"",$K242&lt;&gt;"",$J242=$K242,$J242&gt;=AZ$3,$J242&lt;=IF(param_mode_affichage="mois",EOMONTH(AZ$3,0),AZ$3+6)),"◆",""))</f>
      </c>
      <c r="BA242" s="26">
        <f>IF(OR($A242="",BA$3=""),"",IF(AND($J242&lt;&gt;"",$K242&lt;&gt;"",$J242=$K242,$J242&gt;=BA$3,$J242&lt;=IF(param_mode_affichage="mois",EOMONTH(BA$3,0),BA$3+6)),"◆",""))</f>
      </c>
      <c r="BB242" s="26">
        <f>IF(OR($A242="",BB$3=""),"",IF(AND($J242&lt;&gt;"",$K242&lt;&gt;"",$J242=$K242,$J242&gt;=BB$3,$J242&lt;=IF(param_mode_affichage="mois",EOMONTH(BB$3,0),BB$3+6)),"◆",""))</f>
      </c>
      <c r="BC242" s="26">
        <f>IF(OR($A242="",BC$3=""),"",IF(AND($J242&lt;&gt;"",$K242&lt;&gt;"",$J242=$K242,$J242&gt;=BC$3,$J242&lt;=IF(param_mode_affichage="mois",EOMONTH(BC$3,0),BC$3+6)),"◆",""))</f>
      </c>
      <c r="BD242" s="26">
        <f>IF(OR($A242="",BD$3=""),"",IF(AND($J242&lt;&gt;"",$K242&lt;&gt;"",$J242=$K242,$J242&gt;=BD$3,$J242&lt;=IF(param_mode_affichage="mois",EOMONTH(BD$3,0),BD$3+6)),"◆",""))</f>
      </c>
      <c r="BE242" s="26">
        <f>IF(OR($A242="",BE$3=""),"",IF(AND($J242&lt;&gt;"",$K242&lt;&gt;"",$J242=$K242,$J242&gt;=BE$3,$J242&lt;=IF(param_mode_affichage="mois",EOMONTH(BE$3,0),BE$3+6)),"◆",""))</f>
      </c>
      <c r="BF242" s="26">
        <f>IF(OR($A242="",BF$3=""),"",IF(AND($J242&lt;&gt;"",$K242&lt;&gt;"",$J242=$K242,$J242&gt;=BF$3,$J242&lt;=IF(param_mode_affichage="mois",EOMONTH(BF$3,0),BF$3+6)),"◆",""))</f>
      </c>
      <c r="BG242" s="26">
        <f>IF(OR($A242="",BG$3=""),"",IF(AND($J242&lt;&gt;"",$K242&lt;&gt;"",$J242=$K242,$J242&gt;=BG$3,$J242&lt;=IF(param_mode_affichage="mois",EOMONTH(BG$3,0),BG$3+6)),"◆",""))</f>
      </c>
      <c r="BH242" s="26">
        <f>IF(OR($A242="",BH$3=""),"",IF(AND($J242&lt;&gt;"",$K242&lt;&gt;"",$J242=$K242,$J242&gt;=BH$3,$J242&lt;=IF(param_mode_affichage="mois",EOMONTH(BH$3,0),BH$3+6)),"◆",""))</f>
      </c>
      <c r="BI242" s="26">
        <f>IF(OR($A242="",BI$3=""),"",IF(AND($J242&lt;&gt;"",$K242&lt;&gt;"",$J242=$K242,$J242&gt;=BI$3,$J242&lt;=IF(param_mode_affichage="mois",EOMONTH(BI$3,0),BI$3+6)),"◆",""))</f>
      </c>
      <c r="BJ242" s="26">
        <f>IF(OR($A242="",BJ$3=""),"",IF(AND($J242&lt;&gt;"",$K242&lt;&gt;"",$J242=$K242,$J242&gt;=BJ$3,$J242&lt;=IF(param_mode_affichage="mois",EOMONTH(BJ$3,0),BJ$3+6)),"◆",""))</f>
      </c>
      <c r="BK242" s="26">
        <f>IF(OR($A242="",BK$3=""),"",IF(AND($J242&lt;&gt;"",$K242&lt;&gt;"",$J242=$K242,$J242&gt;=BK$3,$J242&lt;=IF(param_mode_affichage="mois",EOMONTH(BK$3,0),BK$3+6)),"◆",""))</f>
      </c>
      <c r="BL242" s="26">
        <f>IF(OR($A242="",BL$3=""),"",IF(AND($J242&lt;&gt;"",$K242&lt;&gt;"",$J242=$K242,$J242&gt;=BL$3,$J242&lt;=IF(param_mode_affichage="mois",EOMONTH(BL$3,0),BL$3+6)),"◆",""))</f>
      </c>
    </row>
    <row r="243" spans="1:64" x14ac:dyDescent="0.25">
      <c r="A243" s="23">
        <f>IFERROR(INDEX(tblTasks[ID],ROW()-4),"")</f>
      </c>
      <c r="B243" s="24">
        <f>IF($A243="","",INDEX(tblTasks[Sujet],ROW()-4))</f>
      </c>
      <c r="C243" s="23">
        <f>IF($A243="","",INDEX(tblTasks[Responsable],ROW()-4))</f>
      </c>
      <c r="D243" s="23">
        <f>IF($A243="","",INDEX(tblTasks[Statut],ROW()-4))</f>
      </c>
      <c r="E243" s="23">
        <f>IF($A243="","",INDEX(tblTasks[Depend_de],ROW()-4))</f>
      </c>
      <c r="F243" s="23">
        <f>IF($A243="","",INDEX(tblTasks[Blocage],ROW()-4))</f>
      </c>
      <c r="G243" s="23">
        <f>IF($A243="","",INDEX(tblTasks[Niveau_criticite],ROW()-4))</f>
      </c>
      <c r="H243" s="23">
        <f>IF($A243="","",INDEX(tblTasks[Goulot],ROW()-4))</f>
      </c>
      <c r="I243" s="23">
        <f>IF($A243="","",IF(LOWER($F243)="oui","non",IF($E243="","oui",IFERROR(IF(LOWER(INDEX(tblTasks[Statut],MATCH($E243,tblTasks[ID],0)))="clos","oui","non"),"non"))))</f>
      </c>
      <c r="J243" s="25">
        <f>IF($A243="","",INDEX(tblTasks[Date_debut_prevue],ROW()-4))</f>
      </c>
      <c r="K243" s="25">
        <f>IF($A243="","",INDEX(tblTasks[Date_fin_prevue],ROW()-4))</f>
      </c>
      <c r="L243" s="23">
        <f>IF($A243="","",INDEX(tblTasks[Irreversibilite],ROW()-4))</f>
      </c>
      <c r="M243" s="26">
        <f>IF(OR($A243="",M$3=""),"",IF(AND($J243&lt;&gt;"",$K243&lt;&gt;"",$J243=$K243,$J243&gt;=M$3,$J243&lt;=IF(param_mode_affichage="mois",EOMONTH(M$3,0),M$3+6)),"◆",""))</f>
      </c>
      <c r="N243" s="26">
        <f>IF(OR($A243="",N$3=""),"",IF(AND($J243&lt;&gt;"",$K243&lt;&gt;"",$J243=$K243,$J243&gt;=N$3,$J243&lt;=IF(param_mode_affichage="mois",EOMONTH(N$3,0),N$3+6)),"◆",""))</f>
      </c>
      <c r="O243" s="26">
        <f>IF(OR($A243="",O$3=""),"",IF(AND($J243&lt;&gt;"",$K243&lt;&gt;"",$J243=$K243,$J243&gt;=O$3,$J243&lt;=IF(param_mode_affichage="mois",EOMONTH(O$3,0),O$3+6)),"◆",""))</f>
      </c>
      <c r="P243" s="26">
        <f>IF(OR($A243="",P$3=""),"",IF(AND($J243&lt;&gt;"",$K243&lt;&gt;"",$J243=$K243,$J243&gt;=P$3,$J243&lt;=IF(param_mode_affichage="mois",EOMONTH(P$3,0),P$3+6)),"◆",""))</f>
      </c>
      <c r="Q243" s="26">
        <f>IF(OR($A243="",Q$3=""),"",IF(AND($J243&lt;&gt;"",$K243&lt;&gt;"",$J243=$K243,$J243&gt;=Q$3,$J243&lt;=IF(param_mode_affichage="mois",EOMONTH(Q$3,0),Q$3+6)),"◆",""))</f>
      </c>
      <c r="R243" s="26">
        <f>IF(OR($A243="",R$3=""),"",IF(AND($J243&lt;&gt;"",$K243&lt;&gt;"",$J243=$K243,$J243&gt;=R$3,$J243&lt;=IF(param_mode_affichage="mois",EOMONTH(R$3,0),R$3+6)),"◆",""))</f>
      </c>
      <c r="S243" s="26">
        <f>IF(OR($A243="",S$3=""),"",IF(AND($J243&lt;&gt;"",$K243&lt;&gt;"",$J243=$K243,$J243&gt;=S$3,$J243&lt;=IF(param_mode_affichage="mois",EOMONTH(S$3,0),S$3+6)),"◆",""))</f>
      </c>
      <c r="T243" s="26">
        <f>IF(OR($A243="",T$3=""),"",IF(AND($J243&lt;&gt;"",$K243&lt;&gt;"",$J243=$K243,$J243&gt;=T$3,$J243&lt;=IF(param_mode_affichage="mois",EOMONTH(T$3,0),T$3+6)),"◆",""))</f>
      </c>
      <c r="U243" s="26">
        <f>IF(OR($A243="",U$3=""),"",IF(AND($J243&lt;&gt;"",$K243&lt;&gt;"",$J243=$K243,$J243&gt;=U$3,$J243&lt;=IF(param_mode_affichage="mois",EOMONTH(U$3,0),U$3+6)),"◆",""))</f>
      </c>
      <c r="V243" s="26">
        <f>IF(OR($A243="",V$3=""),"",IF(AND($J243&lt;&gt;"",$K243&lt;&gt;"",$J243=$K243,$J243&gt;=V$3,$J243&lt;=IF(param_mode_affichage="mois",EOMONTH(V$3,0),V$3+6)),"◆",""))</f>
      </c>
      <c r="W243" s="26">
        <f>IF(OR($A243="",W$3=""),"",IF(AND($J243&lt;&gt;"",$K243&lt;&gt;"",$J243=$K243,$J243&gt;=W$3,$J243&lt;=IF(param_mode_affichage="mois",EOMONTH(W$3,0),W$3+6)),"◆",""))</f>
      </c>
      <c r="X243" s="26">
        <f>IF(OR($A243="",X$3=""),"",IF(AND($J243&lt;&gt;"",$K243&lt;&gt;"",$J243=$K243,$J243&gt;=X$3,$J243&lt;=IF(param_mode_affichage="mois",EOMONTH(X$3,0),X$3+6)),"◆",""))</f>
      </c>
      <c r="Y243" s="26">
        <f>IF(OR($A243="",Y$3=""),"",IF(AND($J243&lt;&gt;"",$K243&lt;&gt;"",$J243=$K243,$J243&gt;=Y$3,$J243&lt;=IF(param_mode_affichage="mois",EOMONTH(Y$3,0),Y$3+6)),"◆",""))</f>
      </c>
      <c r="Z243" s="26">
        <f>IF(OR($A243="",Z$3=""),"",IF(AND($J243&lt;&gt;"",$K243&lt;&gt;"",$J243=$K243,$J243&gt;=Z$3,$J243&lt;=IF(param_mode_affichage="mois",EOMONTH(Z$3,0),Z$3+6)),"◆",""))</f>
      </c>
      <c r="AA243" s="26">
        <f>IF(OR($A243="",AA$3=""),"",IF(AND($J243&lt;&gt;"",$K243&lt;&gt;"",$J243=$K243,$J243&gt;=AA$3,$J243&lt;=IF(param_mode_affichage="mois",EOMONTH(AA$3,0),AA$3+6)),"◆",""))</f>
      </c>
      <c r="AB243" s="26">
        <f>IF(OR($A243="",AB$3=""),"",IF(AND($J243&lt;&gt;"",$K243&lt;&gt;"",$J243=$K243,$J243&gt;=AB$3,$J243&lt;=IF(param_mode_affichage="mois",EOMONTH(AB$3,0),AB$3+6)),"◆",""))</f>
      </c>
      <c r="AC243" s="26">
        <f>IF(OR($A243="",AC$3=""),"",IF(AND($J243&lt;&gt;"",$K243&lt;&gt;"",$J243=$K243,$J243&gt;=AC$3,$J243&lt;=IF(param_mode_affichage="mois",EOMONTH(AC$3,0),AC$3+6)),"◆",""))</f>
      </c>
      <c r="AD243" s="26">
        <f>IF(OR($A243="",AD$3=""),"",IF(AND($J243&lt;&gt;"",$K243&lt;&gt;"",$J243=$K243,$J243&gt;=AD$3,$J243&lt;=IF(param_mode_affichage="mois",EOMONTH(AD$3,0),AD$3+6)),"◆",""))</f>
      </c>
      <c r="AE243" s="26">
        <f>IF(OR($A243="",AE$3=""),"",IF(AND($J243&lt;&gt;"",$K243&lt;&gt;"",$J243=$K243,$J243&gt;=AE$3,$J243&lt;=IF(param_mode_affichage="mois",EOMONTH(AE$3,0),AE$3+6)),"◆",""))</f>
      </c>
      <c r="AF243" s="26">
        <f>IF(OR($A243="",AF$3=""),"",IF(AND($J243&lt;&gt;"",$K243&lt;&gt;"",$J243=$K243,$J243&gt;=AF$3,$J243&lt;=IF(param_mode_affichage="mois",EOMONTH(AF$3,0),AF$3+6)),"◆",""))</f>
      </c>
      <c r="AG243" s="26">
        <f>IF(OR($A243="",AG$3=""),"",IF(AND($J243&lt;&gt;"",$K243&lt;&gt;"",$J243=$K243,$J243&gt;=AG$3,$J243&lt;=IF(param_mode_affichage="mois",EOMONTH(AG$3,0),AG$3+6)),"◆",""))</f>
      </c>
      <c r="AH243" s="26">
        <f>IF(OR($A243="",AH$3=""),"",IF(AND($J243&lt;&gt;"",$K243&lt;&gt;"",$J243=$K243,$J243&gt;=AH$3,$J243&lt;=IF(param_mode_affichage="mois",EOMONTH(AH$3,0),AH$3+6)),"◆",""))</f>
      </c>
      <c r="AI243" s="26">
        <f>IF(OR($A243="",AI$3=""),"",IF(AND($J243&lt;&gt;"",$K243&lt;&gt;"",$J243=$K243,$J243&gt;=AI$3,$J243&lt;=IF(param_mode_affichage="mois",EOMONTH(AI$3,0),AI$3+6)),"◆",""))</f>
      </c>
      <c r="AJ243" s="26">
        <f>IF(OR($A243="",AJ$3=""),"",IF(AND($J243&lt;&gt;"",$K243&lt;&gt;"",$J243=$K243,$J243&gt;=AJ$3,$J243&lt;=IF(param_mode_affichage="mois",EOMONTH(AJ$3,0),AJ$3+6)),"◆",""))</f>
      </c>
      <c r="AK243" s="26">
        <f>IF(OR($A243="",AK$3=""),"",IF(AND($J243&lt;&gt;"",$K243&lt;&gt;"",$J243=$K243,$J243&gt;=AK$3,$J243&lt;=IF(param_mode_affichage="mois",EOMONTH(AK$3,0),AK$3+6)),"◆",""))</f>
      </c>
      <c r="AL243" s="26">
        <f>IF(OR($A243="",AL$3=""),"",IF(AND($J243&lt;&gt;"",$K243&lt;&gt;"",$J243=$K243,$J243&gt;=AL$3,$J243&lt;=IF(param_mode_affichage="mois",EOMONTH(AL$3,0),AL$3+6)),"◆",""))</f>
      </c>
      <c r="AM243" s="26">
        <f>IF(OR($A243="",AM$3=""),"",IF(AND($J243&lt;&gt;"",$K243&lt;&gt;"",$J243=$K243,$J243&gt;=AM$3,$J243&lt;=IF(param_mode_affichage="mois",EOMONTH(AM$3,0),AM$3+6)),"◆",""))</f>
      </c>
      <c r="AN243" s="26">
        <f>IF(OR($A243="",AN$3=""),"",IF(AND($J243&lt;&gt;"",$K243&lt;&gt;"",$J243=$K243,$J243&gt;=AN$3,$J243&lt;=IF(param_mode_affichage="mois",EOMONTH(AN$3,0),AN$3+6)),"◆",""))</f>
      </c>
      <c r="AO243" s="26">
        <f>IF(OR($A243="",AO$3=""),"",IF(AND($J243&lt;&gt;"",$K243&lt;&gt;"",$J243=$K243,$J243&gt;=AO$3,$J243&lt;=IF(param_mode_affichage="mois",EOMONTH(AO$3,0),AO$3+6)),"◆",""))</f>
      </c>
      <c r="AP243" s="26">
        <f>IF(OR($A243="",AP$3=""),"",IF(AND($J243&lt;&gt;"",$K243&lt;&gt;"",$J243=$K243,$J243&gt;=AP$3,$J243&lt;=IF(param_mode_affichage="mois",EOMONTH(AP$3,0),AP$3+6)),"◆",""))</f>
      </c>
      <c r="AQ243" s="26">
        <f>IF(OR($A243="",AQ$3=""),"",IF(AND($J243&lt;&gt;"",$K243&lt;&gt;"",$J243=$K243,$J243&gt;=AQ$3,$J243&lt;=IF(param_mode_affichage="mois",EOMONTH(AQ$3,0),AQ$3+6)),"◆",""))</f>
      </c>
      <c r="AR243" s="26">
        <f>IF(OR($A243="",AR$3=""),"",IF(AND($J243&lt;&gt;"",$K243&lt;&gt;"",$J243=$K243,$J243&gt;=AR$3,$J243&lt;=IF(param_mode_affichage="mois",EOMONTH(AR$3,0),AR$3+6)),"◆",""))</f>
      </c>
      <c r="AS243" s="26">
        <f>IF(OR($A243="",AS$3=""),"",IF(AND($J243&lt;&gt;"",$K243&lt;&gt;"",$J243=$K243,$J243&gt;=AS$3,$J243&lt;=IF(param_mode_affichage="mois",EOMONTH(AS$3,0),AS$3+6)),"◆",""))</f>
      </c>
      <c r="AT243" s="26">
        <f>IF(OR($A243="",AT$3=""),"",IF(AND($J243&lt;&gt;"",$K243&lt;&gt;"",$J243=$K243,$J243&gt;=AT$3,$J243&lt;=IF(param_mode_affichage="mois",EOMONTH(AT$3,0),AT$3+6)),"◆",""))</f>
      </c>
      <c r="AU243" s="26">
        <f>IF(OR($A243="",AU$3=""),"",IF(AND($J243&lt;&gt;"",$K243&lt;&gt;"",$J243=$K243,$J243&gt;=AU$3,$J243&lt;=IF(param_mode_affichage="mois",EOMONTH(AU$3,0),AU$3+6)),"◆",""))</f>
      </c>
      <c r="AV243" s="26">
        <f>IF(OR($A243="",AV$3=""),"",IF(AND($J243&lt;&gt;"",$K243&lt;&gt;"",$J243=$K243,$J243&gt;=AV$3,$J243&lt;=IF(param_mode_affichage="mois",EOMONTH(AV$3,0),AV$3+6)),"◆",""))</f>
      </c>
      <c r="AW243" s="26">
        <f>IF(OR($A243="",AW$3=""),"",IF(AND($J243&lt;&gt;"",$K243&lt;&gt;"",$J243=$K243,$J243&gt;=AW$3,$J243&lt;=IF(param_mode_affichage="mois",EOMONTH(AW$3,0),AW$3+6)),"◆",""))</f>
      </c>
      <c r="AX243" s="26">
        <f>IF(OR($A243="",AX$3=""),"",IF(AND($J243&lt;&gt;"",$K243&lt;&gt;"",$J243=$K243,$J243&gt;=AX$3,$J243&lt;=IF(param_mode_affichage="mois",EOMONTH(AX$3,0),AX$3+6)),"◆",""))</f>
      </c>
      <c r="AY243" s="26">
        <f>IF(OR($A243="",AY$3=""),"",IF(AND($J243&lt;&gt;"",$K243&lt;&gt;"",$J243=$K243,$J243&gt;=AY$3,$J243&lt;=IF(param_mode_affichage="mois",EOMONTH(AY$3,0),AY$3+6)),"◆",""))</f>
      </c>
      <c r="AZ243" s="26">
        <f>IF(OR($A243="",AZ$3=""),"",IF(AND($J243&lt;&gt;"",$K243&lt;&gt;"",$J243=$K243,$J243&gt;=AZ$3,$J243&lt;=IF(param_mode_affichage="mois",EOMONTH(AZ$3,0),AZ$3+6)),"◆",""))</f>
      </c>
      <c r="BA243" s="26">
        <f>IF(OR($A243="",BA$3=""),"",IF(AND($J243&lt;&gt;"",$K243&lt;&gt;"",$J243=$K243,$J243&gt;=BA$3,$J243&lt;=IF(param_mode_affichage="mois",EOMONTH(BA$3,0),BA$3+6)),"◆",""))</f>
      </c>
      <c r="BB243" s="26">
        <f>IF(OR($A243="",BB$3=""),"",IF(AND($J243&lt;&gt;"",$K243&lt;&gt;"",$J243=$K243,$J243&gt;=BB$3,$J243&lt;=IF(param_mode_affichage="mois",EOMONTH(BB$3,0),BB$3+6)),"◆",""))</f>
      </c>
      <c r="BC243" s="26">
        <f>IF(OR($A243="",BC$3=""),"",IF(AND($J243&lt;&gt;"",$K243&lt;&gt;"",$J243=$K243,$J243&gt;=BC$3,$J243&lt;=IF(param_mode_affichage="mois",EOMONTH(BC$3,0),BC$3+6)),"◆",""))</f>
      </c>
      <c r="BD243" s="26">
        <f>IF(OR($A243="",BD$3=""),"",IF(AND($J243&lt;&gt;"",$K243&lt;&gt;"",$J243=$K243,$J243&gt;=BD$3,$J243&lt;=IF(param_mode_affichage="mois",EOMONTH(BD$3,0),BD$3+6)),"◆",""))</f>
      </c>
      <c r="BE243" s="26">
        <f>IF(OR($A243="",BE$3=""),"",IF(AND($J243&lt;&gt;"",$K243&lt;&gt;"",$J243=$K243,$J243&gt;=BE$3,$J243&lt;=IF(param_mode_affichage="mois",EOMONTH(BE$3,0),BE$3+6)),"◆",""))</f>
      </c>
      <c r="BF243" s="26">
        <f>IF(OR($A243="",BF$3=""),"",IF(AND($J243&lt;&gt;"",$K243&lt;&gt;"",$J243=$K243,$J243&gt;=BF$3,$J243&lt;=IF(param_mode_affichage="mois",EOMONTH(BF$3,0),BF$3+6)),"◆",""))</f>
      </c>
      <c r="BG243" s="26">
        <f>IF(OR($A243="",BG$3=""),"",IF(AND($J243&lt;&gt;"",$K243&lt;&gt;"",$J243=$K243,$J243&gt;=BG$3,$J243&lt;=IF(param_mode_affichage="mois",EOMONTH(BG$3,0),BG$3+6)),"◆",""))</f>
      </c>
      <c r="BH243" s="26">
        <f>IF(OR($A243="",BH$3=""),"",IF(AND($J243&lt;&gt;"",$K243&lt;&gt;"",$J243=$K243,$J243&gt;=BH$3,$J243&lt;=IF(param_mode_affichage="mois",EOMONTH(BH$3,0),BH$3+6)),"◆",""))</f>
      </c>
      <c r="BI243" s="26">
        <f>IF(OR($A243="",BI$3=""),"",IF(AND($J243&lt;&gt;"",$K243&lt;&gt;"",$J243=$K243,$J243&gt;=BI$3,$J243&lt;=IF(param_mode_affichage="mois",EOMONTH(BI$3,0),BI$3+6)),"◆",""))</f>
      </c>
      <c r="BJ243" s="26">
        <f>IF(OR($A243="",BJ$3=""),"",IF(AND($J243&lt;&gt;"",$K243&lt;&gt;"",$J243=$K243,$J243&gt;=BJ$3,$J243&lt;=IF(param_mode_affichage="mois",EOMONTH(BJ$3,0),BJ$3+6)),"◆",""))</f>
      </c>
      <c r="BK243" s="26">
        <f>IF(OR($A243="",BK$3=""),"",IF(AND($J243&lt;&gt;"",$K243&lt;&gt;"",$J243=$K243,$J243&gt;=BK$3,$J243&lt;=IF(param_mode_affichage="mois",EOMONTH(BK$3,0),BK$3+6)),"◆",""))</f>
      </c>
      <c r="BL243" s="26">
        <f>IF(OR($A243="",BL$3=""),"",IF(AND($J243&lt;&gt;"",$K243&lt;&gt;"",$J243=$K243,$J243&gt;=BL$3,$J243&lt;=IF(param_mode_affichage="mois",EOMONTH(BL$3,0),BL$3+6)),"◆",""))</f>
      </c>
    </row>
    <row r="244" spans="1:64" x14ac:dyDescent="0.25">
      <c r="A244" s="23">
        <f>IFERROR(INDEX(tblTasks[ID],ROW()-4),"")</f>
      </c>
      <c r="B244" s="24">
        <f>IF($A244="","",INDEX(tblTasks[Sujet],ROW()-4))</f>
      </c>
      <c r="C244" s="23">
        <f>IF($A244="","",INDEX(tblTasks[Responsable],ROW()-4))</f>
      </c>
      <c r="D244" s="23">
        <f>IF($A244="","",INDEX(tblTasks[Statut],ROW()-4))</f>
      </c>
      <c r="E244" s="23">
        <f>IF($A244="","",INDEX(tblTasks[Depend_de],ROW()-4))</f>
      </c>
      <c r="F244" s="23">
        <f>IF($A244="","",INDEX(tblTasks[Blocage],ROW()-4))</f>
      </c>
      <c r="G244" s="23">
        <f>IF($A244="","",INDEX(tblTasks[Niveau_criticite],ROW()-4))</f>
      </c>
      <c r="H244" s="23">
        <f>IF($A244="","",INDEX(tblTasks[Goulot],ROW()-4))</f>
      </c>
      <c r="I244" s="23">
        <f>IF($A244="","",IF(LOWER($F244)="oui","non",IF($E244="","oui",IFERROR(IF(LOWER(INDEX(tblTasks[Statut],MATCH($E244,tblTasks[ID],0)))="clos","oui","non"),"non"))))</f>
      </c>
      <c r="J244" s="25">
        <f>IF($A244="","",INDEX(tblTasks[Date_debut_prevue],ROW()-4))</f>
      </c>
      <c r="K244" s="25">
        <f>IF($A244="","",INDEX(tblTasks[Date_fin_prevue],ROW()-4))</f>
      </c>
      <c r="L244" s="23">
        <f>IF($A244="","",INDEX(tblTasks[Irreversibilite],ROW()-4))</f>
      </c>
      <c r="M244" s="26">
        <f>IF(OR($A244="",M$3=""),"",IF(AND($J244&lt;&gt;"",$K244&lt;&gt;"",$J244=$K244,$J244&gt;=M$3,$J244&lt;=IF(param_mode_affichage="mois",EOMONTH(M$3,0),M$3+6)),"◆",""))</f>
      </c>
      <c r="N244" s="26">
        <f>IF(OR($A244="",N$3=""),"",IF(AND($J244&lt;&gt;"",$K244&lt;&gt;"",$J244=$K244,$J244&gt;=N$3,$J244&lt;=IF(param_mode_affichage="mois",EOMONTH(N$3,0),N$3+6)),"◆",""))</f>
      </c>
      <c r="O244" s="26">
        <f>IF(OR($A244="",O$3=""),"",IF(AND($J244&lt;&gt;"",$K244&lt;&gt;"",$J244=$K244,$J244&gt;=O$3,$J244&lt;=IF(param_mode_affichage="mois",EOMONTH(O$3,0),O$3+6)),"◆",""))</f>
      </c>
      <c r="P244" s="26">
        <f>IF(OR($A244="",P$3=""),"",IF(AND($J244&lt;&gt;"",$K244&lt;&gt;"",$J244=$K244,$J244&gt;=P$3,$J244&lt;=IF(param_mode_affichage="mois",EOMONTH(P$3,0),P$3+6)),"◆",""))</f>
      </c>
      <c r="Q244" s="26">
        <f>IF(OR($A244="",Q$3=""),"",IF(AND($J244&lt;&gt;"",$K244&lt;&gt;"",$J244=$K244,$J244&gt;=Q$3,$J244&lt;=IF(param_mode_affichage="mois",EOMONTH(Q$3,0),Q$3+6)),"◆",""))</f>
      </c>
      <c r="R244" s="26">
        <f>IF(OR($A244="",R$3=""),"",IF(AND($J244&lt;&gt;"",$K244&lt;&gt;"",$J244=$K244,$J244&gt;=R$3,$J244&lt;=IF(param_mode_affichage="mois",EOMONTH(R$3,0),R$3+6)),"◆",""))</f>
      </c>
      <c r="S244" s="26">
        <f>IF(OR($A244="",S$3=""),"",IF(AND($J244&lt;&gt;"",$K244&lt;&gt;"",$J244=$K244,$J244&gt;=S$3,$J244&lt;=IF(param_mode_affichage="mois",EOMONTH(S$3,0),S$3+6)),"◆",""))</f>
      </c>
      <c r="T244" s="26">
        <f>IF(OR($A244="",T$3=""),"",IF(AND($J244&lt;&gt;"",$K244&lt;&gt;"",$J244=$K244,$J244&gt;=T$3,$J244&lt;=IF(param_mode_affichage="mois",EOMONTH(T$3,0),T$3+6)),"◆",""))</f>
      </c>
      <c r="U244" s="26">
        <f>IF(OR($A244="",U$3=""),"",IF(AND($J244&lt;&gt;"",$K244&lt;&gt;"",$J244=$K244,$J244&gt;=U$3,$J244&lt;=IF(param_mode_affichage="mois",EOMONTH(U$3,0),U$3+6)),"◆",""))</f>
      </c>
      <c r="V244" s="26">
        <f>IF(OR($A244="",V$3=""),"",IF(AND($J244&lt;&gt;"",$K244&lt;&gt;"",$J244=$K244,$J244&gt;=V$3,$J244&lt;=IF(param_mode_affichage="mois",EOMONTH(V$3,0),V$3+6)),"◆",""))</f>
      </c>
      <c r="W244" s="26">
        <f>IF(OR($A244="",W$3=""),"",IF(AND($J244&lt;&gt;"",$K244&lt;&gt;"",$J244=$K244,$J244&gt;=W$3,$J244&lt;=IF(param_mode_affichage="mois",EOMONTH(W$3,0),W$3+6)),"◆",""))</f>
      </c>
      <c r="X244" s="26">
        <f>IF(OR($A244="",X$3=""),"",IF(AND($J244&lt;&gt;"",$K244&lt;&gt;"",$J244=$K244,$J244&gt;=X$3,$J244&lt;=IF(param_mode_affichage="mois",EOMONTH(X$3,0),X$3+6)),"◆",""))</f>
      </c>
      <c r="Y244" s="26">
        <f>IF(OR($A244="",Y$3=""),"",IF(AND($J244&lt;&gt;"",$K244&lt;&gt;"",$J244=$K244,$J244&gt;=Y$3,$J244&lt;=IF(param_mode_affichage="mois",EOMONTH(Y$3,0),Y$3+6)),"◆",""))</f>
      </c>
      <c r="Z244" s="26">
        <f>IF(OR($A244="",Z$3=""),"",IF(AND($J244&lt;&gt;"",$K244&lt;&gt;"",$J244=$K244,$J244&gt;=Z$3,$J244&lt;=IF(param_mode_affichage="mois",EOMONTH(Z$3,0),Z$3+6)),"◆",""))</f>
      </c>
      <c r="AA244" s="26">
        <f>IF(OR($A244="",AA$3=""),"",IF(AND($J244&lt;&gt;"",$K244&lt;&gt;"",$J244=$K244,$J244&gt;=AA$3,$J244&lt;=IF(param_mode_affichage="mois",EOMONTH(AA$3,0),AA$3+6)),"◆",""))</f>
      </c>
      <c r="AB244" s="26">
        <f>IF(OR($A244="",AB$3=""),"",IF(AND($J244&lt;&gt;"",$K244&lt;&gt;"",$J244=$K244,$J244&gt;=AB$3,$J244&lt;=IF(param_mode_affichage="mois",EOMONTH(AB$3,0),AB$3+6)),"◆",""))</f>
      </c>
      <c r="AC244" s="26">
        <f>IF(OR($A244="",AC$3=""),"",IF(AND($J244&lt;&gt;"",$K244&lt;&gt;"",$J244=$K244,$J244&gt;=AC$3,$J244&lt;=IF(param_mode_affichage="mois",EOMONTH(AC$3,0),AC$3+6)),"◆",""))</f>
      </c>
      <c r="AD244" s="26">
        <f>IF(OR($A244="",AD$3=""),"",IF(AND($J244&lt;&gt;"",$K244&lt;&gt;"",$J244=$K244,$J244&gt;=AD$3,$J244&lt;=IF(param_mode_affichage="mois",EOMONTH(AD$3,0),AD$3+6)),"◆",""))</f>
      </c>
      <c r="AE244" s="26">
        <f>IF(OR($A244="",AE$3=""),"",IF(AND($J244&lt;&gt;"",$K244&lt;&gt;"",$J244=$K244,$J244&gt;=AE$3,$J244&lt;=IF(param_mode_affichage="mois",EOMONTH(AE$3,0),AE$3+6)),"◆",""))</f>
      </c>
      <c r="AF244" s="26">
        <f>IF(OR($A244="",AF$3=""),"",IF(AND($J244&lt;&gt;"",$K244&lt;&gt;"",$J244=$K244,$J244&gt;=AF$3,$J244&lt;=IF(param_mode_affichage="mois",EOMONTH(AF$3,0),AF$3+6)),"◆",""))</f>
      </c>
      <c r="AG244" s="26">
        <f>IF(OR($A244="",AG$3=""),"",IF(AND($J244&lt;&gt;"",$K244&lt;&gt;"",$J244=$K244,$J244&gt;=AG$3,$J244&lt;=IF(param_mode_affichage="mois",EOMONTH(AG$3,0),AG$3+6)),"◆",""))</f>
      </c>
      <c r="AH244" s="26">
        <f>IF(OR($A244="",AH$3=""),"",IF(AND($J244&lt;&gt;"",$K244&lt;&gt;"",$J244=$K244,$J244&gt;=AH$3,$J244&lt;=IF(param_mode_affichage="mois",EOMONTH(AH$3,0),AH$3+6)),"◆",""))</f>
      </c>
      <c r="AI244" s="26">
        <f>IF(OR($A244="",AI$3=""),"",IF(AND($J244&lt;&gt;"",$K244&lt;&gt;"",$J244=$K244,$J244&gt;=AI$3,$J244&lt;=IF(param_mode_affichage="mois",EOMONTH(AI$3,0),AI$3+6)),"◆",""))</f>
      </c>
      <c r="AJ244" s="26">
        <f>IF(OR($A244="",AJ$3=""),"",IF(AND($J244&lt;&gt;"",$K244&lt;&gt;"",$J244=$K244,$J244&gt;=AJ$3,$J244&lt;=IF(param_mode_affichage="mois",EOMONTH(AJ$3,0),AJ$3+6)),"◆",""))</f>
      </c>
      <c r="AK244" s="26">
        <f>IF(OR($A244="",AK$3=""),"",IF(AND($J244&lt;&gt;"",$K244&lt;&gt;"",$J244=$K244,$J244&gt;=AK$3,$J244&lt;=IF(param_mode_affichage="mois",EOMONTH(AK$3,0),AK$3+6)),"◆",""))</f>
      </c>
      <c r="AL244" s="26">
        <f>IF(OR($A244="",AL$3=""),"",IF(AND($J244&lt;&gt;"",$K244&lt;&gt;"",$J244=$K244,$J244&gt;=AL$3,$J244&lt;=IF(param_mode_affichage="mois",EOMONTH(AL$3,0),AL$3+6)),"◆",""))</f>
      </c>
      <c r="AM244" s="26">
        <f>IF(OR($A244="",AM$3=""),"",IF(AND($J244&lt;&gt;"",$K244&lt;&gt;"",$J244=$K244,$J244&gt;=AM$3,$J244&lt;=IF(param_mode_affichage="mois",EOMONTH(AM$3,0),AM$3+6)),"◆",""))</f>
      </c>
      <c r="AN244" s="26">
        <f>IF(OR($A244="",AN$3=""),"",IF(AND($J244&lt;&gt;"",$K244&lt;&gt;"",$J244=$K244,$J244&gt;=AN$3,$J244&lt;=IF(param_mode_affichage="mois",EOMONTH(AN$3,0),AN$3+6)),"◆",""))</f>
      </c>
      <c r="AO244" s="26">
        <f>IF(OR($A244="",AO$3=""),"",IF(AND($J244&lt;&gt;"",$K244&lt;&gt;"",$J244=$K244,$J244&gt;=AO$3,$J244&lt;=IF(param_mode_affichage="mois",EOMONTH(AO$3,0),AO$3+6)),"◆",""))</f>
      </c>
      <c r="AP244" s="26">
        <f>IF(OR($A244="",AP$3=""),"",IF(AND($J244&lt;&gt;"",$K244&lt;&gt;"",$J244=$K244,$J244&gt;=AP$3,$J244&lt;=IF(param_mode_affichage="mois",EOMONTH(AP$3,0),AP$3+6)),"◆",""))</f>
      </c>
      <c r="AQ244" s="26">
        <f>IF(OR($A244="",AQ$3=""),"",IF(AND($J244&lt;&gt;"",$K244&lt;&gt;"",$J244=$K244,$J244&gt;=AQ$3,$J244&lt;=IF(param_mode_affichage="mois",EOMONTH(AQ$3,0),AQ$3+6)),"◆",""))</f>
      </c>
      <c r="AR244" s="26">
        <f>IF(OR($A244="",AR$3=""),"",IF(AND($J244&lt;&gt;"",$K244&lt;&gt;"",$J244=$K244,$J244&gt;=AR$3,$J244&lt;=IF(param_mode_affichage="mois",EOMONTH(AR$3,0),AR$3+6)),"◆",""))</f>
      </c>
      <c r="AS244" s="26">
        <f>IF(OR($A244="",AS$3=""),"",IF(AND($J244&lt;&gt;"",$K244&lt;&gt;"",$J244=$K244,$J244&gt;=AS$3,$J244&lt;=IF(param_mode_affichage="mois",EOMONTH(AS$3,0),AS$3+6)),"◆",""))</f>
      </c>
      <c r="AT244" s="26">
        <f>IF(OR($A244="",AT$3=""),"",IF(AND($J244&lt;&gt;"",$K244&lt;&gt;"",$J244=$K244,$J244&gt;=AT$3,$J244&lt;=IF(param_mode_affichage="mois",EOMONTH(AT$3,0),AT$3+6)),"◆",""))</f>
      </c>
      <c r="AU244" s="26">
        <f>IF(OR($A244="",AU$3=""),"",IF(AND($J244&lt;&gt;"",$K244&lt;&gt;"",$J244=$K244,$J244&gt;=AU$3,$J244&lt;=IF(param_mode_affichage="mois",EOMONTH(AU$3,0),AU$3+6)),"◆",""))</f>
      </c>
      <c r="AV244" s="26">
        <f>IF(OR($A244="",AV$3=""),"",IF(AND($J244&lt;&gt;"",$K244&lt;&gt;"",$J244=$K244,$J244&gt;=AV$3,$J244&lt;=IF(param_mode_affichage="mois",EOMONTH(AV$3,0),AV$3+6)),"◆",""))</f>
      </c>
      <c r="AW244" s="26">
        <f>IF(OR($A244="",AW$3=""),"",IF(AND($J244&lt;&gt;"",$K244&lt;&gt;"",$J244=$K244,$J244&gt;=AW$3,$J244&lt;=IF(param_mode_affichage="mois",EOMONTH(AW$3,0),AW$3+6)),"◆",""))</f>
      </c>
      <c r="AX244" s="26">
        <f>IF(OR($A244="",AX$3=""),"",IF(AND($J244&lt;&gt;"",$K244&lt;&gt;"",$J244=$K244,$J244&gt;=AX$3,$J244&lt;=IF(param_mode_affichage="mois",EOMONTH(AX$3,0),AX$3+6)),"◆",""))</f>
      </c>
      <c r="AY244" s="26">
        <f>IF(OR($A244="",AY$3=""),"",IF(AND($J244&lt;&gt;"",$K244&lt;&gt;"",$J244=$K244,$J244&gt;=AY$3,$J244&lt;=IF(param_mode_affichage="mois",EOMONTH(AY$3,0),AY$3+6)),"◆",""))</f>
      </c>
      <c r="AZ244" s="26">
        <f>IF(OR($A244="",AZ$3=""),"",IF(AND($J244&lt;&gt;"",$K244&lt;&gt;"",$J244=$K244,$J244&gt;=AZ$3,$J244&lt;=IF(param_mode_affichage="mois",EOMONTH(AZ$3,0),AZ$3+6)),"◆",""))</f>
      </c>
      <c r="BA244" s="26">
        <f>IF(OR($A244="",BA$3=""),"",IF(AND($J244&lt;&gt;"",$K244&lt;&gt;"",$J244=$K244,$J244&gt;=BA$3,$J244&lt;=IF(param_mode_affichage="mois",EOMONTH(BA$3,0),BA$3+6)),"◆",""))</f>
      </c>
      <c r="BB244" s="26">
        <f>IF(OR($A244="",BB$3=""),"",IF(AND($J244&lt;&gt;"",$K244&lt;&gt;"",$J244=$K244,$J244&gt;=BB$3,$J244&lt;=IF(param_mode_affichage="mois",EOMONTH(BB$3,0),BB$3+6)),"◆",""))</f>
      </c>
      <c r="BC244" s="26">
        <f>IF(OR($A244="",BC$3=""),"",IF(AND($J244&lt;&gt;"",$K244&lt;&gt;"",$J244=$K244,$J244&gt;=BC$3,$J244&lt;=IF(param_mode_affichage="mois",EOMONTH(BC$3,0),BC$3+6)),"◆",""))</f>
      </c>
      <c r="BD244" s="26">
        <f>IF(OR($A244="",BD$3=""),"",IF(AND($J244&lt;&gt;"",$K244&lt;&gt;"",$J244=$K244,$J244&gt;=BD$3,$J244&lt;=IF(param_mode_affichage="mois",EOMONTH(BD$3,0),BD$3+6)),"◆",""))</f>
      </c>
      <c r="BE244" s="26">
        <f>IF(OR($A244="",BE$3=""),"",IF(AND($J244&lt;&gt;"",$K244&lt;&gt;"",$J244=$K244,$J244&gt;=BE$3,$J244&lt;=IF(param_mode_affichage="mois",EOMONTH(BE$3,0),BE$3+6)),"◆",""))</f>
      </c>
      <c r="BF244" s="26">
        <f>IF(OR($A244="",BF$3=""),"",IF(AND($J244&lt;&gt;"",$K244&lt;&gt;"",$J244=$K244,$J244&gt;=BF$3,$J244&lt;=IF(param_mode_affichage="mois",EOMONTH(BF$3,0),BF$3+6)),"◆",""))</f>
      </c>
      <c r="BG244" s="26">
        <f>IF(OR($A244="",BG$3=""),"",IF(AND($J244&lt;&gt;"",$K244&lt;&gt;"",$J244=$K244,$J244&gt;=BG$3,$J244&lt;=IF(param_mode_affichage="mois",EOMONTH(BG$3,0),BG$3+6)),"◆",""))</f>
      </c>
      <c r="BH244" s="26">
        <f>IF(OR($A244="",BH$3=""),"",IF(AND($J244&lt;&gt;"",$K244&lt;&gt;"",$J244=$K244,$J244&gt;=BH$3,$J244&lt;=IF(param_mode_affichage="mois",EOMONTH(BH$3,0),BH$3+6)),"◆",""))</f>
      </c>
      <c r="BI244" s="26">
        <f>IF(OR($A244="",BI$3=""),"",IF(AND($J244&lt;&gt;"",$K244&lt;&gt;"",$J244=$K244,$J244&gt;=BI$3,$J244&lt;=IF(param_mode_affichage="mois",EOMONTH(BI$3,0),BI$3+6)),"◆",""))</f>
      </c>
      <c r="BJ244" s="26">
        <f>IF(OR($A244="",BJ$3=""),"",IF(AND($J244&lt;&gt;"",$K244&lt;&gt;"",$J244=$K244,$J244&gt;=BJ$3,$J244&lt;=IF(param_mode_affichage="mois",EOMONTH(BJ$3,0),BJ$3+6)),"◆",""))</f>
      </c>
      <c r="BK244" s="26">
        <f>IF(OR($A244="",BK$3=""),"",IF(AND($J244&lt;&gt;"",$K244&lt;&gt;"",$J244=$K244,$J244&gt;=BK$3,$J244&lt;=IF(param_mode_affichage="mois",EOMONTH(BK$3,0),BK$3+6)),"◆",""))</f>
      </c>
      <c r="BL244" s="26">
        <f>IF(OR($A244="",BL$3=""),"",IF(AND($J244&lt;&gt;"",$K244&lt;&gt;"",$J244=$K244,$J244&gt;=BL$3,$J244&lt;=IF(param_mode_affichage="mois",EOMONTH(BL$3,0),BL$3+6)),"◆",""))</f>
      </c>
    </row>
    <row r="245" spans="1:64" x14ac:dyDescent="0.25">
      <c r="A245" s="23">
        <f>IFERROR(INDEX(tblTasks[ID],ROW()-4),"")</f>
      </c>
      <c r="B245" s="24">
        <f>IF($A245="","",INDEX(tblTasks[Sujet],ROW()-4))</f>
      </c>
      <c r="C245" s="23">
        <f>IF($A245="","",INDEX(tblTasks[Responsable],ROW()-4))</f>
      </c>
      <c r="D245" s="23">
        <f>IF($A245="","",INDEX(tblTasks[Statut],ROW()-4))</f>
      </c>
      <c r="E245" s="23">
        <f>IF($A245="","",INDEX(tblTasks[Depend_de],ROW()-4))</f>
      </c>
      <c r="F245" s="23">
        <f>IF($A245="","",INDEX(tblTasks[Blocage],ROW()-4))</f>
      </c>
      <c r="G245" s="23">
        <f>IF($A245="","",INDEX(tblTasks[Niveau_criticite],ROW()-4))</f>
      </c>
      <c r="H245" s="23">
        <f>IF($A245="","",INDEX(tblTasks[Goulot],ROW()-4))</f>
      </c>
      <c r="I245" s="23">
        <f>IF($A245="","",IF(LOWER($F245)="oui","non",IF($E245="","oui",IFERROR(IF(LOWER(INDEX(tblTasks[Statut],MATCH($E245,tblTasks[ID],0)))="clos","oui","non"),"non"))))</f>
      </c>
      <c r="J245" s="25">
        <f>IF($A245="","",INDEX(tblTasks[Date_debut_prevue],ROW()-4))</f>
      </c>
      <c r="K245" s="25">
        <f>IF($A245="","",INDEX(tblTasks[Date_fin_prevue],ROW()-4))</f>
      </c>
      <c r="L245" s="23">
        <f>IF($A245="","",INDEX(tblTasks[Irreversibilite],ROW()-4))</f>
      </c>
      <c r="M245" s="26">
        <f>IF(OR($A245="",M$3=""),"",IF(AND($J245&lt;&gt;"",$K245&lt;&gt;"",$J245=$K245,$J245&gt;=M$3,$J245&lt;=IF(param_mode_affichage="mois",EOMONTH(M$3,0),M$3+6)),"◆",""))</f>
      </c>
      <c r="N245" s="26">
        <f>IF(OR($A245="",N$3=""),"",IF(AND($J245&lt;&gt;"",$K245&lt;&gt;"",$J245=$K245,$J245&gt;=N$3,$J245&lt;=IF(param_mode_affichage="mois",EOMONTH(N$3,0),N$3+6)),"◆",""))</f>
      </c>
      <c r="O245" s="26">
        <f>IF(OR($A245="",O$3=""),"",IF(AND($J245&lt;&gt;"",$K245&lt;&gt;"",$J245=$K245,$J245&gt;=O$3,$J245&lt;=IF(param_mode_affichage="mois",EOMONTH(O$3,0),O$3+6)),"◆",""))</f>
      </c>
      <c r="P245" s="26">
        <f>IF(OR($A245="",P$3=""),"",IF(AND($J245&lt;&gt;"",$K245&lt;&gt;"",$J245=$K245,$J245&gt;=P$3,$J245&lt;=IF(param_mode_affichage="mois",EOMONTH(P$3,0),P$3+6)),"◆",""))</f>
      </c>
      <c r="Q245" s="26">
        <f>IF(OR($A245="",Q$3=""),"",IF(AND($J245&lt;&gt;"",$K245&lt;&gt;"",$J245=$K245,$J245&gt;=Q$3,$J245&lt;=IF(param_mode_affichage="mois",EOMONTH(Q$3,0),Q$3+6)),"◆",""))</f>
      </c>
      <c r="R245" s="26">
        <f>IF(OR($A245="",R$3=""),"",IF(AND($J245&lt;&gt;"",$K245&lt;&gt;"",$J245=$K245,$J245&gt;=R$3,$J245&lt;=IF(param_mode_affichage="mois",EOMONTH(R$3,0),R$3+6)),"◆",""))</f>
      </c>
      <c r="S245" s="26">
        <f>IF(OR($A245="",S$3=""),"",IF(AND($J245&lt;&gt;"",$K245&lt;&gt;"",$J245=$K245,$J245&gt;=S$3,$J245&lt;=IF(param_mode_affichage="mois",EOMONTH(S$3,0),S$3+6)),"◆",""))</f>
      </c>
      <c r="T245" s="26">
        <f>IF(OR($A245="",T$3=""),"",IF(AND($J245&lt;&gt;"",$K245&lt;&gt;"",$J245=$K245,$J245&gt;=T$3,$J245&lt;=IF(param_mode_affichage="mois",EOMONTH(T$3,0),T$3+6)),"◆",""))</f>
      </c>
      <c r="U245" s="26">
        <f>IF(OR($A245="",U$3=""),"",IF(AND($J245&lt;&gt;"",$K245&lt;&gt;"",$J245=$K245,$J245&gt;=U$3,$J245&lt;=IF(param_mode_affichage="mois",EOMONTH(U$3,0),U$3+6)),"◆",""))</f>
      </c>
      <c r="V245" s="26">
        <f>IF(OR($A245="",V$3=""),"",IF(AND($J245&lt;&gt;"",$K245&lt;&gt;"",$J245=$K245,$J245&gt;=V$3,$J245&lt;=IF(param_mode_affichage="mois",EOMONTH(V$3,0),V$3+6)),"◆",""))</f>
      </c>
      <c r="W245" s="26">
        <f>IF(OR($A245="",W$3=""),"",IF(AND($J245&lt;&gt;"",$K245&lt;&gt;"",$J245=$K245,$J245&gt;=W$3,$J245&lt;=IF(param_mode_affichage="mois",EOMONTH(W$3,0),W$3+6)),"◆",""))</f>
      </c>
      <c r="X245" s="26">
        <f>IF(OR($A245="",X$3=""),"",IF(AND($J245&lt;&gt;"",$K245&lt;&gt;"",$J245=$K245,$J245&gt;=X$3,$J245&lt;=IF(param_mode_affichage="mois",EOMONTH(X$3,0),X$3+6)),"◆",""))</f>
      </c>
      <c r="Y245" s="26">
        <f>IF(OR($A245="",Y$3=""),"",IF(AND($J245&lt;&gt;"",$K245&lt;&gt;"",$J245=$K245,$J245&gt;=Y$3,$J245&lt;=IF(param_mode_affichage="mois",EOMONTH(Y$3,0),Y$3+6)),"◆",""))</f>
      </c>
      <c r="Z245" s="26">
        <f>IF(OR($A245="",Z$3=""),"",IF(AND($J245&lt;&gt;"",$K245&lt;&gt;"",$J245=$K245,$J245&gt;=Z$3,$J245&lt;=IF(param_mode_affichage="mois",EOMONTH(Z$3,0),Z$3+6)),"◆",""))</f>
      </c>
      <c r="AA245" s="26">
        <f>IF(OR($A245="",AA$3=""),"",IF(AND($J245&lt;&gt;"",$K245&lt;&gt;"",$J245=$K245,$J245&gt;=AA$3,$J245&lt;=IF(param_mode_affichage="mois",EOMONTH(AA$3,0),AA$3+6)),"◆",""))</f>
      </c>
      <c r="AB245" s="26">
        <f>IF(OR($A245="",AB$3=""),"",IF(AND($J245&lt;&gt;"",$K245&lt;&gt;"",$J245=$K245,$J245&gt;=AB$3,$J245&lt;=IF(param_mode_affichage="mois",EOMONTH(AB$3,0),AB$3+6)),"◆",""))</f>
      </c>
      <c r="AC245" s="26">
        <f>IF(OR($A245="",AC$3=""),"",IF(AND($J245&lt;&gt;"",$K245&lt;&gt;"",$J245=$K245,$J245&gt;=AC$3,$J245&lt;=IF(param_mode_affichage="mois",EOMONTH(AC$3,0),AC$3+6)),"◆",""))</f>
      </c>
      <c r="AD245" s="26">
        <f>IF(OR($A245="",AD$3=""),"",IF(AND($J245&lt;&gt;"",$K245&lt;&gt;"",$J245=$K245,$J245&gt;=AD$3,$J245&lt;=IF(param_mode_affichage="mois",EOMONTH(AD$3,0),AD$3+6)),"◆",""))</f>
      </c>
      <c r="AE245" s="26">
        <f>IF(OR($A245="",AE$3=""),"",IF(AND($J245&lt;&gt;"",$K245&lt;&gt;"",$J245=$K245,$J245&gt;=AE$3,$J245&lt;=IF(param_mode_affichage="mois",EOMONTH(AE$3,0),AE$3+6)),"◆",""))</f>
      </c>
      <c r="AF245" s="26">
        <f>IF(OR($A245="",AF$3=""),"",IF(AND($J245&lt;&gt;"",$K245&lt;&gt;"",$J245=$K245,$J245&gt;=AF$3,$J245&lt;=IF(param_mode_affichage="mois",EOMONTH(AF$3,0),AF$3+6)),"◆",""))</f>
      </c>
      <c r="AG245" s="26">
        <f>IF(OR($A245="",AG$3=""),"",IF(AND($J245&lt;&gt;"",$K245&lt;&gt;"",$J245=$K245,$J245&gt;=AG$3,$J245&lt;=IF(param_mode_affichage="mois",EOMONTH(AG$3,0),AG$3+6)),"◆",""))</f>
      </c>
      <c r="AH245" s="26">
        <f>IF(OR($A245="",AH$3=""),"",IF(AND($J245&lt;&gt;"",$K245&lt;&gt;"",$J245=$K245,$J245&gt;=AH$3,$J245&lt;=IF(param_mode_affichage="mois",EOMONTH(AH$3,0),AH$3+6)),"◆",""))</f>
      </c>
      <c r="AI245" s="26">
        <f>IF(OR($A245="",AI$3=""),"",IF(AND($J245&lt;&gt;"",$K245&lt;&gt;"",$J245=$K245,$J245&gt;=AI$3,$J245&lt;=IF(param_mode_affichage="mois",EOMONTH(AI$3,0),AI$3+6)),"◆",""))</f>
      </c>
      <c r="AJ245" s="26">
        <f>IF(OR($A245="",AJ$3=""),"",IF(AND($J245&lt;&gt;"",$K245&lt;&gt;"",$J245=$K245,$J245&gt;=AJ$3,$J245&lt;=IF(param_mode_affichage="mois",EOMONTH(AJ$3,0),AJ$3+6)),"◆",""))</f>
      </c>
      <c r="AK245" s="26">
        <f>IF(OR($A245="",AK$3=""),"",IF(AND($J245&lt;&gt;"",$K245&lt;&gt;"",$J245=$K245,$J245&gt;=AK$3,$J245&lt;=IF(param_mode_affichage="mois",EOMONTH(AK$3,0),AK$3+6)),"◆",""))</f>
      </c>
      <c r="AL245" s="26">
        <f>IF(OR($A245="",AL$3=""),"",IF(AND($J245&lt;&gt;"",$K245&lt;&gt;"",$J245=$K245,$J245&gt;=AL$3,$J245&lt;=IF(param_mode_affichage="mois",EOMONTH(AL$3,0),AL$3+6)),"◆",""))</f>
      </c>
      <c r="AM245" s="26">
        <f>IF(OR($A245="",AM$3=""),"",IF(AND($J245&lt;&gt;"",$K245&lt;&gt;"",$J245=$K245,$J245&gt;=AM$3,$J245&lt;=IF(param_mode_affichage="mois",EOMONTH(AM$3,0),AM$3+6)),"◆",""))</f>
      </c>
      <c r="AN245" s="26">
        <f>IF(OR($A245="",AN$3=""),"",IF(AND($J245&lt;&gt;"",$K245&lt;&gt;"",$J245=$K245,$J245&gt;=AN$3,$J245&lt;=IF(param_mode_affichage="mois",EOMONTH(AN$3,0),AN$3+6)),"◆",""))</f>
      </c>
      <c r="AO245" s="26">
        <f>IF(OR($A245="",AO$3=""),"",IF(AND($J245&lt;&gt;"",$K245&lt;&gt;"",$J245=$K245,$J245&gt;=AO$3,$J245&lt;=IF(param_mode_affichage="mois",EOMONTH(AO$3,0),AO$3+6)),"◆",""))</f>
      </c>
      <c r="AP245" s="26">
        <f>IF(OR($A245="",AP$3=""),"",IF(AND($J245&lt;&gt;"",$K245&lt;&gt;"",$J245=$K245,$J245&gt;=AP$3,$J245&lt;=IF(param_mode_affichage="mois",EOMONTH(AP$3,0),AP$3+6)),"◆",""))</f>
      </c>
      <c r="AQ245" s="26">
        <f>IF(OR($A245="",AQ$3=""),"",IF(AND($J245&lt;&gt;"",$K245&lt;&gt;"",$J245=$K245,$J245&gt;=AQ$3,$J245&lt;=IF(param_mode_affichage="mois",EOMONTH(AQ$3,0),AQ$3+6)),"◆",""))</f>
      </c>
      <c r="AR245" s="26">
        <f>IF(OR($A245="",AR$3=""),"",IF(AND($J245&lt;&gt;"",$K245&lt;&gt;"",$J245=$K245,$J245&gt;=AR$3,$J245&lt;=IF(param_mode_affichage="mois",EOMONTH(AR$3,0),AR$3+6)),"◆",""))</f>
      </c>
      <c r="AS245" s="26">
        <f>IF(OR($A245="",AS$3=""),"",IF(AND($J245&lt;&gt;"",$K245&lt;&gt;"",$J245=$K245,$J245&gt;=AS$3,$J245&lt;=IF(param_mode_affichage="mois",EOMONTH(AS$3,0),AS$3+6)),"◆",""))</f>
      </c>
      <c r="AT245" s="26">
        <f>IF(OR($A245="",AT$3=""),"",IF(AND($J245&lt;&gt;"",$K245&lt;&gt;"",$J245=$K245,$J245&gt;=AT$3,$J245&lt;=IF(param_mode_affichage="mois",EOMONTH(AT$3,0),AT$3+6)),"◆",""))</f>
      </c>
      <c r="AU245" s="26">
        <f>IF(OR($A245="",AU$3=""),"",IF(AND($J245&lt;&gt;"",$K245&lt;&gt;"",$J245=$K245,$J245&gt;=AU$3,$J245&lt;=IF(param_mode_affichage="mois",EOMONTH(AU$3,0),AU$3+6)),"◆",""))</f>
      </c>
      <c r="AV245" s="26">
        <f>IF(OR($A245="",AV$3=""),"",IF(AND($J245&lt;&gt;"",$K245&lt;&gt;"",$J245=$K245,$J245&gt;=AV$3,$J245&lt;=IF(param_mode_affichage="mois",EOMONTH(AV$3,0),AV$3+6)),"◆",""))</f>
      </c>
      <c r="AW245" s="26">
        <f>IF(OR($A245="",AW$3=""),"",IF(AND($J245&lt;&gt;"",$K245&lt;&gt;"",$J245=$K245,$J245&gt;=AW$3,$J245&lt;=IF(param_mode_affichage="mois",EOMONTH(AW$3,0),AW$3+6)),"◆",""))</f>
      </c>
      <c r="AX245" s="26">
        <f>IF(OR($A245="",AX$3=""),"",IF(AND($J245&lt;&gt;"",$K245&lt;&gt;"",$J245=$K245,$J245&gt;=AX$3,$J245&lt;=IF(param_mode_affichage="mois",EOMONTH(AX$3,0),AX$3+6)),"◆",""))</f>
      </c>
      <c r="AY245" s="26">
        <f>IF(OR($A245="",AY$3=""),"",IF(AND($J245&lt;&gt;"",$K245&lt;&gt;"",$J245=$K245,$J245&gt;=AY$3,$J245&lt;=IF(param_mode_affichage="mois",EOMONTH(AY$3,0),AY$3+6)),"◆",""))</f>
      </c>
      <c r="AZ245" s="26">
        <f>IF(OR($A245="",AZ$3=""),"",IF(AND($J245&lt;&gt;"",$K245&lt;&gt;"",$J245=$K245,$J245&gt;=AZ$3,$J245&lt;=IF(param_mode_affichage="mois",EOMONTH(AZ$3,0),AZ$3+6)),"◆",""))</f>
      </c>
      <c r="BA245" s="26">
        <f>IF(OR($A245="",BA$3=""),"",IF(AND($J245&lt;&gt;"",$K245&lt;&gt;"",$J245=$K245,$J245&gt;=BA$3,$J245&lt;=IF(param_mode_affichage="mois",EOMONTH(BA$3,0),BA$3+6)),"◆",""))</f>
      </c>
      <c r="BB245" s="26">
        <f>IF(OR($A245="",BB$3=""),"",IF(AND($J245&lt;&gt;"",$K245&lt;&gt;"",$J245=$K245,$J245&gt;=BB$3,$J245&lt;=IF(param_mode_affichage="mois",EOMONTH(BB$3,0),BB$3+6)),"◆",""))</f>
      </c>
      <c r="BC245" s="26">
        <f>IF(OR($A245="",BC$3=""),"",IF(AND($J245&lt;&gt;"",$K245&lt;&gt;"",$J245=$K245,$J245&gt;=BC$3,$J245&lt;=IF(param_mode_affichage="mois",EOMONTH(BC$3,0),BC$3+6)),"◆",""))</f>
      </c>
      <c r="BD245" s="26">
        <f>IF(OR($A245="",BD$3=""),"",IF(AND($J245&lt;&gt;"",$K245&lt;&gt;"",$J245=$K245,$J245&gt;=BD$3,$J245&lt;=IF(param_mode_affichage="mois",EOMONTH(BD$3,0),BD$3+6)),"◆",""))</f>
      </c>
      <c r="BE245" s="26">
        <f>IF(OR($A245="",BE$3=""),"",IF(AND($J245&lt;&gt;"",$K245&lt;&gt;"",$J245=$K245,$J245&gt;=BE$3,$J245&lt;=IF(param_mode_affichage="mois",EOMONTH(BE$3,0),BE$3+6)),"◆",""))</f>
      </c>
      <c r="BF245" s="26">
        <f>IF(OR($A245="",BF$3=""),"",IF(AND($J245&lt;&gt;"",$K245&lt;&gt;"",$J245=$K245,$J245&gt;=BF$3,$J245&lt;=IF(param_mode_affichage="mois",EOMONTH(BF$3,0),BF$3+6)),"◆",""))</f>
      </c>
      <c r="BG245" s="26">
        <f>IF(OR($A245="",BG$3=""),"",IF(AND($J245&lt;&gt;"",$K245&lt;&gt;"",$J245=$K245,$J245&gt;=BG$3,$J245&lt;=IF(param_mode_affichage="mois",EOMONTH(BG$3,0),BG$3+6)),"◆",""))</f>
      </c>
      <c r="BH245" s="26">
        <f>IF(OR($A245="",BH$3=""),"",IF(AND($J245&lt;&gt;"",$K245&lt;&gt;"",$J245=$K245,$J245&gt;=BH$3,$J245&lt;=IF(param_mode_affichage="mois",EOMONTH(BH$3,0),BH$3+6)),"◆",""))</f>
      </c>
      <c r="BI245" s="26">
        <f>IF(OR($A245="",BI$3=""),"",IF(AND($J245&lt;&gt;"",$K245&lt;&gt;"",$J245=$K245,$J245&gt;=BI$3,$J245&lt;=IF(param_mode_affichage="mois",EOMONTH(BI$3,0),BI$3+6)),"◆",""))</f>
      </c>
      <c r="BJ245" s="26">
        <f>IF(OR($A245="",BJ$3=""),"",IF(AND($J245&lt;&gt;"",$K245&lt;&gt;"",$J245=$K245,$J245&gt;=BJ$3,$J245&lt;=IF(param_mode_affichage="mois",EOMONTH(BJ$3,0),BJ$3+6)),"◆",""))</f>
      </c>
      <c r="BK245" s="26">
        <f>IF(OR($A245="",BK$3=""),"",IF(AND($J245&lt;&gt;"",$K245&lt;&gt;"",$J245=$K245,$J245&gt;=BK$3,$J245&lt;=IF(param_mode_affichage="mois",EOMONTH(BK$3,0),BK$3+6)),"◆",""))</f>
      </c>
      <c r="BL245" s="26">
        <f>IF(OR($A245="",BL$3=""),"",IF(AND($J245&lt;&gt;"",$K245&lt;&gt;"",$J245=$K245,$J245&gt;=BL$3,$J245&lt;=IF(param_mode_affichage="mois",EOMONTH(BL$3,0),BL$3+6)),"◆",""))</f>
      </c>
    </row>
    <row r="246" spans="1:64" x14ac:dyDescent="0.25">
      <c r="A246" s="23">
        <f>IFERROR(INDEX(tblTasks[ID],ROW()-4),"")</f>
      </c>
      <c r="B246" s="24">
        <f>IF($A246="","",INDEX(tblTasks[Sujet],ROW()-4))</f>
      </c>
      <c r="C246" s="23">
        <f>IF($A246="","",INDEX(tblTasks[Responsable],ROW()-4))</f>
      </c>
      <c r="D246" s="23">
        <f>IF($A246="","",INDEX(tblTasks[Statut],ROW()-4))</f>
      </c>
      <c r="E246" s="23">
        <f>IF($A246="","",INDEX(tblTasks[Depend_de],ROW()-4))</f>
      </c>
      <c r="F246" s="23">
        <f>IF($A246="","",INDEX(tblTasks[Blocage],ROW()-4))</f>
      </c>
      <c r="G246" s="23">
        <f>IF($A246="","",INDEX(tblTasks[Niveau_criticite],ROW()-4))</f>
      </c>
      <c r="H246" s="23">
        <f>IF($A246="","",INDEX(tblTasks[Goulot],ROW()-4))</f>
      </c>
      <c r="I246" s="23">
        <f>IF($A246="","",IF(LOWER($F246)="oui","non",IF($E246="","oui",IFERROR(IF(LOWER(INDEX(tblTasks[Statut],MATCH($E246,tblTasks[ID],0)))="clos","oui","non"),"non"))))</f>
      </c>
      <c r="J246" s="25">
        <f>IF($A246="","",INDEX(tblTasks[Date_debut_prevue],ROW()-4))</f>
      </c>
      <c r="K246" s="25">
        <f>IF($A246="","",INDEX(tblTasks[Date_fin_prevue],ROW()-4))</f>
      </c>
      <c r="L246" s="23">
        <f>IF($A246="","",INDEX(tblTasks[Irreversibilite],ROW()-4))</f>
      </c>
      <c r="M246" s="26">
        <f>IF(OR($A246="",M$3=""),"",IF(AND($J246&lt;&gt;"",$K246&lt;&gt;"",$J246=$K246,$J246&gt;=M$3,$J246&lt;=IF(param_mode_affichage="mois",EOMONTH(M$3,0),M$3+6)),"◆",""))</f>
      </c>
      <c r="N246" s="26">
        <f>IF(OR($A246="",N$3=""),"",IF(AND($J246&lt;&gt;"",$K246&lt;&gt;"",$J246=$K246,$J246&gt;=N$3,$J246&lt;=IF(param_mode_affichage="mois",EOMONTH(N$3,0),N$3+6)),"◆",""))</f>
      </c>
      <c r="O246" s="26">
        <f>IF(OR($A246="",O$3=""),"",IF(AND($J246&lt;&gt;"",$K246&lt;&gt;"",$J246=$K246,$J246&gt;=O$3,$J246&lt;=IF(param_mode_affichage="mois",EOMONTH(O$3,0),O$3+6)),"◆",""))</f>
      </c>
      <c r="P246" s="26">
        <f>IF(OR($A246="",P$3=""),"",IF(AND($J246&lt;&gt;"",$K246&lt;&gt;"",$J246=$K246,$J246&gt;=P$3,$J246&lt;=IF(param_mode_affichage="mois",EOMONTH(P$3,0),P$3+6)),"◆",""))</f>
      </c>
      <c r="Q246" s="26">
        <f>IF(OR($A246="",Q$3=""),"",IF(AND($J246&lt;&gt;"",$K246&lt;&gt;"",$J246=$K246,$J246&gt;=Q$3,$J246&lt;=IF(param_mode_affichage="mois",EOMONTH(Q$3,0),Q$3+6)),"◆",""))</f>
      </c>
      <c r="R246" s="26">
        <f>IF(OR($A246="",R$3=""),"",IF(AND($J246&lt;&gt;"",$K246&lt;&gt;"",$J246=$K246,$J246&gt;=R$3,$J246&lt;=IF(param_mode_affichage="mois",EOMONTH(R$3,0),R$3+6)),"◆",""))</f>
      </c>
      <c r="S246" s="26">
        <f>IF(OR($A246="",S$3=""),"",IF(AND($J246&lt;&gt;"",$K246&lt;&gt;"",$J246=$K246,$J246&gt;=S$3,$J246&lt;=IF(param_mode_affichage="mois",EOMONTH(S$3,0),S$3+6)),"◆",""))</f>
      </c>
      <c r="T246" s="26">
        <f>IF(OR($A246="",T$3=""),"",IF(AND($J246&lt;&gt;"",$K246&lt;&gt;"",$J246=$K246,$J246&gt;=T$3,$J246&lt;=IF(param_mode_affichage="mois",EOMONTH(T$3,0),T$3+6)),"◆",""))</f>
      </c>
      <c r="U246" s="26">
        <f>IF(OR($A246="",U$3=""),"",IF(AND($J246&lt;&gt;"",$K246&lt;&gt;"",$J246=$K246,$J246&gt;=U$3,$J246&lt;=IF(param_mode_affichage="mois",EOMONTH(U$3,0),U$3+6)),"◆",""))</f>
      </c>
      <c r="V246" s="26">
        <f>IF(OR($A246="",V$3=""),"",IF(AND($J246&lt;&gt;"",$K246&lt;&gt;"",$J246=$K246,$J246&gt;=V$3,$J246&lt;=IF(param_mode_affichage="mois",EOMONTH(V$3,0),V$3+6)),"◆",""))</f>
      </c>
      <c r="W246" s="26">
        <f>IF(OR($A246="",W$3=""),"",IF(AND($J246&lt;&gt;"",$K246&lt;&gt;"",$J246=$K246,$J246&gt;=W$3,$J246&lt;=IF(param_mode_affichage="mois",EOMONTH(W$3,0),W$3+6)),"◆",""))</f>
      </c>
      <c r="X246" s="26">
        <f>IF(OR($A246="",X$3=""),"",IF(AND($J246&lt;&gt;"",$K246&lt;&gt;"",$J246=$K246,$J246&gt;=X$3,$J246&lt;=IF(param_mode_affichage="mois",EOMONTH(X$3,0),X$3+6)),"◆",""))</f>
      </c>
      <c r="Y246" s="26">
        <f>IF(OR($A246="",Y$3=""),"",IF(AND($J246&lt;&gt;"",$K246&lt;&gt;"",$J246=$K246,$J246&gt;=Y$3,$J246&lt;=IF(param_mode_affichage="mois",EOMONTH(Y$3,0),Y$3+6)),"◆",""))</f>
      </c>
      <c r="Z246" s="26">
        <f>IF(OR($A246="",Z$3=""),"",IF(AND($J246&lt;&gt;"",$K246&lt;&gt;"",$J246=$K246,$J246&gt;=Z$3,$J246&lt;=IF(param_mode_affichage="mois",EOMONTH(Z$3,0),Z$3+6)),"◆",""))</f>
      </c>
      <c r="AA246" s="26">
        <f>IF(OR($A246="",AA$3=""),"",IF(AND($J246&lt;&gt;"",$K246&lt;&gt;"",$J246=$K246,$J246&gt;=AA$3,$J246&lt;=IF(param_mode_affichage="mois",EOMONTH(AA$3,0),AA$3+6)),"◆",""))</f>
      </c>
      <c r="AB246" s="26">
        <f>IF(OR($A246="",AB$3=""),"",IF(AND($J246&lt;&gt;"",$K246&lt;&gt;"",$J246=$K246,$J246&gt;=AB$3,$J246&lt;=IF(param_mode_affichage="mois",EOMONTH(AB$3,0),AB$3+6)),"◆",""))</f>
      </c>
      <c r="AC246" s="26">
        <f>IF(OR($A246="",AC$3=""),"",IF(AND($J246&lt;&gt;"",$K246&lt;&gt;"",$J246=$K246,$J246&gt;=AC$3,$J246&lt;=IF(param_mode_affichage="mois",EOMONTH(AC$3,0),AC$3+6)),"◆",""))</f>
      </c>
      <c r="AD246" s="26">
        <f>IF(OR($A246="",AD$3=""),"",IF(AND($J246&lt;&gt;"",$K246&lt;&gt;"",$J246=$K246,$J246&gt;=AD$3,$J246&lt;=IF(param_mode_affichage="mois",EOMONTH(AD$3,0),AD$3+6)),"◆",""))</f>
      </c>
      <c r="AE246" s="26">
        <f>IF(OR($A246="",AE$3=""),"",IF(AND($J246&lt;&gt;"",$K246&lt;&gt;"",$J246=$K246,$J246&gt;=AE$3,$J246&lt;=IF(param_mode_affichage="mois",EOMONTH(AE$3,0),AE$3+6)),"◆",""))</f>
      </c>
      <c r="AF246" s="26">
        <f>IF(OR($A246="",AF$3=""),"",IF(AND($J246&lt;&gt;"",$K246&lt;&gt;"",$J246=$K246,$J246&gt;=AF$3,$J246&lt;=IF(param_mode_affichage="mois",EOMONTH(AF$3,0),AF$3+6)),"◆",""))</f>
      </c>
      <c r="AG246" s="26">
        <f>IF(OR($A246="",AG$3=""),"",IF(AND($J246&lt;&gt;"",$K246&lt;&gt;"",$J246=$K246,$J246&gt;=AG$3,$J246&lt;=IF(param_mode_affichage="mois",EOMONTH(AG$3,0),AG$3+6)),"◆",""))</f>
      </c>
      <c r="AH246" s="26">
        <f>IF(OR($A246="",AH$3=""),"",IF(AND($J246&lt;&gt;"",$K246&lt;&gt;"",$J246=$K246,$J246&gt;=AH$3,$J246&lt;=IF(param_mode_affichage="mois",EOMONTH(AH$3,0),AH$3+6)),"◆",""))</f>
      </c>
      <c r="AI246" s="26">
        <f>IF(OR($A246="",AI$3=""),"",IF(AND($J246&lt;&gt;"",$K246&lt;&gt;"",$J246=$K246,$J246&gt;=AI$3,$J246&lt;=IF(param_mode_affichage="mois",EOMONTH(AI$3,0),AI$3+6)),"◆",""))</f>
      </c>
      <c r="AJ246" s="26">
        <f>IF(OR($A246="",AJ$3=""),"",IF(AND($J246&lt;&gt;"",$K246&lt;&gt;"",$J246=$K246,$J246&gt;=AJ$3,$J246&lt;=IF(param_mode_affichage="mois",EOMONTH(AJ$3,0),AJ$3+6)),"◆",""))</f>
      </c>
      <c r="AK246" s="26">
        <f>IF(OR($A246="",AK$3=""),"",IF(AND($J246&lt;&gt;"",$K246&lt;&gt;"",$J246=$K246,$J246&gt;=AK$3,$J246&lt;=IF(param_mode_affichage="mois",EOMONTH(AK$3,0),AK$3+6)),"◆",""))</f>
      </c>
      <c r="AL246" s="26">
        <f>IF(OR($A246="",AL$3=""),"",IF(AND($J246&lt;&gt;"",$K246&lt;&gt;"",$J246=$K246,$J246&gt;=AL$3,$J246&lt;=IF(param_mode_affichage="mois",EOMONTH(AL$3,0),AL$3+6)),"◆",""))</f>
      </c>
      <c r="AM246" s="26">
        <f>IF(OR($A246="",AM$3=""),"",IF(AND($J246&lt;&gt;"",$K246&lt;&gt;"",$J246=$K246,$J246&gt;=AM$3,$J246&lt;=IF(param_mode_affichage="mois",EOMONTH(AM$3,0),AM$3+6)),"◆",""))</f>
      </c>
      <c r="AN246" s="26">
        <f>IF(OR($A246="",AN$3=""),"",IF(AND($J246&lt;&gt;"",$K246&lt;&gt;"",$J246=$K246,$J246&gt;=AN$3,$J246&lt;=IF(param_mode_affichage="mois",EOMONTH(AN$3,0),AN$3+6)),"◆",""))</f>
      </c>
      <c r="AO246" s="26">
        <f>IF(OR($A246="",AO$3=""),"",IF(AND($J246&lt;&gt;"",$K246&lt;&gt;"",$J246=$K246,$J246&gt;=AO$3,$J246&lt;=IF(param_mode_affichage="mois",EOMONTH(AO$3,0),AO$3+6)),"◆",""))</f>
      </c>
      <c r="AP246" s="26">
        <f>IF(OR($A246="",AP$3=""),"",IF(AND($J246&lt;&gt;"",$K246&lt;&gt;"",$J246=$K246,$J246&gt;=AP$3,$J246&lt;=IF(param_mode_affichage="mois",EOMONTH(AP$3,0),AP$3+6)),"◆",""))</f>
      </c>
      <c r="AQ246" s="26">
        <f>IF(OR($A246="",AQ$3=""),"",IF(AND($J246&lt;&gt;"",$K246&lt;&gt;"",$J246=$K246,$J246&gt;=AQ$3,$J246&lt;=IF(param_mode_affichage="mois",EOMONTH(AQ$3,0),AQ$3+6)),"◆",""))</f>
      </c>
      <c r="AR246" s="26">
        <f>IF(OR($A246="",AR$3=""),"",IF(AND($J246&lt;&gt;"",$K246&lt;&gt;"",$J246=$K246,$J246&gt;=AR$3,$J246&lt;=IF(param_mode_affichage="mois",EOMONTH(AR$3,0),AR$3+6)),"◆",""))</f>
      </c>
      <c r="AS246" s="26">
        <f>IF(OR($A246="",AS$3=""),"",IF(AND($J246&lt;&gt;"",$K246&lt;&gt;"",$J246=$K246,$J246&gt;=AS$3,$J246&lt;=IF(param_mode_affichage="mois",EOMONTH(AS$3,0),AS$3+6)),"◆",""))</f>
      </c>
      <c r="AT246" s="26">
        <f>IF(OR($A246="",AT$3=""),"",IF(AND($J246&lt;&gt;"",$K246&lt;&gt;"",$J246=$K246,$J246&gt;=AT$3,$J246&lt;=IF(param_mode_affichage="mois",EOMONTH(AT$3,0),AT$3+6)),"◆",""))</f>
      </c>
      <c r="AU246" s="26">
        <f>IF(OR($A246="",AU$3=""),"",IF(AND($J246&lt;&gt;"",$K246&lt;&gt;"",$J246=$K246,$J246&gt;=AU$3,$J246&lt;=IF(param_mode_affichage="mois",EOMONTH(AU$3,0),AU$3+6)),"◆",""))</f>
      </c>
      <c r="AV246" s="26">
        <f>IF(OR($A246="",AV$3=""),"",IF(AND($J246&lt;&gt;"",$K246&lt;&gt;"",$J246=$K246,$J246&gt;=AV$3,$J246&lt;=IF(param_mode_affichage="mois",EOMONTH(AV$3,0),AV$3+6)),"◆",""))</f>
      </c>
      <c r="AW246" s="26">
        <f>IF(OR($A246="",AW$3=""),"",IF(AND($J246&lt;&gt;"",$K246&lt;&gt;"",$J246=$K246,$J246&gt;=AW$3,$J246&lt;=IF(param_mode_affichage="mois",EOMONTH(AW$3,0),AW$3+6)),"◆",""))</f>
      </c>
      <c r="AX246" s="26">
        <f>IF(OR($A246="",AX$3=""),"",IF(AND($J246&lt;&gt;"",$K246&lt;&gt;"",$J246=$K246,$J246&gt;=AX$3,$J246&lt;=IF(param_mode_affichage="mois",EOMONTH(AX$3,0),AX$3+6)),"◆",""))</f>
      </c>
      <c r="AY246" s="26">
        <f>IF(OR($A246="",AY$3=""),"",IF(AND($J246&lt;&gt;"",$K246&lt;&gt;"",$J246=$K246,$J246&gt;=AY$3,$J246&lt;=IF(param_mode_affichage="mois",EOMONTH(AY$3,0),AY$3+6)),"◆",""))</f>
      </c>
      <c r="AZ246" s="26">
        <f>IF(OR($A246="",AZ$3=""),"",IF(AND($J246&lt;&gt;"",$K246&lt;&gt;"",$J246=$K246,$J246&gt;=AZ$3,$J246&lt;=IF(param_mode_affichage="mois",EOMONTH(AZ$3,0),AZ$3+6)),"◆",""))</f>
      </c>
      <c r="BA246" s="26">
        <f>IF(OR($A246="",BA$3=""),"",IF(AND($J246&lt;&gt;"",$K246&lt;&gt;"",$J246=$K246,$J246&gt;=BA$3,$J246&lt;=IF(param_mode_affichage="mois",EOMONTH(BA$3,0),BA$3+6)),"◆",""))</f>
      </c>
      <c r="BB246" s="26">
        <f>IF(OR($A246="",BB$3=""),"",IF(AND($J246&lt;&gt;"",$K246&lt;&gt;"",$J246=$K246,$J246&gt;=BB$3,$J246&lt;=IF(param_mode_affichage="mois",EOMONTH(BB$3,0),BB$3+6)),"◆",""))</f>
      </c>
      <c r="BC246" s="26">
        <f>IF(OR($A246="",BC$3=""),"",IF(AND($J246&lt;&gt;"",$K246&lt;&gt;"",$J246=$K246,$J246&gt;=BC$3,$J246&lt;=IF(param_mode_affichage="mois",EOMONTH(BC$3,0),BC$3+6)),"◆",""))</f>
      </c>
      <c r="BD246" s="26">
        <f>IF(OR($A246="",BD$3=""),"",IF(AND($J246&lt;&gt;"",$K246&lt;&gt;"",$J246=$K246,$J246&gt;=BD$3,$J246&lt;=IF(param_mode_affichage="mois",EOMONTH(BD$3,0),BD$3+6)),"◆",""))</f>
      </c>
      <c r="BE246" s="26">
        <f>IF(OR($A246="",BE$3=""),"",IF(AND($J246&lt;&gt;"",$K246&lt;&gt;"",$J246=$K246,$J246&gt;=BE$3,$J246&lt;=IF(param_mode_affichage="mois",EOMONTH(BE$3,0),BE$3+6)),"◆",""))</f>
      </c>
      <c r="BF246" s="26">
        <f>IF(OR($A246="",BF$3=""),"",IF(AND($J246&lt;&gt;"",$K246&lt;&gt;"",$J246=$K246,$J246&gt;=BF$3,$J246&lt;=IF(param_mode_affichage="mois",EOMONTH(BF$3,0),BF$3+6)),"◆",""))</f>
      </c>
      <c r="BG246" s="26">
        <f>IF(OR($A246="",BG$3=""),"",IF(AND($J246&lt;&gt;"",$K246&lt;&gt;"",$J246=$K246,$J246&gt;=BG$3,$J246&lt;=IF(param_mode_affichage="mois",EOMONTH(BG$3,0),BG$3+6)),"◆",""))</f>
      </c>
      <c r="BH246" s="26">
        <f>IF(OR($A246="",BH$3=""),"",IF(AND($J246&lt;&gt;"",$K246&lt;&gt;"",$J246=$K246,$J246&gt;=BH$3,$J246&lt;=IF(param_mode_affichage="mois",EOMONTH(BH$3,0),BH$3+6)),"◆",""))</f>
      </c>
      <c r="BI246" s="26">
        <f>IF(OR($A246="",BI$3=""),"",IF(AND($J246&lt;&gt;"",$K246&lt;&gt;"",$J246=$K246,$J246&gt;=BI$3,$J246&lt;=IF(param_mode_affichage="mois",EOMONTH(BI$3,0),BI$3+6)),"◆",""))</f>
      </c>
      <c r="BJ246" s="26">
        <f>IF(OR($A246="",BJ$3=""),"",IF(AND($J246&lt;&gt;"",$K246&lt;&gt;"",$J246=$K246,$J246&gt;=BJ$3,$J246&lt;=IF(param_mode_affichage="mois",EOMONTH(BJ$3,0),BJ$3+6)),"◆",""))</f>
      </c>
      <c r="BK246" s="26">
        <f>IF(OR($A246="",BK$3=""),"",IF(AND($J246&lt;&gt;"",$K246&lt;&gt;"",$J246=$K246,$J246&gt;=BK$3,$J246&lt;=IF(param_mode_affichage="mois",EOMONTH(BK$3,0),BK$3+6)),"◆",""))</f>
      </c>
      <c r="BL246" s="26">
        <f>IF(OR($A246="",BL$3=""),"",IF(AND($J246&lt;&gt;"",$K246&lt;&gt;"",$J246=$K246,$J246&gt;=BL$3,$J246&lt;=IF(param_mode_affichage="mois",EOMONTH(BL$3,0),BL$3+6)),"◆",""))</f>
      </c>
    </row>
    <row r="247" spans="1:64" x14ac:dyDescent="0.25">
      <c r="A247" s="23">
        <f>IFERROR(INDEX(tblTasks[ID],ROW()-4),"")</f>
      </c>
      <c r="B247" s="24">
        <f>IF($A247="","",INDEX(tblTasks[Sujet],ROW()-4))</f>
      </c>
      <c r="C247" s="23">
        <f>IF($A247="","",INDEX(tblTasks[Responsable],ROW()-4))</f>
      </c>
      <c r="D247" s="23">
        <f>IF($A247="","",INDEX(tblTasks[Statut],ROW()-4))</f>
      </c>
      <c r="E247" s="23">
        <f>IF($A247="","",INDEX(tblTasks[Depend_de],ROW()-4))</f>
      </c>
      <c r="F247" s="23">
        <f>IF($A247="","",INDEX(tblTasks[Blocage],ROW()-4))</f>
      </c>
      <c r="G247" s="23">
        <f>IF($A247="","",INDEX(tblTasks[Niveau_criticite],ROW()-4))</f>
      </c>
      <c r="H247" s="23">
        <f>IF($A247="","",INDEX(tblTasks[Goulot],ROW()-4))</f>
      </c>
      <c r="I247" s="23">
        <f>IF($A247="","",IF(LOWER($F247)="oui","non",IF($E247="","oui",IFERROR(IF(LOWER(INDEX(tblTasks[Statut],MATCH($E247,tblTasks[ID],0)))="clos","oui","non"),"non"))))</f>
      </c>
      <c r="J247" s="25">
        <f>IF($A247="","",INDEX(tblTasks[Date_debut_prevue],ROW()-4))</f>
      </c>
      <c r="K247" s="25">
        <f>IF($A247="","",INDEX(tblTasks[Date_fin_prevue],ROW()-4))</f>
      </c>
      <c r="L247" s="23">
        <f>IF($A247="","",INDEX(tblTasks[Irreversibilite],ROW()-4))</f>
      </c>
      <c r="M247" s="26">
        <f>IF(OR($A247="",M$3=""),"",IF(AND($J247&lt;&gt;"",$K247&lt;&gt;"",$J247=$K247,$J247&gt;=M$3,$J247&lt;=IF(param_mode_affichage="mois",EOMONTH(M$3,0),M$3+6)),"◆",""))</f>
      </c>
      <c r="N247" s="26">
        <f>IF(OR($A247="",N$3=""),"",IF(AND($J247&lt;&gt;"",$K247&lt;&gt;"",$J247=$K247,$J247&gt;=N$3,$J247&lt;=IF(param_mode_affichage="mois",EOMONTH(N$3,0),N$3+6)),"◆",""))</f>
      </c>
      <c r="O247" s="26">
        <f>IF(OR($A247="",O$3=""),"",IF(AND($J247&lt;&gt;"",$K247&lt;&gt;"",$J247=$K247,$J247&gt;=O$3,$J247&lt;=IF(param_mode_affichage="mois",EOMONTH(O$3,0),O$3+6)),"◆",""))</f>
      </c>
      <c r="P247" s="26">
        <f>IF(OR($A247="",P$3=""),"",IF(AND($J247&lt;&gt;"",$K247&lt;&gt;"",$J247=$K247,$J247&gt;=P$3,$J247&lt;=IF(param_mode_affichage="mois",EOMONTH(P$3,0),P$3+6)),"◆",""))</f>
      </c>
      <c r="Q247" s="26">
        <f>IF(OR($A247="",Q$3=""),"",IF(AND($J247&lt;&gt;"",$K247&lt;&gt;"",$J247=$K247,$J247&gt;=Q$3,$J247&lt;=IF(param_mode_affichage="mois",EOMONTH(Q$3,0),Q$3+6)),"◆",""))</f>
      </c>
      <c r="R247" s="26">
        <f>IF(OR($A247="",R$3=""),"",IF(AND($J247&lt;&gt;"",$K247&lt;&gt;"",$J247=$K247,$J247&gt;=R$3,$J247&lt;=IF(param_mode_affichage="mois",EOMONTH(R$3,0),R$3+6)),"◆",""))</f>
      </c>
      <c r="S247" s="26">
        <f>IF(OR($A247="",S$3=""),"",IF(AND($J247&lt;&gt;"",$K247&lt;&gt;"",$J247=$K247,$J247&gt;=S$3,$J247&lt;=IF(param_mode_affichage="mois",EOMONTH(S$3,0),S$3+6)),"◆",""))</f>
      </c>
      <c r="T247" s="26">
        <f>IF(OR($A247="",T$3=""),"",IF(AND($J247&lt;&gt;"",$K247&lt;&gt;"",$J247=$K247,$J247&gt;=T$3,$J247&lt;=IF(param_mode_affichage="mois",EOMONTH(T$3,0),T$3+6)),"◆",""))</f>
      </c>
      <c r="U247" s="26">
        <f>IF(OR($A247="",U$3=""),"",IF(AND($J247&lt;&gt;"",$K247&lt;&gt;"",$J247=$K247,$J247&gt;=U$3,$J247&lt;=IF(param_mode_affichage="mois",EOMONTH(U$3,0),U$3+6)),"◆",""))</f>
      </c>
      <c r="V247" s="26">
        <f>IF(OR($A247="",V$3=""),"",IF(AND($J247&lt;&gt;"",$K247&lt;&gt;"",$J247=$K247,$J247&gt;=V$3,$J247&lt;=IF(param_mode_affichage="mois",EOMONTH(V$3,0),V$3+6)),"◆",""))</f>
      </c>
      <c r="W247" s="26">
        <f>IF(OR($A247="",W$3=""),"",IF(AND($J247&lt;&gt;"",$K247&lt;&gt;"",$J247=$K247,$J247&gt;=W$3,$J247&lt;=IF(param_mode_affichage="mois",EOMONTH(W$3,0),W$3+6)),"◆",""))</f>
      </c>
      <c r="X247" s="26">
        <f>IF(OR($A247="",X$3=""),"",IF(AND($J247&lt;&gt;"",$K247&lt;&gt;"",$J247=$K247,$J247&gt;=X$3,$J247&lt;=IF(param_mode_affichage="mois",EOMONTH(X$3,0),X$3+6)),"◆",""))</f>
      </c>
      <c r="Y247" s="26">
        <f>IF(OR($A247="",Y$3=""),"",IF(AND($J247&lt;&gt;"",$K247&lt;&gt;"",$J247=$K247,$J247&gt;=Y$3,$J247&lt;=IF(param_mode_affichage="mois",EOMONTH(Y$3,0),Y$3+6)),"◆",""))</f>
      </c>
      <c r="Z247" s="26">
        <f>IF(OR($A247="",Z$3=""),"",IF(AND($J247&lt;&gt;"",$K247&lt;&gt;"",$J247=$K247,$J247&gt;=Z$3,$J247&lt;=IF(param_mode_affichage="mois",EOMONTH(Z$3,0),Z$3+6)),"◆",""))</f>
      </c>
      <c r="AA247" s="26">
        <f>IF(OR($A247="",AA$3=""),"",IF(AND($J247&lt;&gt;"",$K247&lt;&gt;"",$J247=$K247,$J247&gt;=AA$3,$J247&lt;=IF(param_mode_affichage="mois",EOMONTH(AA$3,0),AA$3+6)),"◆",""))</f>
      </c>
      <c r="AB247" s="26">
        <f>IF(OR($A247="",AB$3=""),"",IF(AND($J247&lt;&gt;"",$K247&lt;&gt;"",$J247=$K247,$J247&gt;=AB$3,$J247&lt;=IF(param_mode_affichage="mois",EOMONTH(AB$3,0),AB$3+6)),"◆",""))</f>
      </c>
      <c r="AC247" s="26">
        <f>IF(OR($A247="",AC$3=""),"",IF(AND($J247&lt;&gt;"",$K247&lt;&gt;"",$J247=$K247,$J247&gt;=AC$3,$J247&lt;=IF(param_mode_affichage="mois",EOMONTH(AC$3,0),AC$3+6)),"◆",""))</f>
      </c>
      <c r="AD247" s="26">
        <f>IF(OR($A247="",AD$3=""),"",IF(AND($J247&lt;&gt;"",$K247&lt;&gt;"",$J247=$K247,$J247&gt;=AD$3,$J247&lt;=IF(param_mode_affichage="mois",EOMONTH(AD$3,0),AD$3+6)),"◆",""))</f>
      </c>
      <c r="AE247" s="26">
        <f>IF(OR($A247="",AE$3=""),"",IF(AND($J247&lt;&gt;"",$K247&lt;&gt;"",$J247=$K247,$J247&gt;=AE$3,$J247&lt;=IF(param_mode_affichage="mois",EOMONTH(AE$3,0),AE$3+6)),"◆",""))</f>
      </c>
      <c r="AF247" s="26">
        <f>IF(OR($A247="",AF$3=""),"",IF(AND($J247&lt;&gt;"",$K247&lt;&gt;"",$J247=$K247,$J247&gt;=AF$3,$J247&lt;=IF(param_mode_affichage="mois",EOMONTH(AF$3,0),AF$3+6)),"◆",""))</f>
      </c>
      <c r="AG247" s="26">
        <f>IF(OR($A247="",AG$3=""),"",IF(AND($J247&lt;&gt;"",$K247&lt;&gt;"",$J247=$K247,$J247&gt;=AG$3,$J247&lt;=IF(param_mode_affichage="mois",EOMONTH(AG$3,0),AG$3+6)),"◆",""))</f>
      </c>
      <c r="AH247" s="26">
        <f>IF(OR($A247="",AH$3=""),"",IF(AND($J247&lt;&gt;"",$K247&lt;&gt;"",$J247=$K247,$J247&gt;=AH$3,$J247&lt;=IF(param_mode_affichage="mois",EOMONTH(AH$3,0),AH$3+6)),"◆",""))</f>
      </c>
      <c r="AI247" s="26">
        <f>IF(OR($A247="",AI$3=""),"",IF(AND($J247&lt;&gt;"",$K247&lt;&gt;"",$J247=$K247,$J247&gt;=AI$3,$J247&lt;=IF(param_mode_affichage="mois",EOMONTH(AI$3,0),AI$3+6)),"◆",""))</f>
      </c>
      <c r="AJ247" s="26">
        <f>IF(OR($A247="",AJ$3=""),"",IF(AND($J247&lt;&gt;"",$K247&lt;&gt;"",$J247=$K247,$J247&gt;=AJ$3,$J247&lt;=IF(param_mode_affichage="mois",EOMONTH(AJ$3,0),AJ$3+6)),"◆",""))</f>
      </c>
      <c r="AK247" s="26">
        <f>IF(OR($A247="",AK$3=""),"",IF(AND($J247&lt;&gt;"",$K247&lt;&gt;"",$J247=$K247,$J247&gt;=AK$3,$J247&lt;=IF(param_mode_affichage="mois",EOMONTH(AK$3,0),AK$3+6)),"◆",""))</f>
      </c>
      <c r="AL247" s="26">
        <f>IF(OR($A247="",AL$3=""),"",IF(AND($J247&lt;&gt;"",$K247&lt;&gt;"",$J247=$K247,$J247&gt;=AL$3,$J247&lt;=IF(param_mode_affichage="mois",EOMONTH(AL$3,0),AL$3+6)),"◆",""))</f>
      </c>
      <c r="AM247" s="26">
        <f>IF(OR($A247="",AM$3=""),"",IF(AND($J247&lt;&gt;"",$K247&lt;&gt;"",$J247=$K247,$J247&gt;=AM$3,$J247&lt;=IF(param_mode_affichage="mois",EOMONTH(AM$3,0),AM$3+6)),"◆",""))</f>
      </c>
      <c r="AN247" s="26">
        <f>IF(OR($A247="",AN$3=""),"",IF(AND($J247&lt;&gt;"",$K247&lt;&gt;"",$J247=$K247,$J247&gt;=AN$3,$J247&lt;=IF(param_mode_affichage="mois",EOMONTH(AN$3,0),AN$3+6)),"◆",""))</f>
      </c>
      <c r="AO247" s="26">
        <f>IF(OR($A247="",AO$3=""),"",IF(AND($J247&lt;&gt;"",$K247&lt;&gt;"",$J247=$K247,$J247&gt;=AO$3,$J247&lt;=IF(param_mode_affichage="mois",EOMONTH(AO$3,0),AO$3+6)),"◆",""))</f>
      </c>
      <c r="AP247" s="26">
        <f>IF(OR($A247="",AP$3=""),"",IF(AND($J247&lt;&gt;"",$K247&lt;&gt;"",$J247=$K247,$J247&gt;=AP$3,$J247&lt;=IF(param_mode_affichage="mois",EOMONTH(AP$3,0),AP$3+6)),"◆",""))</f>
      </c>
      <c r="AQ247" s="26">
        <f>IF(OR($A247="",AQ$3=""),"",IF(AND($J247&lt;&gt;"",$K247&lt;&gt;"",$J247=$K247,$J247&gt;=AQ$3,$J247&lt;=IF(param_mode_affichage="mois",EOMONTH(AQ$3,0),AQ$3+6)),"◆",""))</f>
      </c>
      <c r="AR247" s="26">
        <f>IF(OR($A247="",AR$3=""),"",IF(AND($J247&lt;&gt;"",$K247&lt;&gt;"",$J247=$K247,$J247&gt;=AR$3,$J247&lt;=IF(param_mode_affichage="mois",EOMONTH(AR$3,0),AR$3+6)),"◆",""))</f>
      </c>
      <c r="AS247" s="26">
        <f>IF(OR($A247="",AS$3=""),"",IF(AND($J247&lt;&gt;"",$K247&lt;&gt;"",$J247=$K247,$J247&gt;=AS$3,$J247&lt;=IF(param_mode_affichage="mois",EOMONTH(AS$3,0),AS$3+6)),"◆",""))</f>
      </c>
      <c r="AT247" s="26">
        <f>IF(OR($A247="",AT$3=""),"",IF(AND($J247&lt;&gt;"",$K247&lt;&gt;"",$J247=$K247,$J247&gt;=AT$3,$J247&lt;=IF(param_mode_affichage="mois",EOMONTH(AT$3,0),AT$3+6)),"◆",""))</f>
      </c>
      <c r="AU247" s="26">
        <f>IF(OR($A247="",AU$3=""),"",IF(AND($J247&lt;&gt;"",$K247&lt;&gt;"",$J247=$K247,$J247&gt;=AU$3,$J247&lt;=IF(param_mode_affichage="mois",EOMONTH(AU$3,0),AU$3+6)),"◆",""))</f>
      </c>
      <c r="AV247" s="26">
        <f>IF(OR($A247="",AV$3=""),"",IF(AND($J247&lt;&gt;"",$K247&lt;&gt;"",$J247=$K247,$J247&gt;=AV$3,$J247&lt;=IF(param_mode_affichage="mois",EOMONTH(AV$3,0),AV$3+6)),"◆",""))</f>
      </c>
      <c r="AW247" s="26">
        <f>IF(OR($A247="",AW$3=""),"",IF(AND($J247&lt;&gt;"",$K247&lt;&gt;"",$J247=$K247,$J247&gt;=AW$3,$J247&lt;=IF(param_mode_affichage="mois",EOMONTH(AW$3,0),AW$3+6)),"◆",""))</f>
      </c>
      <c r="AX247" s="26">
        <f>IF(OR($A247="",AX$3=""),"",IF(AND($J247&lt;&gt;"",$K247&lt;&gt;"",$J247=$K247,$J247&gt;=AX$3,$J247&lt;=IF(param_mode_affichage="mois",EOMONTH(AX$3,0),AX$3+6)),"◆",""))</f>
      </c>
      <c r="AY247" s="26">
        <f>IF(OR($A247="",AY$3=""),"",IF(AND($J247&lt;&gt;"",$K247&lt;&gt;"",$J247=$K247,$J247&gt;=AY$3,$J247&lt;=IF(param_mode_affichage="mois",EOMONTH(AY$3,0),AY$3+6)),"◆",""))</f>
      </c>
      <c r="AZ247" s="26">
        <f>IF(OR($A247="",AZ$3=""),"",IF(AND($J247&lt;&gt;"",$K247&lt;&gt;"",$J247=$K247,$J247&gt;=AZ$3,$J247&lt;=IF(param_mode_affichage="mois",EOMONTH(AZ$3,0),AZ$3+6)),"◆",""))</f>
      </c>
      <c r="BA247" s="26">
        <f>IF(OR($A247="",BA$3=""),"",IF(AND($J247&lt;&gt;"",$K247&lt;&gt;"",$J247=$K247,$J247&gt;=BA$3,$J247&lt;=IF(param_mode_affichage="mois",EOMONTH(BA$3,0),BA$3+6)),"◆",""))</f>
      </c>
      <c r="BB247" s="26">
        <f>IF(OR($A247="",BB$3=""),"",IF(AND($J247&lt;&gt;"",$K247&lt;&gt;"",$J247=$K247,$J247&gt;=BB$3,$J247&lt;=IF(param_mode_affichage="mois",EOMONTH(BB$3,0),BB$3+6)),"◆",""))</f>
      </c>
      <c r="BC247" s="26">
        <f>IF(OR($A247="",BC$3=""),"",IF(AND($J247&lt;&gt;"",$K247&lt;&gt;"",$J247=$K247,$J247&gt;=BC$3,$J247&lt;=IF(param_mode_affichage="mois",EOMONTH(BC$3,0),BC$3+6)),"◆",""))</f>
      </c>
      <c r="BD247" s="26">
        <f>IF(OR($A247="",BD$3=""),"",IF(AND($J247&lt;&gt;"",$K247&lt;&gt;"",$J247=$K247,$J247&gt;=BD$3,$J247&lt;=IF(param_mode_affichage="mois",EOMONTH(BD$3,0),BD$3+6)),"◆",""))</f>
      </c>
      <c r="BE247" s="26">
        <f>IF(OR($A247="",BE$3=""),"",IF(AND($J247&lt;&gt;"",$K247&lt;&gt;"",$J247=$K247,$J247&gt;=BE$3,$J247&lt;=IF(param_mode_affichage="mois",EOMONTH(BE$3,0),BE$3+6)),"◆",""))</f>
      </c>
      <c r="BF247" s="26">
        <f>IF(OR($A247="",BF$3=""),"",IF(AND($J247&lt;&gt;"",$K247&lt;&gt;"",$J247=$K247,$J247&gt;=BF$3,$J247&lt;=IF(param_mode_affichage="mois",EOMONTH(BF$3,0),BF$3+6)),"◆",""))</f>
      </c>
      <c r="BG247" s="26">
        <f>IF(OR($A247="",BG$3=""),"",IF(AND($J247&lt;&gt;"",$K247&lt;&gt;"",$J247=$K247,$J247&gt;=BG$3,$J247&lt;=IF(param_mode_affichage="mois",EOMONTH(BG$3,0),BG$3+6)),"◆",""))</f>
      </c>
      <c r="BH247" s="26">
        <f>IF(OR($A247="",BH$3=""),"",IF(AND($J247&lt;&gt;"",$K247&lt;&gt;"",$J247=$K247,$J247&gt;=BH$3,$J247&lt;=IF(param_mode_affichage="mois",EOMONTH(BH$3,0),BH$3+6)),"◆",""))</f>
      </c>
      <c r="BI247" s="26">
        <f>IF(OR($A247="",BI$3=""),"",IF(AND($J247&lt;&gt;"",$K247&lt;&gt;"",$J247=$K247,$J247&gt;=BI$3,$J247&lt;=IF(param_mode_affichage="mois",EOMONTH(BI$3,0),BI$3+6)),"◆",""))</f>
      </c>
      <c r="BJ247" s="26">
        <f>IF(OR($A247="",BJ$3=""),"",IF(AND($J247&lt;&gt;"",$K247&lt;&gt;"",$J247=$K247,$J247&gt;=BJ$3,$J247&lt;=IF(param_mode_affichage="mois",EOMONTH(BJ$3,0),BJ$3+6)),"◆",""))</f>
      </c>
      <c r="BK247" s="26">
        <f>IF(OR($A247="",BK$3=""),"",IF(AND($J247&lt;&gt;"",$K247&lt;&gt;"",$J247=$K247,$J247&gt;=BK$3,$J247&lt;=IF(param_mode_affichage="mois",EOMONTH(BK$3,0),BK$3+6)),"◆",""))</f>
      </c>
      <c r="BL247" s="26">
        <f>IF(OR($A247="",BL$3=""),"",IF(AND($J247&lt;&gt;"",$K247&lt;&gt;"",$J247=$K247,$J247&gt;=BL$3,$J247&lt;=IF(param_mode_affichage="mois",EOMONTH(BL$3,0),BL$3+6)),"◆",""))</f>
      </c>
    </row>
    <row r="248" spans="1:64" x14ac:dyDescent="0.25">
      <c r="A248" s="23">
        <f>IFERROR(INDEX(tblTasks[ID],ROW()-4),"")</f>
      </c>
      <c r="B248" s="24">
        <f>IF($A248="","",INDEX(tblTasks[Sujet],ROW()-4))</f>
      </c>
      <c r="C248" s="23">
        <f>IF($A248="","",INDEX(tblTasks[Responsable],ROW()-4))</f>
      </c>
      <c r="D248" s="23">
        <f>IF($A248="","",INDEX(tblTasks[Statut],ROW()-4))</f>
      </c>
      <c r="E248" s="23">
        <f>IF($A248="","",INDEX(tblTasks[Depend_de],ROW()-4))</f>
      </c>
      <c r="F248" s="23">
        <f>IF($A248="","",INDEX(tblTasks[Blocage],ROW()-4))</f>
      </c>
      <c r="G248" s="23">
        <f>IF($A248="","",INDEX(tblTasks[Niveau_criticite],ROW()-4))</f>
      </c>
      <c r="H248" s="23">
        <f>IF($A248="","",INDEX(tblTasks[Goulot],ROW()-4))</f>
      </c>
      <c r="I248" s="23">
        <f>IF($A248="","",IF(LOWER($F248)="oui","non",IF($E248="","oui",IFERROR(IF(LOWER(INDEX(tblTasks[Statut],MATCH($E248,tblTasks[ID],0)))="clos","oui","non"),"non"))))</f>
      </c>
      <c r="J248" s="25">
        <f>IF($A248="","",INDEX(tblTasks[Date_debut_prevue],ROW()-4))</f>
      </c>
      <c r="K248" s="25">
        <f>IF($A248="","",INDEX(tblTasks[Date_fin_prevue],ROW()-4))</f>
      </c>
      <c r="L248" s="23">
        <f>IF($A248="","",INDEX(tblTasks[Irreversibilite],ROW()-4))</f>
      </c>
      <c r="M248" s="26">
        <f>IF(OR($A248="",M$3=""),"",IF(AND($J248&lt;&gt;"",$K248&lt;&gt;"",$J248=$K248,$J248&gt;=M$3,$J248&lt;=IF(param_mode_affichage="mois",EOMONTH(M$3,0),M$3+6)),"◆",""))</f>
      </c>
      <c r="N248" s="26">
        <f>IF(OR($A248="",N$3=""),"",IF(AND($J248&lt;&gt;"",$K248&lt;&gt;"",$J248=$K248,$J248&gt;=N$3,$J248&lt;=IF(param_mode_affichage="mois",EOMONTH(N$3,0),N$3+6)),"◆",""))</f>
      </c>
      <c r="O248" s="26">
        <f>IF(OR($A248="",O$3=""),"",IF(AND($J248&lt;&gt;"",$K248&lt;&gt;"",$J248=$K248,$J248&gt;=O$3,$J248&lt;=IF(param_mode_affichage="mois",EOMONTH(O$3,0),O$3+6)),"◆",""))</f>
      </c>
      <c r="P248" s="26">
        <f>IF(OR($A248="",P$3=""),"",IF(AND($J248&lt;&gt;"",$K248&lt;&gt;"",$J248=$K248,$J248&gt;=P$3,$J248&lt;=IF(param_mode_affichage="mois",EOMONTH(P$3,0),P$3+6)),"◆",""))</f>
      </c>
      <c r="Q248" s="26">
        <f>IF(OR($A248="",Q$3=""),"",IF(AND($J248&lt;&gt;"",$K248&lt;&gt;"",$J248=$K248,$J248&gt;=Q$3,$J248&lt;=IF(param_mode_affichage="mois",EOMONTH(Q$3,0),Q$3+6)),"◆",""))</f>
      </c>
      <c r="R248" s="26">
        <f>IF(OR($A248="",R$3=""),"",IF(AND($J248&lt;&gt;"",$K248&lt;&gt;"",$J248=$K248,$J248&gt;=R$3,$J248&lt;=IF(param_mode_affichage="mois",EOMONTH(R$3,0),R$3+6)),"◆",""))</f>
      </c>
      <c r="S248" s="26">
        <f>IF(OR($A248="",S$3=""),"",IF(AND($J248&lt;&gt;"",$K248&lt;&gt;"",$J248=$K248,$J248&gt;=S$3,$J248&lt;=IF(param_mode_affichage="mois",EOMONTH(S$3,0),S$3+6)),"◆",""))</f>
      </c>
      <c r="T248" s="26">
        <f>IF(OR($A248="",T$3=""),"",IF(AND($J248&lt;&gt;"",$K248&lt;&gt;"",$J248=$K248,$J248&gt;=T$3,$J248&lt;=IF(param_mode_affichage="mois",EOMONTH(T$3,0),T$3+6)),"◆",""))</f>
      </c>
      <c r="U248" s="26">
        <f>IF(OR($A248="",U$3=""),"",IF(AND($J248&lt;&gt;"",$K248&lt;&gt;"",$J248=$K248,$J248&gt;=U$3,$J248&lt;=IF(param_mode_affichage="mois",EOMONTH(U$3,0),U$3+6)),"◆",""))</f>
      </c>
      <c r="V248" s="26">
        <f>IF(OR($A248="",V$3=""),"",IF(AND($J248&lt;&gt;"",$K248&lt;&gt;"",$J248=$K248,$J248&gt;=V$3,$J248&lt;=IF(param_mode_affichage="mois",EOMONTH(V$3,0),V$3+6)),"◆",""))</f>
      </c>
      <c r="W248" s="26">
        <f>IF(OR($A248="",W$3=""),"",IF(AND($J248&lt;&gt;"",$K248&lt;&gt;"",$J248=$K248,$J248&gt;=W$3,$J248&lt;=IF(param_mode_affichage="mois",EOMONTH(W$3,0),W$3+6)),"◆",""))</f>
      </c>
      <c r="X248" s="26">
        <f>IF(OR($A248="",X$3=""),"",IF(AND($J248&lt;&gt;"",$K248&lt;&gt;"",$J248=$K248,$J248&gt;=X$3,$J248&lt;=IF(param_mode_affichage="mois",EOMONTH(X$3,0),X$3+6)),"◆",""))</f>
      </c>
      <c r="Y248" s="26">
        <f>IF(OR($A248="",Y$3=""),"",IF(AND($J248&lt;&gt;"",$K248&lt;&gt;"",$J248=$K248,$J248&gt;=Y$3,$J248&lt;=IF(param_mode_affichage="mois",EOMONTH(Y$3,0),Y$3+6)),"◆",""))</f>
      </c>
      <c r="Z248" s="26">
        <f>IF(OR($A248="",Z$3=""),"",IF(AND($J248&lt;&gt;"",$K248&lt;&gt;"",$J248=$K248,$J248&gt;=Z$3,$J248&lt;=IF(param_mode_affichage="mois",EOMONTH(Z$3,0),Z$3+6)),"◆",""))</f>
      </c>
      <c r="AA248" s="26">
        <f>IF(OR($A248="",AA$3=""),"",IF(AND($J248&lt;&gt;"",$K248&lt;&gt;"",$J248=$K248,$J248&gt;=AA$3,$J248&lt;=IF(param_mode_affichage="mois",EOMONTH(AA$3,0),AA$3+6)),"◆",""))</f>
      </c>
      <c r="AB248" s="26">
        <f>IF(OR($A248="",AB$3=""),"",IF(AND($J248&lt;&gt;"",$K248&lt;&gt;"",$J248=$K248,$J248&gt;=AB$3,$J248&lt;=IF(param_mode_affichage="mois",EOMONTH(AB$3,0),AB$3+6)),"◆",""))</f>
      </c>
      <c r="AC248" s="26">
        <f>IF(OR($A248="",AC$3=""),"",IF(AND($J248&lt;&gt;"",$K248&lt;&gt;"",$J248=$K248,$J248&gt;=AC$3,$J248&lt;=IF(param_mode_affichage="mois",EOMONTH(AC$3,0),AC$3+6)),"◆",""))</f>
      </c>
      <c r="AD248" s="26">
        <f>IF(OR($A248="",AD$3=""),"",IF(AND($J248&lt;&gt;"",$K248&lt;&gt;"",$J248=$K248,$J248&gt;=AD$3,$J248&lt;=IF(param_mode_affichage="mois",EOMONTH(AD$3,0),AD$3+6)),"◆",""))</f>
      </c>
      <c r="AE248" s="26">
        <f>IF(OR($A248="",AE$3=""),"",IF(AND($J248&lt;&gt;"",$K248&lt;&gt;"",$J248=$K248,$J248&gt;=AE$3,$J248&lt;=IF(param_mode_affichage="mois",EOMONTH(AE$3,0),AE$3+6)),"◆",""))</f>
      </c>
      <c r="AF248" s="26">
        <f>IF(OR($A248="",AF$3=""),"",IF(AND($J248&lt;&gt;"",$K248&lt;&gt;"",$J248=$K248,$J248&gt;=AF$3,$J248&lt;=IF(param_mode_affichage="mois",EOMONTH(AF$3,0),AF$3+6)),"◆",""))</f>
      </c>
      <c r="AG248" s="26">
        <f>IF(OR($A248="",AG$3=""),"",IF(AND($J248&lt;&gt;"",$K248&lt;&gt;"",$J248=$K248,$J248&gt;=AG$3,$J248&lt;=IF(param_mode_affichage="mois",EOMONTH(AG$3,0),AG$3+6)),"◆",""))</f>
      </c>
      <c r="AH248" s="26">
        <f>IF(OR($A248="",AH$3=""),"",IF(AND($J248&lt;&gt;"",$K248&lt;&gt;"",$J248=$K248,$J248&gt;=AH$3,$J248&lt;=IF(param_mode_affichage="mois",EOMONTH(AH$3,0),AH$3+6)),"◆",""))</f>
      </c>
      <c r="AI248" s="26">
        <f>IF(OR($A248="",AI$3=""),"",IF(AND($J248&lt;&gt;"",$K248&lt;&gt;"",$J248=$K248,$J248&gt;=AI$3,$J248&lt;=IF(param_mode_affichage="mois",EOMONTH(AI$3,0),AI$3+6)),"◆",""))</f>
      </c>
      <c r="AJ248" s="26">
        <f>IF(OR($A248="",AJ$3=""),"",IF(AND($J248&lt;&gt;"",$K248&lt;&gt;"",$J248=$K248,$J248&gt;=AJ$3,$J248&lt;=IF(param_mode_affichage="mois",EOMONTH(AJ$3,0),AJ$3+6)),"◆",""))</f>
      </c>
      <c r="AK248" s="26">
        <f>IF(OR($A248="",AK$3=""),"",IF(AND($J248&lt;&gt;"",$K248&lt;&gt;"",$J248=$K248,$J248&gt;=AK$3,$J248&lt;=IF(param_mode_affichage="mois",EOMONTH(AK$3,0),AK$3+6)),"◆",""))</f>
      </c>
      <c r="AL248" s="26">
        <f>IF(OR($A248="",AL$3=""),"",IF(AND($J248&lt;&gt;"",$K248&lt;&gt;"",$J248=$K248,$J248&gt;=AL$3,$J248&lt;=IF(param_mode_affichage="mois",EOMONTH(AL$3,0),AL$3+6)),"◆",""))</f>
      </c>
      <c r="AM248" s="26">
        <f>IF(OR($A248="",AM$3=""),"",IF(AND($J248&lt;&gt;"",$K248&lt;&gt;"",$J248=$K248,$J248&gt;=AM$3,$J248&lt;=IF(param_mode_affichage="mois",EOMONTH(AM$3,0),AM$3+6)),"◆",""))</f>
      </c>
      <c r="AN248" s="26">
        <f>IF(OR($A248="",AN$3=""),"",IF(AND($J248&lt;&gt;"",$K248&lt;&gt;"",$J248=$K248,$J248&gt;=AN$3,$J248&lt;=IF(param_mode_affichage="mois",EOMONTH(AN$3,0),AN$3+6)),"◆",""))</f>
      </c>
      <c r="AO248" s="26">
        <f>IF(OR($A248="",AO$3=""),"",IF(AND($J248&lt;&gt;"",$K248&lt;&gt;"",$J248=$K248,$J248&gt;=AO$3,$J248&lt;=IF(param_mode_affichage="mois",EOMONTH(AO$3,0),AO$3+6)),"◆",""))</f>
      </c>
      <c r="AP248" s="26">
        <f>IF(OR($A248="",AP$3=""),"",IF(AND($J248&lt;&gt;"",$K248&lt;&gt;"",$J248=$K248,$J248&gt;=AP$3,$J248&lt;=IF(param_mode_affichage="mois",EOMONTH(AP$3,0),AP$3+6)),"◆",""))</f>
      </c>
      <c r="AQ248" s="26">
        <f>IF(OR($A248="",AQ$3=""),"",IF(AND($J248&lt;&gt;"",$K248&lt;&gt;"",$J248=$K248,$J248&gt;=AQ$3,$J248&lt;=IF(param_mode_affichage="mois",EOMONTH(AQ$3,0),AQ$3+6)),"◆",""))</f>
      </c>
      <c r="AR248" s="26">
        <f>IF(OR($A248="",AR$3=""),"",IF(AND($J248&lt;&gt;"",$K248&lt;&gt;"",$J248=$K248,$J248&gt;=AR$3,$J248&lt;=IF(param_mode_affichage="mois",EOMONTH(AR$3,0),AR$3+6)),"◆",""))</f>
      </c>
      <c r="AS248" s="26">
        <f>IF(OR($A248="",AS$3=""),"",IF(AND($J248&lt;&gt;"",$K248&lt;&gt;"",$J248=$K248,$J248&gt;=AS$3,$J248&lt;=IF(param_mode_affichage="mois",EOMONTH(AS$3,0),AS$3+6)),"◆",""))</f>
      </c>
      <c r="AT248" s="26">
        <f>IF(OR($A248="",AT$3=""),"",IF(AND($J248&lt;&gt;"",$K248&lt;&gt;"",$J248=$K248,$J248&gt;=AT$3,$J248&lt;=IF(param_mode_affichage="mois",EOMONTH(AT$3,0),AT$3+6)),"◆",""))</f>
      </c>
      <c r="AU248" s="26">
        <f>IF(OR($A248="",AU$3=""),"",IF(AND($J248&lt;&gt;"",$K248&lt;&gt;"",$J248=$K248,$J248&gt;=AU$3,$J248&lt;=IF(param_mode_affichage="mois",EOMONTH(AU$3,0),AU$3+6)),"◆",""))</f>
      </c>
      <c r="AV248" s="26">
        <f>IF(OR($A248="",AV$3=""),"",IF(AND($J248&lt;&gt;"",$K248&lt;&gt;"",$J248=$K248,$J248&gt;=AV$3,$J248&lt;=IF(param_mode_affichage="mois",EOMONTH(AV$3,0),AV$3+6)),"◆",""))</f>
      </c>
      <c r="AW248" s="26">
        <f>IF(OR($A248="",AW$3=""),"",IF(AND($J248&lt;&gt;"",$K248&lt;&gt;"",$J248=$K248,$J248&gt;=AW$3,$J248&lt;=IF(param_mode_affichage="mois",EOMONTH(AW$3,0),AW$3+6)),"◆",""))</f>
      </c>
      <c r="AX248" s="26">
        <f>IF(OR($A248="",AX$3=""),"",IF(AND($J248&lt;&gt;"",$K248&lt;&gt;"",$J248=$K248,$J248&gt;=AX$3,$J248&lt;=IF(param_mode_affichage="mois",EOMONTH(AX$3,0),AX$3+6)),"◆",""))</f>
      </c>
      <c r="AY248" s="26">
        <f>IF(OR($A248="",AY$3=""),"",IF(AND($J248&lt;&gt;"",$K248&lt;&gt;"",$J248=$K248,$J248&gt;=AY$3,$J248&lt;=IF(param_mode_affichage="mois",EOMONTH(AY$3,0),AY$3+6)),"◆",""))</f>
      </c>
      <c r="AZ248" s="26">
        <f>IF(OR($A248="",AZ$3=""),"",IF(AND($J248&lt;&gt;"",$K248&lt;&gt;"",$J248=$K248,$J248&gt;=AZ$3,$J248&lt;=IF(param_mode_affichage="mois",EOMONTH(AZ$3,0),AZ$3+6)),"◆",""))</f>
      </c>
      <c r="BA248" s="26">
        <f>IF(OR($A248="",BA$3=""),"",IF(AND($J248&lt;&gt;"",$K248&lt;&gt;"",$J248=$K248,$J248&gt;=BA$3,$J248&lt;=IF(param_mode_affichage="mois",EOMONTH(BA$3,0),BA$3+6)),"◆",""))</f>
      </c>
      <c r="BB248" s="26">
        <f>IF(OR($A248="",BB$3=""),"",IF(AND($J248&lt;&gt;"",$K248&lt;&gt;"",$J248=$K248,$J248&gt;=BB$3,$J248&lt;=IF(param_mode_affichage="mois",EOMONTH(BB$3,0),BB$3+6)),"◆",""))</f>
      </c>
      <c r="BC248" s="26">
        <f>IF(OR($A248="",BC$3=""),"",IF(AND($J248&lt;&gt;"",$K248&lt;&gt;"",$J248=$K248,$J248&gt;=BC$3,$J248&lt;=IF(param_mode_affichage="mois",EOMONTH(BC$3,0),BC$3+6)),"◆",""))</f>
      </c>
      <c r="BD248" s="26">
        <f>IF(OR($A248="",BD$3=""),"",IF(AND($J248&lt;&gt;"",$K248&lt;&gt;"",$J248=$K248,$J248&gt;=BD$3,$J248&lt;=IF(param_mode_affichage="mois",EOMONTH(BD$3,0),BD$3+6)),"◆",""))</f>
      </c>
      <c r="BE248" s="26">
        <f>IF(OR($A248="",BE$3=""),"",IF(AND($J248&lt;&gt;"",$K248&lt;&gt;"",$J248=$K248,$J248&gt;=BE$3,$J248&lt;=IF(param_mode_affichage="mois",EOMONTH(BE$3,0),BE$3+6)),"◆",""))</f>
      </c>
      <c r="BF248" s="26">
        <f>IF(OR($A248="",BF$3=""),"",IF(AND($J248&lt;&gt;"",$K248&lt;&gt;"",$J248=$K248,$J248&gt;=BF$3,$J248&lt;=IF(param_mode_affichage="mois",EOMONTH(BF$3,0),BF$3+6)),"◆",""))</f>
      </c>
      <c r="BG248" s="26">
        <f>IF(OR($A248="",BG$3=""),"",IF(AND($J248&lt;&gt;"",$K248&lt;&gt;"",$J248=$K248,$J248&gt;=BG$3,$J248&lt;=IF(param_mode_affichage="mois",EOMONTH(BG$3,0),BG$3+6)),"◆",""))</f>
      </c>
      <c r="BH248" s="26">
        <f>IF(OR($A248="",BH$3=""),"",IF(AND($J248&lt;&gt;"",$K248&lt;&gt;"",$J248=$K248,$J248&gt;=BH$3,$J248&lt;=IF(param_mode_affichage="mois",EOMONTH(BH$3,0),BH$3+6)),"◆",""))</f>
      </c>
      <c r="BI248" s="26">
        <f>IF(OR($A248="",BI$3=""),"",IF(AND($J248&lt;&gt;"",$K248&lt;&gt;"",$J248=$K248,$J248&gt;=BI$3,$J248&lt;=IF(param_mode_affichage="mois",EOMONTH(BI$3,0),BI$3+6)),"◆",""))</f>
      </c>
      <c r="BJ248" s="26">
        <f>IF(OR($A248="",BJ$3=""),"",IF(AND($J248&lt;&gt;"",$K248&lt;&gt;"",$J248=$K248,$J248&gt;=BJ$3,$J248&lt;=IF(param_mode_affichage="mois",EOMONTH(BJ$3,0),BJ$3+6)),"◆",""))</f>
      </c>
      <c r="BK248" s="26">
        <f>IF(OR($A248="",BK$3=""),"",IF(AND($J248&lt;&gt;"",$K248&lt;&gt;"",$J248=$K248,$J248&gt;=BK$3,$J248&lt;=IF(param_mode_affichage="mois",EOMONTH(BK$3,0),BK$3+6)),"◆",""))</f>
      </c>
      <c r="BL248" s="26">
        <f>IF(OR($A248="",BL$3=""),"",IF(AND($J248&lt;&gt;"",$K248&lt;&gt;"",$J248=$K248,$J248&gt;=BL$3,$J248&lt;=IF(param_mode_affichage="mois",EOMONTH(BL$3,0),BL$3+6)),"◆",""))</f>
      </c>
    </row>
    <row r="249" spans="1:64" x14ac:dyDescent="0.25">
      <c r="A249" s="23">
        <f>IFERROR(INDEX(tblTasks[ID],ROW()-4),"")</f>
      </c>
      <c r="B249" s="24">
        <f>IF($A249="","",INDEX(tblTasks[Sujet],ROW()-4))</f>
      </c>
      <c r="C249" s="23">
        <f>IF($A249="","",INDEX(tblTasks[Responsable],ROW()-4))</f>
      </c>
      <c r="D249" s="23">
        <f>IF($A249="","",INDEX(tblTasks[Statut],ROW()-4))</f>
      </c>
      <c r="E249" s="23">
        <f>IF($A249="","",INDEX(tblTasks[Depend_de],ROW()-4))</f>
      </c>
      <c r="F249" s="23">
        <f>IF($A249="","",INDEX(tblTasks[Blocage],ROW()-4))</f>
      </c>
      <c r="G249" s="23">
        <f>IF($A249="","",INDEX(tblTasks[Niveau_criticite],ROW()-4))</f>
      </c>
      <c r="H249" s="23">
        <f>IF($A249="","",INDEX(tblTasks[Goulot],ROW()-4))</f>
      </c>
      <c r="I249" s="23">
        <f>IF($A249="","",IF(LOWER($F249)="oui","non",IF($E249="","oui",IFERROR(IF(LOWER(INDEX(tblTasks[Statut],MATCH($E249,tblTasks[ID],0)))="clos","oui","non"),"non"))))</f>
      </c>
      <c r="J249" s="25">
        <f>IF($A249="","",INDEX(tblTasks[Date_debut_prevue],ROW()-4))</f>
      </c>
      <c r="K249" s="25">
        <f>IF($A249="","",INDEX(tblTasks[Date_fin_prevue],ROW()-4))</f>
      </c>
      <c r="L249" s="23">
        <f>IF($A249="","",INDEX(tblTasks[Irreversibilite],ROW()-4))</f>
      </c>
      <c r="M249" s="26">
        <f>IF(OR($A249="",M$3=""),"",IF(AND($J249&lt;&gt;"",$K249&lt;&gt;"",$J249=$K249,$J249&gt;=M$3,$J249&lt;=IF(param_mode_affichage="mois",EOMONTH(M$3,0),M$3+6)),"◆",""))</f>
      </c>
      <c r="N249" s="26">
        <f>IF(OR($A249="",N$3=""),"",IF(AND($J249&lt;&gt;"",$K249&lt;&gt;"",$J249=$K249,$J249&gt;=N$3,$J249&lt;=IF(param_mode_affichage="mois",EOMONTH(N$3,0),N$3+6)),"◆",""))</f>
      </c>
      <c r="O249" s="26">
        <f>IF(OR($A249="",O$3=""),"",IF(AND($J249&lt;&gt;"",$K249&lt;&gt;"",$J249=$K249,$J249&gt;=O$3,$J249&lt;=IF(param_mode_affichage="mois",EOMONTH(O$3,0),O$3+6)),"◆",""))</f>
      </c>
      <c r="P249" s="26">
        <f>IF(OR($A249="",P$3=""),"",IF(AND($J249&lt;&gt;"",$K249&lt;&gt;"",$J249=$K249,$J249&gt;=P$3,$J249&lt;=IF(param_mode_affichage="mois",EOMONTH(P$3,0),P$3+6)),"◆",""))</f>
      </c>
      <c r="Q249" s="26">
        <f>IF(OR($A249="",Q$3=""),"",IF(AND($J249&lt;&gt;"",$K249&lt;&gt;"",$J249=$K249,$J249&gt;=Q$3,$J249&lt;=IF(param_mode_affichage="mois",EOMONTH(Q$3,0),Q$3+6)),"◆",""))</f>
      </c>
      <c r="R249" s="26">
        <f>IF(OR($A249="",R$3=""),"",IF(AND($J249&lt;&gt;"",$K249&lt;&gt;"",$J249=$K249,$J249&gt;=R$3,$J249&lt;=IF(param_mode_affichage="mois",EOMONTH(R$3,0),R$3+6)),"◆",""))</f>
      </c>
      <c r="S249" s="26">
        <f>IF(OR($A249="",S$3=""),"",IF(AND($J249&lt;&gt;"",$K249&lt;&gt;"",$J249=$K249,$J249&gt;=S$3,$J249&lt;=IF(param_mode_affichage="mois",EOMONTH(S$3,0),S$3+6)),"◆",""))</f>
      </c>
      <c r="T249" s="26">
        <f>IF(OR($A249="",T$3=""),"",IF(AND($J249&lt;&gt;"",$K249&lt;&gt;"",$J249=$K249,$J249&gt;=T$3,$J249&lt;=IF(param_mode_affichage="mois",EOMONTH(T$3,0),T$3+6)),"◆",""))</f>
      </c>
      <c r="U249" s="26">
        <f>IF(OR($A249="",U$3=""),"",IF(AND($J249&lt;&gt;"",$K249&lt;&gt;"",$J249=$K249,$J249&gt;=U$3,$J249&lt;=IF(param_mode_affichage="mois",EOMONTH(U$3,0),U$3+6)),"◆",""))</f>
      </c>
      <c r="V249" s="26">
        <f>IF(OR($A249="",V$3=""),"",IF(AND($J249&lt;&gt;"",$K249&lt;&gt;"",$J249=$K249,$J249&gt;=V$3,$J249&lt;=IF(param_mode_affichage="mois",EOMONTH(V$3,0),V$3+6)),"◆",""))</f>
      </c>
      <c r="W249" s="26">
        <f>IF(OR($A249="",W$3=""),"",IF(AND($J249&lt;&gt;"",$K249&lt;&gt;"",$J249=$K249,$J249&gt;=W$3,$J249&lt;=IF(param_mode_affichage="mois",EOMONTH(W$3,0),W$3+6)),"◆",""))</f>
      </c>
      <c r="X249" s="26">
        <f>IF(OR($A249="",X$3=""),"",IF(AND($J249&lt;&gt;"",$K249&lt;&gt;"",$J249=$K249,$J249&gt;=X$3,$J249&lt;=IF(param_mode_affichage="mois",EOMONTH(X$3,0),X$3+6)),"◆",""))</f>
      </c>
      <c r="Y249" s="26">
        <f>IF(OR($A249="",Y$3=""),"",IF(AND($J249&lt;&gt;"",$K249&lt;&gt;"",$J249=$K249,$J249&gt;=Y$3,$J249&lt;=IF(param_mode_affichage="mois",EOMONTH(Y$3,0),Y$3+6)),"◆",""))</f>
      </c>
      <c r="Z249" s="26">
        <f>IF(OR($A249="",Z$3=""),"",IF(AND($J249&lt;&gt;"",$K249&lt;&gt;"",$J249=$K249,$J249&gt;=Z$3,$J249&lt;=IF(param_mode_affichage="mois",EOMONTH(Z$3,0),Z$3+6)),"◆",""))</f>
      </c>
      <c r="AA249" s="26">
        <f>IF(OR($A249="",AA$3=""),"",IF(AND($J249&lt;&gt;"",$K249&lt;&gt;"",$J249=$K249,$J249&gt;=AA$3,$J249&lt;=IF(param_mode_affichage="mois",EOMONTH(AA$3,0),AA$3+6)),"◆",""))</f>
      </c>
      <c r="AB249" s="26">
        <f>IF(OR($A249="",AB$3=""),"",IF(AND($J249&lt;&gt;"",$K249&lt;&gt;"",$J249=$K249,$J249&gt;=AB$3,$J249&lt;=IF(param_mode_affichage="mois",EOMONTH(AB$3,0),AB$3+6)),"◆",""))</f>
      </c>
      <c r="AC249" s="26">
        <f>IF(OR($A249="",AC$3=""),"",IF(AND($J249&lt;&gt;"",$K249&lt;&gt;"",$J249=$K249,$J249&gt;=AC$3,$J249&lt;=IF(param_mode_affichage="mois",EOMONTH(AC$3,0),AC$3+6)),"◆",""))</f>
      </c>
      <c r="AD249" s="26">
        <f>IF(OR($A249="",AD$3=""),"",IF(AND($J249&lt;&gt;"",$K249&lt;&gt;"",$J249=$K249,$J249&gt;=AD$3,$J249&lt;=IF(param_mode_affichage="mois",EOMONTH(AD$3,0),AD$3+6)),"◆",""))</f>
      </c>
      <c r="AE249" s="26">
        <f>IF(OR($A249="",AE$3=""),"",IF(AND($J249&lt;&gt;"",$K249&lt;&gt;"",$J249=$K249,$J249&gt;=AE$3,$J249&lt;=IF(param_mode_affichage="mois",EOMONTH(AE$3,0),AE$3+6)),"◆",""))</f>
      </c>
      <c r="AF249" s="26">
        <f>IF(OR($A249="",AF$3=""),"",IF(AND($J249&lt;&gt;"",$K249&lt;&gt;"",$J249=$K249,$J249&gt;=AF$3,$J249&lt;=IF(param_mode_affichage="mois",EOMONTH(AF$3,0),AF$3+6)),"◆",""))</f>
      </c>
      <c r="AG249" s="26">
        <f>IF(OR($A249="",AG$3=""),"",IF(AND($J249&lt;&gt;"",$K249&lt;&gt;"",$J249=$K249,$J249&gt;=AG$3,$J249&lt;=IF(param_mode_affichage="mois",EOMONTH(AG$3,0),AG$3+6)),"◆",""))</f>
      </c>
      <c r="AH249" s="26">
        <f>IF(OR($A249="",AH$3=""),"",IF(AND($J249&lt;&gt;"",$K249&lt;&gt;"",$J249=$K249,$J249&gt;=AH$3,$J249&lt;=IF(param_mode_affichage="mois",EOMONTH(AH$3,0),AH$3+6)),"◆",""))</f>
      </c>
      <c r="AI249" s="26">
        <f>IF(OR($A249="",AI$3=""),"",IF(AND($J249&lt;&gt;"",$K249&lt;&gt;"",$J249=$K249,$J249&gt;=AI$3,$J249&lt;=IF(param_mode_affichage="mois",EOMONTH(AI$3,0),AI$3+6)),"◆",""))</f>
      </c>
      <c r="AJ249" s="26">
        <f>IF(OR($A249="",AJ$3=""),"",IF(AND($J249&lt;&gt;"",$K249&lt;&gt;"",$J249=$K249,$J249&gt;=AJ$3,$J249&lt;=IF(param_mode_affichage="mois",EOMONTH(AJ$3,0),AJ$3+6)),"◆",""))</f>
      </c>
      <c r="AK249" s="26">
        <f>IF(OR($A249="",AK$3=""),"",IF(AND($J249&lt;&gt;"",$K249&lt;&gt;"",$J249=$K249,$J249&gt;=AK$3,$J249&lt;=IF(param_mode_affichage="mois",EOMONTH(AK$3,0),AK$3+6)),"◆",""))</f>
      </c>
      <c r="AL249" s="26">
        <f>IF(OR($A249="",AL$3=""),"",IF(AND($J249&lt;&gt;"",$K249&lt;&gt;"",$J249=$K249,$J249&gt;=AL$3,$J249&lt;=IF(param_mode_affichage="mois",EOMONTH(AL$3,0),AL$3+6)),"◆",""))</f>
      </c>
      <c r="AM249" s="26">
        <f>IF(OR($A249="",AM$3=""),"",IF(AND($J249&lt;&gt;"",$K249&lt;&gt;"",$J249=$K249,$J249&gt;=AM$3,$J249&lt;=IF(param_mode_affichage="mois",EOMONTH(AM$3,0),AM$3+6)),"◆",""))</f>
      </c>
      <c r="AN249" s="26">
        <f>IF(OR($A249="",AN$3=""),"",IF(AND($J249&lt;&gt;"",$K249&lt;&gt;"",$J249=$K249,$J249&gt;=AN$3,$J249&lt;=IF(param_mode_affichage="mois",EOMONTH(AN$3,0),AN$3+6)),"◆",""))</f>
      </c>
      <c r="AO249" s="26">
        <f>IF(OR($A249="",AO$3=""),"",IF(AND($J249&lt;&gt;"",$K249&lt;&gt;"",$J249=$K249,$J249&gt;=AO$3,$J249&lt;=IF(param_mode_affichage="mois",EOMONTH(AO$3,0),AO$3+6)),"◆",""))</f>
      </c>
      <c r="AP249" s="26">
        <f>IF(OR($A249="",AP$3=""),"",IF(AND($J249&lt;&gt;"",$K249&lt;&gt;"",$J249=$K249,$J249&gt;=AP$3,$J249&lt;=IF(param_mode_affichage="mois",EOMONTH(AP$3,0),AP$3+6)),"◆",""))</f>
      </c>
      <c r="AQ249" s="26">
        <f>IF(OR($A249="",AQ$3=""),"",IF(AND($J249&lt;&gt;"",$K249&lt;&gt;"",$J249=$K249,$J249&gt;=AQ$3,$J249&lt;=IF(param_mode_affichage="mois",EOMONTH(AQ$3,0),AQ$3+6)),"◆",""))</f>
      </c>
      <c r="AR249" s="26">
        <f>IF(OR($A249="",AR$3=""),"",IF(AND($J249&lt;&gt;"",$K249&lt;&gt;"",$J249=$K249,$J249&gt;=AR$3,$J249&lt;=IF(param_mode_affichage="mois",EOMONTH(AR$3,0),AR$3+6)),"◆",""))</f>
      </c>
      <c r="AS249" s="26">
        <f>IF(OR($A249="",AS$3=""),"",IF(AND($J249&lt;&gt;"",$K249&lt;&gt;"",$J249=$K249,$J249&gt;=AS$3,$J249&lt;=IF(param_mode_affichage="mois",EOMONTH(AS$3,0),AS$3+6)),"◆",""))</f>
      </c>
      <c r="AT249" s="26">
        <f>IF(OR($A249="",AT$3=""),"",IF(AND($J249&lt;&gt;"",$K249&lt;&gt;"",$J249=$K249,$J249&gt;=AT$3,$J249&lt;=IF(param_mode_affichage="mois",EOMONTH(AT$3,0),AT$3+6)),"◆",""))</f>
      </c>
      <c r="AU249" s="26">
        <f>IF(OR($A249="",AU$3=""),"",IF(AND($J249&lt;&gt;"",$K249&lt;&gt;"",$J249=$K249,$J249&gt;=AU$3,$J249&lt;=IF(param_mode_affichage="mois",EOMONTH(AU$3,0),AU$3+6)),"◆",""))</f>
      </c>
      <c r="AV249" s="26">
        <f>IF(OR($A249="",AV$3=""),"",IF(AND($J249&lt;&gt;"",$K249&lt;&gt;"",$J249=$K249,$J249&gt;=AV$3,$J249&lt;=IF(param_mode_affichage="mois",EOMONTH(AV$3,0),AV$3+6)),"◆",""))</f>
      </c>
      <c r="AW249" s="26">
        <f>IF(OR($A249="",AW$3=""),"",IF(AND($J249&lt;&gt;"",$K249&lt;&gt;"",$J249=$K249,$J249&gt;=AW$3,$J249&lt;=IF(param_mode_affichage="mois",EOMONTH(AW$3,0),AW$3+6)),"◆",""))</f>
      </c>
      <c r="AX249" s="26">
        <f>IF(OR($A249="",AX$3=""),"",IF(AND($J249&lt;&gt;"",$K249&lt;&gt;"",$J249=$K249,$J249&gt;=AX$3,$J249&lt;=IF(param_mode_affichage="mois",EOMONTH(AX$3,0),AX$3+6)),"◆",""))</f>
      </c>
      <c r="AY249" s="26">
        <f>IF(OR($A249="",AY$3=""),"",IF(AND($J249&lt;&gt;"",$K249&lt;&gt;"",$J249=$K249,$J249&gt;=AY$3,$J249&lt;=IF(param_mode_affichage="mois",EOMONTH(AY$3,0),AY$3+6)),"◆",""))</f>
      </c>
      <c r="AZ249" s="26">
        <f>IF(OR($A249="",AZ$3=""),"",IF(AND($J249&lt;&gt;"",$K249&lt;&gt;"",$J249=$K249,$J249&gt;=AZ$3,$J249&lt;=IF(param_mode_affichage="mois",EOMONTH(AZ$3,0),AZ$3+6)),"◆",""))</f>
      </c>
      <c r="BA249" s="26">
        <f>IF(OR($A249="",BA$3=""),"",IF(AND($J249&lt;&gt;"",$K249&lt;&gt;"",$J249=$K249,$J249&gt;=BA$3,$J249&lt;=IF(param_mode_affichage="mois",EOMONTH(BA$3,0),BA$3+6)),"◆",""))</f>
      </c>
      <c r="BB249" s="26">
        <f>IF(OR($A249="",BB$3=""),"",IF(AND($J249&lt;&gt;"",$K249&lt;&gt;"",$J249=$K249,$J249&gt;=BB$3,$J249&lt;=IF(param_mode_affichage="mois",EOMONTH(BB$3,0),BB$3+6)),"◆",""))</f>
      </c>
      <c r="BC249" s="26">
        <f>IF(OR($A249="",BC$3=""),"",IF(AND($J249&lt;&gt;"",$K249&lt;&gt;"",$J249=$K249,$J249&gt;=BC$3,$J249&lt;=IF(param_mode_affichage="mois",EOMONTH(BC$3,0),BC$3+6)),"◆",""))</f>
      </c>
      <c r="BD249" s="26">
        <f>IF(OR($A249="",BD$3=""),"",IF(AND($J249&lt;&gt;"",$K249&lt;&gt;"",$J249=$K249,$J249&gt;=BD$3,$J249&lt;=IF(param_mode_affichage="mois",EOMONTH(BD$3,0),BD$3+6)),"◆",""))</f>
      </c>
      <c r="BE249" s="26">
        <f>IF(OR($A249="",BE$3=""),"",IF(AND($J249&lt;&gt;"",$K249&lt;&gt;"",$J249=$K249,$J249&gt;=BE$3,$J249&lt;=IF(param_mode_affichage="mois",EOMONTH(BE$3,0),BE$3+6)),"◆",""))</f>
      </c>
      <c r="BF249" s="26">
        <f>IF(OR($A249="",BF$3=""),"",IF(AND($J249&lt;&gt;"",$K249&lt;&gt;"",$J249=$K249,$J249&gt;=BF$3,$J249&lt;=IF(param_mode_affichage="mois",EOMONTH(BF$3,0),BF$3+6)),"◆",""))</f>
      </c>
      <c r="BG249" s="26">
        <f>IF(OR($A249="",BG$3=""),"",IF(AND($J249&lt;&gt;"",$K249&lt;&gt;"",$J249=$K249,$J249&gt;=BG$3,$J249&lt;=IF(param_mode_affichage="mois",EOMONTH(BG$3,0),BG$3+6)),"◆",""))</f>
      </c>
      <c r="BH249" s="26">
        <f>IF(OR($A249="",BH$3=""),"",IF(AND($J249&lt;&gt;"",$K249&lt;&gt;"",$J249=$K249,$J249&gt;=BH$3,$J249&lt;=IF(param_mode_affichage="mois",EOMONTH(BH$3,0),BH$3+6)),"◆",""))</f>
      </c>
      <c r="BI249" s="26">
        <f>IF(OR($A249="",BI$3=""),"",IF(AND($J249&lt;&gt;"",$K249&lt;&gt;"",$J249=$K249,$J249&gt;=BI$3,$J249&lt;=IF(param_mode_affichage="mois",EOMONTH(BI$3,0),BI$3+6)),"◆",""))</f>
      </c>
      <c r="BJ249" s="26">
        <f>IF(OR($A249="",BJ$3=""),"",IF(AND($J249&lt;&gt;"",$K249&lt;&gt;"",$J249=$K249,$J249&gt;=BJ$3,$J249&lt;=IF(param_mode_affichage="mois",EOMONTH(BJ$3,0),BJ$3+6)),"◆",""))</f>
      </c>
      <c r="BK249" s="26">
        <f>IF(OR($A249="",BK$3=""),"",IF(AND($J249&lt;&gt;"",$K249&lt;&gt;"",$J249=$K249,$J249&gt;=BK$3,$J249&lt;=IF(param_mode_affichage="mois",EOMONTH(BK$3,0),BK$3+6)),"◆",""))</f>
      </c>
      <c r="BL249" s="26">
        <f>IF(OR($A249="",BL$3=""),"",IF(AND($J249&lt;&gt;"",$K249&lt;&gt;"",$J249=$K249,$J249&gt;=BL$3,$J249&lt;=IF(param_mode_affichage="mois",EOMONTH(BL$3,0),BL$3+6)),"◆",""))</f>
      </c>
    </row>
    <row r="250" spans="1:64" x14ac:dyDescent="0.25">
      <c r="A250" s="23">
        <f>IFERROR(INDEX(tblTasks[ID],ROW()-4),"")</f>
      </c>
      <c r="B250" s="24">
        <f>IF($A250="","",INDEX(tblTasks[Sujet],ROW()-4))</f>
      </c>
      <c r="C250" s="23">
        <f>IF($A250="","",INDEX(tblTasks[Responsable],ROW()-4))</f>
      </c>
      <c r="D250" s="23">
        <f>IF($A250="","",INDEX(tblTasks[Statut],ROW()-4))</f>
      </c>
      <c r="E250" s="23">
        <f>IF($A250="","",INDEX(tblTasks[Depend_de],ROW()-4))</f>
      </c>
      <c r="F250" s="23">
        <f>IF($A250="","",INDEX(tblTasks[Blocage],ROW()-4))</f>
      </c>
      <c r="G250" s="23">
        <f>IF($A250="","",INDEX(tblTasks[Niveau_criticite],ROW()-4))</f>
      </c>
      <c r="H250" s="23">
        <f>IF($A250="","",INDEX(tblTasks[Goulot],ROW()-4))</f>
      </c>
      <c r="I250" s="23">
        <f>IF($A250="","",IF(LOWER($F250)="oui","non",IF($E250="","oui",IFERROR(IF(LOWER(INDEX(tblTasks[Statut],MATCH($E250,tblTasks[ID],0)))="clos","oui","non"),"non"))))</f>
      </c>
      <c r="J250" s="25">
        <f>IF($A250="","",INDEX(tblTasks[Date_debut_prevue],ROW()-4))</f>
      </c>
      <c r="K250" s="25">
        <f>IF($A250="","",INDEX(tblTasks[Date_fin_prevue],ROW()-4))</f>
      </c>
      <c r="L250" s="23">
        <f>IF($A250="","",INDEX(tblTasks[Irreversibilite],ROW()-4))</f>
      </c>
      <c r="M250" s="26">
        <f>IF(OR($A250="",M$3=""),"",IF(AND($J250&lt;&gt;"",$K250&lt;&gt;"",$J250=$K250,$J250&gt;=M$3,$J250&lt;=IF(param_mode_affichage="mois",EOMONTH(M$3,0),M$3+6)),"◆",""))</f>
      </c>
      <c r="N250" s="26">
        <f>IF(OR($A250="",N$3=""),"",IF(AND($J250&lt;&gt;"",$K250&lt;&gt;"",$J250=$K250,$J250&gt;=N$3,$J250&lt;=IF(param_mode_affichage="mois",EOMONTH(N$3,0),N$3+6)),"◆",""))</f>
      </c>
      <c r="O250" s="26">
        <f>IF(OR($A250="",O$3=""),"",IF(AND($J250&lt;&gt;"",$K250&lt;&gt;"",$J250=$K250,$J250&gt;=O$3,$J250&lt;=IF(param_mode_affichage="mois",EOMONTH(O$3,0),O$3+6)),"◆",""))</f>
      </c>
      <c r="P250" s="26">
        <f>IF(OR($A250="",P$3=""),"",IF(AND($J250&lt;&gt;"",$K250&lt;&gt;"",$J250=$K250,$J250&gt;=P$3,$J250&lt;=IF(param_mode_affichage="mois",EOMONTH(P$3,0),P$3+6)),"◆",""))</f>
      </c>
      <c r="Q250" s="26">
        <f>IF(OR($A250="",Q$3=""),"",IF(AND($J250&lt;&gt;"",$K250&lt;&gt;"",$J250=$K250,$J250&gt;=Q$3,$J250&lt;=IF(param_mode_affichage="mois",EOMONTH(Q$3,0),Q$3+6)),"◆",""))</f>
      </c>
      <c r="R250" s="26">
        <f>IF(OR($A250="",R$3=""),"",IF(AND($J250&lt;&gt;"",$K250&lt;&gt;"",$J250=$K250,$J250&gt;=R$3,$J250&lt;=IF(param_mode_affichage="mois",EOMONTH(R$3,0),R$3+6)),"◆",""))</f>
      </c>
      <c r="S250" s="26">
        <f>IF(OR($A250="",S$3=""),"",IF(AND($J250&lt;&gt;"",$K250&lt;&gt;"",$J250=$K250,$J250&gt;=S$3,$J250&lt;=IF(param_mode_affichage="mois",EOMONTH(S$3,0),S$3+6)),"◆",""))</f>
      </c>
      <c r="T250" s="26">
        <f>IF(OR($A250="",T$3=""),"",IF(AND($J250&lt;&gt;"",$K250&lt;&gt;"",$J250=$K250,$J250&gt;=T$3,$J250&lt;=IF(param_mode_affichage="mois",EOMONTH(T$3,0),T$3+6)),"◆",""))</f>
      </c>
      <c r="U250" s="26">
        <f>IF(OR($A250="",U$3=""),"",IF(AND($J250&lt;&gt;"",$K250&lt;&gt;"",$J250=$K250,$J250&gt;=U$3,$J250&lt;=IF(param_mode_affichage="mois",EOMONTH(U$3,0),U$3+6)),"◆",""))</f>
      </c>
      <c r="V250" s="26">
        <f>IF(OR($A250="",V$3=""),"",IF(AND($J250&lt;&gt;"",$K250&lt;&gt;"",$J250=$K250,$J250&gt;=V$3,$J250&lt;=IF(param_mode_affichage="mois",EOMONTH(V$3,0),V$3+6)),"◆",""))</f>
      </c>
      <c r="W250" s="26">
        <f>IF(OR($A250="",W$3=""),"",IF(AND($J250&lt;&gt;"",$K250&lt;&gt;"",$J250=$K250,$J250&gt;=W$3,$J250&lt;=IF(param_mode_affichage="mois",EOMONTH(W$3,0),W$3+6)),"◆",""))</f>
      </c>
      <c r="X250" s="26">
        <f>IF(OR($A250="",X$3=""),"",IF(AND($J250&lt;&gt;"",$K250&lt;&gt;"",$J250=$K250,$J250&gt;=X$3,$J250&lt;=IF(param_mode_affichage="mois",EOMONTH(X$3,0),X$3+6)),"◆",""))</f>
      </c>
      <c r="Y250" s="26">
        <f>IF(OR($A250="",Y$3=""),"",IF(AND($J250&lt;&gt;"",$K250&lt;&gt;"",$J250=$K250,$J250&gt;=Y$3,$J250&lt;=IF(param_mode_affichage="mois",EOMONTH(Y$3,0),Y$3+6)),"◆",""))</f>
      </c>
      <c r="Z250" s="26">
        <f>IF(OR($A250="",Z$3=""),"",IF(AND($J250&lt;&gt;"",$K250&lt;&gt;"",$J250=$K250,$J250&gt;=Z$3,$J250&lt;=IF(param_mode_affichage="mois",EOMONTH(Z$3,0),Z$3+6)),"◆",""))</f>
      </c>
      <c r="AA250" s="26">
        <f>IF(OR($A250="",AA$3=""),"",IF(AND($J250&lt;&gt;"",$K250&lt;&gt;"",$J250=$K250,$J250&gt;=AA$3,$J250&lt;=IF(param_mode_affichage="mois",EOMONTH(AA$3,0),AA$3+6)),"◆",""))</f>
      </c>
      <c r="AB250" s="26">
        <f>IF(OR($A250="",AB$3=""),"",IF(AND($J250&lt;&gt;"",$K250&lt;&gt;"",$J250=$K250,$J250&gt;=AB$3,$J250&lt;=IF(param_mode_affichage="mois",EOMONTH(AB$3,0),AB$3+6)),"◆",""))</f>
      </c>
      <c r="AC250" s="26">
        <f>IF(OR($A250="",AC$3=""),"",IF(AND($J250&lt;&gt;"",$K250&lt;&gt;"",$J250=$K250,$J250&gt;=AC$3,$J250&lt;=IF(param_mode_affichage="mois",EOMONTH(AC$3,0),AC$3+6)),"◆",""))</f>
      </c>
      <c r="AD250" s="26">
        <f>IF(OR($A250="",AD$3=""),"",IF(AND($J250&lt;&gt;"",$K250&lt;&gt;"",$J250=$K250,$J250&gt;=AD$3,$J250&lt;=IF(param_mode_affichage="mois",EOMONTH(AD$3,0),AD$3+6)),"◆",""))</f>
      </c>
      <c r="AE250" s="26">
        <f>IF(OR($A250="",AE$3=""),"",IF(AND($J250&lt;&gt;"",$K250&lt;&gt;"",$J250=$K250,$J250&gt;=AE$3,$J250&lt;=IF(param_mode_affichage="mois",EOMONTH(AE$3,0),AE$3+6)),"◆",""))</f>
      </c>
      <c r="AF250" s="26">
        <f>IF(OR($A250="",AF$3=""),"",IF(AND($J250&lt;&gt;"",$K250&lt;&gt;"",$J250=$K250,$J250&gt;=AF$3,$J250&lt;=IF(param_mode_affichage="mois",EOMONTH(AF$3,0),AF$3+6)),"◆",""))</f>
      </c>
      <c r="AG250" s="26">
        <f>IF(OR($A250="",AG$3=""),"",IF(AND($J250&lt;&gt;"",$K250&lt;&gt;"",$J250=$K250,$J250&gt;=AG$3,$J250&lt;=IF(param_mode_affichage="mois",EOMONTH(AG$3,0),AG$3+6)),"◆",""))</f>
      </c>
      <c r="AH250" s="26">
        <f>IF(OR($A250="",AH$3=""),"",IF(AND($J250&lt;&gt;"",$K250&lt;&gt;"",$J250=$K250,$J250&gt;=AH$3,$J250&lt;=IF(param_mode_affichage="mois",EOMONTH(AH$3,0),AH$3+6)),"◆",""))</f>
      </c>
      <c r="AI250" s="26">
        <f>IF(OR($A250="",AI$3=""),"",IF(AND($J250&lt;&gt;"",$K250&lt;&gt;"",$J250=$K250,$J250&gt;=AI$3,$J250&lt;=IF(param_mode_affichage="mois",EOMONTH(AI$3,0),AI$3+6)),"◆",""))</f>
      </c>
      <c r="AJ250" s="26">
        <f>IF(OR($A250="",AJ$3=""),"",IF(AND($J250&lt;&gt;"",$K250&lt;&gt;"",$J250=$K250,$J250&gt;=AJ$3,$J250&lt;=IF(param_mode_affichage="mois",EOMONTH(AJ$3,0),AJ$3+6)),"◆",""))</f>
      </c>
      <c r="AK250" s="26">
        <f>IF(OR($A250="",AK$3=""),"",IF(AND($J250&lt;&gt;"",$K250&lt;&gt;"",$J250=$K250,$J250&gt;=AK$3,$J250&lt;=IF(param_mode_affichage="mois",EOMONTH(AK$3,0),AK$3+6)),"◆",""))</f>
      </c>
      <c r="AL250" s="26">
        <f>IF(OR($A250="",AL$3=""),"",IF(AND($J250&lt;&gt;"",$K250&lt;&gt;"",$J250=$K250,$J250&gt;=AL$3,$J250&lt;=IF(param_mode_affichage="mois",EOMONTH(AL$3,0),AL$3+6)),"◆",""))</f>
      </c>
      <c r="AM250" s="26">
        <f>IF(OR($A250="",AM$3=""),"",IF(AND($J250&lt;&gt;"",$K250&lt;&gt;"",$J250=$K250,$J250&gt;=AM$3,$J250&lt;=IF(param_mode_affichage="mois",EOMONTH(AM$3,0),AM$3+6)),"◆",""))</f>
      </c>
      <c r="AN250" s="26">
        <f>IF(OR($A250="",AN$3=""),"",IF(AND($J250&lt;&gt;"",$K250&lt;&gt;"",$J250=$K250,$J250&gt;=AN$3,$J250&lt;=IF(param_mode_affichage="mois",EOMONTH(AN$3,0),AN$3+6)),"◆",""))</f>
      </c>
      <c r="AO250" s="26">
        <f>IF(OR($A250="",AO$3=""),"",IF(AND($J250&lt;&gt;"",$K250&lt;&gt;"",$J250=$K250,$J250&gt;=AO$3,$J250&lt;=IF(param_mode_affichage="mois",EOMONTH(AO$3,0),AO$3+6)),"◆",""))</f>
      </c>
      <c r="AP250" s="26">
        <f>IF(OR($A250="",AP$3=""),"",IF(AND($J250&lt;&gt;"",$K250&lt;&gt;"",$J250=$K250,$J250&gt;=AP$3,$J250&lt;=IF(param_mode_affichage="mois",EOMONTH(AP$3,0),AP$3+6)),"◆",""))</f>
      </c>
      <c r="AQ250" s="26">
        <f>IF(OR($A250="",AQ$3=""),"",IF(AND($J250&lt;&gt;"",$K250&lt;&gt;"",$J250=$K250,$J250&gt;=AQ$3,$J250&lt;=IF(param_mode_affichage="mois",EOMONTH(AQ$3,0),AQ$3+6)),"◆",""))</f>
      </c>
      <c r="AR250" s="26">
        <f>IF(OR($A250="",AR$3=""),"",IF(AND($J250&lt;&gt;"",$K250&lt;&gt;"",$J250=$K250,$J250&gt;=AR$3,$J250&lt;=IF(param_mode_affichage="mois",EOMONTH(AR$3,0),AR$3+6)),"◆",""))</f>
      </c>
      <c r="AS250" s="26">
        <f>IF(OR($A250="",AS$3=""),"",IF(AND($J250&lt;&gt;"",$K250&lt;&gt;"",$J250=$K250,$J250&gt;=AS$3,$J250&lt;=IF(param_mode_affichage="mois",EOMONTH(AS$3,0),AS$3+6)),"◆",""))</f>
      </c>
      <c r="AT250" s="26">
        <f>IF(OR($A250="",AT$3=""),"",IF(AND($J250&lt;&gt;"",$K250&lt;&gt;"",$J250=$K250,$J250&gt;=AT$3,$J250&lt;=IF(param_mode_affichage="mois",EOMONTH(AT$3,0),AT$3+6)),"◆",""))</f>
      </c>
      <c r="AU250" s="26">
        <f>IF(OR($A250="",AU$3=""),"",IF(AND($J250&lt;&gt;"",$K250&lt;&gt;"",$J250=$K250,$J250&gt;=AU$3,$J250&lt;=IF(param_mode_affichage="mois",EOMONTH(AU$3,0),AU$3+6)),"◆",""))</f>
      </c>
      <c r="AV250" s="26">
        <f>IF(OR($A250="",AV$3=""),"",IF(AND($J250&lt;&gt;"",$K250&lt;&gt;"",$J250=$K250,$J250&gt;=AV$3,$J250&lt;=IF(param_mode_affichage="mois",EOMONTH(AV$3,0),AV$3+6)),"◆",""))</f>
      </c>
      <c r="AW250" s="26">
        <f>IF(OR($A250="",AW$3=""),"",IF(AND($J250&lt;&gt;"",$K250&lt;&gt;"",$J250=$K250,$J250&gt;=AW$3,$J250&lt;=IF(param_mode_affichage="mois",EOMONTH(AW$3,0),AW$3+6)),"◆",""))</f>
      </c>
      <c r="AX250" s="26">
        <f>IF(OR($A250="",AX$3=""),"",IF(AND($J250&lt;&gt;"",$K250&lt;&gt;"",$J250=$K250,$J250&gt;=AX$3,$J250&lt;=IF(param_mode_affichage="mois",EOMONTH(AX$3,0),AX$3+6)),"◆",""))</f>
      </c>
      <c r="AY250" s="26">
        <f>IF(OR($A250="",AY$3=""),"",IF(AND($J250&lt;&gt;"",$K250&lt;&gt;"",$J250=$K250,$J250&gt;=AY$3,$J250&lt;=IF(param_mode_affichage="mois",EOMONTH(AY$3,0),AY$3+6)),"◆",""))</f>
      </c>
      <c r="AZ250" s="26">
        <f>IF(OR($A250="",AZ$3=""),"",IF(AND($J250&lt;&gt;"",$K250&lt;&gt;"",$J250=$K250,$J250&gt;=AZ$3,$J250&lt;=IF(param_mode_affichage="mois",EOMONTH(AZ$3,0),AZ$3+6)),"◆",""))</f>
      </c>
      <c r="BA250" s="26">
        <f>IF(OR($A250="",BA$3=""),"",IF(AND($J250&lt;&gt;"",$K250&lt;&gt;"",$J250=$K250,$J250&gt;=BA$3,$J250&lt;=IF(param_mode_affichage="mois",EOMONTH(BA$3,0),BA$3+6)),"◆",""))</f>
      </c>
      <c r="BB250" s="26">
        <f>IF(OR($A250="",BB$3=""),"",IF(AND($J250&lt;&gt;"",$K250&lt;&gt;"",$J250=$K250,$J250&gt;=BB$3,$J250&lt;=IF(param_mode_affichage="mois",EOMONTH(BB$3,0),BB$3+6)),"◆",""))</f>
      </c>
      <c r="BC250" s="26">
        <f>IF(OR($A250="",BC$3=""),"",IF(AND($J250&lt;&gt;"",$K250&lt;&gt;"",$J250=$K250,$J250&gt;=BC$3,$J250&lt;=IF(param_mode_affichage="mois",EOMONTH(BC$3,0),BC$3+6)),"◆",""))</f>
      </c>
      <c r="BD250" s="26">
        <f>IF(OR($A250="",BD$3=""),"",IF(AND($J250&lt;&gt;"",$K250&lt;&gt;"",$J250=$K250,$J250&gt;=BD$3,$J250&lt;=IF(param_mode_affichage="mois",EOMONTH(BD$3,0),BD$3+6)),"◆",""))</f>
      </c>
      <c r="BE250" s="26">
        <f>IF(OR($A250="",BE$3=""),"",IF(AND($J250&lt;&gt;"",$K250&lt;&gt;"",$J250=$K250,$J250&gt;=BE$3,$J250&lt;=IF(param_mode_affichage="mois",EOMONTH(BE$3,0),BE$3+6)),"◆",""))</f>
      </c>
      <c r="BF250" s="26">
        <f>IF(OR($A250="",BF$3=""),"",IF(AND($J250&lt;&gt;"",$K250&lt;&gt;"",$J250=$K250,$J250&gt;=BF$3,$J250&lt;=IF(param_mode_affichage="mois",EOMONTH(BF$3,0),BF$3+6)),"◆",""))</f>
      </c>
      <c r="BG250" s="26">
        <f>IF(OR($A250="",BG$3=""),"",IF(AND($J250&lt;&gt;"",$K250&lt;&gt;"",$J250=$K250,$J250&gt;=BG$3,$J250&lt;=IF(param_mode_affichage="mois",EOMONTH(BG$3,0),BG$3+6)),"◆",""))</f>
      </c>
      <c r="BH250" s="26">
        <f>IF(OR($A250="",BH$3=""),"",IF(AND($J250&lt;&gt;"",$K250&lt;&gt;"",$J250=$K250,$J250&gt;=BH$3,$J250&lt;=IF(param_mode_affichage="mois",EOMONTH(BH$3,0),BH$3+6)),"◆",""))</f>
      </c>
      <c r="BI250" s="26">
        <f>IF(OR($A250="",BI$3=""),"",IF(AND($J250&lt;&gt;"",$K250&lt;&gt;"",$J250=$K250,$J250&gt;=BI$3,$J250&lt;=IF(param_mode_affichage="mois",EOMONTH(BI$3,0),BI$3+6)),"◆",""))</f>
      </c>
      <c r="BJ250" s="26">
        <f>IF(OR($A250="",BJ$3=""),"",IF(AND($J250&lt;&gt;"",$K250&lt;&gt;"",$J250=$K250,$J250&gt;=BJ$3,$J250&lt;=IF(param_mode_affichage="mois",EOMONTH(BJ$3,0),BJ$3+6)),"◆",""))</f>
      </c>
      <c r="BK250" s="26">
        <f>IF(OR($A250="",BK$3=""),"",IF(AND($J250&lt;&gt;"",$K250&lt;&gt;"",$J250=$K250,$J250&gt;=BK$3,$J250&lt;=IF(param_mode_affichage="mois",EOMONTH(BK$3,0),BK$3+6)),"◆",""))</f>
      </c>
      <c r="BL250" s="26">
        <f>IF(OR($A250="",BL$3=""),"",IF(AND($J250&lt;&gt;"",$K250&lt;&gt;"",$J250=$K250,$J250&gt;=BL$3,$J250&lt;=IF(param_mode_affichage="mois",EOMONTH(BL$3,0),BL$3+6)),"◆",""))</f>
      </c>
    </row>
    <row r="251" spans="1:64" x14ac:dyDescent="0.25">
      <c r="A251" s="23">
        <f>IFERROR(INDEX(tblTasks[ID],ROW()-4),"")</f>
      </c>
      <c r="B251" s="24">
        <f>IF($A251="","",INDEX(tblTasks[Sujet],ROW()-4))</f>
      </c>
      <c r="C251" s="23">
        <f>IF($A251="","",INDEX(tblTasks[Responsable],ROW()-4))</f>
      </c>
      <c r="D251" s="23">
        <f>IF($A251="","",INDEX(tblTasks[Statut],ROW()-4))</f>
      </c>
      <c r="E251" s="23">
        <f>IF($A251="","",INDEX(tblTasks[Depend_de],ROW()-4))</f>
      </c>
      <c r="F251" s="23">
        <f>IF($A251="","",INDEX(tblTasks[Blocage],ROW()-4))</f>
      </c>
      <c r="G251" s="23">
        <f>IF($A251="","",INDEX(tblTasks[Niveau_criticite],ROW()-4))</f>
      </c>
      <c r="H251" s="23">
        <f>IF($A251="","",INDEX(tblTasks[Goulot],ROW()-4))</f>
      </c>
      <c r="I251" s="23">
        <f>IF($A251="","",IF(LOWER($F251)="oui","non",IF($E251="","oui",IFERROR(IF(LOWER(INDEX(tblTasks[Statut],MATCH($E251,tblTasks[ID],0)))="clos","oui","non"),"non"))))</f>
      </c>
      <c r="J251" s="25">
        <f>IF($A251="","",INDEX(tblTasks[Date_debut_prevue],ROW()-4))</f>
      </c>
      <c r="K251" s="25">
        <f>IF($A251="","",INDEX(tblTasks[Date_fin_prevue],ROW()-4))</f>
      </c>
      <c r="L251" s="23">
        <f>IF($A251="","",INDEX(tblTasks[Irreversibilite],ROW()-4))</f>
      </c>
      <c r="M251" s="26">
        <f>IF(OR($A251="",M$3=""),"",IF(AND($J251&lt;&gt;"",$K251&lt;&gt;"",$J251=$K251,$J251&gt;=M$3,$J251&lt;=IF(param_mode_affichage="mois",EOMONTH(M$3,0),M$3+6)),"◆",""))</f>
      </c>
      <c r="N251" s="26">
        <f>IF(OR($A251="",N$3=""),"",IF(AND($J251&lt;&gt;"",$K251&lt;&gt;"",$J251=$K251,$J251&gt;=N$3,$J251&lt;=IF(param_mode_affichage="mois",EOMONTH(N$3,0),N$3+6)),"◆",""))</f>
      </c>
      <c r="O251" s="26">
        <f>IF(OR($A251="",O$3=""),"",IF(AND($J251&lt;&gt;"",$K251&lt;&gt;"",$J251=$K251,$J251&gt;=O$3,$J251&lt;=IF(param_mode_affichage="mois",EOMONTH(O$3,0),O$3+6)),"◆",""))</f>
      </c>
      <c r="P251" s="26">
        <f>IF(OR($A251="",P$3=""),"",IF(AND($J251&lt;&gt;"",$K251&lt;&gt;"",$J251=$K251,$J251&gt;=P$3,$J251&lt;=IF(param_mode_affichage="mois",EOMONTH(P$3,0),P$3+6)),"◆",""))</f>
      </c>
      <c r="Q251" s="26">
        <f>IF(OR($A251="",Q$3=""),"",IF(AND($J251&lt;&gt;"",$K251&lt;&gt;"",$J251=$K251,$J251&gt;=Q$3,$J251&lt;=IF(param_mode_affichage="mois",EOMONTH(Q$3,0),Q$3+6)),"◆",""))</f>
      </c>
      <c r="R251" s="26">
        <f>IF(OR($A251="",R$3=""),"",IF(AND($J251&lt;&gt;"",$K251&lt;&gt;"",$J251=$K251,$J251&gt;=R$3,$J251&lt;=IF(param_mode_affichage="mois",EOMONTH(R$3,0),R$3+6)),"◆",""))</f>
      </c>
      <c r="S251" s="26">
        <f>IF(OR($A251="",S$3=""),"",IF(AND($J251&lt;&gt;"",$K251&lt;&gt;"",$J251=$K251,$J251&gt;=S$3,$J251&lt;=IF(param_mode_affichage="mois",EOMONTH(S$3,0),S$3+6)),"◆",""))</f>
      </c>
      <c r="T251" s="26">
        <f>IF(OR($A251="",T$3=""),"",IF(AND($J251&lt;&gt;"",$K251&lt;&gt;"",$J251=$K251,$J251&gt;=T$3,$J251&lt;=IF(param_mode_affichage="mois",EOMONTH(T$3,0),T$3+6)),"◆",""))</f>
      </c>
      <c r="U251" s="26">
        <f>IF(OR($A251="",U$3=""),"",IF(AND($J251&lt;&gt;"",$K251&lt;&gt;"",$J251=$K251,$J251&gt;=U$3,$J251&lt;=IF(param_mode_affichage="mois",EOMONTH(U$3,0),U$3+6)),"◆",""))</f>
      </c>
      <c r="V251" s="26">
        <f>IF(OR($A251="",V$3=""),"",IF(AND($J251&lt;&gt;"",$K251&lt;&gt;"",$J251=$K251,$J251&gt;=V$3,$J251&lt;=IF(param_mode_affichage="mois",EOMONTH(V$3,0),V$3+6)),"◆",""))</f>
      </c>
      <c r="W251" s="26">
        <f>IF(OR($A251="",W$3=""),"",IF(AND($J251&lt;&gt;"",$K251&lt;&gt;"",$J251=$K251,$J251&gt;=W$3,$J251&lt;=IF(param_mode_affichage="mois",EOMONTH(W$3,0),W$3+6)),"◆",""))</f>
      </c>
      <c r="X251" s="26">
        <f>IF(OR($A251="",X$3=""),"",IF(AND($J251&lt;&gt;"",$K251&lt;&gt;"",$J251=$K251,$J251&gt;=X$3,$J251&lt;=IF(param_mode_affichage="mois",EOMONTH(X$3,0),X$3+6)),"◆",""))</f>
      </c>
      <c r="Y251" s="26">
        <f>IF(OR($A251="",Y$3=""),"",IF(AND($J251&lt;&gt;"",$K251&lt;&gt;"",$J251=$K251,$J251&gt;=Y$3,$J251&lt;=IF(param_mode_affichage="mois",EOMONTH(Y$3,0),Y$3+6)),"◆",""))</f>
      </c>
      <c r="Z251" s="26">
        <f>IF(OR($A251="",Z$3=""),"",IF(AND($J251&lt;&gt;"",$K251&lt;&gt;"",$J251=$K251,$J251&gt;=Z$3,$J251&lt;=IF(param_mode_affichage="mois",EOMONTH(Z$3,0),Z$3+6)),"◆",""))</f>
      </c>
      <c r="AA251" s="26">
        <f>IF(OR($A251="",AA$3=""),"",IF(AND($J251&lt;&gt;"",$K251&lt;&gt;"",$J251=$K251,$J251&gt;=AA$3,$J251&lt;=IF(param_mode_affichage="mois",EOMONTH(AA$3,0),AA$3+6)),"◆",""))</f>
      </c>
      <c r="AB251" s="26">
        <f>IF(OR($A251="",AB$3=""),"",IF(AND($J251&lt;&gt;"",$K251&lt;&gt;"",$J251=$K251,$J251&gt;=AB$3,$J251&lt;=IF(param_mode_affichage="mois",EOMONTH(AB$3,0),AB$3+6)),"◆",""))</f>
      </c>
      <c r="AC251" s="26">
        <f>IF(OR($A251="",AC$3=""),"",IF(AND($J251&lt;&gt;"",$K251&lt;&gt;"",$J251=$K251,$J251&gt;=AC$3,$J251&lt;=IF(param_mode_affichage="mois",EOMONTH(AC$3,0),AC$3+6)),"◆",""))</f>
      </c>
      <c r="AD251" s="26">
        <f>IF(OR($A251="",AD$3=""),"",IF(AND($J251&lt;&gt;"",$K251&lt;&gt;"",$J251=$K251,$J251&gt;=AD$3,$J251&lt;=IF(param_mode_affichage="mois",EOMONTH(AD$3,0),AD$3+6)),"◆",""))</f>
      </c>
      <c r="AE251" s="26">
        <f>IF(OR($A251="",AE$3=""),"",IF(AND($J251&lt;&gt;"",$K251&lt;&gt;"",$J251=$K251,$J251&gt;=AE$3,$J251&lt;=IF(param_mode_affichage="mois",EOMONTH(AE$3,0),AE$3+6)),"◆",""))</f>
      </c>
      <c r="AF251" s="26">
        <f>IF(OR($A251="",AF$3=""),"",IF(AND($J251&lt;&gt;"",$K251&lt;&gt;"",$J251=$K251,$J251&gt;=AF$3,$J251&lt;=IF(param_mode_affichage="mois",EOMONTH(AF$3,0),AF$3+6)),"◆",""))</f>
      </c>
      <c r="AG251" s="26">
        <f>IF(OR($A251="",AG$3=""),"",IF(AND($J251&lt;&gt;"",$K251&lt;&gt;"",$J251=$K251,$J251&gt;=AG$3,$J251&lt;=IF(param_mode_affichage="mois",EOMONTH(AG$3,0),AG$3+6)),"◆",""))</f>
      </c>
      <c r="AH251" s="26">
        <f>IF(OR($A251="",AH$3=""),"",IF(AND($J251&lt;&gt;"",$K251&lt;&gt;"",$J251=$K251,$J251&gt;=AH$3,$J251&lt;=IF(param_mode_affichage="mois",EOMONTH(AH$3,0),AH$3+6)),"◆",""))</f>
      </c>
      <c r="AI251" s="26">
        <f>IF(OR($A251="",AI$3=""),"",IF(AND($J251&lt;&gt;"",$K251&lt;&gt;"",$J251=$K251,$J251&gt;=AI$3,$J251&lt;=IF(param_mode_affichage="mois",EOMONTH(AI$3,0),AI$3+6)),"◆",""))</f>
      </c>
      <c r="AJ251" s="26">
        <f>IF(OR($A251="",AJ$3=""),"",IF(AND($J251&lt;&gt;"",$K251&lt;&gt;"",$J251=$K251,$J251&gt;=AJ$3,$J251&lt;=IF(param_mode_affichage="mois",EOMONTH(AJ$3,0),AJ$3+6)),"◆",""))</f>
      </c>
      <c r="AK251" s="26">
        <f>IF(OR($A251="",AK$3=""),"",IF(AND($J251&lt;&gt;"",$K251&lt;&gt;"",$J251=$K251,$J251&gt;=AK$3,$J251&lt;=IF(param_mode_affichage="mois",EOMONTH(AK$3,0),AK$3+6)),"◆",""))</f>
      </c>
      <c r="AL251" s="26">
        <f>IF(OR($A251="",AL$3=""),"",IF(AND($J251&lt;&gt;"",$K251&lt;&gt;"",$J251=$K251,$J251&gt;=AL$3,$J251&lt;=IF(param_mode_affichage="mois",EOMONTH(AL$3,0),AL$3+6)),"◆",""))</f>
      </c>
      <c r="AM251" s="26">
        <f>IF(OR($A251="",AM$3=""),"",IF(AND($J251&lt;&gt;"",$K251&lt;&gt;"",$J251=$K251,$J251&gt;=AM$3,$J251&lt;=IF(param_mode_affichage="mois",EOMONTH(AM$3,0),AM$3+6)),"◆",""))</f>
      </c>
      <c r="AN251" s="26">
        <f>IF(OR($A251="",AN$3=""),"",IF(AND($J251&lt;&gt;"",$K251&lt;&gt;"",$J251=$K251,$J251&gt;=AN$3,$J251&lt;=IF(param_mode_affichage="mois",EOMONTH(AN$3,0),AN$3+6)),"◆",""))</f>
      </c>
      <c r="AO251" s="26">
        <f>IF(OR($A251="",AO$3=""),"",IF(AND($J251&lt;&gt;"",$K251&lt;&gt;"",$J251=$K251,$J251&gt;=AO$3,$J251&lt;=IF(param_mode_affichage="mois",EOMONTH(AO$3,0),AO$3+6)),"◆",""))</f>
      </c>
      <c r="AP251" s="26">
        <f>IF(OR($A251="",AP$3=""),"",IF(AND($J251&lt;&gt;"",$K251&lt;&gt;"",$J251=$K251,$J251&gt;=AP$3,$J251&lt;=IF(param_mode_affichage="mois",EOMONTH(AP$3,0),AP$3+6)),"◆",""))</f>
      </c>
      <c r="AQ251" s="26">
        <f>IF(OR($A251="",AQ$3=""),"",IF(AND($J251&lt;&gt;"",$K251&lt;&gt;"",$J251=$K251,$J251&gt;=AQ$3,$J251&lt;=IF(param_mode_affichage="mois",EOMONTH(AQ$3,0),AQ$3+6)),"◆",""))</f>
      </c>
      <c r="AR251" s="26">
        <f>IF(OR($A251="",AR$3=""),"",IF(AND($J251&lt;&gt;"",$K251&lt;&gt;"",$J251=$K251,$J251&gt;=AR$3,$J251&lt;=IF(param_mode_affichage="mois",EOMONTH(AR$3,0),AR$3+6)),"◆",""))</f>
      </c>
      <c r="AS251" s="26">
        <f>IF(OR($A251="",AS$3=""),"",IF(AND($J251&lt;&gt;"",$K251&lt;&gt;"",$J251=$K251,$J251&gt;=AS$3,$J251&lt;=IF(param_mode_affichage="mois",EOMONTH(AS$3,0),AS$3+6)),"◆",""))</f>
      </c>
      <c r="AT251" s="26">
        <f>IF(OR($A251="",AT$3=""),"",IF(AND($J251&lt;&gt;"",$K251&lt;&gt;"",$J251=$K251,$J251&gt;=AT$3,$J251&lt;=IF(param_mode_affichage="mois",EOMONTH(AT$3,0),AT$3+6)),"◆",""))</f>
      </c>
      <c r="AU251" s="26">
        <f>IF(OR($A251="",AU$3=""),"",IF(AND($J251&lt;&gt;"",$K251&lt;&gt;"",$J251=$K251,$J251&gt;=AU$3,$J251&lt;=IF(param_mode_affichage="mois",EOMONTH(AU$3,0),AU$3+6)),"◆",""))</f>
      </c>
      <c r="AV251" s="26">
        <f>IF(OR($A251="",AV$3=""),"",IF(AND($J251&lt;&gt;"",$K251&lt;&gt;"",$J251=$K251,$J251&gt;=AV$3,$J251&lt;=IF(param_mode_affichage="mois",EOMONTH(AV$3,0),AV$3+6)),"◆",""))</f>
      </c>
      <c r="AW251" s="26">
        <f>IF(OR($A251="",AW$3=""),"",IF(AND($J251&lt;&gt;"",$K251&lt;&gt;"",$J251=$K251,$J251&gt;=AW$3,$J251&lt;=IF(param_mode_affichage="mois",EOMONTH(AW$3,0),AW$3+6)),"◆",""))</f>
      </c>
      <c r="AX251" s="26">
        <f>IF(OR($A251="",AX$3=""),"",IF(AND($J251&lt;&gt;"",$K251&lt;&gt;"",$J251=$K251,$J251&gt;=AX$3,$J251&lt;=IF(param_mode_affichage="mois",EOMONTH(AX$3,0),AX$3+6)),"◆",""))</f>
      </c>
      <c r="AY251" s="26">
        <f>IF(OR($A251="",AY$3=""),"",IF(AND($J251&lt;&gt;"",$K251&lt;&gt;"",$J251=$K251,$J251&gt;=AY$3,$J251&lt;=IF(param_mode_affichage="mois",EOMONTH(AY$3,0),AY$3+6)),"◆",""))</f>
      </c>
      <c r="AZ251" s="26">
        <f>IF(OR($A251="",AZ$3=""),"",IF(AND($J251&lt;&gt;"",$K251&lt;&gt;"",$J251=$K251,$J251&gt;=AZ$3,$J251&lt;=IF(param_mode_affichage="mois",EOMONTH(AZ$3,0),AZ$3+6)),"◆",""))</f>
      </c>
      <c r="BA251" s="26">
        <f>IF(OR($A251="",BA$3=""),"",IF(AND($J251&lt;&gt;"",$K251&lt;&gt;"",$J251=$K251,$J251&gt;=BA$3,$J251&lt;=IF(param_mode_affichage="mois",EOMONTH(BA$3,0),BA$3+6)),"◆",""))</f>
      </c>
      <c r="BB251" s="26">
        <f>IF(OR($A251="",BB$3=""),"",IF(AND($J251&lt;&gt;"",$K251&lt;&gt;"",$J251=$K251,$J251&gt;=BB$3,$J251&lt;=IF(param_mode_affichage="mois",EOMONTH(BB$3,0),BB$3+6)),"◆",""))</f>
      </c>
      <c r="BC251" s="26">
        <f>IF(OR($A251="",BC$3=""),"",IF(AND($J251&lt;&gt;"",$K251&lt;&gt;"",$J251=$K251,$J251&gt;=BC$3,$J251&lt;=IF(param_mode_affichage="mois",EOMONTH(BC$3,0),BC$3+6)),"◆",""))</f>
      </c>
      <c r="BD251" s="26">
        <f>IF(OR($A251="",BD$3=""),"",IF(AND($J251&lt;&gt;"",$K251&lt;&gt;"",$J251=$K251,$J251&gt;=BD$3,$J251&lt;=IF(param_mode_affichage="mois",EOMONTH(BD$3,0),BD$3+6)),"◆",""))</f>
      </c>
      <c r="BE251" s="26">
        <f>IF(OR($A251="",BE$3=""),"",IF(AND($J251&lt;&gt;"",$K251&lt;&gt;"",$J251=$K251,$J251&gt;=BE$3,$J251&lt;=IF(param_mode_affichage="mois",EOMONTH(BE$3,0),BE$3+6)),"◆",""))</f>
      </c>
      <c r="BF251" s="26">
        <f>IF(OR($A251="",BF$3=""),"",IF(AND($J251&lt;&gt;"",$K251&lt;&gt;"",$J251=$K251,$J251&gt;=BF$3,$J251&lt;=IF(param_mode_affichage="mois",EOMONTH(BF$3,0),BF$3+6)),"◆",""))</f>
      </c>
      <c r="BG251" s="26">
        <f>IF(OR($A251="",BG$3=""),"",IF(AND($J251&lt;&gt;"",$K251&lt;&gt;"",$J251=$K251,$J251&gt;=BG$3,$J251&lt;=IF(param_mode_affichage="mois",EOMONTH(BG$3,0),BG$3+6)),"◆",""))</f>
      </c>
      <c r="BH251" s="26">
        <f>IF(OR($A251="",BH$3=""),"",IF(AND($J251&lt;&gt;"",$K251&lt;&gt;"",$J251=$K251,$J251&gt;=BH$3,$J251&lt;=IF(param_mode_affichage="mois",EOMONTH(BH$3,0),BH$3+6)),"◆",""))</f>
      </c>
      <c r="BI251" s="26">
        <f>IF(OR($A251="",BI$3=""),"",IF(AND($J251&lt;&gt;"",$K251&lt;&gt;"",$J251=$K251,$J251&gt;=BI$3,$J251&lt;=IF(param_mode_affichage="mois",EOMONTH(BI$3,0),BI$3+6)),"◆",""))</f>
      </c>
      <c r="BJ251" s="26">
        <f>IF(OR($A251="",BJ$3=""),"",IF(AND($J251&lt;&gt;"",$K251&lt;&gt;"",$J251=$K251,$J251&gt;=BJ$3,$J251&lt;=IF(param_mode_affichage="mois",EOMONTH(BJ$3,0),BJ$3+6)),"◆",""))</f>
      </c>
      <c r="BK251" s="26">
        <f>IF(OR($A251="",BK$3=""),"",IF(AND($J251&lt;&gt;"",$K251&lt;&gt;"",$J251=$K251,$J251&gt;=BK$3,$J251&lt;=IF(param_mode_affichage="mois",EOMONTH(BK$3,0),BK$3+6)),"◆",""))</f>
      </c>
      <c r="BL251" s="26">
        <f>IF(OR($A251="",BL$3=""),"",IF(AND($J251&lt;&gt;"",$K251&lt;&gt;"",$J251=$K251,$J251&gt;=BL$3,$J251&lt;=IF(param_mode_affichage="mois",EOMONTH(BL$3,0),BL$3+6)),"◆",""))</f>
      </c>
    </row>
    <row r="252" spans="1:64" x14ac:dyDescent="0.25">
      <c r="A252" s="23">
        <f>IFERROR(INDEX(tblTasks[ID],ROW()-4),"")</f>
      </c>
      <c r="B252" s="24">
        <f>IF($A252="","",INDEX(tblTasks[Sujet],ROW()-4))</f>
      </c>
      <c r="C252" s="23">
        <f>IF($A252="","",INDEX(tblTasks[Responsable],ROW()-4))</f>
      </c>
      <c r="D252" s="23">
        <f>IF($A252="","",INDEX(tblTasks[Statut],ROW()-4))</f>
      </c>
      <c r="E252" s="23">
        <f>IF($A252="","",INDEX(tblTasks[Depend_de],ROW()-4))</f>
      </c>
      <c r="F252" s="23">
        <f>IF($A252="","",INDEX(tblTasks[Blocage],ROW()-4))</f>
      </c>
      <c r="G252" s="23">
        <f>IF($A252="","",INDEX(tblTasks[Niveau_criticite],ROW()-4))</f>
      </c>
      <c r="H252" s="23">
        <f>IF($A252="","",INDEX(tblTasks[Goulot],ROW()-4))</f>
      </c>
      <c r="I252" s="23">
        <f>IF($A252="","",IF(LOWER($F252)="oui","non",IF($E252="","oui",IFERROR(IF(LOWER(INDEX(tblTasks[Statut],MATCH($E252,tblTasks[ID],0)))="clos","oui","non"),"non"))))</f>
      </c>
      <c r="J252" s="25">
        <f>IF($A252="","",INDEX(tblTasks[Date_debut_prevue],ROW()-4))</f>
      </c>
      <c r="K252" s="25">
        <f>IF($A252="","",INDEX(tblTasks[Date_fin_prevue],ROW()-4))</f>
      </c>
      <c r="L252" s="23">
        <f>IF($A252="","",INDEX(tblTasks[Irreversibilite],ROW()-4))</f>
      </c>
      <c r="M252" s="26">
        <f>IF(OR($A252="",M$3=""),"",IF(AND($J252&lt;&gt;"",$K252&lt;&gt;"",$J252=$K252,$J252&gt;=M$3,$J252&lt;=IF(param_mode_affichage="mois",EOMONTH(M$3,0),M$3+6)),"◆",""))</f>
      </c>
      <c r="N252" s="26">
        <f>IF(OR($A252="",N$3=""),"",IF(AND($J252&lt;&gt;"",$K252&lt;&gt;"",$J252=$K252,$J252&gt;=N$3,$J252&lt;=IF(param_mode_affichage="mois",EOMONTH(N$3,0),N$3+6)),"◆",""))</f>
      </c>
      <c r="O252" s="26">
        <f>IF(OR($A252="",O$3=""),"",IF(AND($J252&lt;&gt;"",$K252&lt;&gt;"",$J252=$K252,$J252&gt;=O$3,$J252&lt;=IF(param_mode_affichage="mois",EOMONTH(O$3,0),O$3+6)),"◆",""))</f>
      </c>
      <c r="P252" s="26">
        <f>IF(OR($A252="",P$3=""),"",IF(AND($J252&lt;&gt;"",$K252&lt;&gt;"",$J252=$K252,$J252&gt;=P$3,$J252&lt;=IF(param_mode_affichage="mois",EOMONTH(P$3,0),P$3+6)),"◆",""))</f>
      </c>
      <c r="Q252" s="26">
        <f>IF(OR($A252="",Q$3=""),"",IF(AND($J252&lt;&gt;"",$K252&lt;&gt;"",$J252=$K252,$J252&gt;=Q$3,$J252&lt;=IF(param_mode_affichage="mois",EOMONTH(Q$3,0),Q$3+6)),"◆",""))</f>
      </c>
      <c r="R252" s="26">
        <f>IF(OR($A252="",R$3=""),"",IF(AND($J252&lt;&gt;"",$K252&lt;&gt;"",$J252=$K252,$J252&gt;=R$3,$J252&lt;=IF(param_mode_affichage="mois",EOMONTH(R$3,0),R$3+6)),"◆",""))</f>
      </c>
      <c r="S252" s="26">
        <f>IF(OR($A252="",S$3=""),"",IF(AND($J252&lt;&gt;"",$K252&lt;&gt;"",$J252=$K252,$J252&gt;=S$3,$J252&lt;=IF(param_mode_affichage="mois",EOMONTH(S$3,0),S$3+6)),"◆",""))</f>
      </c>
      <c r="T252" s="26">
        <f>IF(OR($A252="",T$3=""),"",IF(AND($J252&lt;&gt;"",$K252&lt;&gt;"",$J252=$K252,$J252&gt;=T$3,$J252&lt;=IF(param_mode_affichage="mois",EOMONTH(T$3,0),T$3+6)),"◆",""))</f>
      </c>
      <c r="U252" s="26">
        <f>IF(OR($A252="",U$3=""),"",IF(AND($J252&lt;&gt;"",$K252&lt;&gt;"",$J252=$K252,$J252&gt;=U$3,$J252&lt;=IF(param_mode_affichage="mois",EOMONTH(U$3,0),U$3+6)),"◆",""))</f>
      </c>
      <c r="V252" s="26">
        <f>IF(OR($A252="",V$3=""),"",IF(AND($J252&lt;&gt;"",$K252&lt;&gt;"",$J252=$K252,$J252&gt;=V$3,$J252&lt;=IF(param_mode_affichage="mois",EOMONTH(V$3,0),V$3+6)),"◆",""))</f>
      </c>
      <c r="W252" s="26">
        <f>IF(OR($A252="",W$3=""),"",IF(AND($J252&lt;&gt;"",$K252&lt;&gt;"",$J252=$K252,$J252&gt;=W$3,$J252&lt;=IF(param_mode_affichage="mois",EOMONTH(W$3,0),W$3+6)),"◆",""))</f>
      </c>
      <c r="X252" s="26">
        <f>IF(OR($A252="",X$3=""),"",IF(AND($J252&lt;&gt;"",$K252&lt;&gt;"",$J252=$K252,$J252&gt;=X$3,$J252&lt;=IF(param_mode_affichage="mois",EOMONTH(X$3,0),X$3+6)),"◆",""))</f>
      </c>
      <c r="Y252" s="26">
        <f>IF(OR($A252="",Y$3=""),"",IF(AND($J252&lt;&gt;"",$K252&lt;&gt;"",$J252=$K252,$J252&gt;=Y$3,$J252&lt;=IF(param_mode_affichage="mois",EOMONTH(Y$3,0),Y$3+6)),"◆",""))</f>
      </c>
      <c r="Z252" s="26">
        <f>IF(OR($A252="",Z$3=""),"",IF(AND($J252&lt;&gt;"",$K252&lt;&gt;"",$J252=$K252,$J252&gt;=Z$3,$J252&lt;=IF(param_mode_affichage="mois",EOMONTH(Z$3,0),Z$3+6)),"◆",""))</f>
      </c>
      <c r="AA252" s="26">
        <f>IF(OR($A252="",AA$3=""),"",IF(AND($J252&lt;&gt;"",$K252&lt;&gt;"",$J252=$K252,$J252&gt;=AA$3,$J252&lt;=IF(param_mode_affichage="mois",EOMONTH(AA$3,0),AA$3+6)),"◆",""))</f>
      </c>
      <c r="AB252" s="26">
        <f>IF(OR($A252="",AB$3=""),"",IF(AND($J252&lt;&gt;"",$K252&lt;&gt;"",$J252=$K252,$J252&gt;=AB$3,$J252&lt;=IF(param_mode_affichage="mois",EOMONTH(AB$3,0),AB$3+6)),"◆",""))</f>
      </c>
      <c r="AC252" s="26">
        <f>IF(OR($A252="",AC$3=""),"",IF(AND($J252&lt;&gt;"",$K252&lt;&gt;"",$J252=$K252,$J252&gt;=AC$3,$J252&lt;=IF(param_mode_affichage="mois",EOMONTH(AC$3,0),AC$3+6)),"◆",""))</f>
      </c>
      <c r="AD252" s="26">
        <f>IF(OR($A252="",AD$3=""),"",IF(AND($J252&lt;&gt;"",$K252&lt;&gt;"",$J252=$K252,$J252&gt;=AD$3,$J252&lt;=IF(param_mode_affichage="mois",EOMONTH(AD$3,0),AD$3+6)),"◆",""))</f>
      </c>
      <c r="AE252" s="26">
        <f>IF(OR($A252="",AE$3=""),"",IF(AND($J252&lt;&gt;"",$K252&lt;&gt;"",$J252=$K252,$J252&gt;=AE$3,$J252&lt;=IF(param_mode_affichage="mois",EOMONTH(AE$3,0),AE$3+6)),"◆",""))</f>
      </c>
      <c r="AF252" s="26">
        <f>IF(OR($A252="",AF$3=""),"",IF(AND($J252&lt;&gt;"",$K252&lt;&gt;"",$J252=$K252,$J252&gt;=AF$3,$J252&lt;=IF(param_mode_affichage="mois",EOMONTH(AF$3,0),AF$3+6)),"◆",""))</f>
      </c>
      <c r="AG252" s="26">
        <f>IF(OR($A252="",AG$3=""),"",IF(AND($J252&lt;&gt;"",$K252&lt;&gt;"",$J252=$K252,$J252&gt;=AG$3,$J252&lt;=IF(param_mode_affichage="mois",EOMONTH(AG$3,0),AG$3+6)),"◆",""))</f>
      </c>
      <c r="AH252" s="26">
        <f>IF(OR($A252="",AH$3=""),"",IF(AND($J252&lt;&gt;"",$K252&lt;&gt;"",$J252=$K252,$J252&gt;=AH$3,$J252&lt;=IF(param_mode_affichage="mois",EOMONTH(AH$3,0),AH$3+6)),"◆",""))</f>
      </c>
      <c r="AI252" s="26">
        <f>IF(OR($A252="",AI$3=""),"",IF(AND($J252&lt;&gt;"",$K252&lt;&gt;"",$J252=$K252,$J252&gt;=AI$3,$J252&lt;=IF(param_mode_affichage="mois",EOMONTH(AI$3,0),AI$3+6)),"◆",""))</f>
      </c>
      <c r="AJ252" s="26">
        <f>IF(OR($A252="",AJ$3=""),"",IF(AND($J252&lt;&gt;"",$K252&lt;&gt;"",$J252=$K252,$J252&gt;=AJ$3,$J252&lt;=IF(param_mode_affichage="mois",EOMONTH(AJ$3,0),AJ$3+6)),"◆",""))</f>
      </c>
      <c r="AK252" s="26">
        <f>IF(OR($A252="",AK$3=""),"",IF(AND($J252&lt;&gt;"",$K252&lt;&gt;"",$J252=$K252,$J252&gt;=AK$3,$J252&lt;=IF(param_mode_affichage="mois",EOMONTH(AK$3,0),AK$3+6)),"◆",""))</f>
      </c>
      <c r="AL252" s="26">
        <f>IF(OR($A252="",AL$3=""),"",IF(AND($J252&lt;&gt;"",$K252&lt;&gt;"",$J252=$K252,$J252&gt;=AL$3,$J252&lt;=IF(param_mode_affichage="mois",EOMONTH(AL$3,0),AL$3+6)),"◆",""))</f>
      </c>
      <c r="AM252" s="26">
        <f>IF(OR($A252="",AM$3=""),"",IF(AND($J252&lt;&gt;"",$K252&lt;&gt;"",$J252=$K252,$J252&gt;=AM$3,$J252&lt;=IF(param_mode_affichage="mois",EOMONTH(AM$3,0),AM$3+6)),"◆",""))</f>
      </c>
      <c r="AN252" s="26">
        <f>IF(OR($A252="",AN$3=""),"",IF(AND($J252&lt;&gt;"",$K252&lt;&gt;"",$J252=$K252,$J252&gt;=AN$3,$J252&lt;=IF(param_mode_affichage="mois",EOMONTH(AN$3,0),AN$3+6)),"◆",""))</f>
      </c>
      <c r="AO252" s="26">
        <f>IF(OR($A252="",AO$3=""),"",IF(AND($J252&lt;&gt;"",$K252&lt;&gt;"",$J252=$K252,$J252&gt;=AO$3,$J252&lt;=IF(param_mode_affichage="mois",EOMONTH(AO$3,0),AO$3+6)),"◆",""))</f>
      </c>
      <c r="AP252" s="26">
        <f>IF(OR($A252="",AP$3=""),"",IF(AND($J252&lt;&gt;"",$K252&lt;&gt;"",$J252=$K252,$J252&gt;=AP$3,$J252&lt;=IF(param_mode_affichage="mois",EOMONTH(AP$3,0),AP$3+6)),"◆",""))</f>
      </c>
      <c r="AQ252" s="26">
        <f>IF(OR($A252="",AQ$3=""),"",IF(AND($J252&lt;&gt;"",$K252&lt;&gt;"",$J252=$K252,$J252&gt;=AQ$3,$J252&lt;=IF(param_mode_affichage="mois",EOMONTH(AQ$3,0),AQ$3+6)),"◆",""))</f>
      </c>
      <c r="AR252" s="26">
        <f>IF(OR($A252="",AR$3=""),"",IF(AND($J252&lt;&gt;"",$K252&lt;&gt;"",$J252=$K252,$J252&gt;=AR$3,$J252&lt;=IF(param_mode_affichage="mois",EOMONTH(AR$3,0),AR$3+6)),"◆",""))</f>
      </c>
      <c r="AS252" s="26">
        <f>IF(OR($A252="",AS$3=""),"",IF(AND($J252&lt;&gt;"",$K252&lt;&gt;"",$J252=$K252,$J252&gt;=AS$3,$J252&lt;=IF(param_mode_affichage="mois",EOMONTH(AS$3,0),AS$3+6)),"◆",""))</f>
      </c>
      <c r="AT252" s="26">
        <f>IF(OR($A252="",AT$3=""),"",IF(AND($J252&lt;&gt;"",$K252&lt;&gt;"",$J252=$K252,$J252&gt;=AT$3,$J252&lt;=IF(param_mode_affichage="mois",EOMONTH(AT$3,0),AT$3+6)),"◆",""))</f>
      </c>
      <c r="AU252" s="26">
        <f>IF(OR($A252="",AU$3=""),"",IF(AND($J252&lt;&gt;"",$K252&lt;&gt;"",$J252=$K252,$J252&gt;=AU$3,$J252&lt;=IF(param_mode_affichage="mois",EOMONTH(AU$3,0),AU$3+6)),"◆",""))</f>
      </c>
      <c r="AV252" s="26">
        <f>IF(OR($A252="",AV$3=""),"",IF(AND($J252&lt;&gt;"",$K252&lt;&gt;"",$J252=$K252,$J252&gt;=AV$3,$J252&lt;=IF(param_mode_affichage="mois",EOMONTH(AV$3,0),AV$3+6)),"◆",""))</f>
      </c>
      <c r="AW252" s="26">
        <f>IF(OR($A252="",AW$3=""),"",IF(AND($J252&lt;&gt;"",$K252&lt;&gt;"",$J252=$K252,$J252&gt;=AW$3,$J252&lt;=IF(param_mode_affichage="mois",EOMONTH(AW$3,0),AW$3+6)),"◆",""))</f>
      </c>
      <c r="AX252" s="26">
        <f>IF(OR($A252="",AX$3=""),"",IF(AND($J252&lt;&gt;"",$K252&lt;&gt;"",$J252=$K252,$J252&gt;=AX$3,$J252&lt;=IF(param_mode_affichage="mois",EOMONTH(AX$3,0),AX$3+6)),"◆",""))</f>
      </c>
      <c r="AY252" s="26">
        <f>IF(OR($A252="",AY$3=""),"",IF(AND($J252&lt;&gt;"",$K252&lt;&gt;"",$J252=$K252,$J252&gt;=AY$3,$J252&lt;=IF(param_mode_affichage="mois",EOMONTH(AY$3,0),AY$3+6)),"◆",""))</f>
      </c>
      <c r="AZ252" s="26">
        <f>IF(OR($A252="",AZ$3=""),"",IF(AND($J252&lt;&gt;"",$K252&lt;&gt;"",$J252=$K252,$J252&gt;=AZ$3,$J252&lt;=IF(param_mode_affichage="mois",EOMONTH(AZ$3,0),AZ$3+6)),"◆",""))</f>
      </c>
      <c r="BA252" s="26">
        <f>IF(OR($A252="",BA$3=""),"",IF(AND($J252&lt;&gt;"",$K252&lt;&gt;"",$J252=$K252,$J252&gt;=BA$3,$J252&lt;=IF(param_mode_affichage="mois",EOMONTH(BA$3,0),BA$3+6)),"◆",""))</f>
      </c>
      <c r="BB252" s="26">
        <f>IF(OR($A252="",BB$3=""),"",IF(AND($J252&lt;&gt;"",$K252&lt;&gt;"",$J252=$K252,$J252&gt;=BB$3,$J252&lt;=IF(param_mode_affichage="mois",EOMONTH(BB$3,0),BB$3+6)),"◆",""))</f>
      </c>
      <c r="BC252" s="26">
        <f>IF(OR($A252="",BC$3=""),"",IF(AND($J252&lt;&gt;"",$K252&lt;&gt;"",$J252=$K252,$J252&gt;=BC$3,$J252&lt;=IF(param_mode_affichage="mois",EOMONTH(BC$3,0),BC$3+6)),"◆",""))</f>
      </c>
      <c r="BD252" s="26">
        <f>IF(OR($A252="",BD$3=""),"",IF(AND($J252&lt;&gt;"",$K252&lt;&gt;"",$J252=$K252,$J252&gt;=BD$3,$J252&lt;=IF(param_mode_affichage="mois",EOMONTH(BD$3,0),BD$3+6)),"◆",""))</f>
      </c>
      <c r="BE252" s="26">
        <f>IF(OR($A252="",BE$3=""),"",IF(AND($J252&lt;&gt;"",$K252&lt;&gt;"",$J252=$K252,$J252&gt;=BE$3,$J252&lt;=IF(param_mode_affichage="mois",EOMONTH(BE$3,0),BE$3+6)),"◆",""))</f>
      </c>
      <c r="BF252" s="26">
        <f>IF(OR($A252="",BF$3=""),"",IF(AND($J252&lt;&gt;"",$K252&lt;&gt;"",$J252=$K252,$J252&gt;=BF$3,$J252&lt;=IF(param_mode_affichage="mois",EOMONTH(BF$3,0),BF$3+6)),"◆",""))</f>
      </c>
      <c r="BG252" s="26">
        <f>IF(OR($A252="",BG$3=""),"",IF(AND($J252&lt;&gt;"",$K252&lt;&gt;"",$J252=$K252,$J252&gt;=BG$3,$J252&lt;=IF(param_mode_affichage="mois",EOMONTH(BG$3,0),BG$3+6)),"◆",""))</f>
      </c>
      <c r="BH252" s="26">
        <f>IF(OR($A252="",BH$3=""),"",IF(AND($J252&lt;&gt;"",$K252&lt;&gt;"",$J252=$K252,$J252&gt;=BH$3,$J252&lt;=IF(param_mode_affichage="mois",EOMONTH(BH$3,0),BH$3+6)),"◆",""))</f>
      </c>
      <c r="BI252" s="26">
        <f>IF(OR($A252="",BI$3=""),"",IF(AND($J252&lt;&gt;"",$K252&lt;&gt;"",$J252=$K252,$J252&gt;=BI$3,$J252&lt;=IF(param_mode_affichage="mois",EOMONTH(BI$3,0),BI$3+6)),"◆",""))</f>
      </c>
      <c r="BJ252" s="26">
        <f>IF(OR($A252="",BJ$3=""),"",IF(AND($J252&lt;&gt;"",$K252&lt;&gt;"",$J252=$K252,$J252&gt;=BJ$3,$J252&lt;=IF(param_mode_affichage="mois",EOMONTH(BJ$3,0),BJ$3+6)),"◆",""))</f>
      </c>
      <c r="BK252" s="26">
        <f>IF(OR($A252="",BK$3=""),"",IF(AND($J252&lt;&gt;"",$K252&lt;&gt;"",$J252=$K252,$J252&gt;=BK$3,$J252&lt;=IF(param_mode_affichage="mois",EOMONTH(BK$3,0),BK$3+6)),"◆",""))</f>
      </c>
      <c r="BL252" s="26">
        <f>IF(OR($A252="",BL$3=""),"",IF(AND($J252&lt;&gt;"",$K252&lt;&gt;"",$J252=$K252,$J252&gt;=BL$3,$J252&lt;=IF(param_mode_affichage="mois",EOMONTH(BL$3,0),BL$3+6)),"◆",""))</f>
      </c>
    </row>
    <row r="253" spans="1:64" x14ac:dyDescent="0.25">
      <c r="A253" s="23">
        <f>IFERROR(INDEX(tblTasks[ID],ROW()-4),"")</f>
      </c>
      <c r="B253" s="24">
        <f>IF($A253="","",INDEX(tblTasks[Sujet],ROW()-4))</f>
      </c>
      <c r="C253" s="23">
        <f>IF($A253="","",INDEX(tblTasks[Responsable],ROW()-4))</f>
      </c>
      <c r="D253" s="23">
        <f>IF($A253="","",INDEX(tblTasks[Statut],ROW()-4))</f>
      </c>
      <c r="E253" s="23">
        <f>IF($A253="","",INDEX(tblTasks[Depend_de],ROW()-4))</f>
      </c>
      <c r="F253" s="23">
        <f>IF($A253="","",INDEX(tblTasks[Blocage],ROW()-4))</f>
      </c>
      <c r="G253" s="23">
        <f>IF($A253="","",INDEX(tblTasks[Niveau_criticite],ROW()-4))</f>
      </c>
      <c r="H253" s="23">
        <f>IF($A253="","",INDEX(tblTasks[Goulot],ROW()-4))</f>
      </c>
      <c r="I253" s="23">
        <f>IF($A253="","",IF(LOWER($F253)="oui","non",IF($E253="","oui",IFERROR(IF(LOWER(INDEX(tblTasks[Statut],MATCH($E253,tblTasks[ID],0)))="clos","oui","non"),"non"))))</f>
      </c>
      <c r="J253" s="25">
        <f>IF($A253="","",INDEX(tblTasks[Date_debut_prevue],ROW()-4))</f>
      </c>
      <c r="K253" s="25">
        <f>IF($A253="","",INDEX(tblTasks[Date_fin_prevue],ROW()-4))</f>
      </c>
      <c r="L253" s="23">
        <f>IF($A253="","",INDEX(tblTasks[Irreversibilite],ROW()-4))</f>
      </c>
      <c r="M253" s="26">
        <f>IF(OR($A253="",M$3=""),"",IF(AND($J253&lt;&gt;"",$K253&lt;&gt;"",$J253=$K253,$J253&gt;=M$3,$J253&lt;=IF(param_mode_affichage="mois",EOMONTH(M$3,0),M$3+6)),"◆",""))</f>
      </c>
      <c r="N253" s="26">
        <f>IF(OR($A253="",N$3=""),"",IF(AND($J253&lt;&gt;"",$K253&lt;&gt;"",$J253=$K253,$J253&gt;=N$3,$J253&lt;=IF(param_mode_affichage="mois",EOMONTH(N$3,0),N$3+6)),"◆",""))</f>
      </c>
      <c r="O253" s="26">
        <f>IF(OR($A253="",O$3=""),"",IF(AND($J253&lt;&gt;"",$K253&lt;&gt;"",$J253=$K253,$J253&gt;=O$3,$J253&lt;=IF(param_mode_affichage="mois",EOMONTH(O$3,0),O$3+6)),"◆",""))</f>
      </c>
      <c r="P253" s="26">
        <f>IF(OR($A253="",P$3=""),"",IF(AND($J253&lt;&gt;"",$K253&lt;&gt;"",$J253=$K253,$J253&gt;=P$3,$J253&lt;=IF(param_mode_affichage="mois",EOMONTH(P$3,0),P$3+6)),"◆",""))</f>
      </c>
      <c r="Q253" s="26">
        <f>IF(OR($A253="",Q$3=""),"",IF(AND($J253&lt;&gt;"",$K253&lt;&gt;"",$J253=$K253,$J253&gt;=Q$3,$J253&lt;=IF(param_mode_affichage="mois",EOMONTH(Q$3,0),Q$3+6)),"◆",""))</f>
      </c>
      <c r="R253" s="26">
        <f>IF(OR($A253="",R$3=""),"",IF(AND($J253&lt;&gt;"",$K253&lt;&gt;"",$J253=$K253,$J253&gt;=R$3,$J253&lt;=IF(param_mode_affichage="mois",EOMONTH(R$3,0),R$3+6)),"◆",""))</f>
      </c>
      <c r="S253" s="26">
        <f>IF(OR($A253="",S$3=""),"",IF(AND($J253&lt;&gt;"",$K253&lt;&gt;"",$J253=$K253,$J253&gt;=S$3,$J253&lt;=IF(param_mode_affichage="mois",EOMONTH(S$3,0),S$3+6)),"◆",""))</f>
      </c>
      <c r="T253" s="26">
        <f>IF(OR($A253="",T$3=""),"",IF(AND($J253&lt;&gt;"",$K253&lt;&gt;"",$J253=$K253,$J253&gt;=T$3,$J253&lt;=IF(param_mode_affichage="mois",EOMONTH(T$3,0),T$3+6)),"◆",""))</f>
      </c>
      <c r="U253" s="26">
        <f>IF(OR($A253="",U$3=""),"",IF(AND($J253&lt;&gt;"",$K253&lt;&gt;"",$J253=$K253,$J253&gt;=U$3,$J253&lt;=IF(param_mode_affichage="mois",EOMONTH(U$3,0),U$3+6)),"◆",""))</f>
      </c>
      <c r="V253" s="26">
        <f>IF(OR($A253="",V$3=""),"",IF(AND($J253&lt;&gt;"",$K253&lt;&gt;"",$J253=$K253,$J253&gt;=V$3,$J253&lt;=IF(param_mode_affichage="mois",EOMONTH(V$3,0),V$3+6)),"◆",""))</f>
      </c>
      <c r="W253" s="26">
        <f>IF(OR($A253="",W$3=""),"",IF(AND($J253&lt;&gt;"",$K253&lt;&gt;"",$J253=$K253,$J253&gt;=W$3,$J253&lt;=IF(param_mode_affichage="mois",EOMONTH(W$3,0),W$3+6)),"◆",""))</f>
      </c>
      <c r="X253" s="26">
        <f>IF(OR($A253="",X$3=""),"",IF(AND($J253&lt;&gt;"",$K253&lt;&gt;"",$J253=$K253,$J253&gt;=X$3,$J253&lt;=IF(param_mode_affichage="mois",EOMONTH(X$3,0),X$3+6)),"◆",""))</f>
      </c>
      <c r="Y253" s="26">
        <f>IF(OR($A253="",Y$3=""),"",IF(AND($J253&lt;&gt;"",$K253&lt;&gt;"",$J253=$K253,$J253&gt;=Y$3,$J253&lt;=IF(param_mode_affichage="mois",EOMONTH(Y$3,0),Y$3+6)),"◆",""))</f>
      </c>
      <c r="Z253" s="26">
        <f>IF(OR($A253="",Z$3=""),"",IF(AND($J253&lt;&gt;"",$K253&lt;&gt;"",$J253=$K253,$J253&gt;=Z$3,$J253&lt;=IF(param_mode_affichage="mois",EOMONTH(Z$3,0),Z$3+6)),"◆",""))</f>
      </c>
      <c r="AA253" s="26">
        <f>IF(OR($A253="",AA$3=""),"",IF(AND($J253&lt;&gt;"",$K253&lt;&gt;"",$J253=$K253,$J253&gt;=AA$3,$J253&lt;=IF(param_mode_affichage="mois",EOMONTH(AA$3,0),AA$3+6)),"◆",""))</f>
      </c>
      <c r="AB253" s="26">
        <f>IF(OR($A253="",AB$3=""),"",IF(AND($J253&lt;&gt;"",$K253&lt;&gt;"",$J253=$K253,$J253&gt;=AB$3,$J253&lt;=IF(param_mode_affichage="mois",EOMONTH(AB$3,0),AB$3+6)),"◆",""))</f>
      </c>
      <c r="AC253" s="26">
        <f>IF(OR($A253="",AC$3=""),"",IF(AND($J253&lt;&gt;"",$K253&lt;&gt;"",$J253=$K253,$J253&gt;=AC$3,$J253&lt;=IF(param_mode_affichage="mois",EOMONTH(AC$3,0),AC$3+6)),"◆",""))</f>
      </c>
      <c r="AD253" s="26">
        <f>IF(OR($A253="",AD$3=""),"",IF(AND($J253&lt;&gt;"",$K253&lt;&gt;"",$J253=$K253,$J253&gt;=AD$3,$J253&lt;=IF(param_mode_affichage="mois",EOMONTH(AD$3,0),AD$3+6)),"◆",""))</f>
      </c>
      <c r="AE253" s="26">
        <f>IF(OR($A253="",AE$3=""),"",IF(AND($J253&lt;&gt;"",$K253&lt;&gt;"",$J253=$K253,$J253&gt;=AE$3,$J253&lt;=IF(param_mode_affichage="mois",EOMONTH(AE$3,0),AE$3+6)),"◆",""))</f>
      </c>
      <c r="AF253" s="26">
        <f>IF(OR($A253="",AF$3=""),"",IF(AND($J253&lt;&gt;"",$K253&lt;&gt;"",$J253=$K253,$J253&gt;=AF$3,$J253&lt;=IF(param_mode_affichage="mois",EOMONTH(AF$3,0),AF$3+6)),"◆",""))</f>
      </c>
      <c r="AG253" s="26">
        <f>IF(OR($A253="",AG$3=""),"",IF(AND($J253&lt;&gt;"",$K253&lt;&gt;"",$J253=$K253,$J253&gt;=AG$3,$J253&lt;=IF(param_mode_affichage="mois",EOMONTH(AG$3,0),AG$3+6)),"◆",""))</f>
      </c>
      <c r="AH253" s="26">
        <f>IF(OR($A253="",AH$3=""),"",IF(AND($J253&lt;&gt;"",$K253&lt;&gt;"",$J253=$K253,$J253&gt;=AH$3,$J253&lt;=IF(param_mode_affichage="mois",EOMONTH(AH$3,0),AH$3+6)),"◆",""))</f>
      </c>
      <c r="AI253" s="26">
        <f>IF(OR($A253="",AI$3=""),"",IF(AND($J253&lt;&gt;"",$K253&lt;&gt;"",$J253=$K253,$J253&gt;=AI$3,$J253&lt;=IF(param_mode_affichage="mois",EOMONTH(AI$3,0),AI$3+6)),"◆",""))</f>
      </c>
      <c r="AJ253" s="26">
        <f>IF(OR($A253="",AJ$3=""),"",IF(AND($J253&lt;&gt;"",$K253&lt;&gt;"",$J253=$K253,$J253&gt;=AJ$3,$J253&lt;=IF(param_mode_affichage="mois",EOMONTH(AJ$3,0),AJ$3+6)),"◆",""))</f>
      </c>
      <c r="AK253" s="26">
        <f>IF(OR($A253="",AK$3=""),"",IF(AND($J253&lt;&gt;"",$K253&lt;&gt;"",$J253=$K253,$J253&gt;=AK$3,$J253&lt;=IF(param_mode_affichage="mois",EOMONTH(AK$3,0),AK$3+6)),"◆",""))</f>
      </c>
      <c r="AL253" s="26">
        <f>IF(OR($A253="",AL$3=""),"",IF(AND($J253&lt;&gt;"",$K253&lt;&gt;"",$J253=$K253,$J253&gt;=AL$3,$J253&lt;=IF(param_mode_affichage="mois",EOMONTH(AL$3,0),AL$3+6)),"◆",""))</f>
      </c>
      <c r="AM253" s="26">
        <f>IF(OR($A253="",AM$3=""),"",IF(AND($J253&lt;&gt;"",$K253&lt;&gt;"",$J253=$K253,$J253&gt;=AM$3,$J253&lt;=IF(param_mode_affichage="mois",EOMONTH(AM$3,0),AM$3+6)),"◆",""))</f>
      </c>
      <c r="AN253" s="26">
        <f>IF(OR($A253="",AN$3=""),"",IF(AND($J253&lt;&gt;"",$K253&lt;&gt;"",$J253=$K253,$J253&gt;=AN$3,$J253&lt;=IF(param_mode_affichage="mois",EOMONTH(AN$3,0),AN$3+6)),"◆",""))</f>
      </c>
      <c r="AO253" s="26">
        <f>IF(OR($A253="",AO$3=""),"",IF(AND($J253&lt;&gt;"",$K253&lt;&gt;"",$J253=$K253,$J253&gt;=AO$3,$J253&lt;=IF(param_mode_affichage="mois",EOMONTH(AO$3,0),AO$3+6)),"◆",""))</f>
      </c>
      <c r="AP253" s="26">
        <f>IF(OR($A253="",AP$3=""),"",IF(AND($J253&lt;&gt;"",$K253&lt;&gt;"",$J253=$K253,$J253&gt;=AP$3,$J253&lt;=IF(param_mode_affichage="mois",EOMONTH(AP$3,0),AP$3+6)),"◆",""))</f>
      </c>
      <c r="AQ253" s="26">
        <f>IF(OR($A253="",AQ$3=""),"",IF(AND($J253&lt;&gt;"",$K253&lt;&gt;"",$J253=$K253,$J253&gt;=AQ$3,$J253&lt;=IF(param_mode_affichage="mois",EOMONTH(AQ$3,0),AQ$3+6)),"◆",""))</f>
      </c>
      <c r="AR253" s="26">
        <f>IF(OR($A253="",AR$3=""),"",IF(AND($J253&lt;&gt;"",$K253&lt;&gt;"",$J253=$K253,$J253&gt;=AR$3,$J253&lt;=IF(param_mode_affichage="mois",EOMONTH(AR$3,0),AR$3+6)),"◆",""))</f>
      </c>
      <c r="AS253" s="26">
        <f>IF(OR($A253="",AS$3=""),"",IF(AND($J253&lt;&gt;"",$K253&lt;&gt;"",$J253=$K253,$J253&gt;=AS$3,$J253&lt;=IF(param_mode_affichage="mois",EOMONTH(AS$3,0),AS$3+6)),"◆",""))</f>
      </c>
      <c r="AT253" s="26">
        <f>IF(OR($A253="",AT$3=""),"",IF(AND($J253&lt;&gt;"",$K253&lt;&gt;"",$J253=$K253,$J253&gt;=AT$3,$J253&lt;=IF(param_mode_affichage="mois",EOMONTH(AT$3,0),AT$3+6)),"◆",""))</f>
      </c>
      <c r="AU253" s="26">
        <f>IF(OR($A253="",AU$3=""),"",IF(AND($J253&lt;&gt;"",$K253&lt;&gt;"",$J253=$K253,$J253&gt;=AU$3,$J253&lt;=IF(param_mode_affichage="mois",EOMONTH(AU$3,0),AU$3+6)),"◆",""))</f>
      </c>
      <c r="AV253" s="26">
        <f>IF(OR($A253="",AV$3=""),"",IF(AND($J253&lt;&gt;"",$K253&lt;&gt;"",$J253=$K253,$J253&gt;=AV$3,$J253&lt;=IF(param_mode_affichage="mois",EOMONTH(AV$3,0),AV$3+6)),"◆",""))</f>
      </c>
      <c r="AW253" s="26">
        <f>IF(OR($A253="",AW$3=""),"",IF(AND($J253&lt;&gt;"",$K253&lt;&gt;"",$J253=$K253,$J253&gt;=AW$3,$J253&lt;=IF(param_mode_affichage="mois",EOMONTH(AW$3,0),AW$3+6)),"◆",""))</f>
      </c>
      <c r="AX253" s="26">
        <f>IF(OR($A253="",AX$3=""),"",IF(AND($J253&lt;&gt;"",$K253&lt;&gt;"",$J253=$K253,$J253&gt;=AX$3,$J253&lt;=IF(param_mode_affichage="mois",EOMONTH(AX$3,0),AX$3+6)),"◆",""))</f>
      </c>
      <c r="AY253" s="26">
        <f>IF(OR($A253="",AY$3=""),"",IF(AND($J253&lt;&gt;"",$K253&lt;&gt;"",$J253=$K253,$J253&gt;=AY$3,$J253&lt;=IF(param_mode_affichage="mois",EOMONTH(AY$3,0),AY$3+6)),"◆",""))</f>
      </c>
      <c r="AZ253" s="26">
        <f>IF(OR($A253="",AZ$3=""),"",IF(AND($J253&lt;&gt;"",$K253&lt;&gt;"",$J253=$K253,$J253&gt;=AZ$3,$J253&lt;=IF(param_mode_affichage="mois",EOMONTH(AZ$3,0),AZ$3+6)),"◆",""))</f>
      </c>
      <c r="BA253" s="26">
        <f>IF(OR($A253="",BA$3=""),"",IF(AND($J253&lt;&gt;"",$K253&lt;&gt;"",$J253=$K253,$J253&gt;=BA$3,$J253&lt;=IF(param_mode_affichage="mois",EOMONTH(BA$3,0),BA$3+6)),"◆",""))</f>
      </c>
      <c r="BB253" s="26">
        <f>IF(OR($A253="",BB$3=""),"",IF(AND($J253&lt;&gt;"",$K253&lt;&gt;"",$J253=$K253,$J253&gt;=BB$3,$J253&lt;=IF(param_mode_affichage="mois",EOMONTH(BB$3,0),BB$3+6)),"◆",""))</f>
      </c>
      <c r="BC253" s="26">
        <f>IF(OR($A253="",BC$3=""),"",IF(AND($J253&lt;&gt;"",$K253&lt;&gt;"",$J253=$K253,$J253&gt;=BC$3,$J253&lt;=IF(param_mode_affichage="mois",EOMONTH(BC$3,0),BC$3+6)),"◆",""))</f>
      </c>
      <c r="BD253" s="26">
        <f>IF(OR($A253="",BD$3=""),"",IF(AND($J253&lt;&gt;"",$K253&lt;&gt;"",$J253=$K253,$J253&gt;=BD$3,$J253&lt;=IF(param_mode_affichage="mois",EOMONTH(BD$3,0),BD$3+6)),"◆",""))</f>
      </c>
      <c r="BE253" s="26">
        <f>IF(OR($A253="",BE$3=""),"",IF(AND($J253&lt;&gt;"",$K253&lt;&gt;"",$J253=$K253,$J253&gt;=BE$3,$J253&lt;=IF(param_mode_affichage="mois",EOMONTH(BE$3,0),BE$3+6)),"◆",""))</f>
      </c>
      <c r="BF253" s="26">
        <f>IF(OR($A253="",BF$3=""),"",IF(AND($J253&lt;&gt;"",$K253&lt;&gt;"",$J253=$K253,$J253&gt;=BF$3,$J253&lt;=IF(param_mode_affichage="mois",EOMONTH(BF$3,0),BF$3+6)),"◆",""))</f>
      </c>
      <c r="BG253" s="26">
        <f>IF(OR($A253="",BG$3=""),"",IF(AND($J253&lt;&gt;"",$K253&lt;&gt;"",$J253=$K253,$J253&gt;=BG$3,$J253&lt;=IF(param_mode_affichage="mois",EOMONTH(BG$3,0),BG$3+6)),"◆",""))</f>
      </c>
      <c r="BH253" s="26">
        <f>IF(OR($A253="",BH$3=""),"",IF(AND($J253&lt;&gt;"",$K253&lt;&gt;"",$J253=$K253,$J253&gt;=BH$3,$J253&lt;=IF(param_mode_affichage="mois",EOMONTH(BH$3,0),BH$3+6)),"◆",""))</f>
      </c>
      <c r="BI253" s="26">
        <f>IF(OR($A253="",BI$3=""),"",IF(AND($J253&lt;&gt;"",$K253&lt;&gt;"",$J253=$K253,$J253&gt;=BI$3,$J253&lt;=IF(param_mode_affichage="mois",EOMONTH(BI$3,0),BI$3+6)),"◆",""))</f>
      </c>
      <c r="BJ253" s="26">
        <f>IF(OR($A253="",BJ$3=""),"",IF(AND($J253&lt;&gt;"",$K253&lt;&gt;"",$J253=$K253,$J253&gt;=BJ$3,$J253&lt;=IF(param_mode_affichage="mois",EOMONTH(BJ$3,0),BJ$3+6)),"◆",""))</f>
      </c>
      <c r="BK253" s="26">
        <f>IF(OR($A253="",BK$3=""),"",IF(AND($J253&lt;&gt;"",$K253&lt;&gt;"",$J253=$K253,$J253&gt;=BK$3,$J253&lt;=IF(param_mode_affichage="mois",EOMONTH(BK$3,0),BK$3+6)),"◆",""))</f>
      </c>
      <c r="BL253" s="26">
        <f>IF(OR($A253="",BL$3=""),"",IF(AND($J253&lt;&gt;"",$K253&lt;&gt;"",$J253=$K253,$J253&gt;=BL$3,$J253&lt;=IF(param_mode_affichage="mois",EOMONTH(BL$3,0),BL$3+6)),"◆",""))</f>
      </c>
    </row>
    <row r="254" spans="1:64" x14ac:dyDescent="0.25">
      <c r="A254" s="23">
        <f>IFERROR(INDEX(tblTasks[ID],ROW()-4),"")</f>
      </c>
      <c r="B254" s="24">
        <f>IF($A254="","",INDEX(tblTasks[Sujet],ROW()-4))</f>
      </c>
      <c r="C254" s="23">
        <f>IF($A254="","",INDEX(tblTasks[Responsable],ROW()-4))</f>
      </c>
      <c r="D254" s="23">
        <f>IF($A254="","",INDEX(tblTasks[Statut],ROW()-4))</f>
      </c>
      <c r="E254" s="23">
        <f>IF($A254="","",INDEX(tblTasks[Depend_de],ROW()-4))</f>
      </c>
      <c r="F254" s="23">
        <f>IF($A254="","",INDEX(tblTasks[Blocage],ROW()-4))</f>
      </c>
      <c r="G254" s="23">
        <f>IF($A254="","",INDEX(tblTasks[Niveau_criticite],ROW()-4))</f>
      </c>
      <c r="H254" s="23">
        <f>IF($A254="","",INDEX(tblTasks[Goulot],ROW()-4))</f>
      </c>
      <c r="I254" s="23">
        <f>IF($A254="","",IF(LOWER($F254)="oui","non",IF($E254="","oui",IFERROR(IF(LOWER(INDEX(tblTasks[Statut],MATCH($E254,tblTasks[ID],0)))="clos","oui","non"),"non"))))</f>
      </c>
      <c r="J254" s="25">
        <f>IF($A254="","",INDEX(tblTasks[Date_debut_prevue],ROW()-4))</f>
      </c>
      <c r="K254" s="25">
        <f>IF($A254="","",INDEX(tblTasks[Date_fin_prevue],ROW()-4))</f>
      </c>
      <c r="L254" s="23">
        <f>IF($A254="","",INDEX(tblTasks[Irreversibilite],ROW()-4))</f>
      </c>
      <c r="M254" s="26">
        <f>IF(OR($A254="",M$3=""),"",IF(AND($J254&lt;&gt;"",$K254&lt;&gt;"",$J254=$K254,$J254&gt;=M$3,$J254&lt;=IF(param_mode_affichage="mois",EOMONTH(M$3,0),M$3+6)),"◆",""))</f>
      </c>
      <c r="N254" s="26">
        <f>IF(OR($A254="",N$3=""),"",IF(AND($J254&lt;&gt;"",$K254&lt;&gt;"",$J254=$K254,$J254&gt;=N$3,$J254&lt;=IF(param_mode_affichage="mois",EOMONTH(N$3,0),N$3+6)),"◆",""))</f>
      </c>
      <c r="O254" s="26">
        <f>IF(OR($A254="",O$3=""),"",IF(AND($J254&lt;&gt;"",$K254&lt;&gt;"",$J254=$K254,$J254&gt;=O$3,$J254&lt;=IF(param_mode_affichage="mois",EOMONTH(O$3,0),O$3+6)),"◆",""))</f>
      </c>
      <c r="P254" s="26">
        <f>IF(OR($A254="",P$3=""),"",IF(AND($J254&lt;&gt;"",$K254&lt;&gt;"",$J254=$K254,$J254&gt;=P$3,$J254&lt;=IF(param_mode_affichage="mois",EOMONTH(P$3,0),P$3+6)),"◆",""))</f>
      </c>
      <c r="Q254" s="26">
        <f>IF(OR($A254="",Q$3=""),"",IF(AND($J254&lt;&gt;"",$K254&lt;&gt;"",$J254=$K254,$J254&gt;=Q$3,$J254&lt;=IF(param_mode_affichage="mois",EOMONTH(Q$3,0),Q$3+6)),"◆",""))</f>
      </c>
      <c r="R254" s="26">
        <f>IF(OR($A254="",R$3=""),"",IF(AND($J254&lt;&gt;"",$K254&lt;&gt;"",$J254=$K254,$J254&gt;=R$3,$J254&lt;=IF(param_mode_affichage="mois",EOMONTH(R$3,0),R$3+6)),"◆",""))</f>
      </c>
      <c r="S254" s="26">
        <f>IF(OR($A254="",S$3=""),"",IF(AND($J254&lt;&gt;"",$K254&lt;&gt;"",$J254=$K254,$J254&gt;=S$3,$J254&lt;=IF(param_mode_affichage="mois",EOMONTH(S$3,0),S$3+6)),"◆",""))</f>
      </c>
      <c r="T254" s="26">
        <f>IF(OR($A254="",T$3=""),"",IF(AND($J254&lt;&gt;"",$K254&lt;&gt;"",$J254=$K254,$J254&gt;=T$3,$J254&lt;=IF(param_mode_affichage="mois",EOMONTH(T$3,0),T$3+6)),"◆",""))</f>
      </c>
      <c r="U254" s="26">
        <f>IF(OR($A254="",U$3=""),"",IF(AND($J254&lt;&gt;"",$K254&lt;&gt;"",$J254=$K254,$J254&gt;=U$3,$J254&lt;=IF(param_mode_affichage="mois",EOMONTH(U$3,0),U$3+6)),"◆",""))</f>
      </c>
      <c r="V254" s="26">
        <f>IF(OR($A254="",V$3=""),"",IF(AND($J254&lt;&gt;"",$K254&lt;&gt;"",$J254=$K254,$J254&gt;=V$3,$J254&lt;=IF(param_mode_affichage="mois",EOMONTH(V$3,0),V$3+6)),"◆",""))</f>
      </c>
      <c r="W254" s="26">
        <f>IF(OR($A254="",W$3=""),"",IF(AND($J254&lt;&gt;"",$K254&lt;&gt;"",$J254=$K254,$J254&gt;=W$3,$J254&lt;=IF(param_mode_affichage="mois",EOMONTH(W$3,0),W$3+6)),"◆",""))</f>
      </c>
      <c r="X254" s="26">
        <f>IF(OR($A254="",X$3=""),"",IF(AND($J254&lt;&gt;"",$K254&lt;&gt;"",$J254=$K254,$J254&gt;=X$3,$J254&lt;=IF(param_mode_affichage="mois",EOMONTH(X$3,0),X$3+6)),"◆",""))</f>
      </c>
      <c r="Y254" s="26">
        <f>IF(OR($A254="",Y$3=""),"",IF(AND($J254&lt;&gt;"",$K254&lt;&gt;"",$J254=$K254,$J254&gt;=Y$3,$J254&lt;=IF(param_mode_affichage="mois",EOMONTH(Y$3,0),Y$3+6)),"◆",""))</f>
      </c>
      <c r="Z254" s="26">
        <f>IF(OR($A254="",Z$3=""),"",IF(AND($J254&lt;&gt;"",$K254&lt;&gt;"",$J254=$K254,$J254&gt;=Z$3,$J254&lt;=IF(param_mode_affichage="mois",EOMONTH(Z$3,0),Z$3+6)),"◆",""))</f>
      </c>
      <c r="AA254" s="26">
        <f>IF(OR($A254="",AA$3=""),"",IF(AND($J254&lt;&gt;"",$K254&lt;&gt;"",$J254=$K254,$J254&gt;=AA$3,$J254&lt;=IF(param_mode_affichage="mois",EOMONTH(AA$3,0),AA$3+6)),"◆",""))</f>
      </c>
      <c r="AB254" s="26">
        <f>IF(OR($A254="",AB$3=""),"",IF(AND($J254&lt;&gt;"",$K254&lt;&gt;"",$J254=$K254,$J254&gt;=AB$3,$J254&lt;=IF(param_mode_affichage="mois",EOMONTH(AB$3,0),AB$3+6)),"◆",""))</f>
      </c>
      <c r="AC254" s="26">
        <f>IF(OR($A254="",AC$3=""),"",IF(AND($J254&lt;&gt;"",$K254&lt;&gt;"",$J254=$K254,$J254&gt;=AC$3,$J254&lt;=IF(param_mode_affichage="mois",EOMONTH(AC$3,0),AC$3+6)),"◆",""))</f>
      </c>
      <c r="AD254" s="26">
        <f>IF(OR($A254="",AD$3=""),"",IF(AND($J254&lt;&gt;"",$K254&lt;&gt;"",$J254=$K254,$J254&gt;=AD$3,$J254&lt;=IF(param_mode_affichage="mois",EOMONTH(AD$3,0),AD$3+6)),"◆",""))</f>
      </c>
      <c r="AE254" s="26">
        <f>IF(OR($A254="",AE$3=""),"",IF(AND($J254&lt;&gt;"",$K254&lt;&gt;"",$J254=$K254,$J254&gt;=AE$3,$J254&lt;=IF(param_mode_affichage="mois",EOMONTH(AE$3,0),AE$3+6)),"◆",""))</f>
      </c>
      <c r="AF254" s="26">
        <f>IF(OR($A254="",AF$3=""),"",IF(AND($J254&lt;&gt;"",$K254&lt;&gt;"",$J254=$K254,$J254&gt;=AF$3,$J254&lt;=IF(param_mode_affichage="mois",EOMONTH(AF$3,0),AF$3+6)),"◆",""))</f>
      </c>
      <c r="AG254" s="26">
        <f>IF(OR($A254="",AG$3=""),"",IF(AND($J254&lt;&gt;"",$K254&lt;&gt;"",$J254=$K254,$J254&gt;=AG$3,$J254&lt;=IF(param_mode_affichage="mois",EOMONTH(AG$3,0),AG$3+6)),"◆",""))</f>
      </c>
      <c r="AH254" s="26">
        <f>IF(OR($A254="",AH$3=""),"",IF(AND($J254&lt;&gt;"",$K254&lt;&gt;"",$J254=$K254,$J254&gt;=AH$3,$J254&lt;=IF(param_mode_affichage="mois",EOMONTH(AH$3,0),AH$3+6)),"◆",""))</f>
      </c>
      <c r="AI254" s="26">
        <f>IF(OR($A254="",AI$3=""),"",IF(AND($J254&lt;&gt;"",$K254&lt;&gt;"",$J254=$K254,$J254&gt;=AI$3,$J254&lt;=IF(param_mode_affichage="mois",EOMONTH(AI$3,0),AI$3+6)),"◆",""))</f>
      </c>
      <c r="AJ254" s="26">
        <f>IF(OR($A254="",AJ$3=""),"",IF(AND($J254&lt;&gt;"",$K254&lt;&gt;"",$J254=$K254,$J254&gt;=AJ$3,$J254&lt;=IF(param_mode_affichage="mois",EOMONTH(AJ$3,0),AJ$3+6)),"◆",""))</f>
      </c>
      <c r="AK254" s="26">
        <f>IF(OR($A254="",AK$3=""),"",IF(AND($J254&lt;&gt;"",$K254&lt;&gt;"",$J254=$K254,$J254&gt;=AK$3,$J254&lt;=IF(param_mode_affichage="mois",EOMONTH(AK$3,0),AK$3+6)),"◆",""))</f>
      </c>
      <c r="AL254" s="26">
        <f>IF(OR($A254="",AL$3=""),"",IF(AND($J254&lt;&gt;"",$K254&lt;&gt;"",$J254=$K254,$J254&gt;=AL$3,$J254&lt;=IF(param_mode_affichage="mois",EOMONTH(AL$3,0),AL$3+6)),"◆",""))</f>
      </c>
      <c r="AM254" s="26">
        <f>IF(OR($A254="",AM$3=""),"",IF(AND($J254&lt;&gt;"",$K254&lt;&gt;"",$J254=$K254,$J254&gt;=AM$3,$J254&lt;=IF(param_mode_affichage="mois",EOMONTH(AM$3,0),AM$3+6)),"◆",""))</f>
      </c>
      <c r="AN254" s="26">
        <f>IF(OR($A254="",AN$3=""),"",IF(AND($J254&lt;&gt;"",$K254&lt;&gt;"",$J254=$K254,$J254&gt;=AN$3,$J254&lt;=IF(param_mode_affichage="mois",EOMONTH(AN$3,0),AN$3+6)),"◆",""))</f>
      </c>
      <c r="AO254" s="26">
        <f>IF(OR($A254="",AO$3=""),"",IF(AND($J254&lt;&gt;"",$K254&lt;&gt;"",$J254=$K254,$J254&gt;=AO$3,$J254&lt;=IF(param_mode_affichage="mois",EOMONTH(AO$3,0),AO$3+6)),"◆",""))</f>
      </c>
      <c r="AP254" s="26">
        <f>IF(OR($A254="",AP$3=""),"",IF(AND($J254&lt;&gt;"",$K254&lt;&gt;"",$J254=$K254,$J254&gt;=AP$3,$J254&lt;=IF(param_mode_affichage="mois",EOMONTH(AP$3,0),AP$3+6)),"◆",""))</f>
      </c>
      <c r="AQ254" s="26">
        <f>IF(OR($A254="",AQ$3=""),"",IF(AND($J254&lt;&gt;"",$K254&lt;&gt;"",$J254=$K254,$J254&gt;=AQ$3,$J254&lt;=IF(param_mode_affichage="mois",EOMONTH(AQ$3,0),AQ$3+6)),"◆",""))</f>
      </c>
      <c r="AR254" s="26">
        <f>IF(OR($A254="",AR$3=""),"",IF(AND($J254&lt;&gt;"",$K254&lt;&gt;"",$J254=$K254,$J254&gt;=AR$3,$J254&lt;=IF(param_mode_affichage="mois",EOMONTH(AR$3,0),AR$3+6)),"◆",""))</f>
      </c>
      <c r="AS254" s="26">
        <f>IF(OR($A254="",AS$3=""),"",IF(AND($J254&lt;&gt;"",$K254&lt;&gt;"",$J254=$K254,$J254&gt;=AS$3,$J254&lt;=IF(param_mode_affichage="mois",EOMONTH(AS$3,0),AS$3+6)),"◆",""))</f>
      </c>
      <c r="AT254" s="26">
        <f>IF(OR($A254="",AT$3=""),"",IF(AND($J254&lt;&gt;"",$K254&lt;&gt;"",$J254=$K254,$J254&gt;=AT$3,$J254&lt;=IF(param_mode_affichage="mois",EOMONTH(AT$3,0),AT$3+6)),"◆",""))</f>
      </c>
      <c r="AU254" s="26">
        <f>IF(OR($A254="",AU$3=""),"",IF(AND($J254&lt;&gt;"",$K254&lt;&gt;"",$J254=$K254,$J254&gt;=AU$3,$J254&lt;=IF(param_mode_affichage="mois",EOMONTH(AU$3,0),AU$3+6)),"◆",""))</f>
      </c>
      <c r="AV254" s="26">
        <f>IF(OR($A254="",AV$3=""),"",IF(AND($J254&lt;&gt;"",$K254&lt;&gt;"",$J254=$K254,$J254&gt;=AV$3,$J254&lt;=IF(param_mode_affichage="mois",EOMONTH(AV$3,0),AV$3+6)),"◆",""))</f>
      </c>
      <c r="AW254" s="26">
        <f>IF(OR($A254="",AW$3=""),"",IF(AND($J254&lt;&gt;"",$K254&lt;&gt;"",$J254=$K254,$J254&gt;=AW$3,$J254&lt;=IF(param_mode_affichage="mois",EOMONTH(AW$3,0),AW$3+6)),"◆",""))</f>
      </c>
      <c r="AX254" s="26">
        <f>IF(OR($A254="",AX$3=""),"",IF(AND($J254&lt;&gt;"",$K254&lt;&gt;"",$J254=$K254,$J254&gt;=AX$3,$J254&lt;=IF(param_mode_affichage="mois",EOMONTH(AX$3,0),AX$3+6)),"◆",""))</f>
      </c>
      <c r="AY254" s="26">
        <f>IF(OR($A254="",AY$3=""),"",IF(AND($J254&lt;&gt;"",$K254&lt;&gt;"",$J254=$K254,$J254&gt;=AY$3,$J254&lt;=IF(param_mode_affichage="mois",EOMONTH(AY$3,0),AY$3+6)),"◆",""))</f>
      </c>
      <c r="AZ254" s="26">
        <f>IF(OR($A254="",AZ$3=""),"",IF(AND($J254&lt;&gt;"",$K254&lt;&gt;"",$J254=$K254,$J254&gt;=AZ$3,$J254&lt;=IF(param_mode_affichage="mois",EOMONTH(AZ$3,0),AZ$3+6)),"◆",""))</f>
      </c>
      <c r="BA254" s="26">
        <f>IF(OR($A254="",BA$3=""),"",IF(AND($J254&lt;&gt;"",$K254&lt;&gt;"",$J254=$K254,$J254&gt;=BA$3,$J254&lt;=IF(param_mode_affichage="mois",EOMONTH(BA$3,0),BA$3+6)),"◆",""))</f>
      </c>
      <c r="BB254" s="26">
        <f>IF(OR($A254="",BB$3=""),"",IF(AND($J254&lt;&gt;"",$K254&lt;&gt;"",$J254=$K254,$J254&gt;=BB$3,$J254&lt;=IF(param_mode_affichage="mois",EOMONTH(BB$3,0),BB$3+6)),"◆",""))</f>
      </c>
      <c r="BC254" s="26">
        <f>IF(OR($A254="",BC$3=""),"",IF(AND($J254&lt;&gt;"",$K254&lt;&gt;"",$J254=$K254,$J254&gt;=BC$3,$J254&lt;=IF(param_mode_affichage="mois",EOMONTH(BC$3,0),BC$3+6)),"◆",""))</f>
      </c>
      <c r="BD254" s="26">
        <f>IF(OR($A254="",BD$3=""),"",IF(AND($J254&lt;&gt;"",$K254&lt;&gt;"",$J254=$K254,$J254&gt;=BD$3,$J254&lt;=IF(param_mode_affichage="mois",EOMONTH(BD$3,0),BD$3+6)),"◆",""))</f>
      </c>
      <c r="BE254" s="26">
        <f>IF(OR($A254="",BE$3=""),"",IF(AND($J254&lt;&gt;"",$K254&lt;&gt;"",$J254=$K254,$J254&gt;=BE$3,$J254&lt;=IF(param_mode_affichage="mois",EOMONTH(BE$3,0),BE$3+6)),"◆",""))</f>
      </c>
      <c r="BF254" s="26">
        <f>IF(OR($A254="",BF$3=""),"",IF(AND($J254&lt;&gt;"",$K254&lt;&gt;"",$J254=$K254,$J254&gt;=BF$3,$J254&lt;=IF(param_mode_affichage="mois",EOMONTH(BF$3,0),BF$3+6)),"◆",""))</f>
      </c>
      <c r="BG254" s="26">
        <f>IF(OR($A254="",BG$3=""),"",IF(AND($J254&lt;&gt;"",$K254&lt;&gt;"",$J254=$K254,$J254&gt;=BG$3,$J254&lt;=IF(param_mode_affichage="mois",EOMONTH(BG$3,0),BG$3+6)),"◆",""))</f>
      </c>
      <c r="BH254" s="26">
        <f>IF(OR($A254="",BH$3=""),"",IF(AND($J254&lt;&gt;"",$K254&lt;&gt;"",$J254=$K254,$J254&gt;=BH$3,$J254&lt;=IF(param_mode_affichage="mois",EOMONTH(BH$3,0),BH$3+6)),"◆",""))</f>
      </c>
      <c r="BI254" s="26">
        <f>IF(OR($A254="",BI$3=""),"",IF(AND($J254&lt;&gt;"",$K254&lt;&gt;"",$J254=$K254,$J254&gt;=BI$3,$J254&lt;=IF(param_mode_affichage="mois",EOMONTH(BI$3,0),BI$3+6)),"◆",""))</f>
      </c>
      <c r="BJ254" s="26">
        <f>IF(OR($A254="",BJ$3=""),"",IF(AND($J254&lt;&gt;"",$K254&lt;&gt;"",$J254=$K254,$J254&gt;=BJ$3,$J254&lt;=IF(param_mode_affichage="mois",EOMONTH(BJ$3,0),BJ$3+6)),"◆",""))</f>
      </c>
      <c r="BK254" s="26">
        <f>IF(OR($A254="",BK$3=""),"",IF(AND($J254&lt;&gt;"",$K254&lt;&gt;"",$J254=$K254,$J254&gt;=BK$3,$J254&lt;=IF(param_mode_affichage="mois",EOMONTH(BK$3,0),BK$3+6)),"◆",""))</f>
      </c>
      <c r="BL254" s="26">
        <f>IF(OR($A254="",BL$3=""),"",IF(AND($J254&lt;&gt;"",$K254&lt;&gt;"",$J254=$K254,$J254&gt;=BL$3,$J254&lt;=IF(param_mode_affichage="mois",EOMONTH(BL$3,0),BL$3+6)),"◆",""))</f>
      </c>
    </row>
    <row r="255" spans="1:64" x14ac:dyDescent="0.25">
      <c r="A255" s="23">
        <f>IFERROR(INDEX(tblTasks[ID],ROW()-4),"")</f>
      </c>
      <c r="B255" s="24">
        <f>IF($A255="","",INDEX(tblTasks[Sujet],ROW()-4))</f>
      </c>
      <c r="C255" s="23">
        <f>IF($A255="","",INDEX(tblTasks[Responsable],ROW()-4))</f>
      </c>
      <c r="D255" s="23">
        <f>IF($A255="","",INDEX(tblTasks[Statut],ROW()-4))</f>
      </c>
      <c r="E255" s="23">
        <f>IF($A255="","",INDEX(tblTasks[Depend_de],ROW()-4))</f>
      </c>
      <c r="F255" s="23">
        <f>IF($A255="","",INDEX(tblTasks[Blocage],ROW()-4))</f>
      </c>
      <c r="G255" s="23">
        <f>IF($A255="","",INDEX(tblTasks[Niveau_criticite],ROW()-4))</f>
      </c>
      <c r="H255" s="23">
        <f>IF($A255="","",INDEX(tblTasks[Goulot],ROW()-4))</f>
      </c>
      <c r="I255" s="23">
        <f>IF($A255="","",IF(LOWER($F255)="oui","non",IF($E255="","oui",IFERROR(IF(LOWER(INDEX(tblTasks[Statut],MATCH($E255,tblTasks[ID],0)))="clos","oui","non"),"non"))))</f>
      </c>
      <c r="J255" s="25">
        <f>IF($A255="","",INDEX(tblTasks[Date_debut_prevue],ROW()-4))</f>
      </c>
      <c r="K255" s="25">
        <f>IF($A255="","",INDEX(tblTasks[Date_fin_prevue],ROW()-4))</f>
      </c>
      <c r="L255" s="23">
        <f>IF($A255="","",INDEX(tblTasks[Irreversibilite],ROW()-4))</f>
      </c>
      <c r="M255" s="26">
        <f>IF(OR($A255="",M$3=""),"",IF(AND($J255&lt;&gt;"",$K255&lt;&gt;"",$J255=$K255,$J255&gt;=M$3,$J255&lt;=IF(param_mode_affichage="mois",EOMONTH(M$3,0),M$3+6)),"◆",""))</f>
      </c>
      <c r="N255" s="26">
        <f>IF(OR($A255="",N$3=""),"",IF(AND($J255&lt;&gt;"",$K255&lt;&gt;"",$J255=$K255,$J255&gt;=N$3,$J255&lt;=IF(param_mode_affichage="mois",EOMONTH(N$3,0),N$3+6)),"◆",""))</f>
      </c>
      <c r="O255" s="26">
        <f>IF(OR($A255="",O$3=""),"",IF(AND($J255&lt;&gt;"",$K255&lt;&gt;"",$J255=$K255,$J255&gt;=O$3,$J255&lt;=IF(param_mode_affichage="mois",EOMONTH(O$3,0),O$3+6)),"◆",""))</f>
      </c>
      <c r="P255" s="26">
        <f>IF(OR($A255="",P$3=""),"",IF(AND($J255&lt;&gt;"",$K255&lt;&gt;"",$J255=$K255,$J255&gt;=P$3,$J255&lt;=IF(param_mode_affichage="mois",EOMONTH(P$3,0),P$3+6)),"◆",""))</f>
      </c>
      <c r="Q255" s="26">
        <f>IF(OR($A255="",Q$3=""),"",IF(AND($J255&lt;&gt;"",$K255&lt;&gt;"",$J255=$K255,$J255&gt;=Q$3,$J255&lt;=IF(param_mode_affichage="mois",EOMONTH(Q$3,0),Q$3+6)),"◆",""))</f>
      </c>
      <c r="R255" s="26">
        <f>IF(OR($A255="",R$3=""),"",IF(AND($J255&lt;&gt;"",$K255&lt;&gt;"",$J255=$K255,$J255&gt;=R$3,$J255&lt;=IF(param_mode_affichage="mois",EOMONTH(R$3,0),R$3+6)),"◆",""))</f>
      </c>
      <c r="S255" s="26">
        <f>IF(OR($A255="",S$3=""),"",IF(AND($J255&lt;&gt;"",$K255&lt;&gt;"",$J255=$K255,$J255&gt;=S$3,$J255&lt;=IF(param_mode_affichage="mois",EOMONTH(S$3,0),S$3+6)),"◆",""))</f>
      </c>
      <c r="T255" s="26">
        <f>IF(OR($A255="",T$3=""),"",IF(AND($J255&lt;&gt;"",$K255&lt;&gt;"",$J255=$K255,$J255&gt;=T$3,$J255&lt;=IF(param_mode_affichage="mois",EOMONTH(T$3,0),T$3+6)),"◆",""))</f>
      </c>
      <c r="U255" s="26">
        <f>IF(OR($A255="",U$3=""),"",IF(AND($J255&lt;&gt;"",$K255&lt;&gt;"",$J255=$K255,$J255&gt;=U$3,$J255&lt;=IF(param_mode_affichage="mois",EOMONTH(U$3,0),U$3+6)),"◆",""))</f>
      </c>
      <c r="V255" s="26">
        <f>IF(OR($A255="",V$3=""),"",IF(AND($J255&lt;&gt;"",$K255&lt;&gt;"",$J255=$K255,$J255&gt;=V$3,$J255&lt;=IF(param_mode_affichage="mois",EOMONTH(V$3,0),V$3+6)),"◆",""))</f>
      </c>
      <c r="W255" s="26">
        <f>IF(OR($A255="",W$3=""),"",IF(AND($J255&lt;&gt;"",$K255&lt;&gt;"",$J255=$K255,$J255&gt;=W$3,$J255&lt;=IF(param_mode_affichage="mois",EOMONTH(W$3,0),W$3+6)),"◆",""))</f>
      </c>
      <c r="X255" s="26">
        <f>IF(OR($A255="",X$3=""),"",IF(AND($J255&lt;&gt;"",$K255&lt;&gt;"",$J255=$K255,$J255&gt;=X$3,$J255&lt;=IF(param_mode_affichage="mois",EOMONTH(X$3,0),X$3+6)),"◆",""))</f>
      </c>
      <c r="Y255" s="26">
        <f>IF(OR($A255="",Y$3=""),"",IF(AND($J255&lt;&gt;"",$K255&lt;&gt;"",$J255=$K255,$J255&gt;=Y$3,$J255&lt;=IF(param_mode_affichage="mois",EOMONTH(Y$3,0),Y$3+6)),"◆",""))</f>
      </c>
      <c r="Z255" s="26">
        <f>IF(OR($A255="",Z$3=""),"",IF(AND($J255&lt;&gt;"",$K255&lt;&gt;"",$J255=$K255,$J255&gt;=Z$3,$J255&lt;=IF(param_mode_affichage="mois",EOMONTH(Z$3,0),Z$3+6)),"◆",""))</f>
      </c>
      <c r="AA255" s="26">
        <f>IF(OR($A255="",AA$3=""),"",IF(AND($J255&lt;&gt;"",$K255&lt;&gt;"",$J255=$K255,$J255&gt;=AA$3,$J255&lt;=IF(param_mode_affichage="mois",EOMONTH(AA$3,0),AA$3+6)),"◆",""))</f>
      </c>
      <c r="AB255" s="26">
        <f>IF(OR($A255="",AB$3=""),"",IF(AND($J255&lt;&gt;"",$K255&lt;&gt;"",$J255=$K255,$J255&gt;=AB$3,$J255&lt;=IF(param_mode_affichage="mois",EOMONTH(AB$3,0),AB$3+6)),"◆",""))</f>
      </c>
      <c r="AC255" s="26">
        <f>IF(OR($A255="",AC$3=""),"",IF(AND($J255&lt;&gt;"",$K255&lt;&gt;"",$J255=$K255,$J255&gt;=AC$3,$J255&lt;=IF(param_mode_affichage="mois",EOMONTH(AC$3,0),AC$3+6)),"◆",""))</f>
      </c>
      <c r="AD255" s="26">
        <f>IF(OR($A255="",AD$3=""),"",IF(AND($J255&lt;&gt;"",$K255&lt;&gt;"",$J255=$K255,$J255&gt;=AD$3,$J255&lt;=IF(param_mode_affichage="mois",EOMONTH(AD$3,0),AD$3+6)),"◆",""))</f>
      </c>
      <c r="AE255" s="26">
        <f>IF(OR($A255="",AE$3=""),"",IF(AND($J255&lt;&gt;"",$K255&lt;&gt;"",$J255=$K255,$J255&gt;=AE$3,$J255&lt;=IF(param_mode_affichage="mois",EOMONTH(AE$3,0),AE$3+6)),"◆",""))</f>
      </c>
      <c r="AF255" s="26">
        <f>IF(OR($A255="",AF$3=""),"",IF(AND($J255&lt;&gt;"",$K255&lt;&gt;"",$J255=$K255,$J255&gt;=AF$3,$J255&lt;=IF(param_mode_affichage="mois",EOMONTH(AF$3,0),AF$3+6)),"◆",""))</f>
      </c>
      <c r="AG255" s="26">
        <f>IF(OR($A255="",AG$3=""),"",IF(AND($J255&lt;&gt;"",$K255&lt;&gt;"",$J255=$K255,$J255&gt;=AG$3,$J255&lt;=IF(param_mode_affichage="mois",EOMONTH(AG$3,0),AG$3+6)),"◆",""))</f>
      </c>
      <c r="AH255" s="26">
        <f>IF(OR($A255="",AH$3=""),"",IF(AND($J255&lt;&gt;"",$K255&lt;&gt;"",$J255=$K255,$J255&gt;=AH$3,$J255&lt;=IF(param_mode_affichage="mois",EOMONTH(AH$3,0),AH$3+6)),"◆",""))</f>
      </c>
      <c r="AI255" s="26">
        <f>IF(OR($A255="",AI$3=""),"",IF(AND($J255&lt;&gt;"",$K255&lt;&gt;"",$J255=$K255,$J255&gt;=AI$3,$J255&lt;=IF(param_mode_affichage="mois",EOMONTH(AI$3,0),AI$3+6)),"◆",""))</f>
      </c>
      <c r="AJ255" s="26">
        <f>IF(OR($A255="",AJ$3=""),"",IF(AND($J255&lt;&gt;"",$K255&lt;&gt;"",$J255=$K255,$J255&gt;=AJ$3,$J255&lt;=IF(param_mode_affichage="mois",EOMONTH(AJ$3,0),AJ$3+6)),"◆",""))</f>
      </c>
      <c r="AK255" s="26">
        <f>IF(OR($A255="",AK$3=""),"",IF(AND($J255&lt;&gt;"",$K255&lt;&gt;"",$J255=$K255,$J255&gt;=AK$3,$J255&lt;=IF(param_mode_affichage="mois",EOMONTH(AK$3,0),AK$3+6)),"◆",""))</f>
      </c>
      <c r="AL255" s="26">
        <f>IF(OR($A255="",AL$3=""),"",IF(AND($J255&lt;&gt;"",$K255&lt;&gt;"",$J255=$K255,$J255&gt;=AL$3,$J255&lt;=IF(param_mode_affichage="mois",EOMONTH(AL$3,0),AL$3+6)),"◆",""))</f>
      </c>
      <c r="AM255" s="26">
        <f>IF(OR($A255="",AM$3=""),"",IF(AND($J255&lt;&gt;"",$K255&lt;&gt;"",$J255=$K255,$J255&gt;=AM$3,$J255&lt;=IF(param_mode_affichage="mois",EOMONTH(AM$3,0),AM$3+6)),"◆",""))</f>
      </c>
      <c r="AN255" s="26">
        <f>IF(OR($A255="",AN$3=""),"",IF(AND($J255&lt;&gt;"",$K255&lt;&gt;"",$J255=$K255,$J255&gt;=AN$3,$J255&lt;=IF(param_mode_affichage="mois",EOMONTH(AN$3,0),AN$3+6)),"◆",""))</f>
      </c>
      <c r="AO255" s="26">
        <f>IF(OR($A255="",AO$3=""),"",IF(AND($J255&lt;&gt;"",$K255&lt;&gt;"",$J255=$K255,$J255&gt;=AO$3,$J255&lt;=IF(param_mode_affichage="mois",EOMONTH(AO$3,0),AO$3+6)),"◆",""))</f>
      </c>
      <c r="AP255" s="26">
        <f>IF(OR($A255="",AP$3=""),"",IF(AND($J255&lt;&gt;"",$K255&lt;&gt;"",$J255=$K255,$J255&gt;=AP$3,$J255&lt;=IF(param_mode_affichage="mois",EOMONTH(AP$3,0),AP$3+6)),"◆",""))</f>
      </c>
      <c r="AQ255" s="26">
        <f>IF(OR($A255="",AQ$3=""),"",IF(AND($J255&lt;&gt;"",$K255&lt;&gt;"",$J255=$K255,$J255&gt;=AQ$3,$J255&lt;=IF(param_mode_affichage="mois",EOMONTH(AQ$3,0),AQ$3+6)),"◆",""))</f>
      </c>
      <c r="AR255" s="26">
        <f>IF(OR($A255="",AR$3=""),"",IF(AND($J255&lt;&gt;"",$K255&lt;&gt;"",$J255=$K255,$J255&gt;=AR$3,$J255&lt;=IF(param_mode_affichage="mois",EOMONTH(AR$3,0),AR$3+6)),"◆",""))</f>
      </c>
      <c r="AS255" s="26">
        <f>IF(OR($A255="",AS$3=""),"",IF(AND($J255&lt;&gt;"",$K255&lt;&gt;"",$J255=$K255,$J255&gt;=AS$3,$J255&lt;=IF(param_mode_affichage="mois",EOMONTH(AS$3,0),AS$3+6)),"◆",""))</f>
      </c>
      <c r="AT255" s="26">
        <f>IF(OR($A255="",AT$3=""),"",IF(AND($J255&lt;&gt;"",$K255&lt;&gt;"",$J255=$K255,$J255&gt;=AT$3,$J255&lt;=IF(param_mode_affichage="mois",EOMONTH(AT$3,0),AT$3+6)),"◆",""))</f>
      </c>
      <c r="AU255" s="26">
        <f>IF(OR($A255="",AU$3=""),"",IF(AND($J255&lt;&gt;"",$K255&lt;&gt;"",$J255=$K255,$J255&gt;=AU$3,$J255&lt;=IF(param_mode_affichage="mois",EOMONTH(AU$3,0),AU$3+6)),"◆",""))</f>
      </c>
      <c r="AV255" s="26">
        <f>IF(OR($A255="",AV$3=""),"",IF(AND($J255&lt;&gt;"",$K255&lt;&gt;"",$J255=$K255,$J255&gt;=AV$3,$J255&lt;=IF(param_mode_affichage="mois",EOMONTH(AV$3,0),AV$3+6)),"◆",""))</f>
      </c>
      <c r="AW255" s="26">
        <f>IF(OR($A255="",AW$3=""),"",IF(AND($J255&lt;&gt;"",$K255&lt;&gt;"",$J255=$K255,$J255&gt;=AW$3,$J255&lt;=IF(param_mode_affichage="mois",EOMONTH(AW$3,0),AW$3+6)),"◆",""))</f>
      </c>
      <c r="AX255" s="26">
        <f>IF(OR($A255="",AX$3=""),"",IF(AND($J255&lt;&gt;"",$K255&lt;&gt;"",$J255=$K255,$J255&gt;=AX$3,$J255&lt;=IF(param_mode_affichage="mois",EOMONTH(AX$3,0),AX$3+6)),"◆",""))</f>
      </c>
      <c r="AY255" s="26">
        <f>IF(OR($A255="",AY$3=""),"",IF(AND($J255&lt;&gt;"",$K255&lt;&gt;"",$J255=$K255,$J255&gt;=AY$3,$J255&lt;=IF(param_mode_affichage="mois",EOMONTH(AY$3,0),AY$3+6)),"◆",""))</f>
      </c>
      <c r="AZ255" s="26">
        <f>IF(OR($A255="",AZ$3=""),"",IF(AND($J255&lt;&gt;"",$K255&lt;&gt;"",$J255=$K255,$J255&gt;=AZ$3,$J255&lt;=IF(param_mode_affichage="mois",EOMONTH(AZ$3,0),AZ$3+6)),"◆",""))</f>
      </c>
      <c r="BA255" s="26">
        <f>IF(OR($A255="",BA$3=""),"",IF(AND($J255&lt;&gt;"",$K255&lt;&gt;"",$J255=$K255,$J255&gt;=BA$3,$J255&lt;=IF(param_mode_affichage="mois",EOMONTH(BA$3,0),BA$3+6)),"◆",""))</f>
      </c>
      <c r="BB255" s="26">
        <f>IF(OR($A255="",BB$3=""),"",IF(AND($J255&lt;&gt;"",$K255&lt;&gt;"",$J255=$K255,$J255&gt;=BB$3,$J255&lt;=IF(param_mode_affichage="mois",EOMONTH(BB$3,0),BB$3+6)),"◆",""))</f>
      </c>
      <c r="BC255" s="26">
        <f>IF(OR($A255="",BC$3=""),"",IF(AND($J255&lt;&gt;"",$K255&lt;&gt;"",$J255=$K255,$J255&gt;=BC$3,$J255&lt;=IF(param_mode_affichage="mois",EOMONTH(BC$3,0),BC$3+6)),"◆",""))</f>
      </c>
      <c r="BD255" s="26">
        <f>IF(OR($A255="",BD$3=""),"",IF(AND($J255&lt;&gt;"",$K255&lt;&gt;"",$J255=$K255,$J255&gt;=BD$3,$J255&lt;=IF(param_mode_affichage="mois",EOMONTH(BD$3,0),BD$3+6)),"◆",""))</f>
      </c>
      <c r="BE255" s="26">
        <f>IF(OR($A255="",BE$3=""),"",IF(AND($J255&lt;&gt;"",$K255&lt;&gt;"",$J255=$K255,$J255&gt;=BE$3,$J255&lt;=IF(param_mode_affichage="mois",EOMONTH(BE$3,0),BE$3+6)),"◆",""))</f>
      </c>
      <c r="BF255" s="26">
        <f>IF(OR($A255="",BF$3=""),"",IF(AND($J255&lt;&gt;"",$K255&lt;&gt;"",$J255=$K255,$J255&gt;=BF$3,$J255&lt;=IF(param_mode_affichage="mois",EOMONTH(BF$3,0),BF$3+6)),"◆",""))</f>
      </c>
      <c r="BG255" s="26">
        <f>IF(OR($A255="",BG$3=""),"",IF(AND($J255&lt;&gt;"",$K255&lt;&gt;"",$J255=$K255,$J255&gt;=BG$3,$J255&lt;=IF(param_mode_affichage="mois",EOMONTH(BG$3,0),BG$3+6)),"◆",""))</f>
      </c>
      <c r="BH255" s="26">
        <f>IF(OR($A255="",BH$3=""),"",IF(AND($J255&lt;&gt;"",$K255&lt;&gt;"",$J255=$K255,$J255&gt;=BH$3,$J255&lt;=IF(param_mode_affichage="mois",EOMONTH(BH$3,0),BH$3+6)),"◆",""))</f>
      </c>
      <c r="BI255" s="26">
        <f>IF(OR($A255="",BI$3=""),"",IF(AND($J255&lt;&gt;"",$K255&lt;&gt;"",$J255=$K255,$J255&gt;=BI$3,$J255&lt;=IF(param_mode_affichage="mois",EOMONTH(BI$3,0),BI$3+6)),"◆",""))</f>
      </c>
      <c r="BJ255" s="26">
        <f>IF(OR($A255="",BJ$3=""),"",IF(AND($J255&lt;&gt;"",$K255&lt;&gt;"",$J255=$K255,$J255&gt;=BJ$3,$J255&lt;=IF(param_mode_affichage="mois",EOMONTH(BJ$3,0),BJ$3+6)),"◆",""))</f>
      </c>
      <c r="BK255" s="26">
        <f>IF(OR($A255="",BK$3=""),"",IF(AND($J255&lt;&gt;"",$K255&lt;&gt;"",$J255=$K255,$J255&gt;=BK$3,$J255&lt;=IF(param_mode_affichage="mois",EOMONTH(BK$3,0),BK$3+6)),"◆",""))</f>
      </c>
      <c r="BL255" s="26">
        <f>IF(OR($A255="",BL$3=""),"",IF(AND($J255&lt;&gt;"",$K255&lt;&gt;"",$J255=$K255,$J255&gt;=BL$3,$J255&lt;=IF(param_mode_affichage="mois",EOMONTH(BL$3,0),BL$3+6)),"◆",""))</f>
      </c>
    </row>
    <row r="256" spans="1:64" x14ac:dyDescent="0.25">
      <c r="A256" s="23">
        <f>IFERROR(INDEX(tblTasks[ID],ROW()-4),"")</f>
      </c>
      <c r="B256" s="24">
        <f>IF($A256="","",INDEX(tblTasks[Sujet],ROW()-4))</f>
      </c>
      <c r="C256" s="23">
        <f>IF($A256="","",INDEX(tblTasks[Responsable],ROW()-4))</f>
      </c>
      <c r="D256" s="23">
        <f>IF($A256="","",INDEX(tblTasks[Statut],ROW()-4))</f>
      </c>
      <c r="E256" s="23">
        <f>IF($A256="","",INDEX(tblTasks[Depend_de],ROW()-4))</f>
      </c>
      <c r="F256" s="23">
        <f>IF($A256="","",INDEX(tblTasks[Blocage],ROW()-4))</f>
      </c>
      <c r="G256" s="23">
        <f>IF($A256="","",INDEX(tblTasks[Niveau_criticite],ROW()-4))</f>
      </c>
      <c r="H256" s="23">
        <f>IF($A256="","",INDEX(tblTasks[Goulot],ROW()-4))</f>
      </c>
      <c r="I256" s="23">
        <f>IF($A256="","",IF(LOWER($F256)="oui","non",IF($E256="","oui",IFERROR(IF(LOWER(INDEX(tblTasks[Statut],MATCH($E256,tblTasks[ID],0)))="clos","oui","non"),"non"))))</f>
      </c>
      <c r="J256" s="25">
        <f>IF($A256="","",INDEX(tblTasks[Date_debut_prevue],ROW()-4))</f>
      </c>
      <c r="K256" s="25">
        <f>IF($A256="","",INDEX(tblTasks[Date_fin_prevue],ROW()-4))</f>
      </c>
      <c r="L256" s="23">
        <f>IF($A256="","",INDEX(tblTasks[Irreversibilite],ROW()-4))</f>
      </c>
      <c r="M256" s="26">
        <f>IF(OR($A256="",M$3=""),"",IF(AND($J256&lt;&gt;"",$K256&lt;&gt;"",$J256=$K256,$J256&gt;=M$3,$J256&lt;=IF(param_mode_affichage="mois",EOMONTH(M$3,0),M$3+6)),"◆",""))</f>
      </c>
      <c r="N256" s="26">
        <f>IF(OR($A256="",N$3=""),"",IF(AND($J256&lt;&gt;"",$K256&lt;&gt;"",$J256=$K256,$J256&gt;=N$3,$J256&lt;=IF(param_mode_affichage="mois",EOMONTH(N$3,0),N$3+6)),"◆",""))</f>
      </c>
      <c r="O256" s="26">
        <f>IF(OR($A256="",O$3=""),"",IF(AND($J256&lt;&gt;"",$K256&lt;&gt;"",$J256=$K256,$J256&gt;=O$3,$J256&lt;=IF(param_mode_affichage="mois",EOMONTH(O$3,0),O$3+6)),"◆",""))</f>
      </c>
      <c r="P256" s="26">
        <f>IF(OR($A256="",P$3=""),"",IF(AND($J256&lt;&gt;"",$K256&lt;&gt;"",$J256=$K256,$J256&gt;=P$3,$J256&lt;=IF(param_mode_affichage="mois",EOMONTH(P$3,0),P$3+6)),"◆",""))</f>
      </c>
      <c r="Q256" s="26">
        <f>IF(OR($A256="",Q$3=""),"",IF(AND($J256&lt;&gt;"",$K256&lt;&gt;"",$J256=$K256,$J256&gt;=Q$3,$J256&lt;=IF(param_mode_affichage="mois",EOMONTH(Q$3,0),Q$3+6)),"◆",""))</f>
      </c>
      <c r="R256" s="26">
        <f>IF(OR($A256="",R$3=""),"",IF(AND($J256&lt;&gt;"",$K256&lt;&gt;"",$J256=$K256,$J256&gt;=R$3,$J256&lt;=IF(param_mode_affichage="mois",EOMONTH(R$3,0),R$3+6)),"◆",""))</f>
      </c>
      <c r="S256" s="26">
        <f>IF(OR($A256="",S$3=""),"",IF(AND($J256&lt;&gt;"",$K256&lt;&gt;"",$J256=$K256,$J256&gt;=S$3,$J256&lt;=IF(param_mode_affichage="mois",EOMONTH(S$3,0),S$3+6)),"◆",""))</f>
      </c>
      <c r="T256" s="26">
        <f>IF(OR($A256="",T$3=""),"",IF(AND($J256&lt;&gt;"",$K256&lt;&gt;"",$J256=$K256,$J256&gt;=T$3,$J256&lt;=IF(param_mode_affichage="mois",EOMONTH(T$3,0),T$3+6)),"◆",""))</f>
      </c>
      <c r="U256" s="26">
        <f>IF(OR($A256="",U$3=""),"",IF(AND($J256&lt;&gt;"",$K256&lt;&gt;"",$J256=$K256,$J256&gt;=U$3,$J256&lt;=IF(param_mode_affichage="mois",EOMONTH(U$3,0),U$3+6)),"◆",""))</f>
      </c>
      <c r="V256" s="26">
        <f>IF(OR($A256="",V$3=""),"",IF(AND($J256&lt;&gt;"",$K256&lt;&gt;"",$J256=$K256,$J256&gt;=V$3,$J256&lt;=IF(param_mode_affichage="mois",EOMONTH(V$3,0),V$3+6)),"◆",""))</f>
      </c>
      <c r="W256" s="26">
        <f>IF(OR($A256="",W$3=""),"",IF(AND($J256&lt;&gt;"",$K256&lt;&gt;"",$J256=$K256,$J256&gt;=W$3,$J256&lt;=IF(param_mode_affichage="mois",EOMONTH(W$3,0),W$3+6)),"◆",""))</f>
      </c>
      <c r="X256" s="26">
        <f>IF(OR($A256="",X$3=""),"",IF(AND($J256&lt;&gt;"",$K256&lt;&gt;"",$J256=$K256,$J256&gt;=X$3,$J256&lt;=IF(param_mode_affichage="mois",EOMONTH(X$3,0),X$3+6)),"◆",""))</f>
      </c>
      <c r="Y256" s="26">
        <f>IF(OR($A256="",Y$3=""),"",IF(AND($J256&lt;&gt;"",$K256&lt;&gt;"",$J256=$K256,$J256&gt;=Y$3,$J256&lt;=IF(param_mode_affichage="mois",EOMONTH(Y$3,0),Y$3+6)),"◆",""))</f>
      </c>
      <c r="Z256" s="26">
        <f>IF(OR($A256="",Z$3=""),"",IF(AND($J256&lt;&gt;"",$K256&lt;&gt;"",$J256=$K256,$J256&gt;=Z$3,$J256&lt;=IF(param_mode_affichage="mois",EOMONTH(Z$3,0),Z$3+6)),"◆",""))</f>
      </c>
      <c r="AA256" s="26">
        <f>IF(OR($A256="",AA$3=""),"",IF(AND($J256&lt;&gt;"",$K256&lt;&gt;"",$J256=$K256,$J256&gt;=AA$3,$J256&lt;=IF(param_mode_affichage="mois",EOMONTH(AA$3,0),AA$3+6)),"◆",""))</f>
      </c>
      <c r="AB256" s="26">
        <f>IF(OR($A256="",AB$3=""),"",IF(AND($J256&lt;&gt;"",$K256&lt;&gt;"",$J256=$K256,$J256&gt;=AB$3,$J256&lt;=IF(param_mode_affichage="mois",EOMONTH(AB$3,0),AB$3+6)),"◆",""))</f>
      </c>
      <c r="AC256" s="26">
        <f>IF(OR($A256="",AC$3=""),"",IF(AND($J256&lt;&gt;"",$K256&lt;&gt;"",$J256=$K256,$J256&gt;=AC$3,$J256&lt;=IF(param_mode_affichage="mois",EOMONTH(AC$3,0),AC$3+6)),"◆",""))</f>
      </c>
      <c r="AD256" s="26">
        <f>IF(OR($A256="",AD$3=""),"",IF(AND($J256&lt;&gt;"",$K256&lt;&gt;"",$J256=$K256,$J256&gt;=AD$3,$J256&lt;=IF(param_mode_affichage="mois",EOMONTH(AD$3,0),AD$3+6)),"◆",""))</f>
      </c>
      <c r="AE256" s="26">
        <f>IF(OR($A256="",AE$3=""),"",IF(AND($J256&lt;&gt;"",$K256&lt;&gt;"",$J256=$K256,$J256&gt;=AE$3,$J256&lt;=IF(param_mode_affichage="mois",EOMONTH(AE$3,0),AE$3+6)),"◆",""))</f>
      </c>
      <c r="AF256" s="26">
        <f>IF(OR($A256="",AF$3=""),"",IF(AND($J256&lt;&gt;"",$K256&lt;&gt;"",$J256=$K256,$J256&gt;=AF$3,$J256&lt;=IF(param_mode_affichage="mois",EOMONTH(AF$3,0),AF$3+6)),"◆",""))</f>
      </c>
      <c r="AG256" s="26">
        <f>IF(OR($A256="",AG$3=""),"",IF(AND($J256&lt;&gt;"",$K256&lt;&gt;"",$J256=$K256,$J256&gt;=AG$3,$J256&lt;=IF(param_mode_affichage="mois",EOMONTH(AG$3,0),AG$3+6)),"◆",""))</f>
      </c>
      <c r="AH256" s="26">
        <f>IF(OR($A256="",AH$3=""),"",IF(AND($J256&lt;&gt;"",$K256&lt;&gt;"",$J256=$K256,$J256&gt;=AH$3,$J256&lt;=IF(param_mode_affichage="mois",EOMONTH(AH$3,0),AH$3+6)),"◆",""))</f>
      </c>
      <c r="AI256" s="26">
        <f>IF(OR($A256="",AI$3=""),"",IF(AND($J256&lt;&gt;"",$K256&lt;&gt;"",$J256=$K256,$J256&gt;=AI$3,$J256&lt;=IF(param_mode_affichage="mois",EOMONTH(AI$3,0),AI$3+6)),"◆",""))</f>
      </c>
      <c r="AJ256" s="26">
        <f>IF(OR($A256="",AJ$3=""),"",IF(AND($J256&lt;&gt;"",$K256&lt;&gt;"",$J256=$K256,$J256&gt;=AJ$3,$J256&lt;=IF(param_mode_affichage="mois",EOMONTH(AJ$3,0),AJ$3+6)),"◆",""))</f>
      </c>
      <c r="AK256" s="26">
        <f>IF(OR($A256="",AK$3=""),"",IF(AND($J256&lt;&gt;"",$K256&lt;&gt;"",$J256=$K256,$J256&gt;=AK$3,$J256&lt;=IF(param_mode_affichage="mois",EOMONTH(AK$3,0),AK$3+6)),"◆",""))</f>
      </c>
      <c r="AL256" s="26">
        <f>IF(OR($A256="",AL$3=""),"",IF(AND($J256&lt;&gt;"",$K256&lt;&gt;"",$J256=$K256,$J256&gt;=AL$3,$J256&lt;=IF(param_mode_affichage="mois",EOMONTH(AL$3,0),AL$3+6)),"◆",""))</f>
      </c>
      <c r="AM256" s="26">
        <f>IF(OR($A256="",AM$3=""),"",IF(AND($J256&lt;&gt;"",$K256&lt;&gt;"",$J256=$K256,$J256&gt;=AM$3,$J256&lt;=IF(param_mode_affichage="mois",EOMONTH(AM$3,0),AM$3+6)),"◆",""))</f>
      </c>
      <c r="AN256" s="26">
        <f>IF(OR($A256="",AN$3=""),"",IF(AND($J256&lt;&gt;"",$K256&lt;&gt;"",$J256=$K256,$J256&gt;=AN$3,$J256&lt;=IF(param_mode_affichage="mois",EOMONTH(AN$3,0),AN$3+6)),"◆",""))</f>
      </c>
      <c r="AO256" s="26">
        <f>IF(OR($A256="",AO$3=""),"",IF(AND($J256&lt;&gt;"",$K256&lt;&gt;"",$J256=$K256,$J256&gt;=AO$3,$J256&lt;=IF(param_mode_affichage="mois",EOMONTH(AO$3,0),AO$3+6)),"◆",""))</f>
      </c>
      <c r="AP256" s="26">
        <f>IF(OR($A256="",AP$3=""),"",IF(AND($J256&lt;&gt;"",$K256&lt;&gt;"",$J256=$K256,$J256&gt;=AP$3,$J256&lt;=IF(param_mode_affichage="mois",EOMONTH(AP$3,0),AP$3+6)),"◆",""))</f>
      </c>
      <c r="AQ256" s="26">
        <f>IF(OR($A256="",AQ$3=""),"",IF(AND($J256&lt;&gt;"",$K256&lt;&gt;"",$J256=$K256,$J256&gt;=AQ$3,$J256&lt;=IF(param_mode_affichage="mois",EOMONTH(AQ$3,0),AQ$3+6)),"◆",""))</f>
      </c>
      <c r="AR256" s="26">
        <f>IF(OR($A256="",AR$3=""),"",IF(AND($J256&lt;&gt;"",$K256&lt;&gt;"",$J256=$K256,$J256&gt;=AR$3,$J256&lt;=IF(param_mode_affichage="mois",EOMONTH(AR$3,0),AR$3+6)),"◆",""))</f>
      </c>
      <c r="AS256" s="26">
        <f>IF(OR($A256="",AS$3=""),"",IF(AND($J256&lt;&gt;"",$K256&lt;&gt;"",$J256=$K256,$J256&gt;=AS$3,$J256&lt;=IF(param_mode_affichage="mois",EOMONTH(AS$3,0),AS$3+6)),"◆",""))</f>
      </c>
      <c r="AT256" s="26">
        <f>IF(OR($A256="",AT$3=""),"",IF(AND($J256&lt;&gt;"",$K256&lt;&gt;"",$J256=$K256,$J256&gt;=AT$3,$J256&lt;=IF(param_mode_affichage="mois",EOMONTH(AT$3,0),AT$3+6)),"◆",""))</f>
      </c>
      <c r="AU256" s="26">
        <f>IF(OR($A256="",AU$3=""),"",IF(AND($J256&lt;&gt;"",$K256&lt;&gt;"",$J256=$K256,$J256&gt;=AU$3,$J256&lt;=IF(param_mode_affichage="mois",EOMONTH(AU$3,0),AU$3+6)),"◆",""))</f>
      </c>
      <c r="AV256" s="26">
        <f>IF(OR($A256="",AV$3=""),"",IF(AND($J256&lt;&gt;"",$K256&lt;&gt;"",$J256=$K256,$J256&gt;=AV$3,$J256&lt;=IF(param_mode_affichage="mois",EOMONTH(AV$3,0),AV$3+6)),"◆",""))</f>
      </c>
      <c r="AW256" s="26">
        <f>IF(OR($A256="",AW$3=""),"",IF(AND($J256&lt;&gt;"",$K256&lt;&gt;"",$J256=$K256,$J256&gt;=AW$3,$J256&lt;=IF(param_mode_affichage="mois",EOMONTH(AW$3,0),AW$3+6)),"◆",""))</f>
      </c>
      <c r="AX256" s="26">
        <f>IF(OR($A256="",AX$3=""),"",IF(AND($J256&lt;&gt;"",$K256&lt;&gt;"",$J256=$K256,$J256&gt;=AX$3,$J256&lt;=IF(param_mode_affichage="mois",EOMONTH(AX$3,0),AX$3+6)),"◆",""))</f>
      </c>
      <c r="AY256" s="26">
        <f>IF(OR($A256="",AY$3=""),"",IF(AND($J256&lt;&gt;"",$K256&lt;&gt;"",$J256=$K256,$J256&gt;=AY$3,$J256&lt;=IF(param_mode_affichage="mois",EOMONTH(AY$3,0),AY$3+6)),"◆",""))</f>
      </c>
      <c r="AZ256" s="26">
        <f>IF(OR($A256="",AZ$3=""),"",IF(AND($J256&lt;&gt;"",$K256&lt;&gt;"",$J256=$K256,$J256&gt;=AZ$3,$J256&lt;=IF(param_mode_affichage="mois",EOMONTH(AZ$3,0),AZ$3+6)),"◆",""))</f>
      </c>
      <c r="BA256" s="26">
        <f>IF(OR($A256="",BA$3=""),"",IF(AND($J256&lt;&gt;"",$K256&lt;&gt;"",$J256=$K256,$J256&gt;=BA$3,$J256&lt;=IF(param_mode_affichage="mois",EOMONTH(BA$3,0),BA$3+6)),"◆",""))</f>
      </c>
      <c r="BB256" s="26">
        <f>IF(OR($A256="",BB$3=""),"",IF(AND($J256&lt;&gt;"",$K256&lt;&gt;"",$J256=$K256,$J256&gt;=BB$3,$J256&lt;=IF(param_mode_affichage="mois",EOMONTH(BB$3,0),BB$3+6)),"◆",""))</f>
      </c>
      <c r="BC256" s="26">
        <f>IF(OR($A256="",BC$3=""),"",IF(AND($J256&lt;&gt;"",$K256&lt;&gt;"",$J256=$K256,$J256&gt;=BC$3,$J256&lt;=IF(param_mode_affichage="mois",EOMONTH(BC$3,0),BC$3+6)),"◆",""))</f>
      </c>
      <c r="BD256" s="26">
        <f>IF(OR($A256="",BD$3=""),"",IF(AND($J256&lt;&gt;"",$K256&lt;&gt;"",$J256=$K256,$J256&gt;=BD$3,$J256&lt;=IF(param_mode_affichage="mois",EOMONTH(BD$3,0),BD$3+6)),"◆",""))</f>
      </c>
      <c r="BE256" s="26">
        <f>IF(OR($A256="",BE$3=""),"",IF(AND($J256&lt;&gt;"",$K256&lt;&gt;"",$J256=$K256,$J256&gt;=BE$3,$J256&lt;=IF(param_mode_affichage="mois",EOMONTH(BE$3,0),BE$3+6)),"◆",""))</f>
      </c>
      <c r="BF256" s="26">
        <f>IF(OR($A256="",BF$3=""),"",IF(AND($J256&lt;&gt;"",$K256&lt;&gt;"",$J256=$K256,$J256&gt;=BF$3,$J256&lt;=IF(param_mode_affichage="mois",EOMONTH(BF$3,0),BF$3+6)),"◆",""))</f>
      </c>
      <c r="BG256" s="26">
        <f>IF(OR($A256="",BG$3=""),"",IF(AND($J256&lt;&gt;"",$K256&lt;&gt;"",$J256=$K256,$J256&gt;=BG$3,$J256&lt;=IF(param_mode_affichage="mois",EOMONTH(BG$3,0),BG$3+6)),"◆",""))</f>
      </c>
      <c r="BH256" s="26">
        <f>IF(OR($A256="",BH$3=""),"",IF(AND($J256&lt;&gt;"",$K256&lt;&gt;"",$J256=$K256,$J256&gt;=BH$3,$J256&lt;=IF(param_mode_affichage="mois",EOMONTH(BH$3,0),BH$3+6)),"◆",""))</f>
      </c>
      <c r="BI256" s="26">
        <f>IF(OR($A256="",BI$3=""),"",IF(AND($J256&lt;&gt;"",$K256&lt;&gt;"",$J256=$K256,$J256&gt;=BI$3,$J256&lt;=IF(param_mode_affichage="mois",EOMONTH(BI$3,0),BI$3+6)),"◆",""))</f>
      </c>
      <c r="BJ256" s="26">
        <f>IF(OR($A256="",BJ$3=""),"",IF(AND($J256&lt;&gt;"",$K256&lt;&gt;"",$J256=$K256,$J256&gt;=BJ$3,$J256&lt;=IF(param_mode_affichage="mois",EOMONTH(BJ$3,0),BJ$3+6)),"◆",""))</f>
      </c>
      <c r="BK256" s="26">
        <f>IF(OR($A256="",BK$3=""),"",IF(AND($J256&lt;&gt;"",$K256&lt;&gt;"",$J256=$K256,$J256&gt;=BK$3,$J256&lt;=IF(param_mode_affichage="mois",EOMONTH(BK$3,0),BK$3+6)),"◆",""))</f>
      </c>
      <c r="BL256" s="26">
        <f>IF(OR($A256="",BL$3=""),"",IF(AND($J256&lt;&gt;"",$K256&lt;&gt;"",$J256=$K256,$J256&gt;=BL$3,$J256&lt;=IF(param_mode_affichage="mois",EOMONTH(BL$3,0),BL$3+6)),"◆",""))</f>
      </c>
    </row>
    <row r="257" spans="1:64" x14ac:dyDescent="0.25">
      <c r="A257" s="23">
        <f>IFERROR(INDEX(tblTasks[ID],ROW()-4),"")</f>
      </c>
      <c r="B257" s="24">
        <f>IF($A257="","",INDEX(tblTasks[Sujet],ROW()-4))</f>
      </c>
      <c r="C257" s="23">
        <f>IF($A257="","",INDEX(tblTasks[Responsable],ROW()-4))</f>
      </c>
      <c r="D257" s="23">
        <f>IF($A257="","",INDEX(tblTasks[Statut],ROW()-4))</f>
      </c>
      <c r="E257" s="23">
        <f>IF($A257="","",INDEX(tblTasks[Depend_de],ROW()-4))</f>
      </c>
      <c r="F257" s="23">
        <f>IF($A257="","",INDEX(tblTasks[Blocage],ROW()-4))</f>
      </c>
      <c r="G257" s="23">
        <f>IF($A257="","",INDEX(tblTasks[Niveau_criticite],ROW()-4))</f>
      </c>
      <c r="H257" s="23">
        <f>IF($A257="","",INDEX(tblTasks[Goulot],ROW()-4))</f>
      </c>
      <c r="I257" s="23">
        <f>IF($A257="","",IF(LOWER($F257)="oui","non",IF($E257="","oui",IFERROR(IF(LOWER(INDEX(tblTasks[Statut],MATCH($E257,tblTasks[ID],0)))="clos","oui","non"),"non"))))</f>
      </c>
      <c r="J257" s="25">
        <f>IF($A257="","",INDEX(tblTasks[Date_debut_prevue],ROW()-4))</f>
      </c>
      <c r="K257" s="25">
        <f>IF($A257="","",INDEX(tblTasks[Date_fin_prevue],ROW()-4))</f>
      </c>
      <c r="L257" s="23">
        <f>IF($A257="","",INDEX(tblTasks[Irreversibilite],ROW()-4))</f>
      </c>
      <c r="M257" s="26">
        <f>IF(OR($A257="",M$3=""),"",IF(AND($J257&lt;&gt;"",$K257&lt;&gt;"",$J257=$K257,$J257&gt;=M$3,$J257&lt;=IF(param_mode_affichage="mois",EOMONTH(M$3,0),M$3+6)),"◆",""))</f>
      </c>
      <c r="N257" s="26">
        <f>IF(OR($A257="",N$3=""),"",IF(AND($J257&lt;&gt;"",$K257&lt;&gt;"",$J257=$K257,$J257&gt;=N$3,$J257&lt;=IF(param_mode_affichage="mois",EOMONTH(N$3,0),N$3+6)),"◆",""))</f>
      </c>
      <c r="O257" s="26">
        <f>IF(OR($A257="",O$3=""),"",IF(AND($J257&lt;&gt;"",$K257&lt;&gt;"",$J257=$K257,$J257&gt;=O$3,$J257&lt;=IF(param_mode_affichage="mois",EOMONTH(O$3,0),O$3+6)),"◆",""))</f>
      </c>
      <c r="P257" s="26">
        <f>IF(OR($A257="",P$3=""),"",IF(AND($J257&lt;&gt;"",$K257&lt;&gt;"",$J257=$K257,$J257&gt;=P$3,$J257&lt;=IF(param_mode_affichage="mois",EOMONTH(P$3,0),P$3+6)),"◆",""))</f>
      </c>
      <c r="Q257" s="26">
        <f>IF(OR($A257="",Q$3=""),"",IF(AND($J257&lt;&gt;"",$K257&lt;&gt;"",$J257=$K257,$J257&gt;=Q$3,$J257&lt;=IF(param_mode_affichage="mois",EOMONTH(Q$3,0),Q$3+6)),"◆",""))</f>
      </c>
      <c r="R257" s="26">
        <f>IF(OR($A257="",R$3=""),"",IF(AND($J257&lt;&gt;"",$K257&lt;&gt;"",$J257=$K257,$J257&gt;=R$3,$J257&lt;=IF(param_mode_affichage="mois",EOMONTH(R$3,0),R$3+6)),"◆",""))</f>
      </c>
      <c r="S257" s="26">
        <f>IF(OR($A257="",S$3=""),"",IF(AND($J257&lt;&gt;"",$K257&lt;&gt;"",$J257=$K257,$J257&gt;=S$3,$J257&lt;=IF(param_mode_affichage="mois",EOMONTH(S$3,0),S$3+6)),"◆",""))</f>
      </c>
      <c r="T257" s="26">
        <f>IF(OR($A257="",T$3=""),"",IF(AND($J257&lt;&gt;"",$K257&lt;&gt;"",$J257=$K257,$J257&gt;=T$3,$J257&lt;=IF(param_mode_affichage="mois",EOMONTH(T$3,0),T$3+6)),"◆",""))</f>
      </c>
      <c r="U257" s="26">
        <f>IF(OR($A257="",U$3=""),"",IF(AND($J257&lt;&gt;"",$K257&lt;&gt;"",$J257=$K257,$J257&gt;=U$3,$J257&lt;=IF(param_mode_affichage="mois",EOMONTH(U$3,0),U$3+6)),"◆",""))</f>
      </c>
      <c r="V257" s="26">
        <f>IF(OR($A257="",V$3=""),"",IF(AND($J257&lt;&gt;"",$K257&lt;&gt;"",$J257=$K257,$J257&gt;=V$3,$J257&lt;=IF(param_mode_affichage="mois",EOMONTH(V$3,0),V$3+6)),"◆",""))</f>
      </c>
      <c r="W257" s="26">
        <f>IF(OR($A257="",W$3=""),"",IF(AND($J257&lt;&gt;"",$K257&lt;&gt;"",$J257=$K257,$J257&gt;=W$3,$J257&lt;=IF(param_mode_affichage="mois",EOMONTH(W$3,0),W$3+6)),"◆",""))</f>
      </c>
      <c r="X257" s="26">
        <f>IF(OR($A257="",X$3=""),"",IF(AND($J257&lt;&gt;"",$K257&lt;&gt;"",$J257=$K257,$J257&gt;=X$3,$J257&lt;=IF(param_mode_affichage="mois",EOMONTH(X$3,0),X$3+6)),"◆",""))</f>
      </c>
      <c r="Y257" s="26">
        <f>IF(OR($A257="",Y$3=""),"",IF(AND($J257&lt;&gt;"",$K257&lt;&gt;"",$J257=$K257,$J257&gt;=Y$3,$J257&lt;=IF(param_mode_affichage="mois",EOMONTH(Y$3,0),Y$3+6)),"◆",""))</f>
      </c>
      <c r="Z257" s="26">
        <f>IF(OR($A257="",Z$3=""),"",IF(AND($J257&lt;&gt;"",$K257&lt;&gt;"",$J257=$K257,$J257&gt;=Z$3,$J257&lt;=IF(param_mode_affichage="mois",EOMONTH(Z$3,0),Z$3+6)),"◆",""))</f>
      </c>
      <c r="AA257" s="26">
        <f>IF(OR($A257="",AA$3=""),"",IF(AND($J257&lt;&gt;"",$K257&lt;&gt;"",$J257=$K257,$J257&gt;=AA$3,$J257&lt;=IF(param_mode_affichage="mois",EOMONTH(AA$3,0),AA$3+6)),"◆",""))</f>
      </c>
      <c r="AB257" s="26">
        <f>IF(OR($A257="",AB$3=""),"",IF(AND($J257&lt;&gt;"",$K257&lt;&gt;"",$J257=$K257,$J257&gt;=AB$3,$J257&lt;=IF(param_mode_affichage="mois",EOMONTH(AB$3,0),AB$3+6)),"◆",""))</f>
      </c>
      <c r="AC257" s="26">
        <f>IF(OR($A257="",AC$3=""),"",IF(AND($J257&lt;&gt;"",$K257&lt;&gt;"",$J257=$K257,$J257&gt;=AC$3,$J257&lt;=IF(param_mode_affichage="mois",EOMONTH(AC$3,0),AC$3+6)),"◆",""))</f>
      </c>
      <c r="AD257" s="26">
        <f>IF(OR($A257="",AD$3=""),"",IF(AND($J257&lt;&gt;"",$K257&lt;&gt;"",$J257=$K257,$J257&gt;=AD$3,$J257&lt;=IF(param_mode_affichage="mois",EOMONTH(AD$3,0),AD$3+6)),"◆",""))</f>
      </c>
      <c r="AE257" s="26">
        <f>IF(OR($A257="",AE$3=""),"",IF(AND($J257&lt;&gt;"",$K257&lt;&gt;"",$J257=$K257,$J257&gt;=AE$3,$J257&lt;=IF(param_mode_affichage="mois",EOMONTH(AE$3,0),AE$3+6)),"◆",""))</f>
      </c>
      <c r="AF257" s="26">
        <f>IF(OR($A257="",AF$3=""),"",IF(AND($J257&lt;&gt;"",$K257&lt;&gt;"",$J257=$K257,$J257&gt;=AF$3,$J257&lt;=IF(param_mode_affichage="mois",EOMONTH(AF$3,0),AF$3+6)),"◆",""))</f>
      </c>
      <c r="AG257" s="26">
        <f>IF(OR($A257="",AG$3=""),"",IF(AND($J257&lt;&gt;"",$K257&lt;&gt;"",$J257=$K257,$J257&gt;=AG$3,$J257&lt;=IF(param_mode_affichage="mois",EOMONTH(AG$3,0),AG$3+6)),"◆",""))</f>
      </c>
      <c r="AH257" s="26">
        <f>IF(OR($A257="",AH$3=""),"",IF(AND($J257&lt;&gt;"",$K257&lt;&gt;"",$J257=$K257,$J257&gt;=AH$3,$J257&lt;=IF(param_mode_affichage="mois",EOMONTH(AH$3,0),AH$3+6)),"◆",""))</f>
      </c>
      <c r="AI257" s="26">
        <f>IF(OR($A257="",AI$3=""),"",IF(AND($J257&lt;&gt;"",$K257&lt;&gt;"",$J257=$K257,$J257&gt;=AI$3,$J257&lt;=IF(param_mode_affichage="mois",EOMONTH(AI$3,0),AI$3+6)),"◆",""))</f>
      </c>
      <c r="AJ257" s="26">
        <f>IF(OR($A257="",AJ$3=""),"",IF(AND($J257&lt;&gt;"",$K257&lt;&gt;"",$J257=$K257,$J257&gt;=AJ$3,$J257&lt;=IF(param_mode_affichage="mois",EOMONTH(AJ$3,0),AJ$3+6)),"◆",""))</f>
      </c>
      <c r="AK257" s="26">
        <f>IF(OR($A257="",AK$3=""),"",IF(AND($J257&lt;&gt;"",$K257&lt;&gt;"",$J257=$K257,$J257&gt;=AK$3,$J257&lt;=IF(param_mode_affichage="mois",EOMONTH(AK$3,0),AK$3+6)),"◆",""))</f>
      </c>
      <c r="AL257" s="26">
        <f>IF(OR($A257="",AL$3=""),"",IF(AND($J257&lt;&gt;"",$K257&lt;&gt;"",$J257=$K257,$J257&gt;=AL$3,$J257&lt;=IF(param_mode_affichage="mois",EOMONTH(AL$3,0),AL$3+6)),"◆",""))</f>
      </c>
      <c r="AM257" s="26">
        <f>IF(OR($A257="",AM$3=""),"",IF(AND($J257&lt;&gt;"",$K257&lt;&gt;"",$J257=$K257,$J257&gt;=AM$3,$J257&lt;=IF(param_mode_affichage="mois",EOMONTH(AM$3,0),AM$3+6)),"◆",""))</f>
      </c>
      <c r="AN257" s="26">
        <f>IF(OR($A257="",AN$3=""),"",IF(AND($J257&lt;&gt;"",$K257&lt;&gt;"",$J257=$K257,$J257&gt;=AN$3,$J257&lt;=IF(param_mode_affichage="mois",EOMONTH(AN$3,0),AN$3+6)),"◆",""))</f>
      </c>
      <c r="AO257" s="26">
        <f>IF(OR($A257="",AO$3=""),"",IF(AND($J257&lt;&gt;"",$K257&lt;&gt;"",$J257=$K257,$J257&gt;=AO$3,$J257&lt;=IF(param_mode_affichage="mois",EOMONTH(AO$3,0),AO$3+6)),"◆",""))</f>
      </c>
      <c r="AP257" s="26">
        <f>IF(OR($A257="",AP$3=""),"",IF(AND($J257&lt;&gt;"",$K257&lt;&gt;"",$J257=$K257,$J257&gt;=AP$3,$J257&lt;=IF(param_mode_affichage="mois",EOMONTH(AP$3,0),AP$3+6)),"◆",""))</f>
      </c>
      <c r="AQ257" s="26">
        <f>IF(OR($A257="",AQ$3=""),"",IF(AND($J257&lt;&gt;"",$K257&lt;&gt;"",$J257=$K257,$J257&gt;=AQ$3,$J257&lt;=IF(param_mode_affichage="mois",EOMONTH(AQ$3,0),AQ$3+6)),"◆",""))</f>
      </c>
      <c r="AR257" s="26">
        <f>IF(OR($A257="",AR$3=""),"",IF(AND($J257&lt;&gt;"",$K257&lt;&gt;"",$J257=$K257,$J257&gt;=AR$3,$J257&lt;=IF(param_mode_affichage="mois",EOMONTH(AR$3,0),AR$3+6)),"◆",""))</f>
      </c>
      <c r="AS257" s="26">
        <f>IF(OR($A257="",AS$3=""),"",IF(AND($J257&lt;&gt;"",$K257&lt;&gt;"",$J257=$K257,$J257&gt;=AS$3,$J257&lt;=IF(param_mode_affichage="mois",EOMONTH(AS$3,0),AS$3+6)),"◆",""))</f>
      </c>
      <c r="AT257" s="26">
        <f>IF(OR($A257="",AT$3=""),"",IF(AND($J257&lt;&gt;"",$K257&lt;&gt;"",$J257=$K257,$J257&gt;=AT$3,$J257&lt;=IF(param_mode_affichage="mois",EOMONTH(AT$3,0),AT$3+6)),"◆",""))</f>
      </c>
      <c r="AU257" s="26">
        <f>IF(OR($A257="",AU$3=""),"",IF(AND($J257&lt;&gt;"",$K257&lt;&gt;"",$J257=$K257,$J257&gt;=AU$3,$J257&lt;=IF(param_mode_affichage="mois",EOMONTH(AU$3,0),AU$3+6)),"◆",""))</f>
      </c>
      <c r="AV257" s="26">
        <f>IF(OR($A257="",AV$3=""),"",IF(AND($J257&lt;&gt;"",$K257&lt;&gt;"",$J257=$K257,$J257&gt;=AV$3,$J257&lt;=IF(param_mode_affichage="mois",EOMONTH(AV$3,0),AV$3+6)),"◆",""))</f>
      </c>
      <c r="AW257" s="26">
        <f>IF(OR($A257="",AW$3=""),"",IF(AND($J257&lt;&gt;"",$K257&lt;&gt;"",$J257=$K257,$J257&gt;=AW$3,$J257&lt;=IF(param_mode_affichage="mois",EOMONTH(AW$3,0),AW$3+6)),"◆",""))</f>
      </c>
      <c r="AX257" s="26">
        <f>IF(OR($A257="",AX$3=""),"",IF(AND($J257&lt;&gt;"",$K257&lt;&gt;"",$J257=$K257,$J257&gt;=AX$3,$J257&lt;=IF(param_mode_affichage="mois",EOMONTH(AX$3,0),AX$3+6)),"◆",""))</f>
      </c>
      <c r="AY257" s="26">
        <f>IF(OR($A257="",AY$3=""),"",IF(AND($J257&lt;&gt;"",$K257&lt;&gt;"",$J257=$K257,$J257&gt;=AY$3,$J257&lt;=IF(param_mode_affichage="mois",EOMONTH(AY$3,0),AY$3+6)),"◆",""))</f>
      </c>
      <c r="AZ257" s="26">
        <f>IF(OR($A257="",AZ$3=""),"",IF(AND($J257&lt;&gt;"",$K257&lt;&gt;"",$J257=$K257,$J257&gt;=AZ$3,$J257&lt;=IF(param_mode_affichage="mois",EOMONTH(AZ$3,0),AZ$3+6)),"◆",""))</f>
      </c>
      <c r="BA257" s="26">
        <f>IF(OR($A257="",BA$3=""),"",IF(AND($J257&lt;&gt;"",$K257&lt;&gt;"",$J257=$K257,$J257&gt;=BA$3,$J257&lt;=IF(param_mode_affichage="mois",EOMONTH(BA$3,0),BA$3+6)),"◆",""))</f>
      </c>
      <c r="BB257" s="26">
        <f>IF(OR($A257="",BB$3=""),"",IF(AND($J257&lt;&gt;"",$K257&lt;&gt;"",$J257=$K257,$J257&gt;=BB$3,$J257&lt;=IF(param_mode_affichage="mois",EOMONTH(BB$3,0),BB$3+6)),"◆",""))</f>
      </c>
      <c r="BC257" s="26">
        <f>IF(OR($A257="",BC$3=""),"",IF(AND($J257&lt;&gt;"",$K257&lt;&gt;"",$J257=$K257,$J257&gt;=BC$3,$J257&lt;=IF(param_mode_affichage="mois",EOMONTH(BC$3,0),BC$3+6)),"◆",""))</f>
      </c>
      <c r="BD257" s="26">
        <f>IF(OR($A257="",BD$3=""),"",IF(AND($J257&lt;&gt;"",$K257&lt;&gt;"",$J257=$K257,$J257&gt;=BD$3,$J257&lt;=IF(param_mode_affichage="mois",EOMONTH(BD$3,0),BD$3+6)),"◆",""))</f>
      </c>
      <c r="BE257" s="26">
        <f>IF(OR($A257="",BE$3=""),"",IF(AND($J257&lt;&gt;"",$K257&lt;&gt;"",$J257=$K257,$J257&gt;=BE$3,$J257&lt;=IF(param_mode_affichage="mois",EOMONTH(BE$3,0),BE$3+6)),"◆",""))</f>
      </c>
      <c r="BF257" s="26">
        <f>IF(OR($A257="",BF$3=""),"",IF(AND($J257&lt;&gt;"",$K257&lt;&gt;"",$J257=$K257,$J257&gt;=BF$3,$J257&lt;=IF(param_mode_affichage="mois",EOMONTH(BF$3,0),BF$3+6)),"◆",""))</f>
      </c>
      <c r="BG257" s="26">
        <f>IF(OR($A257="",BG$3=""),"",IF(AND($J257&lt;&gt;"",$K257&lt;&gt;"",$J257=$K257,$J257&gt;=BG$3,$J257&lt;=IF(param_mode_affichage="mois",EOMONTH(BG$3,0),BG$3+6)),"◆",""))</f>
      </c>
      <c r="BH257" s="26">
        <f>IF(OR($A257="",BH$3=""),"",IF(AND($J257&lt;&gt;"",$K257&lt;&gt;"",$J257=$K257,$J257&gt;=BH$3,$J257&lt;=IF(param_mode_affichage="mois",EOMONTH(BH$3,0),BH$3+6)),"◆",""))</f>
      </c>
      <c r="BI257" s="26">
        <f>IF(OR($A257="",BI$3=""),"",IF(AND($J257&lt;&gt;"",$K257&lt;&gt;"",$J257=$K257,$J257&gt;=BI$3,$J257&lt;=IF(param_mode_affichage="mois",EOMONTH(BI$3,0),BI$3+6)),"◆",""))</f>
      </c>
      <c r="BJ257" s="26">
        <f>IF(OR($A257="",BJ$3=""),"",IF(AND($J257&lt;&gt;"",$K257&lt;&gt;"",$J257=$K257,$J257&gt;=BJ$3,$J257&lt;=IF(param_mode_affichage="mois",EOMONTH(BJ$3,0),BJ$3+6)),"◆",""))</f>
      </c>
      <c r="BK257" s="26">
        <f>IF(OR($A257="",BK$3=""),"",IF(AND($J257&lt;&gt;"",$K257&lt;&gt;"",$J257=$K257,$J257&gt;=BK$3,$J257&lt;=IF(param_mode_affichage="mois",EOMONTH(BK$3,0),BK$3+6)),"◆",""))</f>
      </c>
      <c r="BL257" s="26">
        <f>IF(OR($A257="",BL$3=""),"",IF(AND($J257&lt;&gt;"",$K257&lt;&gt;"",$J257=$K257,$J257&gt;=BL$3,$J257&lt;=IF(param_mode_affichage="mois",EOMONTH(BL$3,0),BL$3+6)),"◆",""))</f>
      </c>
    </row>
    <row r="258" spans="1:64" x14ac:dyDescent="0.25">
      <c r="A258" s="23">
        <f>IFERROR(INDEX(tblTasks[ID],ROW()-4),"")</f>
      </c>
      <c r="B258" s="24">
        <f>IF($A258="","",INDEX(tblTasks[Sujet],ROW()-4))</f>
      </c>
      <c r="C258" s="23">
        <f>IF($A258="","",INDEX(tblTasks[Responsable],ROW()-4))</f>
      </c>
      <c r="D258" s="23">
        <f>IF($A258="","",INDEX(tblTasks[Statut],ROW()-4))</f>
      </c>
      <c r="E258" s="23">
        <f>IF($A258="","",INDEX(tblTasks[Depend_de],ROW()-4))</f>
      </c>
      <c r="F258" s="23">
        <f>IF($A258="","",INDEX(tblTasks[Blocage],ROW()-4))</f>
      </c>
      <c r="G258" s="23">
        <f>IF($A258="","",INDEX(tblTasks[Niveau_criticite],ROW()-4))</f>
      </c>
      <c r="H258" s="23">
        <f>IF($A258="","",INDEX(tblTasks[Goulot],ROW()-4))</f>
      </c>
      <c r="I258" s="23">
        <f>IF($A258="","",IF(LOWER($F258)="oui","non",IF($E258="","oui",IFERROR(IF(LOWER(INDEX(tblTasks[Statut],MATCH($E258,tblTasks[ID],0)))="clos","oui","non"),"non"))))</f>
      </c>
      <c r="J258" s="25">
        <f>IF($A258="","",INDEX(tblTasks[Date_debut_prevue],ROW()-4))</f>
      </c>
      <c r="K258" s="25">
        <f>IF($A258="","",INDEX(tblTasks[Date_fin_prevue],ROW()-4))</f>
      </c>
      <c r="L258" s="23">
        <f>IF($A258="","",INDEX(tblTasks[Irreversibilite],ROW()-4))</f>
      </c>
      <c r="M258" s="26">
        <f>IF(OR($A258="",M$3=""),"",IF(AND($J258&lt;&gt;"",$K258&lt;&gt;"",$J258=$K258,$J258&gt;=M$3,$J258&lt;=IF(param_mode_affichage="mois",EOMONTH(M$3,0),M$3+6)),"◆",""))</f>
      </c>
      <c r="N258" s="26">
        <f>IF(OR($A258="",N$3=""),"",IF(AND($J258&lt;&gt;"",$K258&lt;&gt;"",$J258=$K258,$J258&gt;=N$3,$J258&lt;=IF(param_mode_affichage="mois",EOMONTH(N$3,0),N$3+6)),"◆",""))</f>
      </c>
      <c r="O258" s="26">
        <f>IF(OR($A258="",O$3=""),"",IF(AND($J258&lt;&gt;"",$K258&lt;&gt;"",$J258=$K258,$J258&gt;=O$3,$J258&lt;=IF(param_mode_affichage="mois",EOMONTH(O$3,0),O$3+6)),"◆",""))</f>
      </c>
      <c r="P258" s="26">
        <f>IF(OR($A258="",P$3=""),"",IF(AND($J258&lt;&gt;"",$K258&lt;&gt;"",$J258=$K258,$J258&gt;=P$3,$J258&lt;=IF(param_mode_affichage="mois",EOMONTH(P$3,0),P$3+6)),"◆",""))</f>
      </c>
      <c r="Q258" s="26">
        <f>IF(OR($A258="",Q$3=""),"",IF(AND($J258&lt;&gt;"",$K258&lt;&gt;"",$J258=$K258,$J258&gt;=Q$3,$J258&lt;=IF(param_mode_affichage="mois",EOMONTH(Q$3,0),Q$3+6)),"◆",""))</f>
      </c>
      <c r="R258" s="26">
        <f>IF(OR($A258="",R$3=""),"",IF(AND($J258&lt;&gt;"",$K258&lt;&gt;"",$J258=$K258,$J258&gt;=R$3,$J258&lt;=IF(param_mode_affichage="mois",EOMONTH(R$3,0),R$3+6)),"◆",""))</f>
      </c>
      <c r="S258" s="26">
        <f>IF(OR($A258="",S$3=""),"",IF(AND($J258&lt;&gt;"",$K258&lt;&gt;"",$J258=$K258,$J258&gt;=S$3,$J258&lt;=IF(param_mode_affichage="mois",EOMONTH(S$3,0),S$3+6)),"◆",""))</f>
      </c>
      <c r="T258" s="26">
        <f>IF(OR($A258="",T$3=""),"",IF(AND($J258&lt;&gt;"",$K258&lt;&gt;"",$J258=$K258,$J258&gt;=T$3,$J258&lt;=IF(param_mode_affichage="mois",EOMONTH(T$3,0),T$3+6)),"◆",""))</f>
      </c>
      <c r="U258" s="26">
        <f>IF(OR($A258="",U$3=""),"",IF(AND($J258&lt;&gt;"",$K258&lt;&gt;"",$J258=$K258,$J258&gt;=U$3,$J258&lt;=IF(param_mode_affichage="mois",EOMONTH(U$3,0),U$3+6)),"◆",""))</f>
      </c>
      <c r="V258" s="26">
        <f>IF(OR($A258="",V$3=""),"",IF(AND($J258&lt;&gt;"",$K258&lt;&gt;"",$J258=$K258,$J258&gt;=V$3,$J258&lt;=IF(param_mode_affichage="mois",EOMONTH(V$3,0),V$3+6)),"◆",""))</f>
      </c>
      <c r="W258" s="26">
        <f>IF(OR($A258="",W$3=""),"",IF(AND($J258&lt;&gt;"",$K258&lt;&gt;"",$J258=$K258,$J258&gt;=W$3,$J258&lt;=IF(param_mode_affichage="mois",EOMONTH(W$3,0),W$3+6)),"◆",""))</f>
      </c>
      <c r="X258" s="26">
        <f>IF(OR($A258="",X$3=""),"",IF(AND($J258&lt;&gt;"",$K258&lt;&gt;"",$J258=$K258,$J258&gt;=X$3,$J258&lt;=IF(param_mode_affichage="mois",EOMONTH(X$3,0),X$3+6)),"◆",""))</f>
      </c>
      <c r="Y258" s="26">
        <f>IF(OR($A258="",Y$3=""),"",IF(AND($J258&lt;&gt;"",$K258&lt;&gt;"",$J258=$K258,$J258&gt;=Y$3,$J258&lt;=IF(param_mode_affichage="mois",EOMONTH(Y$3,0),Y$3+6)),"◆",""))</f>
      </c>
      <c r="Z258" s="26">
        <f>IF(OR($A258="",Z$3=""),"",IF(AND($J258&lt;&gt;"",$K258&lt;&gt;"",$J258=$K258,$J258&gt;=Z$3,$J258&lt;=IF(param_mode_affichage="mois",EOMONTH(Z$3,0),Z$3+6)),"◆",""))</f>
      </c>
      <c r="AA258" s="26">
        <f>IF(OR($A258="",AA$3=""),"",IF(AND($J258&lt;&gt;"",$K258&lt;&gt;"",$J258=$K258,$J258&gt;=AA$3,$J258&lt;=IF(param_mode_affichage="mois",EOMONTH(AA$3,0),AA$3+6)),"◆",""))</f>
      </c>
      <c r="AB258" s="26">
        <f>IF(OR($A258="",AB$3=""),"",IF(AND($J258&lt;&gt;"",$K258&lt;&gt;"",$J258=$K258,$J258&gt;=AB$3,$J258&lt;=IF(param_mode_affichage="mois",EOMONTH(AB$3,0),AB$3+6)),"◆",""))</f>
      </c>
      <c r="AC258" s="26">
        <f>IF(OR($A258="",AC$3=""),"",IF(AND($J258&lt;&gt;"",$K258&lt;&gt;"",$J258=$K258,$J258&gt;=AC$3,$J258&lt;=IF(param_mode_affichage="mois",EOMONTH(AC$3,0),AC$3+6)),"◆",""))</f>
      </c>
      <c r="AD258" s="26">
        <f>IF(OR($A258="",AD$3=""),"",IF(AND($J258&lt;&gt;"",$K258&lt;&gt;"",$J258=$K258,$J258&gt;=AD$3,$J258&lt;=IF(param_mode_affichage="mois",EOMONTH(AD$3,0),AD$3+6)),"◆",""))</f>
      </c>
      <c r="AE258" s="26">
        <f>IF(OR($A258="",AE$3=""),"",IF(AND($J258&lt;&gt;"",$K258&lt;&gt;"",$J258=$K258,$J258&gt;=AE$3,$J258&lt;=IF(param_mode_affichage="mois",EOMONTH(AE$3,0),AE$3+6)),"◆",""))</f>
      </c>
      <c r="AF258" s="26">
        <f>IF(OR($A258="",AF$3=""),"",IF(AND($J258&lt;&gt;"",$K258&lt;&gt;"",$J258=$K258,$J258&gt;=AF$3,$J258&lt;=IF(param_mode_affichage="mois",EOMONTH(AF$3,0),AF$3+6)),"◆",""))</f>
      </c>
      <c r="AG258" s="26">
        <f>IF(OR($A258="",AG$3=""),"",IF(AND($J258&lt;&gt;"",$K258&lt;&gt;"",$J258=$K258,$J258&gt;=AG$3,$J258&lt;=IF(param_mode_affichage="mois",EOMONTH(AG$3,0),AG$3+6)),"◆",""))</f>
      </c>
      <c r="AH258" s="26">
        <f>IF(OR($A258="",AH$3=""),"",IF(AND($J258&lt;&gt;"",$K258&lt;&gt;"",$J258=$K258,$J258&gt;=AH$3,$J258&lt;=IF(param_mode_affichage="mois",EOMONTH(AH$3,0),AH$3+6)),"◆",""))</f>
      </c>
      <c r="AI258" s="26">
        <f>IF(OR($A258="",AI$3=""),"",IF(AND($J258&lt;&gt;"",$K258&lt;&gt;"",$J258=$K258,$J258&gt;=AI$3,$J258&lt;=IF(param_mode_affichage="mois",EOMONTH(AI$3,0),AI$3+6)),"◆",""))</f>
      </c>
      <c r="AJ258" s="26">
        <f>IF(OR($A258="",AJ$3=""),"",IF(AND($J258&lt;&gt;"",$K258&lt;&gt;"",$J258=$K258,$J258&gt;=AJ$3,$J258&lt;=IF(param_mode_affichage="mois",EOMONTH(AJ$3,0),AJ$3+6)),"◆",""))</f>
      </c>
      <c r="AK258" s="26">
        <f>IF(OR($A258="",AK$3=""),"",IF(AND($J258&lt;&gt;"",$K258&lt;&gt;"",$J258=$K258,$J258&gt;=AK$3,$J258&lt;=IF(param_mode_affichage="mois",EOMONTH(AK$3,0),AK$3+6)),"◆",""))</f>
      </c>
      <c r="AL258" s="26">
        <f>IF(OR($A258="",AL$3=""),"",IF(AND($J258&lt;&gt;"",$K258&lt;&gt;"",$J258=$K258,$J258&gt;=AL$3,$J258&lt;=IF(param_mode_affichage="mois",EOMONTH(AL$3,0),AL$3+6)),"◆",""))</f>
      </c>
      <c r="AM258" s="26">
        <f>IF(OR($A258="",AM$3=""),"",IF(AND($J258&lt;&gt;"",$K258&lt;&gt;"",$J258=$K258,$J258&gt;=AM$3,$J258&lt;=IF(param_mode_affichage="mois",EOMONTH(AM$3,0),AM$3+6)),"◆",""))</f>
      </c>
      <c r="AN258" s="26">
        <f>IF(OR($A258="",AN$3=""),"",IF(AND($J258&lt;&gt;"",$K258&lt;&gt;"",$J258=$K258,$J258&gt;=AN$3,$J258&lt;=IF(param_mode_affichage="mois",EOMONTH(AN$3,0),AN$3+6)),"◆",""))</f>
      </c>
      <c r="AO258" s="26">
        <f>IF(OR($A258="",AO$3=""),"",IF(AND($J258&lt;&gt;"",$K258&lt;&gt;"",$J258=$K258,$J258&gt;=AO$3,$J258&lt;=IF(param_mode_affichage="mois",EOMONTH(AO$3,0),AO$3+6)),"◆",""))</f>
      </c>
      <c r="AP258" s="26">
        <f>IF(OR($A258="",AP$3=""),"",IF(AND($J258&lt;&gt;"",$K258&lt;&gt;"",$J258=$K258,$J258&gt;=AP$3,$J258&lt;=IF(param_mode_affichage="mois",EOMONTH(AP$3,0),AP$3+6)),"◆",""))</f>
      </c>
      <c r="AQ258" s="26">
        <f>IF(OR($A258="",AQ$3=""),"",IF(AND($J258&lt;&gt;"",$K258&lt;&gt;"",$J258=$K258,$J258&gt;=AQ$3,$J258&lt;=IF(param_mode_affichage="mois",EOMONTH(AQ$3,0),AQ$3+6)),"◆",""))</f>
      </c>
      <c r="AR258" s="26">
        <f>IF(OR($A258="",AR$3=""),"",IF(AND($J258&lt;&gt;"",$K258&lt;&gt;"",$J258=$K258,$J258&gt;=AR$3,$J258&lt;=IF(param_mode_affichage="mois",EOMONTH(AR$3,0),AR$3+6)),"◆",""))</f>
      </c>
      <c r="AS258" s="26">
        <f>IF(OR($A258="",AS$3=""),"",IF(AND($J258&lt;&gt;"",$K258&lt;&gt;"",$J258=$K258,$J258&gt;=AS$3,$J258&lt;=IF(param_mode_affichage="mois",EOMONTH(AS$3,0),AS$3+6)),"◆",""))</f>
      </c>
      <c r="AT258" s="26">
        <f>IF(OR($A258="",AT$3=""),"",IF(AND($J258&lt;&gt;"",$K258&lt;&gt;"",$J258=$K258,$J258&gt;=AT$3,$J258&lt;=IF(param_mode_affichage="mois",EOMONTH(AT$3,0),AT$3+6)),"◆",""))</f>
      </c>
      <c r="AU258" s="26">
        <f>IF(OR($A258="",AU$3=""),"",IF(AND($J258&lt;&gt;"",$K258&lt;&gt;"",$J258=$K258,$J258&gt;=AU$3,$J258&lt;=IF(param_mode_affichage="mois",EOMONTH(AU$3,0),AU$3+6)),"◆",""))</f>
      </c>
      <c r="AV258" s="26">
        <f>IF(OR($A258="",AV$3=""),"",IF(AND($J258&lt;&gt;"",$K258&lt;&gt;"",$J258=$K258,$J258&gt;=AV$3,$J258&lt;=IF(param_mode_affichage="mois",EOMONTH(AV$3,0),AV$3+6)),"◆",""))</f>
      </c>
      <c r="AW258" s="26">
        <f>IF(OR($A258="",AW$3=""),"",IF(AND($J258&lt;&gt;"",$K258&lt;&gt;"",$J258=$K258,$J258&gt;=AW$3,$J258&lt;=IF(param_mode_affichage="mois",EOMONTH(AW$3,0),AW$3+6)),"◆",""))</f>
      </c>
      <c r="AX258" s="26">
        <f>IF(OR($A258="",AX$3=""),"",IF(AND($J258&lt;&gt;"",$K258&lt;&gt;"",$J258=$K258,$J258&gt;=AX$3,$J258&lt;=IF(param_mode_affichage="mois",EOMONTH(AX$3,0),AX$3+6)),"◆",""))</f>
      </c>
      <c r="AY258" s="26">
        <f>IF(OR($A258="",AY$3=""),"",IF(AND($J258&lt;&gt;"",$K258&lt;&gt;"",$J258=$K258,$J258&gt;=AY$3,$J258&lt;=IF(param_mode_affichage="mois",EOMONTH(AY$3,0),AY$3+6)),"◆",""))</f>
      </c>
      <c r="AZ258" s="26">
        <f>IF(OR($A258="",AZ$3=""),"",IF(AND($J258&lt;&gt;"",$K258&lt;&gt;"",$J258=$K258,$J258&gt;=AZ$3,$J258&lt;=IF(param_mode_affichage="mois",EOMONTH(AZ$3,0),AZ$3+6)),"◆",""))</f>
      </c>
      <c r="BA258" s="26">
        <f>IF(OR($A258="",BA$3=""),"",IF(AND($J258&lt;&gt;"",$K258&lt;&gt;"",$J258=$K258,$J258&gt;=BA$3,$J258&lt;=IF(param_mode_affichage="mois",EOMONTH(BA$3,0),BA$3+6)),"◆",""))</f>
      </c>
      <c r="BB258" s="26">
        <f>IF(OR($A258="",BB$3=""),"",IF(AND($J258&lt;&gt;"",$K258&lt;&gt;"",$J258=$K258,$J258&gt;=BB$3,$J258&lt;=IF(param_mode_affichage="mois",EOMONTH(BB$3,0),BB$3+6)),"◆",""))</f>
      </c>
      <c r="BC258" s="26">
        <f>IF(OR($A258="",BC$3=""),"",IF(AND($J258&lt;&gt;"",$K258&lt;&gt;"",$J258=$K258,$J258&gt;=BC$3,$J258&lt;=IF(param_mode_affichage="mois",EOMONTH(BC$3,0),BC$3+6)),"◆",""))</f>
      </c>
      <c r="BD258" s="26">
        <f>IF(OR($A258="",BD$3=""),"",IF(AND($J258&lt;&gt;"",$K258&lt;&gt;"",$J258=$K258,$J258&gt;=BD$3,$J258&lt;=IF(param_mode_affichage="mois",EOMONTH(BD$3,0),BD$3+6)),"◆",""))</f>
      </c>
      <c r="BE258" s="26">
        <f>IF(OR($A258="",BE$3=""),"",IF(AND($J258&lt;&gt;"",$K258&lt;&gt;"",$J258=$K258,$J258&gt;=BE$3,$J258&lt;=IF(param_mode_affichage="mois",EOMONTH(BE$3,0),BE$3+6)),"◆",""))</f>
      </c>
      <c r="BF258" s="26">
        <f>IF(OR($A258="",BF$3=""),"",IF(AND($J258&lt;&gt;"",$K258&lt;&gt;"",$J258=$K258,$J258&gt;=BF$3,$J258&lt;=IF(param_mode_affichage="mois",EOMONTH(BF$3,0),BF$3+6)),"◆",""))</f>
      </c>
      <c r="BG258" s="26">
        <f>IF(OR($A258="",BG$3=""),"",IF(AND($J258&lt;&gt;"",$K258&lt;&gt;"",$J258=$K258,$J258&gt;=BG$3,$J258&lt;=IF(param_mode_affichage="mois",EOMONTH(BG$3,0),BG$3+6)),"◆",""))</f>
      </c>
      <c r="BH258" s="26">
        <f>IF(OR($A258="",BH$3=""),"",IF(AND($J258&lt;&gt;"",$K258&lt;&gt;"",$J258=$K258,$J258&gt;=BH$3,$J258&lt;=IF(param_mode_affichage="mois",EOMONTH(BH$3,0),BH$3+6)),"◆",""))</f>
      </c>
      <c r="BI258" s="26">
        <f>IF(OR($A258="",BI$3=""),"",IF(AND($J258&lt;&gt;"",$K258&lt;&gt;"",$J258=$K258,$J258&gt;=BI$3,$J258&lt;=IF(param_mode_affichage="mois",EOMONTH(BI$3,0),BI$3+6)),"◆",""))</f>
      </c>
      <c r="BJ258" s="26">
        <f>IF(OR($A258="",BJ$3=""),"",IF(AND($J258&lt;&gt;"",$K258&lt;&gt;"",$J258=$K258,$J258&gt;=BJ$3,$J258&lt;=IF(param_mode_affichage="mois",EOMONTH(BJ$3,0),BJ$3+6)),"◆",""))</f>
      </c>
      <c r="BK258" s="26">
        <f>IF(OR($A258="",BK$3=""),"",IF(AND($J258&lt;&gt;"",$K258&lt;&gt;"",$J258=$K258,$J258&gt;=BK$3,$J258&lt;=IF(param_mode_affichage="mois",EOMONTH(BK$3,0),BK$3+6)),"◆",""))</f>
      </c>
      <c r="BL258" s="26">
        <f>IF(OR($A258="",BL$3=""),"",IF(AND($J258&lt;&gt;"",$K258&lt;&gt;"",$J258=$K258,$J258&gt;=BL$3,$J258&lt;=IF(param_mode_affichage="mois",EOMONTH(BL$3,0),BL$3+6)),"◆",""))</f>
      </c>
    </row>
    <row r="259" spans="1:64" x14ac:dyDescent="0.25">
      <c r="A259" s="23">
        <f>IFERROR(INDEX(tblTasks[ID],ROW()-4),"")</f>
      </c>
      <c r="B259" s="24">
        <f>IF($A259="","",INDEX(tblTasks[Sujet],ROW()-4))</f>
      </c>
      <c r="C259" s="23">
        <f>IF($A259="","",INDEX(tblTasks[Responsable],ROW()-4))</f>
      </c>
      <c r="D259" s="23">
        <f>IF($A259="","",INDEX(tblTasks[Statut],ROW()-4))</f>
      </c>
      <c r="E259" s="23">
        <f>IF($A259="","",INDEX(tblTasks[Depend_de],ROW()-4))</f>
      </c>
      <c r="F259" s="23">
        <f>IF($A259="","",INDEX(tblTasks[Blocage],ROW()-4))</f>
      </c>
      <c r="G259" s="23">
        <f>IF($A259="","",INDEX(tblTasks[Niveau_criticite],ROW()-4))</f>
      </c>
      <c r="H259" s="23">
        <f>IF($A259="","",INDEX(tblTasks[Goulot],ROW()-4))</f>
      </c>
      <c r="I259" s="23">
        <f>IF($A259="","",IF(LOWER($F259)="oui","non",IF($E259="","oui",IFERROR(IF(LOWER(INDEX(tblTasks[Statut],MATCH($E259,tblTasks[ID],0)))="clos","oui","non"),"non"))))</f>
      </c>
      <c r="J259" s="25">
        <f>IF($A259="","",INDEX(tblTasks[Date_debut_prevue],ROW()-4))</f>
      </c>
      <c r="K259" s="25">
        <f>IF($A259="","",INDEX(tblTasks[Date_fin_prevue],ROW()-4))</f>
      </c>
      <c r="L259" s="23">
        <f>IF($A259="","",INDEX(tblTasks[Irreversibilite],ROW()-4))</f>
      </c>
      <c r="M259" s="26">
        <f>IF(OR($A259="",M$3=""),"",IF(AND($J259&lt;&gt;"",$K259&lt;&gt;"",$J259=$K259,$J259&gt;=M$3,$J259&lt;=IF(param_mode_affichage="mois",EOMONTH(M$3,0),M$3+6)),"◆",""))</f>
      </c>
      <c r="N259" s="26">
        <f>IF(OR($A259="",N$3=""),"",IF(AND($J259&lt;&gt;"",$K259&lt;&gt;"",$J259=$K259,$J259&gt;=N$3,$J259&lt;=IF(param_mode_affichage="mois",EOMONTH(N$3,0),N$3+6)),"◆",""))</f>
      </c>
      <c r="O259" s="26">
        <f>IF(OR($A259="",O$3=""),"",IF(AND($J259&lt;&gt;"",$K259&lt;&gt;"",$J259=$K259,$J259&gt;=O$3,$J259&lt;=IF(param_mode_affichage="mois",EOMONTH(O$3,0),O$3+6)),"◆",""))</f>
      </c>
      <c r="P259" s="26">
        <f>IF(OR($A259="",P$3=""),"",IF(AND($J259&lt;&gt;"",$K259&lt;&gt;"",$J259=$K259,$J259&gt;=P$3,$J259&lt;=IF(param_mode_affichage="mois",EOMONTH(P$3,0),P$3+6)),"◆",""))</f>
      </c>
      <c r="Q259" s="26">
        <f>IF(OR($A259="",Q$3=""),"",IF(AND($J259&lt;&gt;"",$K259&lt;&gt;"",$J259=$K259,$J259&gt;=Q$3,$J259&lt;=IF(param_mode_affichage="mois",EOMONTH(Q$3,0),Q$3+6)),"◆",""))</f>
      </c>
      <c r="R259" s="26">
        <f>IF(OR($A259="",R$3=""),"",IF(AND($J259&lt;&gt;"",$K259&lt;&gt;"",$J259=$K259,$J259&gt;=R$3,$J259&lt;=IF(param_mode_affichage="mois",EOMONTH(R$3,0),R$3+6)),"◆",""))</f>
      </c>
      <c r="S259" s="26">
        <f>IF(OR($A259="",S$3=""),"",IF(AND($J259&lt;&gt;"",$K259&lt;&gt;"",$J259=$K259,$J259&gt;=S$3,$J259&lt;=IF(param_mode_affichage="mois",EOMONTH(S$3,0),S$3+6)),"◆",""))</f>
      </c>
      <c r="T259" s="26">
        <f>IF(OR($A259="",T$3=""),"",IF(AND($J259&lt;&gt;"",$K259&lt;&gt;"",$J259=$K259,$J259&gt;=T$3,$J259&lt;=IF(param_mode_affichage="mois",EOMONTH(T$3,0),T$3+6)),"◆",""))</f>
      </c>
      <c r="U259" s="26">
        <f>IF(OR($A259="",U$3=""),"",IF(AND($J259&lt;&gt;"",$K259&lt;&gt;"",$J259=$K259,$J259&gt;=U$3,$J259&lt;=IF(param_mode_affichage="mois",EOMONTH(U$3,0),U$3+6)),"◆",""))</f>
      </c>
      <c r="V259" s="26">
        <f>IF(OR($A259="",V$3=""),"",IF(AND($J259&lt;&gt;"",$K259&lt;&gt;"",$J259=$K259,$J259&gt;=V$3,$J259&lt;=IF(param_mode_affichage="mois",EOMONTH(V$3,0),V$3+6)),"◆",""))</f>
      </c>
      <c r="W259" s="26">
        <f>IF(OR($A259="",W$3=""),"",IF(AND($J259&lt;&gt;"",$K259&lt;&gt;"",$J259=$K259,$J259&gt;=W$3,$J259&lt;=IF(param_mode_affichage="mois",EOMONTH(W$3,0),W$3+6)),"◆",""))</f>
      </c>
      <c r="X259" s="26">
        <f>IF(OR($A259="",X$3=""),"",IF(AND($J259&lt;&gt;"",$K259&lt;&gt;"",$J259=$K259,$J259&gt;=X$3,$J259&lt;=IF(param_mode_affichage="mois",EOMONTH(X$3,0),X$3+6)),"◆",""))</f>
      </c>
      <c r="Y259" s="26">
        <f>IF(OR($A259="",Y$3=""),"",IF(AND($J259&lt;&gt;"",$K259&lt;&gt;"",$J259=$K259,$J259&gt;=Y$3,$J259&lt;=IF(param_mode_affichage="mois",EOMONTH(Y$3,0),Y$3+6)),"◆",""))</f>
      </c>
      <c r="Z259" s="26">
        <f>IF(OR($A259="",Z$3=""),"",IF(AND($J259&lt;&gt;"",$K259&lt;&gt;"",$J259=$K259,$J259&gt;=Z$3,$J259&lt;=IF(param_mode_affichage="mois",EOMONTH(Z$3,0),Z$3+6)),"◆",""))</f>
      </c>
      <c r="AA259" s="26">
        <f>IF(OR($A259="",AA$3=""),"",IF(AND($J259&lt;&gt;"",$K259&lt;&gt;"",$J259=$K259,$J259&gt;=AA$3,$J259&lt;=IF(param_mode_affichage="mois",EOMONTH(AA$3,0),AA$3+6)),"◆",""))</f>
      </c>
      <c r="AB259" s="26">
        <f>IF(OR($A259="",AB$3=""),"",IF(AND($J259&lt;&gt;"",$K259&lt;&gt;"",$J259=$K259,$J259&gt;=AB$3,$J259&lt;=IF(param_mode_affichage="mois",EOMONTH(AB$3,0),AB$3+6)),"◆",""))</f>
      </c>
      <c r="AC259" s="26">
        <f>IF(OR($A259="",AC$3=""),"",IF(AND($J259&lt;&gt;"",$K259&lt;&gt;"",$J259=$K259,$J259&gt;=AC$3,$J259&lt;=IF(param_mode_affichage="mois",EOMONTH(AC$3,0),AC$3+6)),"◆",""))</f>
      </c>
      <c r="AD259" s="26">
        <f>IF(OR($A259="",AD$3=""),"",IF(AND($J259&lt;&gt;"",$K259&lt;&gt;"",$J259=$K259,$J259&gt;=AD$3,$J259&lt;=IF(param_mode_affichage="mois",EOMONTH(AD$3,0),AD$3+6)),"◆",""))</f>
      </c>
      <c r="AE259" s="26">
        <f>IF(OR($A259="",AE$3=""),"",IF(AND($J259&lt;&gt;"",$K259&lt;&gt;"",$J259=$K259,$J259&gt;=AE$3,$J259&lt;=IF(param_mode_affichage="mois",EOMONTH(AE$3,0),AE$3+6)),"◆",""))</f>
      </c>
      <c r="AF259" s="26">
        <f>IF(OR($A259="",AF$3=""),"",IF(AND($J259&lt;&gt;"",$K259&lt;&gt;"",$J259=$K259,$J259&gt;=AF$3,$J259&lt;=IF(param_mode_affichage="mois",EOMONTH(AF$3,0),AF$3+6)),"◆",""))</f>
      </c>
      <c r="AG259" s="26">
        <f>IF(OR($A259="",AG$3=""),"",IF(AND($J259&lt;&gt;"",$K259&lt;&gt;"",$J259=$K259,$J259&gt;=AG$3,$J259&lt;=IF(param_mode_affichage="mois",EOMONTH(AG$3,0),AG$3+6)),"◆",""))</f>
      </c>
      <c r="AH259" s="26">
        <f>IF(OR($A259="",AH$3=""),"",IF(AND($J259&lt;&gt;"",$K259&lt;&gt;"",$J259=$K259,$J259&gt;=AH$3,$J259&lt;=IF(param_mode_affichage="mois",EOMONTH(AH$3,0),AH$3+6)),"◆",""))</f>
      </c>
      <c r="AI259" s="26">
        <f>IF(OR($A259="",AI$3=""),"",IF(AND($J259&lt;&gt;"",$K259&lt;&gt;"",$J259=$K259,$J259&gt;=AI$3,$J259&lt;=IF(param_mode_affichage="mois",EOMONTH(AI$3,0),AI$3+6)),"◆",""))</f>
      </c>
      <c r="AJ259" s="26">
        <f>IF(OR($A259="",AJ$3=""),"",IF(AND($J259&lt;&gt;"",$K259&lt;&gt;"",$J259=$K259,$J259&gt;=AJ$3,$J259&lt;=IF(param_mode_affichage="mois",EOMONTH(AJ$3,0),AJ$3+6)),"◆",""))</f>
      </c>
      <c r="AK259" s="26">
        <f>IF(OR($A259="",AK$3=""),"",IF(AND($J259&lt;&gt;"",$K259&lt;&gt;"",$J259=$K259,$J259&gt;=AK$3,$J259&lt;=IF(param_mode_affichage="mois",EOMONTH(AK$3,0),AK$3+6)),"◆",""))</f>
      </c>
      <c r="AL259" s="26">
        <f>IF(OR($A259="",AL$3=""),"",IF(AND($J259&lt;&gt;"",$K259&lt;&gt;"",$J259=$K259,$J259&gt;=AL$3,$J259&lt;=IF(param_mode_affichage="mois",EOMONTH(AL$3,0),AL$3+6)),"◆",""))</f>
      </c>
      <c r="AM259" s="26">
        <f>IF(OR($A259="",AM$3=""),"",IF(AND($J259&lt;&gt;"",$K259&lt;&gt;"",$J259=$K259,$J259&gt;=AM$3,$J259&lt;=IF(param_mode_affichage="mois",EOMONTH(AM$3,0),AM$3+6)),"◆",""))</f>
      </c>
      <c r="AN259" s="26">
        <f>IF(OR($A259="",AN$3=""),"",IF(AND($J259&lt;&gt;"",$K259&lt;&gt;"",$J259=$K259,$J259&gt;=AN$3,$J259&lt;=IF(param_mode_affichage="mois",EOMONTH(AN$3,0),AN$3+6)),"◆",""))</f>
      </c>
      <c r="AO259" s="26">
        <f>IF(OR($A259="",AO$3=""),"",IF(AND($J259&lt;&gt;"",$K259&lt;&gt;"",$J259=$K259,$J259&gt;=AO$3,$J259&lt;=IF(param_mode_affichage="mois",EOMONTH(AO$3,0),AO$3+6)),"◆",""))</f>
      </c>
      <c r="AP259" s="26">
        <f>IF(OR($A259="",AP$3=""),"",IF(AND($J259&lt;&gt;"",$K259&lt;&gt;"",$J259=$K259,$J259&gt;=AP$3,$J259&lt;=IF(param_mode_affichage="mois",EOMONTH(AP$3,0),AP$3+6)),"◆",""))</f>
      </c>
      <c r="AQ259" s="26">
        <f>IF(OR($A259="",AQ$3=""),"",IF(AND($J259&lt;&gt;"",$K259&lt;&gt;"",$J259=$K259,$J259&gt;=AQ$3,$J259&lt;=IF(param_mode_affichage="mois",EOMONTH(AQ$3,0),AQ$3+6)),"◆",""))</f>
      </c>
      <c r="AR259" s="26">
        <f>IF(OR($A259="",AR$3=""),"",IF(AND($J259&lt;&gt;"",$K259&lt;&gt;"",$J259=$K259,$J259&gt;=AR$3,$J259&lt;=IF(param_mode_affichage="mois",EOMONTH(AR$3,0),AR$3+6)),"◆",""))</f>
      </c>
      <c r="AS259" s="26">
        <f>IF(OR($A259="",AS$3=""),"",IF(AND($J259&lt;&gt;"",$K259&lt;&gt;"",$J259=$K259,$J259&gt;=AS$3,$J259&lt;=IF(param_mode_affichage="mois",EOMONTH(AS$3,0),AS$3+6)),"◆",""))</f>
      </c>
      <c r="AT259" s="26">
        <f>IF(OR($A259="",AT$3=""),"",IF(AND($J259&lt;&gt;"",$K259&lt;&gt;"",$J259=$K259,$J259&gt;=AT$3,$J259&lt;=IF(param_mode_affichage="mois",EOMONTH(AT$3,0),AT$3+6)),"◆",""))</f>
      </c>
      <c r="AU259" s="26">
        <f>IF(OR($A259="",AU$3=""),"",IF(AND($J259&lt;&gt;"",$K259&lt;&gt;"",$J259=$K259,$J259&gt;=AU$3,$J259&lt;=IF(param_mode_affichage="mois",EOMONTH(AU$3,0),AU$3+6)),"◆",""))</f>
      </c>
      <c r="AV259" s="26">
        <f>IF(OR($A259="",AV$3=""),"",IF(AND($J259&lt;&gt;"",$K259&lt;&gt;"",$J259=$K259,$J259&gt;=AV$3,$J259&lt;=IF(param_mode_affichage="mois",EOMONTH(AV$3,0),AV$3+6)),"◆",""))</f>
      </c>
      <c r="AW259" s="26">
        <f>IF(OR($A259="",AW$3=""),"",IF(AND($J259&lt;&gt;"",$K259&lt;&gt;"",$J259=$K259,$J259&gt;=AW$3,$J259&lt;=IF(param_mode_affichage="mois",EOMONTH(AW$3,0),AW$3+6)),"◆",""))</f>
      </c>
      <c r="AX259" s="26">
        <f>IF(OR($A259="",AX$3=""),"",IF(AND($J259&lt;&gt;"",$K259&lt;&gt;"",$J259=$K259,$J259&gt;=AX$3,$J259&lt;=IF(param_mode_affichage="mois",EOMONTH(AX$3,0),AX$3+6)),"◆",""))</f>
      </c>
      <c r="AY259" s="26">
        <f>IF(OR($A259="",AY$3=""),"",IF(AND($J259&lt;&gt;"",$K259&lt;&gt;"",$J259=$K259,$J259&gt;=AY$3,$J259&lt;=IF(param_mode_affichage="mois",EOMONTH(AY$3,0),AY$3+6)),"◆",""))</f>
      </c>
      <c r="AZ259" s="26">
        <f>IF(OR($A259="",AZ$3=""),"",IF(AND($J259&lt;&gt;"",$K259&lt;&gt;"",$J259=$K259,$J259&gt;=AZ$3,$J259&lt;=IF(param_mode_affichage="mois",EOMONTH(AZ$3,0),AZ$3+6)),"◆",""))</f>
      </c>
      <c r="BA259" s="26">
        <f>IF(OR($A259="",BA$3=""),"",IF(AND($J259&lt;&gt;"",$K259&lt;&gt;"",$J259=$K259,$J259&gt;=BA$3,$J259&lt;=IF(param_mode_affichage="mois",EOMONTH(BA$3,0),BA$3+6)),"◆",""))</f>
      </c>
      <c r="BB259" s="26">
        <f>IF(OR($A259="",BB$3=""),"",IF(AND($J259&lt;&gt;"",$K259&lt;&gt;"",$J259=$K259,$J259&gt;=BB$3,$J259&lt;=IF(param_mode_affichage="mois",EOMONTH(BB$3,0),BB$3+6)),"◆",""))</f>
      </c>
      <c r="BC259" s="26">
        <f>IF(OR($A259="",BC$3=""),"",IF(AND($J259&lt;&gt;"",$K259&lt;&gt;"",$J259=$K259,$J259&gt;=BC$3,$J259&lt;=IF(param_mode_affichage="mois",EOMONTH(BC$3,0),BC$3+6)),"◆",""))</f>
      </c>
      <c r="BD259" s="26">
        <f>IF(OR($A259="",BD$3=""),"",IF(AND($J259&lt;&gt;"",$K259&lt;&gt;"",$J259=$K259,$J259&gt;=BD$3,$J259&lt;=IF(param_mode_affichage="mois",EOMONTH(BD$3,0),BD$3+6)),"◆",""))</f>
      </c>
      <c r="BE259" s="26">
        <f>IF(OR($A259="",BE$3=""),"",IF(AND($J259&lt;&gt;"",$K259&lt;&gt;"",$J259=$K259,$J259&gt;=BE$3,$J259&lt;=IF(param_mode_affichage="mois",EOMONTH(BE$3,0),BE$3+6)),"◆",""))</f>
      </c>
      <c r="BF259" s="26">
        <f>IF(OR($A259="",BF$3=""),"",IF(AND($J259&lt;&gt;"",$K259&lt;&gt;"",$J259=$K259,$J259&gt;=BF$3,$J259&lt;=IF(param_mode_affichage="mois",EOMONTH(BF$3,0),BF$3+6)),"◆",""))</f>
      </c>
      <c r="BG259" s="26">
        <f>IF(OR($A259="",BG$3=""),"",IF(AND($J259&lt;&gt;"",$K259&lt;&gt;"",$J259=$K259,$J259&gt;=BG$3,$J259&lt;=IF(param_mode_affichage="mois",EOMONTH(BG$3,0),BG$3+6)),"◆",""))</f>
      </c>
      <c r="BH259" s="26">
        <f>IF(OR($A259="",BH$3=""),"",IF(AND($J259&lt;&gt;"",$K259&lt;&gt;"",$J259=$K259,$J259&gt;=BH$3,$J259&lt;=IF(param_mode_affichage="mois",EOMONTH(BH$3,0),BH$3+6)),"◆",""))</f>
      </c>
      <c r="BI259" s="26">
        <f>IF(OR($A259="",BI$3=""),"",IF(AND($J259&lt;&gt;"",$K259&lt;&gt;"",$J259=$K259,$J259&gt;=BI$3,$J259&lt;=IF(param_mode_affichage="mois",EOMONTH(BI$3,0),BI$3+6)),"◆",""))</f>
      </c>
      <c r="BJ259" s="26">
        <f>IF(OR($A259="",BJ$3=""),"",IF(AND($J259&lt;&gt;"",$K259&lt;&gt;"",$J259=$K259,$J259&gt;=BJ$3,$J259&lt;=IF(param_mode_affichage="mois",EOMONTH(BJ$3,0),BJ$3+6)),"◆",""))</f>
      </c>
      <c r="BK259" s="26">
        <f>IF(OR($A259="",BK$3=""),"",IF(AND($J259&lt;&gt;"",$K259&lt;&gt;"",$J259=$K259,$J259&gt;=BK$3,$J259&lt;=IF(param_mode_affichage="mois",EOMONTH(BK$3,0),BK$3+6)),"◆",""))</f>
      </c>
      <c r="BL259" s="26">
        <f>IF(OR($A259="",BL$3=""),"",IF(AND($J259&lt;&gt;"",$K259&lt;&gt;"",$J259=$K259,$J259&gt;=BL$3,$J259&lt;=IF(param_mode_affichage="mois",EOMONTH(BL$3,0),BL$3+6)),"◆",""))</f>
      </c>
    </row>
    <row r="260" spans="1:64" x14ac:dyDescent="0.25">
      <c r="A260" s="23">
        <f>IFERROR(INDEX(tblTasks[ID],ROW()-4),"")</f>
      </c>
      <c r="B260" s="24">
        <f>IF($A260="","",INDEX(tblTasks[Sujet],ROW()-4))</f>
      </c>
      <c r="C260" s="23">
        <f>IF($A260="","",INDEX(tblTasks[Responsable],ROW()-4))</f>
      </c>
      <c r="D260" s="23">
        <f>IF($A260="","",INDEX(tblTasks[Statut],ROW()-4))</f>
      </c>
      <c r="E260" s="23">
        <f>IF($A260="","",INDEX(tblTasks[Depend_de],ROW()-4))</f>
      </c>
      <c r="F260" s="23">
        <f>IF($A260="","",INDEX(tblTasks[Blocage],ROW()-4))</f>
      </c>
      <c r="G260" s="23">
        <f>IF($A260="","",INDEX(tblTasks[Niveau_criticite],ROW()-4))</f>
      </c>
      <c r="H260" s="23">
        <f>IF($A260="","",INDEX(tblTasks[Goulot],ROW()-4))</f>
      </c>
      <c r="I260" s="23">
        <f>IF($A260="","",IF(LOWER($F260)="oui","non",IF($E260="","oui",IFERROR(IF(LOWER(INDEX(tblTasks[Statut],MATCH($E260,tblTasks[ID],0)))="clos","oui","non"),"non"))))</f>
      </c>
      <c r="J260" s="25">
        <f>IF($A260="","",INDEX(tblTasks[Date_debut_prevue],ROW()-4))</f>
      </c>
      <c r="K260" s="25">
        <f>IF($A260="","",INDEX(tblTasks[Date_fin_prevue],ROW()-4))</f>
      </c>
      <c r="L260" s="23">
        <f>IF($A260="","",INDEX(tblTasks[Irreversibilite],ROW()-4))</f>
      </c>
      <c r="M260" s="26">
        <f>IF(OR($A260="",M$3=""),"",IF(AND($J260&lt;&gt;"",$K260&lt;&gt;"",$J260=$K260,$J260&gt;=M$3,$J260&lt;=IF(param_mode_affichage="mois",EOMONTH(M$3,0),M$3+6)),"◆",""))</f>
      </c>
      <c r="N260" s="26">
        <f>IF(OR($A260="",N$3=""),"",IF(AND($J260&lt;&gt;"",$K260&lt;&gt;"",$J260=$K260,$J260&gt;=N$3,$J260&lt;=IF(param_mode_affichage="mois",EOMONTH(N$3,0),N$3+6)),"◆",""))</f>
      </c>
      <c r="O260" s="26">
        <f>IF(OR($A260="",O$3=""),"",IF(AND($J260&lt;&gt;"",$K260&lt;&gt;"",$J260=$K260,$J260&gt;=O$3,$J260&lt;=IF(param_mode_affichage="mois",EOMONTH(O$3,0),O$3+6)),"◆",""))</f>
      </c>
      <c r="P260" s="26">
        <f>IF(OR($A260="",P$3=""),"",IF(AND($J260&lt;&gt;"",$K260&lt;&gt;"",$J260=$K260,$J260&gt;=P$3,$J260&lt;=IF(param_mode_affichage="mois",EOMONTH(P$3,0),P$3+6)),"◆",""))</f>
      </c>
      <c r="Q260" s="26">
        <f>IF(OR($A260="",Q$3=""),"",IF(AND($J260&lt;&gt;"",$K260&lt;&gt;"",$J260=$K260,$J260&gt;=Q$3,$J260&lt;=IF(param_mode_affichage="mois",EOMONTH(Q$3,0),Q$3+6)),"◆",""))</f>
      </c>
      <c r="R260" s="26">
        <f>IF(OR($A260="",R$3=""),"",IF(AND($J260&lt;&gt;"",$K260&lt;&gt;"",$J260=$K260,$J260&gt;=R$3,$J260&lt;=IF(param_mode_affichage="mois",EOMONTH(R$3,0),R$3+6)),"◆",""))</f>
      </c>
      <c r="S260" s="26">
        <f>IF(OR($A260="",S$3=""),"",IF(AND($J260&lt;&gt;"",$K260&lt;&gt;"",$J260=$K260,$J260&gt;=S$3,$J260&lt;=IF(param_mode_affichage="mois",EOMONTH(S$3,0),S$3+6)),"◆",""))</f>
      </c>
      <c r="T260" s="26">
        <f>IF(OR($A260="",T$3=""),"",IF(AND($J260&lt;&gt;"",$K260&lt;&gt;"",$J260=$K260,$J260&gt;=T$3,$J260&lt;=IF(param_mode_affichage="mois",EOMONTH(T$3,0),T$3+6)),"◆",""))</f>
      </c>
      <c r="U260" s="26">
        <f>IF(OR($A260="",U$3=""),"",IF(AND($J260&lt;&gt;"",$K260&lt;&gt;"",$J260=$K260,$J260&gt;=U$3,$J260&lt;=IF(param_mode_affichage="mois",EOMONTH(U$3,0),U$3+6)),"◆",""))</f>
      </c>
      <c r="V260" s="26">
        <f>IF(OR($A260="",V$3=""),"",IF(AND($J260&lt;&gt;"",$K260&lt;&gt;"",$J260=$K260,$J260&gt;=V$3,$J260&lt;=IF(param_mode_affichage="mois",EOMONTH(V$3,0),V$3+6)),"◆",""))</f>
      </c>
      <c r="W260" s="26">
        <f>IF(OR($A260="",W$3=""),"",IF(AND($J260&lt;&gt;"",$K260&lt;&gt;"",$J260=$K260,$J260&gt;=W$3,$J260&lt;=IF(param_mode_affichage="mois",EOMONTH(W$3,0),W$3+6)),"◆",""))</f>
      </c>
      <c r="X260" s="26">
        <f>IF(OR($A260="",X$3=""),"",IF(AND($J260&lt;&gt;"",$K260&lt;&gt;"",$J260=$K260,$J260&gt;=X$3,$J260&lt;=IF(param_mode_affichage="mois",EOMONTH(X$3,0),X$3+6)),"◆",""))</f>
      </c>
      <c r="Y260" s="26">
        <f>IF(OR($A260="",Y$3=""),"",IF(AND($J260&lt;&gt;"",$K260&lt;&gt;"",$J260=$K260,$J260&gt;=Y$3,$J260&lt;=IF(param_mode_affichage="mois",EOMONTH(Y$3,0),Y$3+6)),"◆",""))</f>
      </c>
      <c r="Z260" s="26">
        <f>IF(OR($A260="",Z$3=""),"",IF(AND($J260&lt;&gt;"",$K260&lt;&gt;"",$J260=$K260,$J260&gt;=Z$3,$J260&lt;=IF(param_mode_affichage="mois",EOMONTH(Z$3,0),Z$3+6)),"◆",""))</f>
      </c>
      <c r="AA260" s="26">
        <f>IF(OR($A260="",AA$3=""),"",IF(AND($J260&lt;&gt;"",$K260&lt;&gt;"",$J260=$K260,$J260&gt;=AA$3,$J260&lt;=IF(param_mode_affichage="mois",EOMONTH(AA$3,0),AA$3+6)),"◆",""))</f>
      </c>
      <c r="AB260" s="26">
        <f>IF(OR($A260="",AB$3=""),"",IF(AND($J260&lt;&gt;"",$K260&lt;&gt;"",$J260=$K260,$J260&gt;=AB$3,$J260&lt;=IF(param_mode_affichage="mois",EOMONTH(AB$3,0),AB$3+6)),"◆",""))</f>
      </c>
      <c r="AC260" s="26">
        <f>IF(OR($A260="",AC$3=""),"",IF(AND($J260&lt;&gt;"",$K260&lt;&gt;"",$J260=$K260,$J260&gt;=AC$3,$J260&lt;=IF(param_mode_affichage="mois",EOMONTH(AC$3,0),AC$3+6)),"◆",""))</f>
      </c>
      <c r="AD260" s="26">
        <f>IF(OR($A260="",AD$3=""),"",IF(AND($J260&lt;&gt;"",$K260&lt;&gt;"",$J260=$K260,$J260&gt;=AD$3,$J260&lt;=IF(param_mode_affichage="mois",EOMONTH(AD$3,0),AD$3+6)),"◆",""))</f>
      </c>
      <c r="AE260" s="26">
        <f>IF(OR($A260="",AE$3=""),"",IF(AND($J260&lt;&gt;"",$K260&lt;&gt;"",$J260=$K260,$J260&gt;=AE$3,$J260&lt;=IF(param_mode_affichage="mois",EOMONTH(AE$3,0),AE$3+6)),"◆",""))</f>
      </c>
      <c r="AF260" s="26">
        <f>IF(OR($A260="",AF$3=""),"",IF(AND($J260&lt;&gt;"",$K260&lt;&gt;"",$J260=$K260,$J260&gt;=AF$3,$J260&lt;=IF(param_mode_affichage="mois",EOMONTH(AF$3,0),AF$3+6)),"◆",""))</f>
      </c>
      <c r="AG260" s="26">
        <f>IF(OR($A260="",AG$3=""),"",IF(AND($J260&lt;&gt;"",$K260&lt;&gt;"",$J260=$K260,$J260&gt;=AG$3,$J260&lt;=IF(param_mode_affichage="mois",EOMONTH(AG$3,0),AG$3+6)),"◆",""))</f>
      </c>
      <c r="AH260" s="26">
        <f>IF(OR($A260="",AH$3=""),"",IF(AND($J260&lt;&gt;"",$K260&lt;&gt;"",$J260=$K260,$J260&gt;=AH$3,$J260&lt;=IF(param_mode_affichage="mois",EOMONTH(AH$3,0),AH$3+6)),"◆",""))</f>
      </c>
      <c r="AI260" s="26">
        <f>IF(OR($A260="",AI$3=""),"",IF(AND($J260&lt;&gt;"",$K260&lt;&gt;"",$J260=$K260,$J260&gt;=AI$3,$J260&lt;=IF(param_mode_affichage="mois",EOMONTH(AI$3,0),AI$3+6)),"◆",""))</f>
      </c>
      <c r="AJ260" s="26">
        <f>IF(OR($A260="",AJ$3=""),"",IF(AND($J260&lt;&gt;"",$K260&lt;&gt;"",$J260=$K260,$J260&gt;=AJ$3,$J260&lt;=IF(param_mode_affichage="mois",EOMONTH(AJ$3,0),AJ$3+6)),"◆",""))</f>
      </c>
      <c r="AK260" s="26">
        <f>IF(OR($A260="",AK$3=""),"",IF(AND($J260&lt;&gt;"",$K260&lt;&gt;"",$J260=$K260,$J260&gt;=AK$3,$J260&lt;=IF(param_mode_affichage="mois",EOMONTH(AK$3,0),AK$3+6)),"◆",""))</f>
      </c>
      <c r="AL260" s="26">
        <f>IF(OR($A260="",AL$3=""),"",IF(AND($J260&lt;&gt;"",$K260&lt;&gt;"",$J260=$K260,$J260&gt;=AL$3,$J260&lt;=IF(param_mode_affichage="mois",EOMONTH(AL$3,0),AL$3+6)),"◆",""))</f>
      </c>
      <c r="AM260" s="26">
        <f>IF(OR($A260="",AM$3=""),"",IF(AND($J260&lt;&gt;"",$K260&lt;&gt;"",$J260=$K260,$J260&gt;=AM$3,$J260&lt;=IF(param_mode_affichage="mois",EOMONTH(AM$3,0),AM$3+6)),"◆",""))</f>
      </c>
      <c r="AN260" s="26">
        <f>IF(OR($A260="",AN$3=""),"",IF(AND($J260&lt;&gt;"",$K260&lt;&gt;"",$J260=$K260,$J260&gt;=AN$3,$J260&lt;=IF(param_mode_affichage="mois",EOMONTH(AN$3,0),AN$3+6)),"◆",""))</f>
      </c>
      <c r="AO260" s="26">
        <f>IF(OR($A260="",AO$3=""),"",IF(AND($J260&lt;&gt;"",$K260&lt;&gt;"",$J260=$K260,$J260&gt;=AO$3,$J260&lt;=IF(param_mode_affichage="mois",EOMONTH(AO$3,0),AO$3+6)),"◆",""))</f>
      </c>
      <c r="AP260" s="26">
        <f>IF(OR($A260="",AP$3=""),"",IF(AND($J260&lt;&gt;"",$K260&lt;&gt;"",$J260=$K260,$J260&gt;=AP$3,$J260&lt;=IF(param_mode_affichage="mois",EOMONTH(AP$3,0),AP$3+6)),"◆",""))</f>
      </c>
      <c r="AQ260" s="26">
        <f>IF(OR($A260="",AQ$3=""),"",IF(AND($J260&lt;&gt;"",$K260&lt;&gt;"",$J260=$K260,$J260&gt;=AQ$3,$J260&lt;=IF(param_mode_affichage="mois",EOMONTH(AQ$3,0),AQ$3+6)),"◆",""))</f>
      </c>
      <c r="AR260" s="26">
        <f>IF(OR($A260="",AR$3=""),"",IF(AND($J260&lt;&gt;"",$K260&lt;&gt;"",$J260=$K260,$J260&gt;=AR$3,$J260&lt;=IF(param_mode_affichage="mois",EOMONTH(AR$3,0),AR$3+6)),"◆",""))</f>
      </c>
      <c r="AS260" s="26">
        <f>IF(OR($A260="",AS$3=""),"",IF(AND($J260&lt;&gt;"",$K260&lt;&gt;"",$J260=$K260,$J260&gt;=AS$3,$J260&lt;=IF(param_mode_affichage="mois",EOMONTH(AS$3,0),AS$3+6)),"◆",""))</f>
      </c>
      <c r="AT260" s="26">
        <f>IF(OR($A260="",AT$3=""),"",IF(AND($J260&lt;&gt;"",$K260&lt;&gt;"",$J260=$K260,$J260&gt;=AT$3,$J260&lt;=IF(param_mode_affichage="mois",EOMONTH(AT$3,0),AT$3+6)),"◆",""))</f>
      </c>
      <c r="AU260" s="26">
        <f>IF(OR($A260="",AU$3=""),"",IF(AND($J260&lt;&gt;"",$K260&lt;&gt;"",$J260=$K260,$J260&gt;=AU$3,$J260&lt;=IF(param_mode_affichage="mois",EOMONTH(AU$3,0),AU$3+6)),"◆",""))</f>
      </c>
      <c r="AV260" s="26">
        <f>IF(OR($A260="",AV$3=""),"",IF(AND($J260&lt;&gt;"",$K260&lt;&gt;"",$J260=$K260,$J260&gt;=AV$3,$J260&lt;=IF(param_mode_affichage="mois",EOMONTH(AV$3,0),AV$3+6)),"◆",""))</f>
      </c>
      <c r="AW260" s="26">
        <f>IF(OR($A260="",AW$3=""),"",IF(AND($J260&lt;&gt;"",$K260&lt;&gt;"",$J260=$K260,$J260&gt;=AW$3,$J260&lt;=IF(param_mode_affichage="mois",EOMONTH(AW$3,0),AW$3+6)),"◆",""))</f>
      </c>
      <c r="AX260" s="26">
        <f>IF(OR($A260="",AX$3=""),"",IF(AND($J260&lt;&gt;"",$K260&lt;&gt;"",$J260=$K260,$J260&gt;=AX$3,$J260&lt;=IF(param_mode_affichage="mois",EOMONTH(AX$3,0),AX$3+6)),"◆",""))</f>
      </c>
      <c r="AY260" s="26">
        <f>IF(OR($A260="",AY$3=""),"",IF(AND($J260&lt;&gt;"",$K260&lt;&gt;"",$J260=$K260,$J260&gt;=AY$3,$J260&lt;=IF(param_mode_affichage="mois",EOMONTH(AY$3,0),AY$3+6)),"◆",""))</f>
      </c>
      <c r="AZ260" s="26">
        <f>IF(OR($A260="",AZ$3=""),"",IF(AND($J260&lt;&gt;"",$K260&lt;&gt;"",$J260=$K260,$J260&gt;=AZ$3,$J260&lt;=IF(param_mode_affichage="mois",EOMONTH(AZ$3,0),AZ$3+6)),"◆",""))</f>
      </c>
      <c r="BA260" s="26">
        <f>IF(OR($A260="",BA$3=""),"",IF(AND($J260&lt;&gt;"",$K260&lt;&gt;"",$J260=$K260,$J260&gt;=BA$3,$J260&lt;=IF(param_mode_affichage="mois",EOMONTH(BA$3,0),BA$3+6)),"◆",""))</f>
      </c>
      <c r="BB260" s="26">
        <f>IF(OR($A260="",BB$3=""),"",IF(AND($J260&lt;&gt;"",$K260&lt;&gt;"",$J260=$K260,$J260&gt;=BB$3,$J260&lt;=IF(param_mode_affichage="mois",EOMONTH(BB$3,0),BB$3+6)),"◆",""))</f>
      </c>
      <c r="BC260" s="26">
        <f>IF(OR($A260="",BC$3=""),"",IF(AND($J260&lt;&gt;"",$K260&lt;&gt;"",$J260=$K260,$J260&gt;=BC$3,$J260&lt;=IF(param_mode_affichage="mois",EOMONTH(BC$3,0),BC$3+6)),"◆",""))</f>
      </c>
      <c r="BD260" s="26">
        <f>IF(OR($A260="",BD$3=""),"",IF(AND($J260&lt;&gt;"",$K260&lt;&gt;"",$J260=$K260,$J260&gt;=BD$3,$J260&lt;=IF(param_mode_affichage="mois",EOMONTH(BD$3,0),BD$3+6)),"◆",""))</f>
      </c>
      <c r="BE260" s="26">
        <f>IF(OR($A260="",BE$3=""),"",IF(AND($J260&lt;&gt;"",$K260&lt;&gt;"",$J260=$K260,$J260&gt;=BE$3,$J260&lt;=IF(param_mode_affichage="mois",EOMONTH(BE$3,0),BE$3+6)),"◆",""))</f>
      </c>
      <c r="BF260" s="26">
        <f>IF(OR($A260="",BF$3=""),"",IF(AND($J260&lt;&gt;"",$K260&lt;&gt;"",$J260=$K260,$J260&gt;=BF$3,$J260&lt;=IF(param_mode_affichage="mois",EOMONTH(BF$3,0),BF$3+6)),"◆",""))</f>
      </c>
      <c r="BG260" s="26">
        <f>IF(OR($A260="",BG$3=""),"",IF(AND($J260&lt;&gt;"",$K260&lt;&gt;"",$J260=$K260,$J260&gt;=BG$3,$J260&lt;=IF(param_mode_affichage="mois",EOMONTH(BG$3,0),BG$3+6)),"◆",""))</f>
      </c>
      <c r="BH260" s="26">
        <f>IF(OR($A260="",BH$3=""),"",IF(AND($J260&lt;&gt;"",$K260&lt;&gt;"",$J260=$K260,$J260&gt;=BH$3,$J260&lt;=IF(param_mode_affichage="mois",EOMONTH(BH$3,0),BH$3+6)),"◆",""))</f>
      </c>
      <c r="BI260" s="26">
        <f>IF(OR($A260="",BI$3=""),"",IF(AND($J260&lt;&gt;"",$K260&lt;&gt;"",$J260=$K260,$J260&gt;=BI$3,$J260&lt;=IF(param_mode_affichage="mois",EOMONTH(BI$3,0),BI$3+6)),"◆",""))</f>
      </c>
      <c r="BJ260" s="26">
        <f>IF(OR($A260="",BJ$3=""),"",IF(AND($J260&lt;&gt;"",$K260&lt;&gt;"",$J260=$K260,$J260&gt;=BJ$3,$J260&lt;=IF(param_mode_affichage="mois",EOMONTH(BJ$3,0),BJ$3+6)),"◆",""))</f>
      </c>
      <c r="BK260" s="26">
        <f>IF(OR($A260="",BK$3=""),"",IF(AND($J260&lt;&gt;"",$K260&lt;&gt;"",$J260=$K260,$J260&gt;=BK$3,$J260&lt;=IF(param_mode_affichage="mois",EOMONTH(BK$3,0),BK$3+6)),"◆",""))</f>
      </c>
      <c r="BL260" s="26">
        <f>IF(OR($A260="",BL$3=""),"",IF(AND($J260&lt;&gt;"",$K260&lt;&gt;"",$J260=$K260,$J260&gt;=BL$3,$J260&lt;=IF(param_mode_affichage="mois",EOMONTH(BL$3,0),BL$3+6)),"◆",""))</f>
      </c>
    </row>
    <row r="261" spans="1:64" x14ac:dyDescent="0.25">
      <c r="A261" s="23">
        <f>IFERROR(INDEX(tblTasks[ID],ROW()-4),"")</f>
      </c>
      <c r="B261" s="24">
        <f>IF($A261="","",INDEX(tblTasks[Sujet],ROW()-4))</f>
      </c>
      <c r="C261" s="23">
        <f>IF($A261="","",INDEX(tblTasks[Responsable],ROW()-4))</f>
      </c>
      <c r="D261" s="23">
        <f>IF($A261="","",INDEX(tblTasks[Statut],ROW()-4))</f>
      </c>
      <c r="E261" s="23">
        <f>IF($A261="","",INDEX(tblTasks[Depend_de],ROW()-4))</f>
      </c>
      <c r="F261" s="23">
        <f>IF($A261="","",INDEX(tblTasks[Blocage],ROW()-4))</f>
      </c>
      <c r="G261" s="23">
        <f>IF($A261="","",INDEX(tblTasks[Niveau_criticite],ROW()-4))</f>
      </c>
      <c r="H261" s="23">
        <f>IF($A261="","",INDEX(tblTasks[Goulot],ROW()-4))</f>
      </c>
      <c r="I261" s="23">
        <f>IF($A261="","",IF(LOWER($F261)="oui","non",IF($E261="","oui",IFERROR(IF(LOWER(INDEX(tblTasks[Statut],MATCH($E261,tblTasks[ID],0)))="clos","oui","non"),"non"))))</f>
      </c>
      <c r="J261" s="25">
        <f>IF($A261="","",INDEX(tblTasks[Date_debut_prevue],ROW()-4))</f>
      </c>
      <c r="K261" s="25">
        <f>IF($A261="","",INDEX(tblTasks[Date_fin_prevue],ROW()-4))</f>
      </c>
      <c r="L261" s="23">
        <f>IF($A261="","",INDEX(tblTasks[Irreversibilite],ROW()-4))</f>
      </c>
      <c r="M261" s="26">
        <f>IF(OR($A261="",M$3=""),"",IF(AND($J261&lt;&gt;"",$K261&lt;&gt;"",$J261=$K261,$J261&gt;=M$3,$J261&lt;=IF(param_mode_affichage="mois",EOMONTH(M$3,0),M$3+6)),"◆",""))</f>
      </c>
      <c r="N261" s="26">
        <f>IF(OR($A261="",N$3=""),"",IF(AND($J261&lt;&gt;"",$K261&lt;&gt;"",$J261=$K261,$J261&gt;=N$3,$J261&lt;=IF(param_mode_affichage="mois",EOMONTH(N$3,0),N$3+6)),"◆",""))</f>
      </c>
      <c r="O261" s="26">
        <f>IF(OR($A261="",O$3=""),"",IF(AND($J261&lt;&gt;"",$K261&lt;&gt;"",$J261=$K261,$J261&gt;=O$3,$J261&lt;=IF(param_mode_affichage="mois",EOMONTH(O$3,0),O$3+6)),"◆",""))</f>
      </c>
      <c r="P261" s="26">
        <f>IF(OR($A261="",P$3=""),"",IF(AND($J261&lt;&gt;"",$K261&lt;&gt;"",$J261=$K261,$J261&gt;=P$3,$J261&lt;=IF(param_mode_affichage="mois",EOMONTH(P$3,0),P$3+6)),"◆",""))</f>
      </c>
      <c r="Q261" s="26">
        <f>IF(OR($A261="",Q$3=""),"",IF(AND($J261&lt;&gt;"",$K261&lt;&gt;"",$J261=$K261,$J261&gt;=Q$3,$J261&lt;=IF(param_mode_affichage="mois",EOMONTH(Q$3,0),Q$3+6)),"◆",""))</f>
      </c>
      <c r="R261" s="26">
        <f>IF(OR($A261="",R$3=""),"",IF(AND($J261&lt;&gt;"",$K261&lt;&gt;"",$J261=$K261,$J261&gt;=R$3,$J261&lt;=IF(param_mode_affichage="mois",EOMONTH(R$3,0),R$3+6)),"◆",""))</f>
      </c>
      <c r="S261" s="26">
        <f>IF(OR($A261="",S$3=""),"",IF(AND($J261&lt;&gt;"",$K261&lt;&gt;"",$J261=$K261,$J261&gt;=S$3,$J261&lt;=IF(param_mode_affichage="mois",EOMONTH(S$3,0),S$3+6)),"◆",""))</f>
      </c>
      <c r="T261" s="26">
        <f>IF(OR($A261="",T$3=""),"",IF(AND($J261&lt;&gt;"",$K261&lt;&gt;"",$J261=$K261,$J261&gt;=T$3,$J261&lt;=IF(param_mode_affichage="mois",EOMONTH(T$3,0),T$3+6)),"◆",""))</f>
      </c>
      <c r="U261" s="26">
        <f>IF(OR($A261="",U$3=""),"",IF(AND($J261&lt;&gt;"",$K261&lt;&gt;"",$J261=$K261,$J261&gt;=U$3,$J261&lt;=IF(param_mode_affichage="mois",EOMONTH(U$3,0),U$3+6)),"◆",""))</f>
      </c>
      <c r="V261" s="26">
        <f>IF(OR($A261="",V$3=""),"",IF(AND($J261&lt;&gt;"",$K261&lt;&gt;"",$J261=$K261,$J261&gt;=V$3,$J261&lt;=IF(param_mode_affichage="mois",EOMONTH(V$3,0),V$3+6)),"◆",""))</f>
      </c>
      <c r="W261" s="26">
        <f>IF(OR($A261="",W$3=""),"",IF(AND($J261&lt;&gt;"",$K261&lt;&gt;"",$J261=$K261,$J261&gt;=W$3,$J261&lt;=IF(param_mode_affichage="mois",EOMONTH(W$3,0),W$3+6)),"◆",""))</f>
      </c>
      <c r="X261" s="26">
        <f>IF(OR($A261="",X$3=""),"",IF(AND($J261&lt;&gt;"",$K261&lt;&gt;"",$J261=$K261,$J261&gt;=X$3,$J261&lt;=IF(param_mode_affichage="mois",EOMONTH(X$3,0),X$3+6)),"◆",""))</f>
      </c>
      <c r="Y261" s="26">
        <f>IF(OR($A261="",Y$3=""),"",IF(AND($J261&lt;&gt;"",$K261&lt;&gt;"",$J261=$K261,$J261&gt;=Y$3,$J261&lt;=IF(param_mode_affichage="mois",EOMONTH(Y$3,0),Y$3+6)),"◆",""))</f>
      </c>
      <c r="Z261" s="26">
        <f>IF(OR($A261="",Z$3=""),"",IF(AND($J261&lt;&gt;"",$K261&lt;&gt;"",$J261=$K261,$J261&gt;=Z$3,$J261&lt;=IF(param_mode_affichage="mois",EOMONTH(Z$3,0),Z$3+6)),"◆",""))</f>
      </c>
      <c r="AA261" s="26">
        <f>IF(OR($A261="",AA$3=""),"",IF(AND($J261&lt;&gt;"",$K261&lt;&gt;"",$J261=$K261,$J261&gt;=AA$3,$J261&lt;=IF(param_mode_affichage="mois",EOMONTH(AA$3,0),AA$3+6)),"◆",""))</f>
      </c>
      <c r="AB261" s="26">
        <f>IF(OR($A261="",AB$3=""),"",IF(AND($J261&lt;&gt;"",$K261&lt;&gt;"",$J261=$K261,$J261&gt;=AB$3,$J261&lt;=IF(param_mode_affichage="mois",EOMONTH(AB$3,0),AB$3+6)),"◆",""))</f>
      </c>
      <c r="AC261" s="26">
        <f>IF(OR($A261="",AC$3=""),"",IF(AND($J261&lt;&gt;"",$K261&lt;&gt;"",$J261=$K261,$J261&gt;=AC$3,$J261&lt;=IF(param_mode_affichage="mois",EOMONTH(AC$3,0),AC$3+6)),"◆",""))</f>
      </c>
      <c r="AD261" s="26">
        <f>IF(OR($A261="",AD$3=""),"",IF(AND($J261&lt;&gt;"",$K261&lt;&gt;"",$J261=$K261,$J261&gt;=AD$3,$J261&lt;=IF(param_mode_affichage="mois",EOMONTH(AD$3,0),AD$3+6)),"◆",""))</f>
      </c>
      <c r="AE261" s="26">
        <f>IF(OR($A261="",AE$3=""),"",IF(AND($J261&lt;&gt;"",$K261&lt;&gt;"",$J261=$K261,$J261&gt;=AE$3,$J261&lt;=IF(param_mode_affichage="mois",EOMONTH(AE$3,0),AE$3+6)),"◆",""))</f>
      </c>
      <c r="AF261" s="26">
        <f>IF(OR($A261="",AF$3=""),"",IF(AND($J261&lt;&gt;"",$K261&lt;&gt;"",$J261=$K261,$J261&gt;=AF$3,$J261&lt;=IF(param_mode_affichage="mois",EOMONTH(AF$3,0),AF$3+6)),"◆",""))</f>
      </c>
      <c r="AG261" s="26">
        <f>IF(OR($A261="",AG$3=""),"",IF(AND($J261&lt;&gt;"",$K261&lt;&gt;"",$J261=$K261,$J261&gt;=AG$3,$J261&lt;=IF(param_mode_affichage="mois",EOMONTH(AG$3,0),AG$3+6)),"◆",""))</f>
      </c>
      <c r="AH261" s="26">
        <f>IF(OR($A261="",AH$3=""),"",IF(AND($J261&lt;&gt;"",$K261&lt;&gt;"",$J261=$K261,$J261&gt;=AH$3,$J261&lt;=IF(param_mode_affichage="mois",EOMONTH(AH$3,0),AH$3+6)),"◆",""))</f>
      </c>
      <c r="AI261" s="26">
        <f>IF(OR($A261="",AI$3=""),"",IF(AND($J261&lt;&gt;"",$K261&lt;&gt;"",$J261=$K261,$J261&gt;=AI$3,$J261&lt;=IF(param_mode_affichage="mois",EOMONTH(AI$3,0),AI$3+6)),"◆",""))</f>
      </c>
      <c r="AJ261" s="26">
        <f>IF(OR($A261="",AJ$3=""),"",IF(AND($J261&lt;&gt;"",$K261&lt;&gt;"",$J261=$K261,$J261&gt;=AJ$3,$J261&lt;=IF(param_mode_affichage="mois",EOMONTH(AJ$3,0),AJ$3+6)),"◆",""))</f>
      </c>
      <c r="AK261" s="26">
        <f>IF(OR($A261="",AK$3=""),"",IF(AND($J261&lt;&gt;"",$K261&lt;&gt;"",$J261=$K261,$J261&gt;=AK$3,$J261&lt;=IF(param_mode_affichage="mois",EOMONTH(AK$3,0),AK$3+6)),"◆",""))</f>
      </c>
      <c r="AL261" s="26">
        <f>IF(OR($A261="",AL$3=""),"",IF(AND($J261&lt;&gt;"",$K261&lt;&gt;"",$J261=$K261,$J261&gt;=AL$3,$J261&lt;=IF(param_mode_affichage="mois",EOMONTH(AL$3,0),AL$3+6)),"◆",""))</f>
      </c>
      <c r="AM261" s="26">
        <f>IF(OR($A261="",AM$3=""),"",IF(AND($J261&lt;&gt;"",$K261&lt;&gt;"",$J261=$K261,$J261&gt;=AM$3,$J261&lt;=IF(param_mode_affichage="mois",EOMONTH(AM$3,0),AM$3+6)),"◆",""))</f>
      </c>
      <c r="AN261" s="26">
        <f>IF(OR($A261="",AN$3=""),"",IF(AND($J261&lt;&gt;"",$K261&lt;&gt;"",$J261=$K261,$J261&gt;=AN$3,$J261&lt;=IF(param_mode_affichage="mois",EOMONTH(AN$3,0),AN$3+6)),"◆",""))</f>
      </c>
      <c r="AO261" s="26">
        <f>IF(OR($A261="",AO$3=""),"",IF(AND($J261&lt;&gt;"",$K261&lt;&gt;"",$J261=$K261,$J261&gt;=AO$3,$J261&lt;=IF(param_mode_affichage="mois",EOMONTH(AO$3,0),AO$3+6)),"◆",""))</f>
      </c>
      <c r="AP261" s="26">
        <f>IF(OR($A261="",AP$3=""),"",IF(AND($J261&lt;&gt;"",$K261&lt;&gt;"",$J261=$K261,$J261&gt;=AP$3,$J261&lt;=IF(param_mode_affichage="mois",EOMONTH(AP$3,0),AP$3+6)),"◆",""))</f>
      </c>
      <c r="AQ261" s="26">
        <f>IF(OR($A261="",AQ$3=""),"",IF(AND($J261&lt;&gt;"",$K261&lt;&gt;"",$J261=$K261,$J261&gt;=AQ$3,$J261&lt;=IF(param_mode_affichage="mois",EOMONTH(AQ$3,0),AQ$3+6)),"◆",""))</f>
      </c>
      <c r="AR261" s="26">
        <f>IF(OR($A261="",AR$3=""),"",IF(AND($J261&lt;&gt;"",$K261&lt;&gt;"",$J261=$K261,$J261&gt;=AR$3,$J261&lt;=IF(param_mode_affichage="mois",EOMONTH(AR$3,0),AR$3+6)),"◆",""))</f>
      </c>
      <c r="AS261" s="26">
        <f>IF(OR($A261="",AS$3=""),"",IF(AND($J261&lt;&gt;"",$K261&lt;&gt;"",$J261=$K261,$J261&gt;=AS$3,$J261&lt;=IF(param_mode_affichage="mois",EOMONTH(AS$3,0),AS$3+6)),"◆",""))</f>
      </c>
      <c r="AT261" s="26">
        <f>IF(OR($A261="",AT$3=""),"",IF(AND($J261&lt;&gt;"",$K261&lt;&gt;"",$J261=$K261,$J261&gt;=AT$3,$J261&lt;=IF(param_mode_affichage="mois",EOMONTH(AT$3,0),AT$3+6)),"◆",""))</f>
      </c>
      <c r="AU261" s="26">
        <f>IF(OR($A261="",AU$3=""),"",IF(AND($J261&lt;&gt;"",$K261&lt;&gt;"",$J261=$K261,$J261&gt;=AU$3,$J261&lt;=IF(param_mode_affichage="mois",EOMONTH(AU$3,0),AU$3+6)),"◆",""))</f>
      </c>
      <c r="AV261" s="26">
        <f>IF(OR($A261="",AV$3=""),"",IF(AND($J261&lt;&gt;"",$K261&lt;&gt;"",$J261=$K261,$J261&gt;=AV$3,$J261&lt;=IF(param_mode_affichage="mois",EOMONTH(AV$3,0),AV$3+6)),"◆",""))</f>
      </c>
      <c r="AW261" s="26">
        <f>IF(OR($A261="",AW$3=""),"",IF(AND($J261&lt;&gt;"",$K261&lt;&gt;"",$J261=$K261,$J261&gt;=AW$3,$J261&lt;=IF(param_mode_affichage="mois",EOMONTH(AW$3,0),AW$3+6)),"◆",""))</f>
      </c>
      <c r="AX261" s="26">
        <f>IF(OR($A261="",AX$3=""),"",IF(AND($J261&lt;&gt;"",$K261&lt;&gt;"",$J261=$K261,$J261&gt;=AX$3,$J261&lt;=IF(param_mode_affichage="mois",EOMONTH(AX$3,0),AX$3+6)),"◆",""))</f>
      </c>
      <c r="AY261" s="26">
        <f>IF(OR($A261="",AY$3=""),"",IF(AND($J261&lt;&gt;"",$K261&lt;&gt;"",$J261=$K261,$J261&gt;=AY$3,$J261&lt;=IF(param_mode_affichage="mois",EOMONTH(AY$3,0),AY$3+6)),"◆",""))</f>
      </c>
      <c r="AZ261" s="26">
        <f>IF(OR($A261="",AZ$3=""),"",IF(AND($J261&lt;&gt;"",$K261&lt;&gt;"",$J261=$K261,$J261&gt;=AZ$3,$J261&lt;=IF(param_mode_affichage="mois",EOMONTH(AZ$3,0),AZ$3+6)),"◆",""))</f>
      </c>
      <c r="BA261" s="26">
        <f>IF(OR($A261="",BA$3=""),"",IF(AND($J261&lt;&gt;"",$K261&lt;&gt;"",$J261=$K261,$J261&gt;=BA$3,$J261&lt;=IF(param_mode_affichage="mois",EOMONTH(BA$3,0),BA$3+6)),"◆",""))</f>
      </c>
      <c r="BB261" s="26">
        <f>IF(OR($A261="",BB$3=""),"",IF(AND($J261&lt;&gt;"",$K261&lt;&gt;"",$J261=$K261,$J261&gt;=BB$3,$J261&lt;=IF(param_mode_affichage="mois",EOMONTH(BB$3,0),BB$3+6)),"◆",""))</f>
      </c>
      <c r="BC261" s="26">
        <f>IF(OR($A261="",BC$3=""),"",IF(AND($J261&lt;&gt;"",$K261&lt;&gt;"",$J261=$K261,$J261&gt;=BC$3,$J261&lt;=IF(param_mode_affichage="mois",EOMONTH(BC$3,0),BC$3+6)),"◆",""))</f>
      </c>
      <c r="BD261" s="26">
        <f>IF(OR($A261="",BD$3=""),"",IF(AND($J261&lt;&gt;"",$K261&lt;&gt;"",$J261=$K261,$J261&gt;=BD$3,$J261&lt;=IF(param_mode_affichage="mois",EOMONTH(BD$3,0),BD$3+6)),"◆",""))</f>
      </c>
      <c r="BE261" s="26">
        <f>IF(OR($A261="",BE$3=""),"",IF(AND($J261&lt;&gt;"",$K261&lt;&gt;"",$J261=$K261,$J261&gt;=BE$3,$J261&lt;=IF(param_mode_affichage="mois",EOMONTH(BE$3,0),BE$3+6)),"◆",""))</f>
      </c>
      <c r="BF261" s="26">
        <f>IF(OR($A261="",BF$3=""),"",IF(AND($J261&lt;&gt;"",$K261&lt;&gt;"",$J261=$K261,$J261&gt;=BF$3,$J261&lt;=IF(param_mode_affichage="mois",EOMONTH(BF$3,0),BF$3+6)),"◆",""))</f>
      </c>
      <c r="BG261" s="26">
        <f>IF(OR($A261="",BG$3=""),"",IF(AND($J261&lt;&gt;"",$K261&lt;&gt;"",$J261=$K261,$J261&gt;=BG$3,$J261&lt;=IF(param_mode_affichage="mois",EOMONTH(BG$3,0),BG$3+6)),"◆",""))</f>
      </c>
      <c r="BH261" s="26">
        <f>IF(OR($A261="",BH$3=""),"",IF(AND($J261&lt;&gt;"",$K261&lt;&gt;"",$J261=$K261,$J261&gt;=BH$3,$J261&lt;=IF(param_mode_affichage="mois",EOMONTH(BH$3,0),BH$3+6)),"◆",""))</f>
      </c>
      <c r="BI261" s="26">
        <f>IF(OR($A261="",BI$3=""),"",IF(AND($J261&lt;&gt;"",$K261&lt;&gt;"",$J261=$K261,$J261&gt;=BI$3,$J261&lt;=IF(param_mode_affichage="mois",EOMONTH(BI$3,0),BI$3+6)),"◆",""))</f>
      </c>
      <c r="BJ261" s="26">
        <f>IF(OR($A261="",BJ$3=""),"",IF(AND($J261&lt;&gt;"",$K261&lt;&gt;"",$J261=$K261,$J261&gt;=BJ$3,$J261&lt;=IF(param_mode_affichage="mois",EOMONTH(BJ$3,0),BJ$3+6)),"◆",""))</f>
      </c>
      <c r="BK261" s="26">
        <f>IF(OR($A261="",BK$3=""),"",IF(AND($J261&lt;&gt;"",$K261&lt;&gt;"",$J261=$K261,$J261&gt;=BK$3,$J261&lt;=IF(param_mode_affichage="mois",EOMONTH(BK$3,0),BK$3+6)),"◆",""))</f>
      </c>
      <c r="BL261" s="26">
        <f>IF(OR($A261="",BL$3=""),"",IF(AND($J261&lt;&gt;"",$K261&lt;&gt;"",$J261=$K261,$J261&gt;=BL$3,$J261&lt;=IF(param_mode_affichage="mois",EOMONTH(BL$3,0),BL$3+6)),"◆",""))</f>
      </c>
    </row>
    <row r="262" spans="1:64" x14ac:dyDescent="0.25">
      <c r="A262" s="23">
        <f>IFERROR(INDEX(tblTasks[ID],ROW()-4),"")</f>
      </c>
      <c r="B262" s="24">
        <f>IF($A262="","",INDEX(tblTasks[Sujet],ROW()-4))</f>
      </c>
      <c r="C262" s="23">
        <f>IF($A262="","",INDEX(tblTasks[Responsable],ROW()-4))</f>
      </c>
      <c r="D262" s="23">
        <f>IF($A262="","",INDEX(tblTasks[Statut],ROW()-4))</f>
      </c>
      <c r="E262" s="23">
        <f>IF($A262="","",INDEX(tblTasks[Depend_de],ROW()-4))</f>
      </c>
      <c r="F262" s="23">
        <f>IF($A262="","",INDEX(tblTasks[Blocage],ROW()-4))</f>
      </c>
      <c r="G262" s="23">
        <f>IF($A262="","",INDEX(tblTasks[Niveau_criticite],ROW()-4))</f>
      </c>
      <c r="H262" s="23">
        <f>IF($A262="","",INDEX(tblTasks[Goulot],ROW()-4))</f>
      </c>
      <c r="I262" s="23">
        <f>IF($A262="","",IF(LOWER($F262)="oui","non",IF($E262="","oui",IFERROR(IF(LOWER(INDEX(tblTasks[Statut],MATCH($E262,tblTasks[ID],0)))="clos","oui","non"),"non"))))</f>
      </c>
      <c r="J262" s="25">
        <f>IF($A262="","",INDEX(tblTasks[Date_debut_prevue],ROW()-4))</f>
      </c>
      <c r="K262" s="25">
        <f>IF($A262="","",INDEX(tblTasks[Date_fin_prevue],ROW()-4))</f>
      </c>
      <c r="L262" s="23">
        <f>IF($A262="","",INDEX(tblTasks[Irreversibilite],ROW()-4))</f>
      </c>
      <c r="M262" s="26">
        <f>IF(OR($A262="",M$3=""),"",IF(AND($J262&lt;&gt;"",$K262&lt;&gt;"",$J262=$K262,$J262&gt;=M$3,$J262&lt;=IF(param_mode_affichage="mois",EOMONTH(M$3,0),M$3+6)),"◆",""))</f>
      </c>
      <c r="N262" s="26">
        <f>IF(OR($A262="",N$3=""),"",IF(AND($J262&lt;&gt;"",$K262&lt;&gt;"",$J262=$K262,$J262&gt;=N$3,$J262&lt;=IF(param_mode_affichage="mois",EOMONTH(N$3,0),N$3+6)),"◆",""))</f>
      </c>
      <c r="O262" s="26">
        <f>IF(OR($A262="",O$3=""),"",IF(AND($J262&lt;&gt;"",$K262&lt;&gt;"",$J262=$K262,$J262&gt;=O$3,$J262&lt;=IF(param_mode_affichage="mois",EOMONTH(O$3,0),O$3+6)),"◆",""))</f>
      </c>
      <c r="P262" s="26">
        <f>IF(OR($A262="",P$3=""),"",IF(AND($J262&lt;&gt;"",$K262&lt;&gt;"",$J262=$K262,$J262&gt;=P$3,$J262&lt;=IF(param_mode_affichage="mois",EOMONTH(P$3,0),P$3+6)),"◆",""))</f>
      </c>
      <c r="Q262" s="26">
        <f>IF(OR($A262="",Q$3=""),"",IF(AND($J262&lt;&gt;"",$K262&lt;&gt;"",$J262=$K262,$J262&gt;=Q$3,$J262&lt;=IF(param_mode_affichage="mois",EOMONTH(Q$3,0),Q$3+6)),"◆",""))</f>
      </c>
      <c r="R262" s="26">
        <f>IF(OR($A262="",R$3=""),"",IF(AND($J262&lt;&gt;"",$K262&lt;&gt;"",$J262=$K262,$J262&gt;=R$3,$J262&lt;=IF(param_mode_affichage="mois",EOMONTH(R$3,0),R$3+6)),"◆",""))</f>
      </c>
      <c r="S262" s="26">
        <f>IF(OR($A262="",S$3=""),"",IF(AND($J262&lt;&gt;"",$K262&lt;&gt;"",$J262=$K262,$J262&gt;=S$3,$J262&lt;=IF(param_mode_affichage="mois",EOMONTH(S$3,0),S$3+6)),"◆",""))</f>
      </c>
      <c r="T262" s="26">
        <f>IF(OR($A262="",T$3=""),"",IF(AND($J262&lt;&gt;"",$K262&lt;&gt;"",$J262=$K262,$J262&gt;=T$3,$J262&lt;=IF(param_mode_affichage="mois",EOMONTH(T$3,0),T$3+6)),"◆",""))</f>
      </c>
      <c r="U262" s="26">
        <f>IF(OR($A262="",U$3=""),"",IF(AND($J262&lt;&gt;"",$K262&lt;&gt;"",$J262=$K262,$J262&gt;=U$3,$J262&lt;=IF(param_mode_affichage="mois",EOMONTH(U$3,0),U$3+6)),"◆",""))</f>
      </c>
      <c r="V262" s="26">
        <f>IF(OR($A262="",V$3=""),"",IF(AND($J262&lt;&gt;"",$K262&lt;&gt;"",$J262=$K262,$J262&gt;=V$3,$J262&lt;=IF(param_mode_affichage="mois",EOMONTH(V$3,0),V$3+6)),"◆",""))</f>
      </c>
      <c r="W262" s="26">
        <f>IF(OR($A262="",W$3=""),"",IF(AND($J262&lt;&gt;"",$K262&lt;&gt;"",$J262=$K262,$J262&gt;=W$3,$J262&lt;=IF(param_mode_affichage="mois",EOMONTH(W$3,0),W$3+6)),"◆",""))</f>
      </c>
      <c r="X262" s="26">
        <f>IF(OR($A262="",X$3=""),"",IF(AND($J262&lt;&gt;"",$K262&lt;&gt;"",$J262=$K262,$J262&gt;=X$3,$J262&lt;=IF(param_mode_affichage="mois",EOMONTH(X$3,0),X$3+6)),"◆",""))</f>
      </c>
      <c r="Y262" s="26">
        <f>IF(OR($A262="",Y$3=""),"",IF(AND($J262&lt;&gt;"",$K262&lt;&gt;"",$J262=$K262,$J262&gt;=Y$3,$J262&lt;=IF(param_mode_affichage="mois",EOMONTH(Y$3,0),Y$3+6)),"◆",""))</f>
      </c>
      <c r="Z262" s="26">
        <f>IF(OR($A262="",Z$3=""),"",IF(AND($J262&lt;&gt;"",$K262&lt;&gt;"",$J262=$K262,$J262&gt;=Z$3,$J262&lt;=IF(param_mode_affichage="mois",EOMONTH(Z$3,0),Z$3+6)),"◆",""))</f>
      </c>
      <c r="AA262" s="26">
        <f>IF(OR($A262="",AA$3=""),"",IF(AND($J262&lt;&gt;"",$K262&lt;&gt;"",$J262=$K262,$J262&gt;=AA$3,$J262&lt;=IF(param_mode_affichage="mois",EOMONTH(AA$3,0),AA$3+6)),"◆",""))</f>
      </c>
      <c r="AB262" s="26">
        <f>IF(OR($A262="",AB$3=""),"",IF(AND($J262&lt;&gt;"",$K262&lt;&gt;"",$J262=$K262,$J262&gt;=AB$3,$J262&lt;=IF(param_mode_affichage="mois",EOMONTH(AB$3,0),AB$3+6)),"◆",""))</f>
      </c>
      <c r="AC262" s="26">
        <f>IF(OR($A262="",AC$3=""),"",IF(AND($J262&lt;&gt;"",$K262&lt;&gt;"",$J262=$K262,$J262&gt;=AC$3,$J262&lt;=IF(param_mode_affichage="mois",EOMONTH(AC$3,0),AC$3+6)),"◆",""))</f>
      </c>
      <c r="AD262" s="26">
        <f>IF(OR($A262="",AD$3=""),"",IF(AND($J262&lt;&gt;"",$K262&lt;&gt;"",$J262=$K262,$J262&gt;=AD$3,$J262&lt;=IF(param_mode_affichage="mois",EOMONTH(AD$3,0),AD$3+6)),"◆",""))</f>
      </c>
      <c r="AE262" s="26">
        <f>IF(OR($A262="",AE$3=""),"",IF(AND($J262&lt;&gt;"",$K262&lt;&gt;"",$J262=$K262,$J262&gt;=AE$3,$J262&lt;=IF(param_mode_affichage="mois",EOMONTH(AE$3,0),AE$3+6)),"◆",""))</f>
      </c>
      <c r="AF262" s="26">
        <f>IF(OR($A262="",AF$3=""),"",IF(AND($J262&lt;&gt;"",$K262&lt;&gt;"",$J262=$K262,$J262&gt;=AF$3,$J262&lt;=IF(param_mode_affichage="mois",EOMONTH(AF$3,0),AF$3+6)),"◆",""))</f>
      </c>
      <c r="AG262" s="26">
        <f>IF(OR($A262="",AG$3=""),"",IF(AND($J262&lt;&gt;"",$K262&lt;&gt;"",$J262=$K262,$J262&gt;=AG$3,$J262&lt;=IF(param_mode_affichage="mois",EOMONTH(AG$3,0),AG$3+6)),"◆",""))</f>
      </c>
      <c r="AH262" s="26">
        <f>IF(OR($A262="",AH$3=""),"",IF(AND($J262&lt;&gt;"",$K262&lt;&gt;"",$J262=$K262,$J262&gt;=AH$3,$J262&lt;=IF(param_mode_affichage="mois",EOMONTH(AH$3,0),AH$3+6)),"◆",""))</f>
      </c>
      <c r="AI262" s="26">
        <f>IF(OR($A262="",AI$3=""),"",IF(AND($J262&lt;&gt;"",$K262&lt;&gt;"",$J262=$K262,$J262&gt;=AI$3,$J262&lt;=IF(param_mode_affichage="mois",EOMONTH(AI$3,0),AI$3+6)),"◆",""))</f>
      </c>
      <c r="AJ262" s="26">
        <f>IF(OR($A262="",AJ$3=""),"",IF(AND($J262&lt;&gt;"",$K262&lt;&gt;"",$J262=$K262,$J262&gt;=AJ$3,$J262&lt;=IF(param_mode_affichage="mois",EOMONTH(AJ$3,0),AJ$3+6)),"◆",""))</f>
      </c>
      <c r="AK262" s="26">
        <f>IF(OR($A262="",AK$3=""),"",IF(AND($J262&lt;&gt;"",$K262&lt;&gt;"",$J262=$K262,$J262&gt;=AK$3,$J262&lt;=IF(param_mode_affichage="mois",EOMONTH(AK$3,0),AK$3+6)),"◆",""))</f>
      </c>
      <c r="AL262" s="26">
        <f>IF(OR($A262="",AL$3=""),"",IF(AND($J262&lt;&gt;"",$K262&lt;&gt;"",$J262=$K262,$J262&gt;=AL$3,$J262&lt;=IF(param_mode_affichage="mois",EOMONTH(AL$3,0),AL$3+6)),"◆",""))</f>
      </c>
      <c r="AM262" s="26">
        <f>IF(OR($A262="",AM$3=""),"",IF(AND($J262&lt;&gt;"",$K262&lt;&gt;"",$J262=$K262,$J262&gt;=AM$3,$J262&lt;=IF(param_mode_affichage="mois",EOMONTH(AM$3,0),AM$3+6)),"◆",""))</f>
      </c>
      <c r="AN262" s="26">
        <f>IF(OR($A262="",AN$3=""),"",IF(AND($J262&lt;&gt;"",$K262&lt;&gt;"",$J262=$K262,$J262&gt;=AN$3,$J262&lt;=IF(param_mode_affichage="mois",EOMONTH(AN$3,0),AN$3+6)),"◆",""))</f>
      </c>
      <c r="AO262" s="26">
        <f>IF(OR($A262="",AO$3=""),"",IF(AND($J262&lt;&gt;"",$K262&lt;&gt;"",$J262=$K262,$J262&gt;=AO$3,$J262&lt;=IF(param_mode_affichage="mois",EOMONTH(AO$3,0),AO$3+6)),"◆",""))</f>
      </c>
      <c r="AP262" s="26">
        <f>IF(OR($A262="",AP$3=""),"",IF(AND($J262&lt;&gt;"",$K262&lt;&gt;"",$J262=$K262,$J262&gt;=AP$3,$J262&lt;=IF(param_mode_affichage="mois",EOMONTH(AP$3,0),AP$3+6)),"◆",""))</f>
      </c>
      <c r="AQ262" s="26">
        <f>IF(OR($A262="",AQ$3=""),"",IF(AND($J262&lt;&gt;"",$K262&lt;&gt;"",$J262=$K262,$J262&gt;=AQ$3,$J262&lt;=IF(param_mode_affichage="mois",EOMONTH(AQ$3,0),AQ$3+6)),"◆",""))</f>
      </c>
      <c r="AR262" s="26">
        <f>IF(OR($A262="",AR$3=""),"",IF(AND($J262&lt;&gt;"",$K262&lt;&gt;"",$J262=$K262,$J262&gt;=AR$3,$J262&lt;=IF(param_mode_affichage="mois",EOMONTH(AR$3,0),AR$3+6)),"◆",""))</f>
      </c>
      <c r="AS262" s="26">
        <f>IF(OR($A262="",AS$3=""),"",IF(AND($J262&lt;&gt;"",$K262&lt;&gt;"",$J262=$K262,$J262&gt;=AS$3,$J262&lt;=IF(param_mode_affichage="mois",EOMONTH(AS$3,0),AS$3+6)),"◆",""))</f>
      </c>
      <c r="AT262" s="26">
        <f>IF(OR($A262="",AT$3=""),"",IF(AND($J262&lt;&gt;"",$K262&lt;&gt;"",$J262=$K262,$J262&gt;=AT$3,$J262&lt;=IF(param_mode_affichage="mois",EOMONTH(AT$3,0),AT$3+6)),"◆",""))</f>
      </c>
      <c r="AU262" s="26">
        <f>IF(OR($A262="",AU$3=""),"",IF(AND($J262&lt;&gt;"",$K262&lt;&gt;"",$J262=$K262,$J262&gt;=AU$3,$J262&lt;=IF(param_mode_affichage="mois",EOMONTH(AU$3,0),AU$3+6)),"◆",""))</f>
      </c>
      <c r="AV262" s="26">
        <f>IF(OR($A262="",AV$3=""),"",IF(AND($J262&lt;&gt;"",$K262&lt;&gt;"",$J262=$K262,$J262&gt;=AV$3,$J262&lt;=IF(param_mode_affichage="mois",EOMONTH(AV$3,0),AV$3+6)),"◆",""))</f>
      </c>
      <c r="AW262" s="26">
        <f>IF(OR($A262="",AW$3=""),"",IF(AND($J262&lt;&gt;"",$K262&lt;&gt;"",$J262=$K262,$J262&gt;=AW$3,$J262&lt;=IF(param_mode_affichage="mois",EOMONTH(AW$3,0),AW$3+6)),"◆",""))</f>
      </c>
      <c r="AX262" s="26">
        <f>IF(OR($A262="",AX$3=""),"",IF(AND($J262&lt;&gt;"",$K262&lt;&gt;"",$J262=$K262,$J262&gt;=AX$3,$J262&lt;=IF(param_mode_affichage="mois",EOMONTH(AX$3,0),AX$3+6)),"◆",""))</f>
      </c>
      <c r="AY262" s="26">
        <f>IF(OR($A262="",AY$3=""),"",IF(AND($J262&lt;&gt;"",$K262&lt;&gt;"",$J262=$K262,$J262&gt;=AY$3,$J262&lt;=IF(param_mode_affichage="mois",EOMONTH(AY$3,0),AY$3+6)),"◆",""))</f>
      </c>
      <c r="AZ262" s="26">
        <f>IF(OR($A262="",AZ$3=""),"",IF(AND($J262&lt;&gt;"",$K262&lt;&gt;"",$J262=$K262,$J262&gt;=AZ$3,$J262&lt;=IF(param_mode_affichage="mois",EOMONTH(AZ$3,0),AZ$3+6)),"◆",""))</f>
      </c>
      <c r="BA262" s="26">
        <f>IF(OR($A262="",BA$3=""),"",IF(AND($J262&lt;&gt;"",$K262&lt;&gt;"",$J262=$K262,$J262&gt;=BA$3,$J262&lt;=IF(param_mode_affichage="mois",EOMONTH(BA$3,0),BA$3+6)),"◆",""))</f>
      </c>
      <c r="BB262" s="26">
        <f>IF(OR($A262="",BB$3=""),"",IF(AND($J262&lt;&gt;"",$K262&lt;&gt;"",$J262=$K262,$J262&gt;=BB$3,$J262&lt;=IF(param_mode_affichage="mois",EOMONTH(BB$3,0),BB$3+6)),"◆",""))</f>
      </c>
      <c r="BC262" s="26">
        <f>IF(OR($A262="",BC$3=""),"",IF(AND($J262&lt;&gt;"",$K262&lt;&gt;"",$J262=$K262,$J262&gt;=BC$3,$J262&lt;=IF(param_mode_affichage="mois",EOMONTH(BC$3,0),BC$3+6)),"◆",""))</f>
      </c>
      <c r="BD262" s="26">
        <f>IF(OR($A262="",BD$3=""),"",IF(AND($J262&lt;&gt;"",$K262&lt;&gt;"",$J262=$K262,$J262&gt;=BD$3,$J262&lt;=IF(param_mode_affichage="mois",EOMONTH(BD$3,0),BD$3+6)),"◆",""))</f>
      </c>
      <c r="BE262" s="26">
        <f>IF(OR($A262="",BE$3=""),"",IF(AND($J262&lt;&gt;"",$K262&lt;&gt;"",$J262=$K262,$J262&gt;=BE$3,$J262&lt;=IF(param_mode_affichage="mois",EOMONTH(BE$3,0),BE$3+6)),"◆",""))</f>
      </c>
      <c r="BF262" s="26">
        <f>IF(OR($A262="",BF$3=""),"",IF(AND($J262&lt;&gt;"",$K262&lt;&gt;"",$J262=$K262,$J262&gt;=BF$3,$J262&lt;=IF(param_mode_affichage="mois",EOMONTH(BF$3,0),BF$3+6)),"◆",""))</f>
      </c>
      <c r="BG262" s="26">
        <f>IF(OR($A262="",BG$3=""),"",IF(AND($J262&lt;&gt;"",$K262&lt;&gt;"",$J262=$K262,$J262&gt;=BG$3,$J262&lt;=IF(param_mode_affichage="mois",EOMONTH(BG$3,0),BG$3+6)),"◆",""))</f>
      </c>
      <c r="BH262" s="26">
        <f>IF(OR($A262="",BH$3=""),"",IF(AND($J262&lt;&gt;"",$K262&lt;&gt;"",$J262=$K262,$J262&gt;=BH$3,$J262&lt;=IF(param_mode_affichage="mois",EOMONTH(BH$3,0),BH$3+6)),"◆",""))</f>
      </c>
      <c r="BI262" s="26">
        <f>IF(OR($A262="",BI$3=""),"",IF(AND($J262&lt;&gt;"",$K262&lt;&gt;"",$J262=$K262,$J262&gt;=BI$3,$J262&lt;=IF(param_mode_affichage="mois",EOMONTH(BI$3,0),BI$3+6)),"◆",""))</f>
      </c>
      <c r="BJ262" s="26">
        <f>IF(OR($A262="",BJ$3=""),"",IF(AND($J262&lt;&gt;"",$K262&lt;&gt;"",$J262=$K262,$J262&gt;=BJ$3,$J262&lt;=IF(param_mode_affichage="mois",EOMONTH(BJ$3,0),BJ$3+6)),"◆",""))</f>
      </c>
      <c r="BK262" s="26">
        <f>IF(OR($A262="",BK$3=""),"",IF(AND($J262&lt;&gt;"",$K262&lt;&gt;"",$J262=$K262,$J262&gt;=BK$3,$J262&lt;=IF(param_mode_affichage="mois",EOMONTH(BK$3,0),BK$3+6)),"◆",""))</f>
      </c>
      <c r="BL262" s="26">
        <f>IF(OR($A262="",BL$3=""),"",IF(AND($J262&lt;&gt;"",$K262&lt;&gt;"",$J262=$K262,$J262&gt;=BL$3,$J262&lt;=IF(param_mode_affichage="mois",EOMONTH(BL$3,0),BL$3+6)),"◆",""))</f>
      </c>
    </row>
    <row r="263" spans="1:64" x14ac:dyDescent="0.25">
      <c r="A263" s="23">
        <f>IFERROR(INDEX(tblTasks[ID],ROW()-4),"")</f>
      </c>
      <c r="B263" s="24">
        <f>IF($A263="","",INDEX(tblTasks[Sujet],ROW()-4))</f>
      </c>
      <c r="C263" s="23">
        <f>IF($A263="","",INDEX(tblTasks[Responsable],ROW()-4))</f>
      </c>
      <c r="D263" s="23">
        <f>IF($A263="","",INDEX(tblTasks[Statut],ROW()-4))</f>
      </c>
      <c r="E263" s="23">
        <f>IF($A263="","",INDEX(tblTasks[Depend_de],ROW()-4))</f>
      </c>
      <c r="F263" s="23">
        <f>IF($A263="","",INDEX(tblTasks[Blocage],ROW()-4))</f>
      </c>
      <c r="G263" s="23">
        <f>IF($A263="","",INDEX(tblTasks[Niveau_criticite],ROW()-4))</f>
      </c>
      <c r="H263" s="23">
        <f>IF($A263="","",INDEX(tblTasks[Goulot],ROW()-4))</f>
      </c>
      <c r="I263" s="23">
        <f>IF($A263="","",IF(LOWER($F263)="oui","non",IF($E263="","oui",IFERROR(IF(LOWER(INDEX(tblTasks[Statut],MATCH($E263,tblTasks[ID],0)))="clos","oui","non"),"non"))))</f>
      </c>
      <c r="J263" s="25">
        <f>IF($A263="","",INDEX(tblTasks[Date_debut_prevue],ROW()-4))</f>
      </c>
      <c r="K263" s="25">
        <f>IF($A263="","",INDEX(tblTasks[Date_fin_prevue],ROW()-4))</f>
      </c>
      <c r="L263" s="23">
        <f>IF($A263="","",INDEX(tblTasks[Irreversibilite],ROW()-4))</f>
      </c>
      <c r="M263" s="26">
        <f>IF(OR($A263="",M$3=""),"",IF(AND($J263&lt;&gt;"",$K263&lt;&gt;"",$J263=$K263,$J263&gt;=M$3,$J263&lt;=IF(param_mode_affichage="mois",EOMONTH(M$3,0),M$3+6)),"◆",""))</f>
      </c>
      <c r="N263" s="26">
        <f>IF(OR($A263="",N$3=""),"",IF(AND($J263&lt;&gt;"",$K263&lt;&gt;"",$J263=$K263,$J263&gt;=N$3,$J263&lt;=IF(param_mode_affichage="mois",EOMONTH(N$3,0),N$3+6)),"◆",""))</f>
      </c>
      <c r="O263" s="26">
        <f>IF(OR($A263="",O$3=""),"",IF(AND($J263&lt;&gt;"",$K263&lt;&gt;"",$J263=$K263,$J263&gt;=O$3,$J263&lt;=IF(param_mode_affichage="mois",EOMONTH(O$3,0),O$3+6)),"◆",""))</f>
      </c>
      <c r="P263" s="26">
        <f>IF(OR($A263="",P$3=""),"",IF(AND($J263&lt;&gt;"",$K263&lt;&gt;"",$J263=$K263,$J263&gt;=P$3,$J263&lt;=IF(param_mode_affichage="mois",EOMONTH(P$3,0),P$3+6)),"◆",""))</f>
      </c>
      <c r="Q263" s="26">
        <f>IF(OR($A263="",Q$3=""),"",IF(AND($J263&lt;&gt;"",$K263&lt;&gt;"",$J263=$K263,$J263&gt;=Q$3,$J263&lt;=IF(param_mode_affichage="mois",EOMONTH(Q$3,0),Q$3+6)),"◆",""))</f>
      </c>
      <c r="R263" s="26">
        <f>IF(OR($A263="",R$3=""),"",IF(AND($J263&lt;&gt;"",$K263&lt;&gt;"",$J263=$K263,$J263&gt;=R$3,$J263&lt;=IF(param_mode_affichage="mois",EOMONTH(R$3,0),R$3+6)),"◆",""))</f>
      </c>
      <c r="S263" s="26">
        <f>IF(OR($A263="",S$3=""),"",IF(AND($J263&lt;&gt;"",$K263&lt;&gt;"",$J263=$K263,$J263&gt;=S$3,$J263&lt;=IF(param_mode_affichage="mois",EOMONTH(S$3,0),S$3+6)),"◆",""))</f>
      </c>
      <c r="T263" s="26">
        <f>IF(OR($A263="",T$3=""),"",IF(AND($J263&lt;&gt;"",$K263&lt;&gt;"",$J263=$K263,$J263&gt;=T$3,$J263&lt;=IF(param_mode_affichage="mois",EOMONTH(T$3,0),T$3+6)),"◆",""))</f>
      </c>
      <c r="U263" s="26">
        <f>IF(OR($A263="",U$3=""),"",IF(AND($J263&lt;&gt;"",$K263&lt;&gt;"",$J263=$K263,$J263&gt;=U$3,$J263&lt;=IF(param_mode_affichage="mois",EOMONTH(U$3,0),U$3+6)),"◆",""))</f>
      </c>
      <c r="V263" s="26">
        <f>IF(OR($A263="",V$3=""),"",IF(AND($J263&lt;&gt;"",$K263&lt;&gt;"",$J263=$K263,$J263&gt;=V$3,$J263&lt;=IF(param_mode_affichage="mois",EOMONTH(V$3,0),V$3+6)),"◆",""))</f>
      </c>
      <c r="W263" s="26">
        <f>IF(OR($A263="",W$3=""),"",IF(AND($J263&lt;&gt;"",$K263&lt;&gt;"",$J263=$K263,$J263&gt;=W$3,$J263&lt;=IF(param_mode_affichage="mois",EOMONTH(W$3,0),W$3+6)),"◆",""))</f>
      </c>
      <c r="X263" s="26">
        <f>IF(OR($A263="",X$3=""),"",IF(AND($J263&lt;&gt;"",$K263&lt;&gt;"",$J263=$K263,$J263&gt;=X$3,$J263&lt;=IF(param_mode_affichage="mois",EOMONTH(X$3,0),X$3+6)),"◆",""))</f>
      </c>
      <c r="Y263" s="26">
        <f>IF(OR($A263="",Y$3=""),"",IF(AND($J263&lt;&gt;"",$K263&lt;&gt;"",$J263=$K263,$J263&gt;=Y$3,$J263&lt;=IF(param_mode_affichage="mois",EOMONTH(Y$3,0),Y$3+6)),"◆",""))</f>
      </c>
      <c r="Z263" s="26">
        <f>IF(OR($A263="",Z$3=""),"",IF(AND($J263&lt;&gt;"",$K263&lt;&gt;"",$J263=$K263,$J263&gt;=Z$3,$J263&lt;=IF(param_mode_affichage="mois",EOMONTH(Z$3,0),Z$3+6)),"◆",""))</f>
      </c>
      <c r="AA263" s="26">
        <f>IF(OR($A263="",AA$3=""),"",IF(AND($J263&lt;&gt;"",$K263&lt;&gt;"",$J263=$K263,$J263&gt;=AA$3,$J263&lt;=IF(param_mode_affichage="mois",EOMONTH(AA$3,0),AA$3+6)),"◆",""))</f>
      </c>
      <c r="AB263" s="26">
        <f>IF(OR($A263="",AB$3=""),"",IF(AND($J263&lt;&gt;"",$K263&lt;&gt;"",$J263=$K263,$J263&gt;=AB$3,$J263&lt;=IF(param_mode_affichage="mois",EOMONTH(AB$3,0),AB$3+6)),"◆",""))</f>
      </c>
      <c r="AC263" s="26">
        <f>IF(OR($A263="",AC$3=""),"",IF(AND($J263&lt;&gt;"",$K263&lt;&gt;"",$J263=$K263,$J263&gt;=AC$3,$J263&lt;=IF(param_mode_affichage="mois",EOMONTH(AC$3,0),AC$3+6)),"◆",""))</f>
      </c>
      <c r="AD263" s="26">
        <f>IF(OR($A263="",AD$3=""),"",IF(AND($J263&lt;&gt;"",$K263&lt;&gt;"",$J263=$K263,$J263&gt;=AD$3,$J263&lt;=IF(param_mode_affichage="mois",EOMONTH(AD$3,0),AD$3+6)),"◆",""))</f>
      </c>
      <c r="AE263" s="26">
        <f>IF(OR($A263="",AE$3=""),"",IF(AND($J263&lt;&gt;"",$K263&lt;&gt;"",$J263=$K263,$J263&gt;=AE$3,$J263&lt;=IF(param_mode_affichage="mois",EOMONTH(AE$3,0),AE$3+6)),"◆",""))</f>
      </c>
      <c r="AF263" s="26">
        <f>IF(OR($A263="",AF$3=""),"",IF(AND($J263&lt;&gt;"",$K263&lt;&gt;"",$J263=$K263,$J263&gt;=AF$3,$J263&lt;=IF(param_mode_affichage="mois",EOMONTH(AF$3,0),AF$3+6)),"◆",""))</f>
      </c>
      <c r="AG263" s="26">
        <f>IF(OR($A263="",AG$3=""),"",IF(AND($J263&lt;&gt;"",$K263&lt;&gt;"",$J263=$K263,$J263&gt;=AG$3,$J263&lt;=IF(param_mode_affichage="mois",EOMONTH(AG$3,0),AG$3+6)),"◆",""))</f>
      </c>
      <c r="AH263" s="26">
        <f>IF(OR($A263="",AH$3=""),"",IF(AND($J263&lt;&gt;"",$K263&lt;&gt;"",$J263=$K263,$J263&gt;=AH$3,$J263&lt;=IF(param_mode_affichage="mois",EOMONTH(AH$3,0),AH$3+6)),"◆",""))</f>
      </c>
      <c r="AI263" s="26">
        <f>IF(OR($A263="",AI$3=""),"",IF(AND($J263&lt;&gt;"",$K263&lt;&gt;"",$J263=$K263,$J263&gt;=AI$3,$J263&lt;=IF(param_mode_affichage="mois",EOMONTH(AI$3,0),AI$3+6)),"◆",""))</f>
      </c>
      <c r="AJ263" s="26">
        <f>IF(OR($A263="",AJ$3=""),"",IF(AND($J263&lt;&gt;"",$K263&lt;&gt;"",$J263=$K263,$J263&gt;=AJ$3,$J263&lt;=IF(param_mode_affichage="mois",EOMONTH(AJ$3,0),AJ$3+6)),"◆",""))</f>
      </c>
      <c r="AK263" s="26">
        <f>IF(OR($A263="",AK$3=""),"",IF(AND($J263&lt;&gt;"",$K263&lt;&gt;"",$J263=$K263,$J263&gt;=AK$3,$J263&lt;=IF(param_mode_affichage="mois",EOMONTH(AK$3,0),AK$3+6)),"◆",""))</f>
      </c>
      <c r="AL263" s="26">
        <f>IF(OR($A263="",AL$3=""),"",IF(AND($J263&lt;&gt;"",$K263&lt;&gt;"",$J263=$K263,$J263&gt;=AL$3,$J263&lt;=IF(param_mode_affichage="mois",EOMONTH(AL$3,0),AL$3+6)),"◆",""))</f>
      </c>
      <c r="AM263" s="26">
        <f>IF(OR($A263="",AM$3=""),"",IF(AND($J263&lt;&gt;"",$K263&lt;&gt;"",$J263=$K263,$J263&gt;=AM$3,$J263&lt;=IF(param_mode_affichage="mois",EOMONTH(AM$3,0),AM$3+6)),"◆",""))</f>
      </c>
      <c r="AN263" s="26">
        <f>IF(OR($A263="",AN$3=""),"",IF(AND($J263&lt;&gt;"",$K263&lt;&gt;"",$J263=$K263,$J263&gt;=AN$3,$J263&lt;=IF(param_mode_affichage="mois",EOMONTH(AN$3,0),AN$3+6)),"◆",""))</f>
      </c>
      <c r="AO263" s="26">
        <f>IF(OR($A263="",AO$3=""),"",IF(AND($J263&lt;&gt;"",$K263&lt;&gt;"",$J263=$K263,$J263&gt;=AO$3,$J263&lt;=IF(param_mode_affichage="mois",EOMONTH(AO$3,0),AO$3+6)),"◆",""))</f>
      </c>
      <c r="AP263" s="26">
        <f>IF(OR($A263="",AP$3=""),"",IF(AND($J263&lt;&gt;"",$K263&lt;&gt;"",$J263=$K263,$J263&gt;=AP$3,$J263&lt;=IF(param_mode_affichage="mois",EOMONTH(AP$3,0),AP$3+6)),"◆",""))</f>
      </c>
      <c r="AQ263" s="26">
        <f>IF(OR($A263="",AQ$3=""),"",IF(AND($J263&lt;&gt;"",$K263&lt;&gt;"",$J263=$K263,$J263&gt;=AQ$3,$J263&lt;=IF(param_mode_affichage="mois",EOMONTH(AQ$3,0),AQ$3+6)),"◆",""))</f>
      </c>
      <c r="AR263" s="26">
        <f>IF(OR($A263="",AR$3=""),"",IF(AND($J263&lt;&gt;"",$K263&lt;&gt;"",$J263=$K263,$J263&gt;=AR$3,$J263&lt;=IF(param_mode_affichage="mois",EOMONTH(AR$3,0),AR$3+6)),"◆",""))</f>
      </c>
      <c r="AS263" s="26">
        <f>IF(OR($A263="",AS$3=""),"",IF(AND($J263&lt;&gt;"",$K263&lt;&gt;"",$J263=$K263,$J263&gt;=AS$3,$J263&lt;=IF(param_mode_affichage="mois",EOMONTH(AS$3,0),AS$3+6)),"◆",""))</f>
      </c>
      <c r="AT263" s="26">
        <f>IF(OR($A263="",AT$3=""),"",IF(AND($J263&lt;&gt;"",$K263&lt;&gt;"",$J263=$K263,$J263&gt;=AT$3,$J263&lt;=IF(param_mode_affichage="mois",EOMONTH(AT$3,0),AT$3+6)),"◆",""))</f>
      </c>
      <c r="AU263" s="26">
        <f>IF(OR($A263="",AU$3=""),"",IF(AND($J263&lt;&gt;"",$K263&lt;&gt;"",$J263=$K263,$J263&gt;=AU$3,$J263&lt;=IF(param_mode_affichage="mois",EOMONTH(AU$3,0),AU$3+6)),"◆",""))</f>
      </c>
      <c r="AV263" s="26">
        <f>IF(OR($A263="",AV$3=""),"",IF(AND($J263&lt;&gt;"",$K263&lt;&gt;"",$J263=$K263,$J263&gt;=AV$3,$J263&lt;=IF(param_mode_affichage="mois",EOMONTH(AV$3,0),AV$3+6)),"◆",""))</f>
      </c>
      <c r="AW263" s="26">
        <f>IF(OR($A263="",AW$3=""),"",IF(AND($J263&lt;&gt;"",$K263&lt;&gt;"",$J263=$K263,$J263&gt;=AW$3,$J263&lt;=IF(param_mode_affichage="mois",EOMONTH(AW$3,0),AW$3+6)),"◆",""))</f>
      </c>
      <c r="AX263" s="26">
        <f>IF(OR($A263="",AX$3=""),"",IF(AND($J263&lt;&gt;"",$K263&lt;&gt;"",$J263=$K263,$J263&gt;=AX$3,$J263&lt;=IF(param_mode_affichage="mois",EOMONTH(AX$3,0),AX$3+6)),"◆",""))</f>
      </c>
      <c r="AY263" s="26">
        <f>IF(OR($A263="",AY$3=""),"",IF(AND($J263&lt;&gt;"",$K263&lt;&gt;"",$J263=$K263,$J263&gt;=AY$3,$J263&lt;=IF(param_mode_affichage="mois",EOMONTH(AY$3,0),AY$3+6)),"◆",""))</f>
      </c>
      <c r="AZ263" s="26">
        <f>IF(OR($A263="",AZ$3=""),"",IF(AND($J263&lt;&gt;"",$K263&lt;&gt;"",$J263=$K263,$J263&gt;=AZ$3,$J263&lt;=IF(param_mode_affichage="mois",EOMONTH(AZ$3,0),AZ$3+6)),"◆",""))</f>
      </c>
      <c r="BA263" s="26">
        <f>IF(OR($A263="",BA$3=""),"",IF(AND($J263&lt;&gt;"",$K263&lt;&gt;"",$J263=$K263,$J263&gt;=BA$3,$J263&lt;=IF(param_mode_affichage="mois",EOMONTH(BA$3,0),BA$3+6)),"◆",""))</f>
      </c>
      <c r="BB263" s="26">
        <f>IF(OR($A263="",BB$3=""),"",IF(AND($J263&lt;&gt;"",$K263&lt;&gt;"",$J263=$K263,$J263&gt;=BB$3,$J263&lt;=IF(param_mode_affichage="mois",EOMONTH(BB$3,0),BB$3+6)),"◆",""))</f>
      </c>
      <c r="BC263" s="26">
        <f>IF(OR($A263="",BC$3=""),"",IF(AND($J263&lt;&gt;"",$K263&lt;&gt;"",$J263=$K263,$J263&gt;=BC$3,$J263&lt;=IF(param_mode_affichage="mois",EOMONTH(BC$3,0),BC$3+6)),"◆",""))</f>
      </c>
      <c r="BD263" s="26">
        <f>IF(OR($A263="",BD$3=""),"",IF(AND($J263&lt;&gt;"",$K263&lt;&gt;"",$J263=$K263,$J263&gt;=BD$3,$J263&lt;=IF(param_mode_affichage="mois",EOMONTH(BD$3,0),BD$3+6)),"◆",""))</f>
      </c>
      <c r="BE263" s="26">
        <f>IF(OR($A263="",BE$3=""),"",IF(AND($J263&lt;&gt;"",$K263&lt;&gt;"",$J263=$K263,$J263&gt;=BE$3,$J263&lt;=IF(param_mode_affichage="mois",EOMONTH(BE$3,0),BE$3+6)),"◆",""))</f>
      </c>
      <c r="BF263" s="26">
        <f>IF(OR($A263="",BF$3=""),"",IF(AND($J263&lt;&gt;"",$K263&lt;&gt;"",$J263=$K263,$J263&gt;=BF$3,$J263&lt;=IF(param_mode_affichage="mois",EOMONTH(BF$3,0),BF$3+6)),"◆",""))</f>
      </c>
      <c r="BG263" s="26">
        <f>IF(OR($A263="",BG$3=""),"",IF(AND($J263&lt;&gt;"",$K263&lt;&gt;"",$J263=$K263,$J263&gt;=BG$3,$J263&lt;=IF(param_mode_affichage="mois",EOMONTH(BG$3,0),BG$3+6)),"◆",""))</f>
      </c>
      <c r="BH263" s="26">
        <f>IF(OR($A263="",BH$3=""),"",IF(AND($J263&lt;&gt;"",$K263&lt;&gt;"",$J263=$K263,$J263&gt;=BH$3,$J263&lt;=IF(param_mode_affichage="mois",EOMONTH(BH$3,0),BH$3+6)),"◆",""))</f>
      </c>
      <c r="BI263" s="26">
        <f>IF(OR($A263="",BI$3=""),"",IF(AND($J263&lt;&gt;"",$K263&lt;&gt;"",$J263=$K263,$J263&gt;=BI$3,$J263&lt;=IF(param_mode_affichage="mois",EOMONTH(BI$3,0),BI$3+6)),"◆",""))</f>
      </c>
      <c r="BJ263" s="26">
        <f>IF(OR($A263="",BJ$3=""),"",IF(AND($J263&lt;&gt;"",$K263&lt;&gt;"",$J263=$K263,$J263&gt;=BJ$3,$J263&lt;=IF(param_mode_affichage="mois",EOMONTH(BJ$3,0),BJ$3+6)),"◆",""))</f>
      </c>
      <c r="BK263" s="26">
        <f>IF(OR($A263="",BK$3=""),"",IF(AND($J263&lt;&gt;"",$K263&lt;&gt;"",$J263=$K263,$J263&gt;=BK$3,$J263&lt;=IF(param_mode_affichage="mois",EOMONTH(BK$3,0),BK$3+6)),"◆",""))</f>
      </c>
      <c r="BL263" s="26">
        <f>IF(OR($A263="",BL$3=""),"",IF(AND($J263&lt;&gt;"",$K263&lt;&gt;"",$J263=$K263,$J263&gt;=BL$3,$J263&lt;=IF(param_mode_affichage="mois",EOMONTH(BL$3,0),BL$3+6)),"◆",""))</f>
      </c>
    </row>
    <row r="264" spans="1:64" x14ac:dyDescent="0.25">
      <c r="A264" s="23">
        <f>IFERROR(INDEX(tblTasks[ID],ROW()-4),"")</f>
      </c>
      <c r="B264" s="24">
        <f>IF($A264="","",INDEX(tblTasks[Sujet],ROW()-4))</f>
      </c>
      <c r="C264" s="23">
        <f>IF($A264="","",INDEX(tblTasks[Responsable],ROW()-4))</f>
      </c>
      <c r="D264" s="23">
        <f>IF($A264="","",INDEX(tblTasks[Statut],ROW()-4))</f>
      </c>
      <c r="E264" s="23">
        <f>IF($A264="","",INDEX(tblTasks[Depend_de],ROW()-4))</f>
      </c>
      <c r="F264" s="23">
        <f>IF($A264="","",INDEX(tblTasks[Blocage],ROW()-4))</f>
      </c>
      <c r="G264" s="23">
        <f>IF($A264="","",INDEX(tblTasks[Niveau_criticite],ROW()-4))</f>
      </c>
      <c r="H264" s="23">
        <f>IF($A264="","",INDEX(tblTasks[Goulot],ROW()-4))</f>
      </c>
      <c r="I264" s="23">
        <f>IF($A264="","",IF(LOWER($F264)="oui","non",IF($E264="","oui",IFERROR(IF(LOWER(INDEX(tblTasks[Statut],MATCH($E264,tblTasks[ID],0)))="clos","oui","non"),"non"))))</f>
      </c>
      <c r="J264" s="25">
        <f>IF($A264="","",INDEX(tblTasks[Date_debut_prevue],ROW()-4))</f>
      </c>
      <c r="K264" s="25">
        <f>IF($A264="","",INDEX(tblTasks[Date_fin_prevue],ROW()-4))</f>
      </c>
      <c r="L264" s="23">
        <f>IF($A264="","",INDEX(tblTasks[Irreversibilite],ROW()-4))</f>
      </c>
      <c r="M264" s="26">
        <f>IF(OR($A264="",M$3=""),"",IF(AND($J264&lt;&gt;"",$K264&lt;&gt;"",$J264=$K264,$J264&gt;=M$3,$J264&lt;=IF(param_mode_affichage="mois",EOMONTH(M$3,0),M$3+6)),"◆",""))</f>
      </c>
      <c r="N264" s="26">
        <f>IF(OR($A264="",N$3=""),"",IF(AND($J264&lt;&gt;"",$K264&lt;&gt;"",$J264=$K264,$J264&gt;=N$3,$J264&lt;=IF(param_mode_affichage="mois",EOMONTH(N$3,0),N$3+6)),"◆",""))</f>
      </c>
      <c r="O264" s="26">
        <f>IF(OR($A264="",O$3=""),"",IF(AND($J264&lt;&gt;"",$K264&lt;&gt;"",$J264=$K264,$J264&gt;=O$3,$J264&lt;=IF(param_mode_affichage="mois",EOMONTH(O$3,0),O$3+6)),"◆",""))</f>
      </c>
      <c r="P264" s="26">
        <f>IF(OR($A264="",P$3=""),"",IF(AND($J264&lt;&gt;"",$K264&lt;&gt;"",$J264=$K264,$J264&gt;=P$3,$J264&lt;=IF(param_mode_affichage="mois",EOMONTH(P$3,0),P$3+6)),"◆",""))</f>
      </c>
      <c r="Q264" s="26">
        <f>IF(OR($A264="",Q$3=""),"",IF(AND($J264&lt;&gt;"",$K264&lt;&gt;"",$J264=$K264,$J264&gt;=Q$3,$J264&lt;=IF(param_mode_affichage="mois",EOMONTH(Q$3,0),Q$3+6)),"◆",""))</f>
      </c>
      <c r="R264" s="26">
        <f>IF(OR($A264="",R$3=""),"",IF(AND($J264&lt;&gt;"",$K264&lt;&gt;"",$J264=$K264,$J264&gt;=R$3,$J264&lt;=IF(param_mode_affichage="mois",EOMONTH(R$3,0),R$3+6)),"◆",""))</f>
      </c>
      <c r="S264" s="26">
        <f>IF(OR($A264="",S$3=""),"",IF(AND($J264&lt;&gt;"",$K264&lt;&gt;"",$J264=$K264,$J264&gt;=S$3,$J264&lt;=IF(param_mode_affichage="mois",EOMONTH(S$3,0),S$3+6)),"◆",""))</f>
      </c>
      <c r="T264" s="26">
        <f>IF(OR($A264="",T$3=""),"",IF(AND($J264&lt;&gt;"",$K264&lt;&gt;"",$J264=$K264,$J264&gt;=T$3,$J264&lt;=IF(param_mode_affichage="mois",EOMONTH(T$3,0),T$3+6)),"◆",""))</f>
      </c>
      <c r="U264" s="26">
        <f>IF(OR($A264="",U$3=""),"",IF(AND($J264&lt;&gt;"",$K264&lt;&gt;"",$J264=$K264,$J264&gt;=U$3,$J264&lt;=IF(param_mode_affichage="mois",EOMONTH(U$3,0),U$3+6)),"◆",""))</f>
      </c>
      <c r="V264" s="26">
        <f>IF(OR($A264="",V$3=""),"",IF(AND($J264&lt;&gt;"",$K264&lt;&gt;"",$J264=$K264,$J264&gt;=V$3,$J264&lt;=IF(param_mode_affichage="mois",EOMONTH(V$3,0),V$3+6)),"◆",""))</f>
      </c>
      <c r="W264" s="26">
        <f>IF(OR($A264="",W$3=""),"",IF(AND($J264&lt;&gt;"",$K264&lt;&gt;"",$J264=$K264,$J264&gt;=W$3,$J264&lt;=IF(param_mode_affichage="mois",EOMONTH(W$3,0),W$3+6)),"◆",""))</f>
      </c>
      <c r="X264" s="26">
        <f>IF(OR($A264="",X$3=""),"",IF(AND($J264&lt;&gt;"",$K264&lt;&gt;"",$J264=$K264,$J264&gt;=X$3,$J264&lt;=IF(param_mode_affichage="mois",EOMONTH(X$3,0),X$3+6)),"◆",""))</f>
      </c>
      <c r="Y264" s="26">
        <f>IF(OR($A264="",Y$3=""),"",IF(AND($J264&lt;&gt;"",$K264&lt;&gt;"",$J264=$K264,$J264&gt;=Y$3,$J264&lt;=IF(param_mode_affichage="mois",EOMONTH(Y$3,0),Y$3+6)),"◆",""))</f>
      </c>
      <c r="Z264" s="26">
        <f>IF(OR($A264="",Z$3=""),"",IF(AND($J264&lt;&gt;"",$K264&lt;&gt;"",$J264=$K264,$J264&gt;=Z$3,$J264&lt;=IF(param_mode_affichage="mois",EOMONTH(Z$3,0),Z$3+6)),"◆",""))</f>
      </c>
      <c r="AA264" s="26">
        <f>IF(OR($A264="",AA$3=""),"",IF(AND($J264&lt;&gt;"",$K264&lt;&gt;"",$J264=$K264,$J264&gt;=AA$3,$J264&lt;=IF(param_mode_affichage="mois",EOMONTH(AA$3,0),AA$3+6)),"◆",""))</f>
      </c>
      <c r="AB264" s="26">
        <f>IF(OR($A264="",AB$3=""),"",IF(AND($J264&lt;&gt;"",$K264&lt;&gt;"",$J264=$K264,$J264&gt;=AB$3,$J264&lt;=IF(param_mode_affichage="mois",EOMONTH(AB$3,0),AB$3+6)),"◆",""))</f>
      </c>
      <c r="AC264" s="26">
        <f>IF(OR($A264="",AC$3=""),"",IF(AND($J264&lt;&gt;"",$K264&lt;&gt;"",$J264=$K264,$J264&gt;=AC$3,$J264&lt;=IF(param_mode_affichage="mois",EOMONTH(AC$3,0),AC$3+6)),"◆",""))</f>
      </c>
      <c r="AD264" s="26">
        <f>IF(OR($A264="",AD$3=""),"",IF(AND($J264&lt;&gt;"",$K264&lt;&gt;"",$J264=$K264,$J264&gt;=AD$3,$J264&lt;=IF(param_mode_affichage="mois",EOMONTH(AD$3,0),AD$3+6)),"◆",""))</f>
      </c>
      <c r="AE264" s="26">
        <f>IF(OR($A264="",AE$3=""),"",IF(AND($J264&lt;&gt;"",$K264&lt;&gt;"",$J264=$K264,$J264&gt;=AE$3,$J264&lt;=IF(param_mode_affichage="mois",EOMONTH(AE$3,0),AE$3+6)),"◆",""))</f>
      </c>
      <c r="AF264" s="26">
        <f>IF(OR($A264="",AF$3=""),"",IF(AND($J264&lt;&gt;"",$K264&lt;&gt;"",$J264=$K264,$J264&gt;=AF$3,$J264&lt;=IF(param_mode_affichage="mois",EOMONTH(AF$3,0),AF$3+6)),"◆",""))</f>
      </c>
      <c r="AG264" s="26">
        <f>IF(OR($A264="",AG$3=""),"",IF(AND($J264&lt;&gt;"",$K264&lt;&gt;"",$J264=$K264,$J264&gt;=AG$3,$J264&lt;=IF(param_mode_affichage="mois",EOMONTH(AG$3,0),AG$3+6)),"◆",""))</f>
      </c>
      <c r="AH264" s="26">
        <f>IF(OR($A264="",AH$3=""),"",IF(AND($J264&lt;&gt;"",$K264&lt;&gt;"",$J264=$K264,$J264&gt;=AH$3,$J264&lt;=IF(param_mode_affichage="mois",EOMONTH(AH$3,0),AH$3+6)),"◆",""))</f>
      </c>
      <c r="AI264" s="26">
        <f>IF(OR($A264="",AI$3=""),"",IF(AND($J264&lt;&gt;"",$K264&lt;&gt;"",$J264=$K264,$J264&gt;=AI$3,$J264&lt;=IF(param_mode_affichage="mois",EOMONTH(AI$3,0),AI$3+6)),"◆",""))</f>
      </c>
      <c r="AJ264" s="26">
        <f>IF(OR($A264="",AJ$3=""),"",IF(AND($J264&lt;&gt;"",$K264&lt;&gt;"",$J264=$K264,$J264&gt;=AJ$3,$J264&lt;=IF(param_mode_affichage="mois",EOMONTH(AJ$3,0),AJ$3+6)),"◆",""))</f>
      </c>
      <c r="AK264" s="26">
        <f>IF(OR($A264="",AK$3=""),"",IF(AND($J264&lt;&gt;"",$K264&lt;&gt;"",$J264=$K264,$J264&gt;=AK$3,$J264&lt;=IF(param_mode_affichage="mois",EOMONTH(AK$3,0),AK$3+6)),"◆",""))</f>
      </c>
      <c r="AL264" s="26">
        <f>IF(OR($A264="",AL$3=""),"",IF(AND($J264&lt;&gt;"",$K264&lt;&gt;"",$J264=$K264,$J264&gt;=AL$3,$J264&lt;=IF(param_mode_affichage="mois",EOMONTH(AL$3,0),AL$3+6)),"◆",""))</f>
      </c>
      <c r="AM264" s="26">
        <f>IF(OR($A264="",AM$3=""),"",IF(AND($J264&lt;&gt;"",$K264&lt;&gt;"",$J264=$K264,$J264&gt;=AM$3,$J264&lt;=IF(param_mode_affichage="mois",EOMONTH(AM$3,0),AM$3+6)),"◆",""))</f>
      </c>
      <c r="AN264" s="26">
        <f>IF(OR($A264="",AN$3=""),"",IF(AND($J264&lt;&gt;"",$K264&lt;&gt;"",$J264=$K264,$J264&gt;=AN$3,$J264&lt;=IF(param_mode_affichage="mois",EOMONTH(AN$3,0),AN$3+6)),"◆",""))</f>
      </c>
      <c r="AO264" s="26">
        <f>IF(OR($A264="",AO$3=""),"",IF(AND($J264&lt;&gt;"",$K264&lt;&gt;"",$J264=$K264,$J264&gt;=AO$3,$J264&lt;=IF(param_mode_affichage="mois",EOMONTH(AO$3,0),AO$3+6)),"◆",""))</f>
      </c>
      <c r="AP264" s="26">
        <f>IF(OR($A264="",AP$3=""),"",IF(AND($J264&lt;&gt;"",$K264&lt;&gt;"",$J264=$K264,$J264&gt;=AP$3,$J264&lt;=IF(param_mode_affichage="mois",EOMONTH(AP$3,0),AP$3+6)),"◆",""))</f>
      </c>
      <c r="AQ264" s="26">
        <f>IF(OR($A264="",AQ$3=""),"",IF(AND($J264&lt;&gt;"",$K264&lt;&gt;"",$J264=$K264,$J264&gt;=AQ$3,$J264&lt;=IF(param_mode_affichage="mois",EOMONTH(AQ$3,0),AQ$3+6)),"◆",""))</f>
      </c>
      <c r="AR264" s="26">
        <f>IF(OR($A264="",AR$3=""),"",IF(AND($J264&lt;&gt;"",$K264&lt;&gt;"",$J264=$K264,$J264&gt;=AR$3,$J264&lt;=IF(param_mode_affichage="mois",EOMONTH(AR$3,0),AR$3+6)),"◆",""))</f>
      </c>
      <c r="AS264" s="26">
        <f>IF(OR($A264="",AS$3=""),"",IF(AND($J264&lt;&gt;"",$K264&lt;&gt;"",$J264=$K264,$J264&gt;=AS$3,$J264&lt;=IF(param_mode_affichage="mois",EOMONTH(AS$3,0),AS$3+6)),"◆",""))</f>
      </c>
      <c r="AT264" s="26">
        <f>IF(OR($A264="",AT$3=""),"",IF(AND($J264&lt;&gt;"",$K264&lt;&gt;"",$J264=$K264,$J264&gt;=AT$3,$J264&lt;=IF(param_mode_affichage="mois",EOMONTH(AT$3,0),AT$3+6)),"◆",""))</f>
      </c>
      <c r="AU264" s="26">
        <f>IF(OR($A264="",AU$3=""),"",IF(AND($J264&lt;&gt;"",$K264&lt;&gt;"",$J264=$K264,$J264&gt;=AU$3,$J264&lt;=IF(param_mode_affichage="mois",EOMONTH(AU$3,0),AU$3+6)),"◆",""))</f>
      </c>
      <c r="AV264" s="26">
        <f>IF(OR($A264="",AV$3=""),"",IF(AND($J264&lt;&gt;"",$K264&lt;&gt;"",$J264=$K264,$J264&gt;=AV$3,$J264&lt;=IF(param_mode_affichage="mois",EOMONTH(AV$3,0),AV$3+6)),"◆",""))</f>
      </c>
      <c r="AW264" s="26">
        <f>IF(OR($A264="",AW$3=""),"",IF(AND($J264&lt;&gt;"",$K264&lt;&gt;"",$J264=$K264,$J264&gt;=AW$3,$J264&lt;=IF(param_mode_affichage="mois",EOMONTH(AW$3,0),AW$3+6)),"◆",""))</f>
      </c>
      <c r="AX264" s="26">
        <f>IF(OR($A264="",AX$3=""),"",IF(AND($J264&lt;&gt;"",$K264&lt;&gt;"",$J264=$K264,$J264&gt;=AX$3,$J264&lt;=IF(param_mode_affichage="mois",EOMONTH(AX$3,0),AX$3+6)),"◆",""))</f>
      </c>
      <c r="AY264" s="26">
        <f>IF(OR($A264="",AY$3=""),"",IF(AND($J264&lt;&gt;"",$K264&lt;&gt;"",$J264=$K264,$J264&gt;=AY$3,$J264&lt;=IF(param_mode_affichage="mois",EOMONTH(AY$3,0),AY$3+6)),"◆",""))</f>
      </c>
      <c r="AZ264" s="26">
        <f>IF(OR($A264="",AZ$3=""),"",IF(AND($J264&lt;&gt;"",$K264&lt;&gt;"",$J264=$K264,$J264&gt;=AZ$3,$J264&lt;=IF(param_mode_affichage="mois",EOMONTH(AZ$3,0),AZ$3+6)),"◆",""))</f>
      </c>
      <c r="BA264" s="26">
        <f>IF(OR($A264="",BA$3=""),"",IF(AND($J264&lt;&gt;"",$K264&lt;&gt;"",$J264=$K264,$J264&gt;=BA$3,$J264&lt;=IF(param_mode_affichage="mois",EOMONTH(BA$3,0),BA$3+6)),"◆",""))</f>
      </c>
      <c r="BB264" s="26">
        <f>IF(OR($A264="",BB$3=""),"",IF(AND($J264&lt;&gt;"",$K264&lt;&gt;"",$J264=$K264,$J264&gt;=BB$3,$J264&lt;=IF(param_mode_affichage="mois",EOMONTH(BB$3,0),BB$3+6)),"◆",""))</f>
      </c>
      <c r="BC264" s="26">
        <f>IF(OR($A264="",BC$3=""),"",IF(AND($J264&lt;&gt;"",$K264&lt;&gt;"",$J264=$K264,$J264&gt;=BC$3,$J264&lt;=IF(param_mode_affichage="mois",EOMONTH(BC$3,0),BC$3+6)),"◆",""))</f>
      </c>
      <c r="BD264" s="26">
        <f>IF(OR($A264="",BD$3=""),"",IF(AND($J264&lt;&gt;"",$K264&lt;&gt;"",$J264=$K264,$J264&gt;=BD$3,$J264&lt;=IF(param_mode_affichage="mois",EOMONTH(BD$3,0),BD$3+6)),"◆",""))</f>
      </c>
      <c r="BE264" s="26">
        <f>IF(OR($A264="",BE$3=""),"",IF(AND($J264&lt;&gt;"",$K264&lt;&gt;"",$J264=$K264,$J264&gt;=BE$3,$J264&lt;=IF(param_mode_affichage="mois",EOMONTH(BE$3,0),BE$3+6)),"◆",""))</f>
      </c>
      <c r="BF264" s="26">
        <f>IF(OR($A264="",BF$3=""),"",IF(AND($J264&lt;&gt;"",$K264&lt;&gt;"",$J264=$K264,$J264&gt;=BF$3,$J264&lt;=IF(param_mode_affichage="mois",EOMONTH(BF$3,0),BF$3+6)),"◆",""))</f>
      </c>
      <c r="BG264" s="26">
        <f>IF(OR($A264="",BG$3=""),"",IF(AND($J264&lt;&gt;"",$K264&lt;&gt;"",$J264=$K264,$J264&gt;=BG$3,$J264&lt;=IF(param_mode_affichage="mois",EOMONTH(BG$3,0),BG$3+6)),"◆",""))</f>
      </c>
      <c r="BH264" s="26">
        <f>IF(OR($A264="",BH$3=""),"",IF(AND($J264&lt;&gt;"",$K264&lt;&gt;"",$J264=$K264,$J264&gt;=BH$3,$J264&lt;=IF(param_mode_affichage="mois",EOMONTH(BH$3,0),BH$3+6)),"◆",""))</f>
      </c>
      <c r="BI264" s="26">
        <f>IF(OR($A264="",BI$3=""),"",IF(AND($J264&lt;&gt;"",$K264&lt;&gt;"",$J264=$K264,$J264&gt;=BI$3,$J264&lt;=IF(param_mode_affichage="mois",EOMONTH(BI$3,0),BI$3+6)),"◆",""))</f>
      </c>
      <c r="BJ264" s="26">
        <f>IF(OR($A264="",BJ$3=""),"",IF(AND($J264&lt;&gt;"",$K264&lt;&gt;"",$J264=$K264,$J264&gt;=BJ$3,$J264&lt;=IF(param_mode_affichage="mois",EOMONTH(BJ$3,0),BJ$3+6)),"◆",""))</f>
      </c>
      <c r="BK264" s="26">
        <f>IF(OR($A264="",BK$3=""),"",IF(AND($J264&lt;&gt;"",$K264&lt;&gt;"",$J264=$K264,$J264&gt;=BK$3,$J264&lt;=IF(param_mode_affichage="mois",EOMONTH(BK$3,0),BK$3+6)),"◆",""))</f>
      </c>
      <c r="BL264" s="26">
        <f>IF(OR($A264="",BL$3=""),"",IF(AND($J264&lt;&gt;"",$K264&lt;&gt;"",$J264=$K264,$J264&gt;=BL$3,$J264&lt;=IF(param_mode_affichage="mois",EOMONTH(BL$3,0),BL$3+6)),"◆",""))</f>
      </c>
    </row>
    <row r="265" spans="1:64" x14ac:dyDescent="0.25">
      <c r="A265" s="23">
        <f>IFERROR(INDEX(tblTasks[ID],ROW()-4),"")</f>
      </c>
      <c r="B265" s="24">
        <f>IF($A265="","",INDEX(tblTasks[Sujet],ROW()-4))</f>
      </c>
      <c r="C265" s="23">
        <f>IF($A265="","",INDEX(tblTasks[Responsable],ROW()-4))</f>
      </c>
      <c r="D265" s="23">
        <f>IF($A265="","",INDEX(tblTasks[Statut],ROW()-4))</f>
      </c>
      <c r="E265" s="23">
        <f>IF($A265="","",INDEX(tblTasks[Depend_de],ROW()-4))</f>
      </c>
      <c r="F265" s="23">
        <f>IF($A265="","",INDEX(tblTasks[Blocage],ROW()-4))</f>
      </c>
      <c r="G265" s="23">
        <f>IF($A265="","",INDEX(tblTasks[Niveau_criticite],ROW()-4))</f>
      </c>
      <c r="H265" s="23">
        <f>IF($A265="","",INDEX(tblTasks[Goulot],ROW()-4))</f>
      </c>
      <c r="I265" s="23">
        <f>IF($A265="","",IF(LOWER($F265)="oui","non",IF($E265="","oui",IFERROR(IF(LOWER(INDEX(tblTasks[Statut],MATCH($E265,tblTasks[ID],0)))="clos","oui","non"),"non"))))</f>
      </c>
      <c r="J265" s="25">
        <f>IF($A265="","",INDEX(tblTasks[Date_debut_prevue],ROW()-4))</f>
      </c>
      <c r="K265" s="25">
        <f>IF($A265="","",INDEX(tblTasks[Date_fin_prevue],ROW()-4))</f>
      </c>
      <c r="L265" s="23">
        <f>IF($A265="","",INDEX(tblTasks[Irreversibilite],ROW()-4))</f>
      </c>
      <c r="M265" s="26">
        <f>IF(OR($A265="",M$3=""),"",IF(AND($J265&lt;&gt;"",$K265&lt;&gt;"",$J265=$K265,$J265&gt;=M$3,$J265&lt;=IF(param_mode_affichage="mois",EOMONTH(M$3,0),M$3+6)),"◆",""))</f>
      </c>
      <c r="N265" s="26">
        <f>IF(OR($A265="",N$3=""),"",IF(AND($J265&lt;&gt;"",$K265&lt;&gt;"",$J265=$K265,$J265&gt;=N$3,$J265&lt;=IF(param_mode_affichage="mois",EOMONTH(N$3,0),N$3+6)),"◆",""))</f>
      </c>
      <c r="O265" s="26">
        <f>IF(OR($A265="",O$3=""),"",IF(AND($J265&lt;&gt;"",$K265&lt;&gt;"",$J265=$K265,$J265&gt;=O$3,$J265&lt;=IF(param_mode_affichage="mois",EOMONTH(O$3,0),O$3+6)),"◆",""))</f>
      </c>
      <c r="P265" s="26">
        <f>IF(OR($A265="",P$3=""),"",IF(AND($J265&lt;&gt;"",$K265&lt;&gt;"",$J265=$K265,$J265&gt;=P$3,$J265&lt;=IF(param_mode_affichage="mois",EOMONTH(P$3,0),P$3+6)),"◆",""))</f>
      </c>
      <c r="Q265" s="26">
        <f>IF(OR($A265="",Q$3=""),"",IF(AND($J265&lt;&gt;"",$K265&lt;&gt;"",$J265=$K265,$J265&gt;=Q$3,$J265&lt;=IF(param_mode_affichage="mois",EOMONTH(Q$3,0),Q$3+6)),"◆",""))</f>
      </c>
      <c r="R265" s="26">
        <f>IF(OR($A265="",R$3=""),"",IF(AND($J265&lt;&gt;"",$K265&lt;&gt;"",$J265=$K265,$J265&gt;=R$3,$J265&lt;=IF(param_mode_affichage="mois",EOMONTH(R$3,0),R$3+6)),"◆",""))</f>
      </c>
      <c r="S265" s="26">
        <f>IF(OR($A265="",S$3=""),"",IF(AND($J265&lt;&gt;"",$K265&lt;&gt;"",$J265=$K265,$J265&gt;=S$3,$J265&lt;=IF(param_mode_affichage="mois",EOMONTH(S$3,0),S$3+6)),"◆",""))</f>
      </c>
      <c r="T265" s="26">
        <f>IF(OR($A265="",T$3=""),"",IF(AND($J265&lt;&gt;"",$K265&lt;&gt;"",$J265=$K265,$J265&gt;=T$3,$J265&lt;=IF(param_mode_affichage="mois",EOMONTH(T$3,0),T$3+6)),"◆",""))</f>
      </c>
      <c r="U265" s="26">
        <f>IF(OR($A265="",U$3=""),"",IF(AND($J265&lt;&gt;"",$K265&lt;&gt;"",$J265=$K265,$J265&gt;=U$3,$J265&lt;=IF(param_mode_affichage="mois",EOMONTH(U$3,0),U$3+6)),"◆",""))</f>
      </c>
      <c r="V265" s="26">
        <f>IF(OR($A265="",V$3=""),"",IF(AND($J265&lt;&gt;"",$K265&lt;&gt;"",$J265=$K265,$J265&gt;=V$3,$J265&lt;=IF(param_mode_affichage="mois",EOMONTH(V$3,0),V$3+6)),"◆",""))</f>
      </c>
      <c r="W265" s="26">
        <f>IF(OR($A265="",W$3=""),"",IF(AND($J265&lt;&gt;"",$K265&lt;&gt;"",$J265=$K265,$J265&gt;=W$3,$J265&lt;=IF(param_mode_affichage="mois",EOMONTH(W$3,0),W$3+6)),"◆",""))</f>
      </c>
      <c r="X265" s="26">
        <f>IF(OR($A265="",X$3=""),"",IF(AND($J265&lt;&gt;"",$K265&lt;&gt;"",$J265=$K265,$J265&gt;=X$3,$J265&lt;=IF(param_mode_affichage="mois",EOMONTH(X$3,0),X$3+6)),"◆",""))</f>
      </c>
      <c r="Y265" s="26">
        <f>IF(OR($A265="",Y$3=""),"",IF(AND($J265&lt;&gt;"",$K265&lt;&gt;"",$J265=$K265,$J265&gt;=Y$3,$J265&lt;=IF(param_mode_affichage="mois",EOMONTH(Y$3,0),Y$3+6)),"◆",""))</f>
      </c>
      <c r="Z265" s="26">
        <f>IF(OR($A265="",Z$3=""),"",IF(AND($J265&lt;&gt;"",$K265&lt;&gt;"",$J265=$K265,$J265&gt;=Z$3,$J265&lt;=IF(param_mode_affichage="mois",EOMONTH(Z$3,0),Z$3+6)),"◆",""))</f>
      </c>
      <c r="AA265" s="26">
        <f>IF(OR($A265="",AA$3=""),"",IF(AND($J265&lt;&gt;"",$K265&lt;&gt;"",$J265=$K265,$J265&gt;=AA$3,$J265&lt;=IF(param_mode_affichage="mois",EOMONTH(AA$3,0),AA$3+6)),"◆",""))</f>
      </c>
      <c r="AB265" s="26">
        <f>IF(OR($A265="",AB$3=""),"",IF(AND($J265&lt;&gt;"",$K265&lt;&gt;"",$J265=$K265,$J265&gt;=AB$3,$J265&lt;=IF(param_mode_affichage="mois",EOMONTH(AB$3,0),AB$3+6)),"◆",""))</f>
      </c>
      <c r="AC265" s="26">
        <f>IF(OR($A265="",AC$3=""),"",IF(AND($J265&lt;&gt;"",$K265&lt;&gt;"",$J265=$K265,$J265&gt;=AC$3,$J265&lt;=IF(param_mode_affichage="mois",EOMONTH(AC$3,0),AC$3+6)),"◆",""))</f>
      </c>
      <c r="AD265" s="26">
        <f>IF(OR($A265="",AD$3=""),"",IF(AND($J265&lt;&gt;"",$K265&lt;&gt;"",$J265=$K265,$J265&gt;=AD$3,$J265&lt;=IF(param_mode_affichage="mois",EOMONTH(AD$3,0),AD$3+6)),"◆",""))</f>
      </c>
      <c r="AE265" s="26">
        <f>IF(OR($A265="",AE$3=""),"",IF(AND($J265&lt;&gt;"",$K265&lt;&gt;"",$J265=$K265,$J265&gt;=AE$3,$J265&lt;=IF(param_mode_affichage="mois",EOMONTH(AE$3,0),AE$3+6)),"◆",""))</f>
      </c>
      <c r="AF265" s="26">
        <f>IF(OR($A265="",AF$3=""),"",IF(AND($J265&lt;&gt;"",$K265&lt;&gt;"",$J265=$K265,$J265&gt;=AF$3,$J265&lt;=IF(param_mode_affichage="mois",EOMONTH(AF$3,0),AF$3+6)),"◆",""))</f>
      </c>
      <c r="AG265" s="26">
        <f>IF(OR($A265="",AG$3=""),"",IF(AND($J265&lt;&gt;"",$K265&lt;&gt;"",$J265=$K265,$J265&gt;=AG$3,$J265&lt;=IF(param_mode_affichage="mois",EOMONTH(AG$3,0),AG$3+6)),"◆",""))</f>
      </c>
      <c r="AH265" s="26">
        <f>IF(OR($A265="",AH$3=""),"",IF(AND($J265&lt;&gt;"",$K265&lt;&gt;"",$J265=$K265,$J265&gt;=AH$3,$J265&lt;=IF(param_mode_affichage="mois",EOMONTH(AH$3,0),AH$3+6)),"◆",""))</f>
      </c>
      <c r="AI265" s="26">
        <f>IF(OR($A265="",AI$3=""),"",IF(AND($J265&lt;&gt;"",$K265&lt;&gt;"",$J265=$K265,$J265&gt;=AI$3,$J265&lt;=IF(param_mode_affichage="mois",EOMONTH(AI$3,0),AI$3+6)),"◆",""))</f>
      </c>
      <c r="AJ265" s="26">
        <f>IF(OR($A265="",AJ$3=""),"",IF(AND($J265&lt;&gt;"",$K265&lt;&gt;"",$J265=$K265,$J265&gt;=AJ$3,$J265&lt;=IF(param_mode_affichage="mois",EOMONTH(AJ$3,0),AJ$3+6)),"◆",""))</f>
      </c>
      <c r="AK265" s="26">
        <f>IF(OR($A265="",AK$3=""),"",IF(AND($J265&lt;&gt;"",$K265&lt;&gt;"",$J265=$K265,$J265&gt;=AK$3,$J265&lt;=IF(param_mode_affichage="mois",EOMONTH(AK$3,0),AK$3+6)),"◆",""))</f>
      </c>
      <c r="AL265" s="26">
        <f>IF(OR($A265="",AL$3=""),"",IF(AND($J265&lt;&gt;"",$K265&lt;&gt;"",$J265=$K265,$J265&gt;=AL$3,$J265&lt;=IF(param_mode_affichage="mois",EOMONTH(AL$3,0),AL$3+6)),"◆",""))</f>
      </c>
      <c r="AM265" s="26">
        <f>IF(OR($A265="",AM$3=""),"",IF(AND($J265&lt;&gt;"",$K265&lt;&gt;"",$J265=$K265,$J265&gt;=AM$3,$J265&lt;=IF(param_mode_affichage="mois",EOMONTH(AM$3,0),AM$3+6)),"◆",""))</f>
      </c>
      <c r="AN265" s="26">
        <f>IF(OR($A265="",AN$3=""),"",IF(AND($J265&lt;&gt;"",$K265&lt;&gt;"",$J265=$K265,$J265&gt;=AN$3,$J265&lt;=IF(param_mode_affichage="mois",EOMONTH(AN$3,0),AN$3+6)),"◆",""))</f>
      </c>
      <c r="AO265" s="26">
        <f>IF(OR($A265="",AO$3=""),"",IF(AND($J265&lt;&gt;"",$K265&lt;&gt;"",$J265=$K265,$J265&gt;=AO$3,$J265&lt;=IF(param_mode_affichage="mois",EOMONTH(AO$3,0),AO$3+6)),"◆",""))</f>
      </c>
      <c r="AP265" s="26">
        <f>IF(OR($A265="",AP$3=""),"",IF(AND($J265&lt;&gt;"",$K265&lt;&gt;"",$J265=$K265,$J265&gt;=AP$3,$J265&lt;=IF(param_mode_affichage="mois",EOMONTH(AP$3,0),AP$3+6)),"◆",""))</f>
      </c>
      <c r="AQ265" s="26">
        <f>IF(OR($A265="",AQ$3=""),"",IF(AND($J265&lt;&gt;"",$K265&lt;&gt;"",$J265=$K265,$J265&gt;=AQ$3,$J265&lt;=IF(param_mode_affichage="mois",EOMONTH(AQ$3,0),AQ$3+6)),"◆",""))</f>
      </c>
      <c r="AR265" s="26">
        <f>IF(OR($A265="",AR$3=""),"",IF(AND($J265&lt;&gt;"",$K265&lt;&gt;"",$J265=$K265,$J265&gt;=AR$3,$J265&lt;=IF(param_mode_affichage="mois",EOMONTH(AR$3,0),AR$3+6)),"◆",""))</f>
      </c>
      <c r="AS265" s="26">
        <f>IF(OR($A265="",AS$3=""),"",IF(AND($J265&lt;&gt;"",$K265&lt;&gt;"",$J265=$K265,$J265&gt;=AS$3,$J265&lt;=IF(param_mode_affichage="mois",EOMONTH(AS$3,0),AS$3+6)),"◆",""))</f>
      </c>
      <c r="AT265" s="26">
        <f>IF(OR($A265="",AT$3=""),"",IF(AND($J265&lt;&gt;"",$K265&lt;&gt;"",$J265=$K265,$J265&gt;=AT$3,$J265&lt;=IF(param_mode_affichage="mois",EOMONTH(AT$3,0),AT$3+6)),"◆",""))</f>
      </c>
      <c r="AU265" s="26">
        <f>IF(OR($A265="",AU$3=""),"",IF(AND($J265&lt;&gt;"",$K265&lt;&gt;"",$J265=$K265,$J265&gt;=AU$3,$J265&lt;=IF(param_mode_affichage="mois",EOMONTH(AU$3,0),AU$3+6)),"◆",""))</f>
      </c>
      <c r="AV265" s="26">
        <f>IF(OR($A265="",AV$3=""),"",IF(AND($J265&lt;&gt;"",$K265&lt;&gt;"",$J265=$K265,$J265&gt;=AV$3,$J265&lt;=IF(param_mode_affichage="mois",EOMONTH(AV$3,0),AV$3+6)),"◆",""))</f>
      </c>
      <c r="AW265" s="26">
        <f>IF(OR($A265="",AW$3=""),"",IF(AND($J265&lt;&gt;"",$K265&lt;&gt;"",$J265=$K265,$J265&gt;=AW$3,$J265&lt;=IF(param_mode_affichage="mois",EOMONTH(AW$3,0),AW$3+6)),"◆",""))</f>
      </c>
      <c r="AX265" s="26">
        <f>IF(OR($A265="",AX$3=""),"",IF(AND($J265&lt;&gt;"",$K265&lt;&gt;"",$J265=$K265,$J265&gt;=AX$3,$J265&lt;=IF(param_mode_affichage="mois",EOMONTH(AX$3,0),AX$3+6)),"◆",""))</f>
      </c>
      <c r="AY265" s="26">
        <f>IF(OR($A265="",AY$3=""),"",IF(AND($J265&lt;&gt;"",$K265&lt;&gt;"",$J265=$K265,$J265&gt;=AY$3,$J265&lt;=IF(param_mode_affichage="mois",EOMONTH(AY$3,0),AY$3+6)),"◆",""))</f>
      </c>
      <c r="AZ265" s="26">
        <f>IF(OR($A265="",AZ$3=""),"",IF(AND($J265&lt;&gt;"",$K265&lt;&gt;"",$J265=$K265,$J265&gt;=AZ$3,$J265&lt;=IF(param_mode_affichage="mois",EOMONTH(AZ$3,0),AZ$3+6)),"◆",""))</f>
      </c>
      <c r="BA265" s="26">
        <f>IF(OR($A265="",BA$3=""),"",IF(AND($J265&lt;&gt;"",$K265&lt;&gt;"",$J265=$K265,$J265&gt;=BA$3,$J265&lt;=IF(param_mode_affichage="mois",EOMONTH(BA$3,0),BA$3+6)),"◆",""))</f>
      </c>
      <c r="BB265" s="26">
        <f>IF(OR($A265="",BB$3=""),"",IF(AND($J265&lt;&gt;"",$K265&lt;&gt;"",$J265=$K265,$J265&gt;=BB$3,$J265&lt;=IF(param_mode_affichage="mois",EOMONTH(BB$3,0),BB$3+6)),"◆",""))</f>
      </c>
      <c r="BC265" s="26">
        <f>IF(OR($A265="",BC$3=""),"",IF(AND($J265&lt;&gt;"",$K265&lt;&gt;"",$J265=$K265,$J265&gt;=BC$3,$J265&lt;=IF(param_mode_affichage="mois",EOMONTH(BC$3,0),BC$3+6)),"◆",""))</f>
      </c>
      <c r="BD265" s="26">
        <f>IF(OR($A265="",BD$3=""),"",IF(AND($J265&lt;&gt;"",$K265&lt;&gt;"",$J265=$K265,$J265&gt;=BD$3,$J265&lt;=IF(param_mode_affichage="mois",EOMONTH(BD$3,0),BD$3+6)),"◆",""))</f>
      </c>
      <c r="BE265" s="26">
        <f>IF(OR($A265="",BE$3=""),"",IF(AND($J265&lt;&gt;"",$K265&lt;&gt;"",$J265=$K265,$J265&gt;=BE$3,$J265&lt;=IF(param_mode_affichage="mois",EOMONTH(BE$3,0),BE$3+6)),"◆",""))</f>
      </c>
      <c r="BF265" s="26">
        <f>IF(OR($A265="",BF$3=""),"",IF(AND($J265&lt;&gt;"",$K265&lt;&gt;"",$J265=$K265,$J265&gt;=BF$3,$J265&lt;=IF(param_mode_affichage="mois",EOMONTH(BF$3,0),BF$3+6)),"◆",""))</f>
      </c>
      <c r="BG265" s="26">
        <f>IF(OR($A265="",BG$3=""),"",IF(AND($J265&lt;&gt;"",$K265&lt;&gt;"",$J265=$K265,$J265&gt;=BG$3,$J265&lt;=IF(param_mode_affichage="mois",EOMONTH(BG$3,0),BG$3+6)),"◆",""))</f>
      </c>
      <c r="BH265" s="26">
        <f>IF(OR($A265="",BH$3=""),"",IF(AND($J265&lt;&gt;"",$K265&lt;&gt;"",$J265=$K265,$J265&gt;=BH$3,$J265&lt;=IF(param_mode_affichage="mois",EOMONTH(BH$3,0),BH$3+6)),"◆",""))</f>
      </c>
      <c r="BI265" s="26">
        <f>IF(OR($A265="",BI$3=""),"",IF(AND($J265&lt;&gt;"",$K265&lt;&gt;"",$J265=$K265,$J265&gt;=BI$3,$J265&lt;=IF(param_mode_affichage="mois",EOMONTH(BI$3,0),BI$3+6)),"◆",""))</f>
      </c>
      <c r="BJ265" s="26">
        <f>IF(OR($A265="",BJ$3=""),"",IF(AND($J265&lt;&gt;"",$K265&lt;&gt;"",$J265=$K265,$J265&gt;=BJ$3,$J265&lt;=IF(param_mode_affichage="mois",EOMONTH(BJ$3,0),BJ$3+6)),"◆",""))</f>
      </c>
      <c r="BK265" s="26">
        <f>IF(OR($A265="",BK$3=""),"",IF(AND($J265&lt;&gt;"",$K265&lt;&gt;"",$J265=$K265,$J265&gt;=BK$3,$J265&lt;=IF(param_mode_affichage="mois",EOMONTH(BK$3,0),BK$3+6)),"◆",""))</f>
      </c>
      <c r="BL265" s="26">
        <f>IF(OR($A265="",BL$3=""),"",IF(AND($J265&lt;&gt;"",$K265&lt;&gt;"",$J265=$K265,$J265&gt;=BL$3,$J265&lt;=IF(param_mode_affichage="mois",EOMONTH(BL$3,0),BL$3+6)),"◆",""))</f>
      </c>
    </row>
    <row r="266" spans="1:64" x14ac:dyDescent="0.25">
      <c r="A266" s="23">
        <f>IFERROR(INDEX(tblTasks[ID],ROW()-4),"")</f>
      </c>
      <c r="B266" s="24">
        <f>IF($A266="","",INDEX(tblTasks[Sujet],ROW()-4))</f>
      </c>
      <c r="C266" s="23">
        <f>IF($A266="","",INDEX(tblTasks[Responsable],ROW()-4))</f>
      </c>
      <c r="D266" s="23">
        <f>IF($A266="","",INDEX(tblTasks[Statut],ROW()-4))</f>
      </c>
      <c r="E266" s="23">
        <f>IF($A266="","",INDEX(tblTasks[Depend_de],ROW()-4))</f>
      </c>
      <c r="F266" s="23">
        <f>IF($A266="","",INDEX(tblTasks[Blocage],ROW()-4))</f>
      </c>
      <c r="G266" s="23">
        <f>IF($A266="","",INDEX(tblTasks[Niveau_criticite],ROW()-4))</f>
      </c>
      <c r="H266" s="23">
        <f>IF($A266="","",INDEX(tblTasks[Goulot],ROW()-4))</f>
      </c>
      <c r="I266" s="23">
        <f>IF($A266="","",IF(LOWER($F266)="oui","non",IF($E266="","oui",IFERROR(IF(LOWER(INDEX(tblTasks[Statut],MATCH($E266,tblTasks[ID],0)))="clos","oui","non"),"non"))))</f>
      </c>
      <c r="J266" s="25">
        <f>IF($A266="","",INDEX(tblTasks[Date_debut_prevue],ROW()-4))</f>
      </c>
      <c r="K266" s="25">
        <f>IF($A266="","",INDEX(tblTasks[Date_fin_prevue],ROW()-4))</f>
      </c>
      <c r="L266" s="23">
        <f>IF($A266="","",INDEX(tblTasks[Irreversibilite],ROW()-4))</f>
      </c>
      <c r="M266" s="26">
        <f>IF(OR($A266="",M$3=""),"",IF(AND($J266&lt;&gt;"",$K266&lt;&gt;"",$J266=$K266,$J266&gt;=M$3,$J266&lt;=IF(param_mode_affichage="mois",EOMONTH(M$3,0),M$3+6)),"◆",""))</f>
      </c>
      <c r="N266" s="26">
        <f>IF(OR($A266="",N$3=""),"",IF(AND($J266&lt;&gt;"",$K266&lt;&gt;"",$J266=$K266,$J266&gt;=N$3,$J266&lt;=IF(param_mode_affichage="mois",EOMONTH(N$3,0),N$3+6)),"◆",""))</f>
      </c>
      <c r="O266" s="26">
        <f>IF(OR($A266="",O$3=""),"",IF(AND($J266&lt;&gt;"",$K266&lt;&gt;"",$J266=$K266,$J266&gt;=O$3,$J266&lt;=IF(param_mode_affichage="mois",EOMONTH(O$3,0),O$3+6)),"◆",""))</f>
      </c>
      <c r="P266" s="26">
        <f>IF(OR($A266="",P$3=""),"",IF(AND($J266&lt;&gt;"",$K266&lt;&gt;"",$J266=$K266,$J266&gt;=P$3,$J266&lt;=IF(param_mode_affichage="mois",EOMONTH(P$3,0),P$3+6)),"◆",""))</f>
      </c>
      <c r="Q266" s="26">
        <f>IF(OR($A266="",Q$3=""),"",IF(AND($J266&lt;&gt;"",$K266&lt;&gt;"",$J266=$K266,$J266&gt;=Q$3,$J266&lt;=IF(param_mode_affichage="mois",EOMONTH(Q$3,0),Q$3+6)),"◆",""))</f>
      </c>
      <c r="R266" s="26">
        <f>IF(OR($A266="",R$3=""),"",IF(AND($J266&lt;&gt;"",$K266&lt;&gt;"",$J266=$K266,$J266&gt;=R$3,$J266&lt;=IF(param_mode_affichage="mois",EOMONTH(R$3,0),R$3+6)),"◆",""))</f>
      </c>
      <c r="S266" s="26">
        <f>IF(OR($A266="",S$3=""),"",IF(AND($J266&lt;&gt;"",$K266&lt;&gt;"",$J266=$K266,$J266&gt;=S$3,$J266&lt;=IF(param_mode_affichage="mois",EOMONTH(S$3,0),S$3+6)),"◆",""))</f>
      </c>
      <c r="T266" s="26">
        <f>IF(OR($A266="",T$3=""),"",IF(AND($J266&lt;&gt;"",$K266&lt;&gt;"",$J266=$K266,$J266&gt;=T$3,$J266&lt;=IF(param_mode_affichage="mois",EOMONTH(T$3,0),T$3+6)),"◆",""))</f>
      </c>
      <c r="U266" s="26">
        <f>IF(OR($A266="",U$3=""),"",IF(AND($J266&lt;&gt;"",$K266&lt;&gt;"",$J266=$K266,$J266&gt;=U$3,$J266&lt;=IF(param_mode_affichage="mois",EOMONTH(U$3,0),U$3+6)),"◆",""))</f>
      </c>
      <c r="V266" s="26">
        <f>IF(OR($A266="",V$3=""),"",IF(AND($J266&lt;&gt;"",$K266&lt;&gt;"",$J266=$K266,$J266&gt;=V$3,$J266&lt;=IF(param_mode_affichage="mois",EOMONTH(V$3,0),V$3+6)),"◆",""))</f>
      </c>
      <c r="W266" s="26">
        <f>IF(OR($A266="",W$3=""),"",IF(AND($J266&lt;&gt;"",$K266&lt;&gt;"",$J266=$K266,$J266&gt;=W$3,$J266&lt;=IF(param_mode_affichage="mois",EOMONTH(W$3,0),W$3+6)),"◆",""))</f>
      </c>
      <c r="X266" s="26">
        <f>IF(OR($A266="",X$3=""),"",IF(AND($J266&lt;&gt;"",$K266&lt;&gt;"",$J266=$K266,$J266&gt;=X$3,$J266&lt;=IF(param_mode_affichage="mois",EOMONTH(X$3,0),X$3+6)),"◆",""))</f>
      </c>
      <c r="Y266" s="26">
        <f>IF(OR($A266="",Y$3=""),"",IF(AND($J266&lt;&gt;"",$K266&lt;&gt;"",$J266=$K266,$J266&gt;=Y$3,$J266&lt;=IF(param_mode_affichage="mois",EOMONTH(Y$3,0),Y$3+6)),"◆",""))</f>
      </c>
      <c r="Z266" s="26">
        <f>IF(OR($A266="",Z$3=""),"",IF(AND($J266&lt;&gt;"",$K266&lt;&gt;"",$J266=$K266,$J266&gt;=Z$3,$J266&lt;=IF(param_mode_affichage="mois",EOMONTH(Z$3,0),Z$3+6)),"◆",""))</f>
      </c>
      <c r="AA266" s="26">
        <f>IF(OR($A266="",AA$3=""),"",IF(AND($J266&lt;&gt;"",$K266&lt;&gt;"",$J266=$K266,$J266&gt;=AA$3,$J266&lt;=IF(param_mode_affichage="mois",EOMONTH(AA$3,0),AA$3+6)),"◆",""))</f>
      </c>
      <c r="AB266" s="26">
        <f>IF(OR($A266="",AB$3=""),"",IF(AND($J266&lt;&gt;"",$K266&lt;&gt;"",$J266=$K266,$J266&gt;=AB$3,$J266&lt;=IF(param_mode_affichage="mois",EOMONTH(AB$3,0),AB$3+6)),"◆",""))</f>
      </c>
      <c r="AC266" s="26">
        <f>IF(OR($A266="",AC$3=""),"",IF(AND($J266&lt;&gt;"",$K266&lt;&gt;"",$J266=$K266,$J266&gt;=AC$3,$J266&lt;=IF(param_mode_affichage="mois",EOMONTH(AC$3,0),AC$3+6)),"◆",""))</f>
      </c>
      <c r="AD266" s="26">
        <f>IF(OR($A266="",AD$3=""),"",IF(AND($J266&lt;&gt;"",$K266&lt;&gt;"",$J266=$K266,$J266&gt;=AD$3,$J266&lt;=IF(param_mode_affichage="mois",EOMONTH(AD$3,0),AD$3+6)),"◆",""))</f>
      </c>
      <c r="AE266" s="26">
        <f>IF(OR($A266="",AE$3=""),"",IF(AND($J266&lt;&gt;"",$K266&lt;&gt;"",$J266=$K266,$J266&gt;=AE$3,$J266&lt;=IF(param_mode_affichage="mois",EOMONTH(AE$3,0),AE$3+6)),"◆",""))</f>
      </c>
      <c r="AF266" s="26">
        <f>IF(OR($A266="",AF$3=""),"",IF(AND($J266&lt;&gt;"",$K266&lt;&gt;"",$J266=$K266,$J266&gt;=AF$3,$J266&lt;=IF(param_mode_affichage="mois",EOMONTH(AF$3,0),AF$3+6)),"◆",""))</f>
      </c>
      <c r="AG266" s="26">
        <f>IF(OR($A266="",AG$3=""),"",IF(AND($J266&lt;&gt;"",$K266&lt;&gt;"",$J266=$K266,$J266&gt;=AG$3,$J266&lt;=IF(param_mode_affichage="mois",EOMONTH(AG$3,0),AG$3+6)),"◆",""))</f>
      </c>
      <c r="AH266" s="26">
        <f>IF(OR($A266="",AH$3=""),"",IF(AND($J266&lt;&gt;"",$K266&lt;&gt;"",$J266=$K266,$J266&gt;=AH$3,$J266&lt;=IF(param_mode_affichage="mois",EOMONTH(AH$3,0),AH$3+6)),"◆",""))</f>
      </c>
      <c r="AI266" s="26">
        <f>IF(OR($A266="",AI$3=""),"",IF(AND($J266&lt;&gt;"",$K266&lt;&gt;"",$J266=$K266,$J266&gt;=AI$3,$J266&lt;=IF(param_mode_affichage="mois",EOMONTH(AI$3,0),AI$3+6)),"◆",""))</f>
      </c>
      <c r="AJ266" s="26">
        <f>IF(OR($A266="",AJ$3=""),"",IF(AND($J266&lt;&gt;"",$K266&lt;&gt;"",$J266=$K266,$J266&gt;=AJ$3,$J266&lt;=IF(param_mode_affichage="mois",EOMONTH(AJ$3,0),AJ$3+6)),"◆",""))</f>
      </c>
      <c r="AK266" s="26">
        <f>IF(OR($A266="",AK$3=""),"",IF(AND($J266&lt;&gt;"",$K266&lt;&gt;"",$J266=$K266,$J266&gt;=AK$3,$J266&lt;=IF(param_mode_affichage="mois",EOMONTH(AK$3,0),AK$3+6)),"◆",""))</f>
      </c>
      <c r="AL266" s="26">
        <f>IF(OR($A266="",AL$3=""),"",IF(AND($J266&lt;&gt;"",$K266&lt;&gt;"",$J266=$K266,$J266&gt;=AL$3,$J266&lt;=IF(param_mode_affichage="mois",EOMONTH(AL$3,0),AL$3+6)),"◆",""))</f>
      </c>
      <c r="AM266" s="26">
        <f>IF(OR($A266="",AM$3=""),"",IF(AND($J266&lt;&gt;"",$K266&lt;&gt;"",$J266=$K266,$J266&gt;=AM$3,$J266&lt;=IF(param_mode_affichage="mois",EOMONTH(AM$3,0),AM$3+6)),"◆",""))</f>
      </c>
      <c r="AN266" s="26">
        <f>IF(OR($A266="",AN$3=""),"",IF(AND($J266&lt;&gt;"",$K266&lt;&gt;"",$J266=$K266,$J266&gt;=AN$3,$J266&lt;=IF(param_mode_affichage="mois",EOMONTH(AN$3,0),AN$3+6)),"◆",""))</f>
      </c>
      <c r="AO266" s="26">
        <f>IF(OR($A266="",AO$3=""),"",IF(AND($J266&lt;&gt;"",$K266&lt;&gt;"",$J266=$K266,$J266&gt;=AO$3,$J266&lt;=IF(param_mode_affichage="mois",EOMONTH(AO$3,0),AO$3+6)),"◆",""))</f>
      </c>
      <c r="AP266" s="26">
        <f>IF(OR($A266="",AP$3=""),"",IF(AND($J266&lt;&gt;"",$K266&lt;&gt;"",$J266=$K266,$J266&gt;=AP$3,$J266&lt;=IF(param_mode_affichage="mois",EOMONTH(AP$3,0),AP$3+6)),"◆",""))</f>
      </c>
      <c r="AQ266" s="26">
        <f>IF(OR($A266="",AQ$3=""),"",IF(AND($J266&lt;&gt;"",$K266&lt;&gt;"",$J266=$K266,$J266&gt;=AQ$3,$J266&lt;=IF(param_mode_affichage="mois",EOMONTH(AQ$3,0),AQ$3+6)),"◆",""))</f>
      </c>
      <c r="AR266" s="26">
        <f>IF(OR($A266="",AR$3=""),"",IF(AND($J266&lt;&gt;"",$K266&lt;&gt;"",$J266=$K266,$J266&gt;=AR$3,$J266&lt;=IF(param_mode_affichage="mois",EOMONTH(AR$3,0),AR$3+6)),"◆",""))</f>
      </c>
      <c r="AS266" s="26">
        <f>IF(OR($A266="",AS$3=""),"",IF(AND($J266&lt;&gt;"",$K266&lt;&gt;"",$J266=$K266,$J266&gt;=AS$3,$J266&lt;=IF(param_mode_affichage="mois",EOMONTH(AS$3,0),AS$3+6)),"◆",""))</f>
      </c>
      <c r="AT266" s="26">
        <f>IF(OR($A266="",AT$3=""),"",IF(AND($J266&lt;&gt;"",$K266&lt;&gt;"",$J266=$K266,$J266&gt;=AT$3,$J266&lt;=IF(param_mode_affichage="mois",EOMONTH(AT$3,0),AT$3+6)),"◆",""))</f>
      </c>
      <c r="AU266" s="26">
        <f>IF(OR($A266="",AU$3=""),"",IF(AND($J266&lt;&gt;"",$K266&lt;&gt;"",$J266=$K266,$J266&gt;=AU$3,$J266&lt;=IF(param_mode_affichage="mois",EOMONTH(AU$3,0),AU$3+6)),"◆",""))</f>
      </c>
      <c r="AV266" s="26">
        <f>IF(OR($A266="",AV$3=""),"",IF(AND($J266&lt;&gt;"",$K266&lt;&gt;"",$J266=$K266,$J266&gt;=AV$3,$J266&lt;=IF(param_mode_affichage="mois",EOMONTH(AV$3,0),AV$3+6)),"◆",""))</f>
      </c>
      <c r="AW266" s="26">
        <f>IF(OR($A266="",AW$3=""),"",IF(AND($J266&lt;&gt;"",$K266&lt;&gt;"",$J266=$K266,$J266&gt;=AW$3,$J266&lt;=IF(param_mode_affichage="mois",EOMONTH(AW$3,0),AW$3+6)),"◆",""))</f>
      </c>
      <c r="AX266" s="26">
        <f>IF(OR($A266="",AX$3=""),"",IF(AND($J266&lt;&gt;"",$K266&lt;&gt;"",$J266=$K266,$J266&gt;=AX$3,$J266&lt;=IF(param_mode_affichage="mois",EOMONTH(AX$3,0),AX$3+6)),"◆",""))</f>
      </c>
      <c r="AY266" s="26">
        <f>IF(OR($A266="",AY$3=""),"",IF(AND($J266&lt;&gt;"",$K266&lt;&gt;"",$J266=$K266,$J266&gt;=AY$3,$J266&lt;=IF(param_mode_affichage="mois",EOMONTH(AY$3,0),AY$3+6)),"◆",""))</f>
      </c>
      <c r="AZ266" s="26">
        <f>IF(OR($A266="",AZ$3=""),"",IF(AND($J266&lt;&gt;"",$K266&lt;&gt;"",$J266=$K266,$J266&gt;=AZ$3,$J266&lt;=IF(param_mode_affichage="mois",EOMONTH(AZ$3,0),AZ$3+6)),"◆",""))</f>
      </c>
      <c r="BA266" s="26">
        <f>IF(OR($A266="",BA$3=""),"",IF(AND($J266&lt;&gt;"",$K266&lt;&gt;"",$J266=$K266,$J266&gt;=BA$3,$J266&lt;=IF(param_mode_affichage="mois",EOMONTH(BA$3,0),BA$3+6)),"◆",""))</f>
      </c>
      <c r="BB266" s="26">
        <f>IF(OR($A266="",BB$3=""),"",IF(AND($J266&lt;&gt;"",$K266&lt;&gt;"",$J266=$K266,$J266&gt;=BB$3,$J266&lt;=IF(param_mode_affichage="mois",EOMONTH(BB$3,0),BB$3+6)),"◆",""))</f>
      </c>
      <c r="BC266" s="26">
        <f>IF(OR($A266="",BC$3=""),"",IF(AND($J266&lt;&gt;"",$K266&lt;&gt;"",$J266=$K266,$J266&gt;=BC$3,$J266&lt;=IF(param_mode_affichage="mois",EOMONTH(BC$3,0),BC$3+6)),"◆",""))</f>
      </c>
      <c r="BD266" s="26">
        <f>IF(OR($A266="",BD$3=""),"",IF(AND($J266&lt;&gt;"",$K266&lt;&gt;"",$J266=$K266,$J266&gt;=BD$3,$J266&lt;=IF(param_mode_affichage="mois",EOMONTH(BD$3,0),BD$3+6)),"◆",""))</f>
      </c>
      <c r="BE266" s="26">
        <f>IF(OR($A266="",BE$3=""),"",IF(AND($J266&lt;&gt;"",$K266&lt;&gt;"",$J266=$K266,$J266&gt;=BE$3,$J266&lt;=IF(param_mode_affichage="mois",EOMONTH(BE$3,0),BE$3+6)),"◆",""))</f>
      </c>
      <c r="BF266" s="26">
        <f>IF(OR($A266="",BF$3=""),"",IF(AND($J266&lt;&gt;"",$K266&lt;&gt;"",$J266=$K266,$J266&gt;=BF$3,$J266&lt;=IF(param_mode_affichage="mois",EOMONTH(BF$3,0),BF$3+6)),"◆",""))</f>
      </c>
      <c r="BG266" s="26">
        <f>IF(OR($A266="",BG$3=""),"",IF(AND($J266&lt;&gt;"",$K266&lt;&gt;"",$J266=$K266,$J266&gt;=BG$3,$J266&lt;=IF(param_mode_affichage="mois",EOMONTH(BG$3,0),BG$3+6)),"◆",""))</f>
      </c>
      <c r="BH266" s="26">
        <f>IF(OR($A266="",BH$3=""),"",IF(AND($J266&lt;&gt;"",$K266&lt;&gt;"",$J266=$K266,$J266&gt;=BH$3,$J266&lt;=IF(param_mode_affichage="mois",EOMONTH(BH$3,0),BH$3+6)),"◆",""))</f>
      </c>
      <c r="BI266" s="26">
        <f>IF(OR($A266="",BI$3=""),"",IF(AND($J266&lt;&gt;"",$K266&lt;&gt;"",$J266=$K266,$J266&gt;=BI$3,$J266&lt;=IF(param_mode_affichage="mois",EOMONTH(BI$3,0),BI$3+6)),"◆",""))</f>
      </c>
      <c r="BJ266" s="26">
        <f>IF(OR($A266="",BJ$3=""),"",IF(AND($J266&lt;&gt;"",$K266&lt;&gt;"",$J266=$K266,$J266&gt;=BJ$3,$J266&lt;=IF(param_mode_affichage="mois",EOMONTH(BJ$3,0),BJ$3+6)),"◆",""))</f>
      </c>
      <c r="BK266" s="26">
        <f>IF(OR($A266="",BK$3=""),"",IF(AND($J266&lt;&gt;"",$K266&lt;&gt;"",$J266=$K266,$J266&gt;=BK$3,$J266&lt;=IF(param_mode_affichage="mois",EOMONTH(BK$3,0),BK$3+6)),"◆",""))</f>
      </c>
      <c r="BL266" s="26">
        <f>IF(OR($A266="",BL$3=""),"",IF(AND($J266&lt;&gt;"",$K266&lt;&gt;"",$J266=$K266,$J266&gt;=BL$3,$J266&lt;=IF(param_mode_affichage="mois",EOMONTH(BL$3,0),BL$3+6)),"◆",""))</f>
      </c>
    </row>
    <row r="267" spans="1:64" x14ac:dyDescent="0.25">
      <c r="A267" s="23">
        <f>IFERROR(INDEX(tblTasks[ID],ROW()-4),"")</f>
      </c>
      <c r="B267" s="24">
        <f>IF($A267="","",INDEX(tblTasks[Sujet],ROW()-4))</f>
      </c>
      <c r="C267" s="23">
        <f>IF($A267="","",INDEX(tblTasks[Responsable],ROW()-4))</f>
      </c>
      <c r="D267" s="23">
        <f>IF($A267="","",INDEX(tblTasks[Statut],ROW()-4))</f>
      </c>
      <c r="E267" s="23">
        <f>IF($A267="","",INDEX(tblTasks[Depend_de],ROW()-4))</f>
      </c>
      <c r="F267" s="23">
        <f>IF($A267="","",INDEX(tblTasks[Blocage],ROW()-4))</f>
      </c>
      <c r="G267" s="23">
        <f>IF($A267="","",INDEX(tblTasks[Niveau_criticite],ROW()-4))</f>
      </c>
      <c r="H267" s="23">
        <f>IF($A267="","",INDEX(tblTasks[Goulot],ROW()-4))</f>
      </c>
      <c r="I267" s="23">
        <f>IF($A267="","",IF(LOWER($F267)="oui","non",IF($E267="","oui",IFERROR(IF(LOWER(INDEX(tblTasks[Statut],MATCH($E267,tblTasks[ID],0)))="clos","oui","non"),"non"))))</f>
      </c>
      <c r="J267" s="25">
        <f>IF($A267="","",INDEX(tblTasks[Date_debut_prevue],ROW()-4))</f>
      </c>
      <c r="K267" s="25">
        <f>IF($A267="","",INDEX(tblTasks[Date_fin_prevue],ROW()-4))</f>
      </c>
      <c r="L267" s="23">
        <f>IF($A267="","",INDEX(tblTasks[Irreversibilite],ROW()-4))</f>
      </c>
      <c r="M267" s="26">
        <f>IF(OR($A267="",M$3=""),"",IF(AND($J267&lt;&gt;"",$K267&lt;&gt;"",$J267=$K267,$J267&gt;=M$3,$J267&lt;=IF(param_mode_affichage="mois",EOMONTH(M$3,0),M$3+6)),"◆",""))</f>
      </c>
      <c r="N267" s="26">
        <f>IF(OR($A267="",N$3=""),"",IF(AND($J267&lt;&gt;"",$K267&lt;&gt;"",$J267=$K267,$J267&gt;=N$3,$J267&lt;=IF(param_mode_affichage="mois",EOMONTH(N$3,0),N$3+6)),"◆",""))</f>
      </c>
      <c r="O267" s="26">
        <f>IF(OR($A267="",O$3=""),"",IF(AND($J267&lt;&gt;"",$K267&lt;&gt;"",$J267=$K267,$J267&gt;=O$3,$J267&lt;=IF(param_mode_affichage="mois",EOMONTH(O$3,0),O$3+6)),"◆",""))</f>
      </c>
      <c r="P267" s="26">
        <f>IF(OR($A267="",P$3=""),"",IF(AND($J267&lt;&gt;"",$K267&lt;&gt;"",$J267=$K267,$J267&gt;=P$3,$J267&lt;=IF(param_mode_affichage="mois",EOMONTH(P$3,0),P$3+6)),"◆",""))</f>
      </c>
      <c r="Q267" s="26">
        <f>IF(OR($A267="",Q$3=""),"",IF(AND($J267&lt;&gt;"",$K267&lt;&gt;"",$J267=$K267,$J267&gt;=Q$3,$J267&lt;=IF(param_mode_affichage="mois",EOMONTH(Q$3,0),Q$3+6)),"◆",""))</f>
      </c>
      <c r="R267" s="26">
        <f>IF(OR($A267="",R$3=""),"",IF(AND($J267&lt;&gt;"",$K267&lt;&gt;"",$J267=$K267,$J267&gt;=R$3,$J267&lt;=IF(param_mode_affichage="mois",EOMONTH(R$3,0),R$3+6)),"◆",""))</f>
      </c>
      <c r="S267" s="26">
        <f>IF(OR($A267="",S$3=""),"",IF(AND($J267&lt;&gt;"",$K267&lt;&gt;"",$J267=$K267,$J267&gt;=S$3,$J267&lt;=IF(param_mode_affichage="mois",EOMONTH(S$3,0),S$3+6)),"◆",""))</f>
      </c>
      <c r="T267" s="26">
        <f>IF(OR($A267="",T$3=""),"",IF(AND($J267&lt;&gt;"",$K267&lt;&gt;"",$J267=$K267,$J267&gt;=T$3,$J267&lt;=IF(param_mode_affichage="mois",EOMONTH(T$3,0),T$3+6)),"◆",""))</f>
      </c>
      <c r="U267" s="26">
        <f>IF(OR($A267="",U$3=""),"",IF(AND($J267&lt;&gt;"",$K267&lt;&gt;"",$J267=$K267,$J267&gt;=U$3,$J267&lt;=IF(param_mode_affichage="mois",EOMONTH(U$3,0),U$3+6)),"◆",""))</f>
      </c>
      <c r="V267" s="26">
        <f>IF(OR($A267="",V$3=""),"",IF(AND($J267&lt;&gt;"",$K267&lt;&gt;"",$J267=$K267,$J267&gt;=V$3,$J267&lt;=IF(param_mode_affichage="mois",EOMONTH(V$3,0),V$3+6)),"◆",""))</f>
      </c>
      <c r="W267" s="26">
        <f>IF(OR($A267="",W$3=""),"",IF(AND($J267&lt;&gt;"",$K267&lt;&gt;"",$J267=$K267,$J267&gt;=W$3,$J267&lt;=IF(param_mode_affichage="mois",EOMONTH(W$3,0),W$3+6)),"◆",""))</f>
      </c>
      <c r="X267" s="26">
        <f>IF(OR($A267="",X$3=""),"",IF(AND($J267&lt;&gt;"",$K267&lt;&gt;"",$J267=$K267,$J267&gt;=X$3,$J267&lt;=IF(param_mode_affichage="mois",EOMONTH(X$3,0),X$3+6)),"◆",""))</f>
      </c>
      <c r="Y267" s="26">
        <f>IF(OR($A267="",Y$3=""),"",IF(AND($J267&lt;&gt;"",$K267&lt;&gt;"",$J267=$K267,$J267&gt;=Y$3,$J267&lt;=IF(param_mode_affichage="mois",EOMONTH(Y$3,0),Y$3+6)),"◆",""))</f>
      </c>
      <c r="Z267" s="26">
        <f>IF(OR($A267="",Z$3=""),"",IF(AND($J267&lt;&gt;"",$K267&lt;&gt;"",$J267=$K267,$J267&gt;=Z$3,$J267&lt;=IF(param_mode_affichage="mois",EOMONTH(Z$3,0),Z$3+6)),"◆",""))</f>
      </c>
      <c r="AA267" s="26">
        <f>IF(OR($A267="",AA$3=""),"",IF(AND($J267&lt;&gt;"",$K267&lt;&gt;"",$J267=$K267,$J267&gt;=AA$3,$J267&lt;=IF(param_mode_affichage="mois",EOMONTH(AA$3,0),AA$3+6)),"◆",""))</f>
      </c>
      <c r="AB267" s="26">
        <f>IF(OR($A267="",AB$3=""),"",IF(AND($J267&lt;&gt;"",$K267&lt;&gt;"",$J267=$K267,$J267&gt;=AB$3,$J267&lt;=IF(param_mode_affichage="mois",EOMONTH(AB$3,0),AB$3+6)),"◆",""))</f>
      </c>
      <c r="AC267" s="26">
        <f>IF(OR($A267="",AC$3=""),"",IF(AND($J267&lt;&gt;"",$K267&lt;&gt;"",$J267=$K267,$J267&gt;=AC$3,$J267&lt;=IF(param_mode_affichage="mois",EOMONTH(AC$3,0),AC$3+6)),"◆",""))</f>
      </c>
      <c r="AD267" s="26">
        <f>IF(OR($A267="",AD$3=""),"",IF(AND($J267&lt;&gt;"",$K267&lt;&gt;"",$J267=$K267,$J267&gt;=AD$3,$J267&lt;=IF(param_mode_affichage="mois",EOMONTH(AD$3,0),AD$3+6)),"◆",""))</f>
      </c>
      <c r="AE267" s="26">
        <f>IF(OR($A267="",AE$3=""),"",IF(AND($J267&lt;&gt;"",$K267&lt;&gt;"",$J267=$K267,$J267&gt;=AE$3,$J267&lt;=IF(param_mode_affichage="mois",EOMONTH(AE$3,0),AE$3+6)),"◆",""))</f>
      </c>
      <c r="AF267" s="26">
        <f>IF(OR($A267="",AF$3=""),"",IF(AND($J267&lt;&gt;"",$K267&lt;&gt;"",$J267=$K267,$J267&gt;=AF$3,$J267&lt;=IF(param_mode_affichage="mois",EOMONTH(AF$3,0),AF$3+6)),"◆",""))</f>
      </c>
      <c r="AG267" s="26">
        <f>IF(OR($A267="",AG$3=""),"",IF(AND($J267&lt;&gt;"",$K267&lt;&gt;"",$J267=$K267,$J267&gt;=AG$3,$J267&lt;=IF(param_mode_affichage="mois",EOMONTH(AG$3,0),AG$3+6)),"◆",""))</f>
      </c>
      <c r="AH267" s="26">
        <f>IF(OR($A267="",AH$3=""),"",IF(AND($J267&lt;&gt;"",$K267&lt;&gt;"",$J267=$K267,$J267&gt;=AH$3,$J267&lt;=IF(param_mode_affichage="mois",EOMONTH(AH$3,0),AH$3+6)),"◆",""))</f>
      </c>
      <c r="AI267" s="26">
        <f>IF(OR($A267="",AI$3=""),"",IF(AND($J267&lt;&gt;"",$K267&lt;&gt;"",$J267=$K267,$J267&gt;=AI$3,$J267&lt;=IF(param_mode_affichage="mois",EOMONTH(AI$3,0),AI$3+6)),"◆",""))</f>
      </c>
      <c r="AJ267" s="26">
        <f>IF(OR($A267="",AJ$3=""),"",IF(AND($J267&lt;&gt;"",$K267&lt;&gt;"",$J267=$K267,$J267&gt;=AJ$3,$J267&lt;=IF(param_mode_affichage="mois",EOMONTH(AJ$3,0),AJ$3+6)),"◆",""))</f>
      </c>
      <c r="AK267" s="26">
        <f>IF(OR($A267="",AK$3=""),"",IF(AND($J267&lt;&gt;"",$K267&lt;&gt;"",$J267=$K267,$J267&gt;=AK$3,$J267&lt;=IF(param_mode_affichage="mois",EOMONTH(AK$3,0),AK$3+6)),"◆",""))</f>
      </c>
      <c r="AL267" s="26">
        <f>IF(OR($A267="",AL$3=""),"",IF(AND($J267&lt;&gt;"",$K267&lt;&gt;"",$J267=$K267,$J267&gt;=AL$3,$J267&lt;=IF(param_mode_affichage="mois",EOMONTH(AL$3,0),AL$3+6)),"◆",""))</f>
      </c>
      <c r="AM267" s="26">
        <f>IF(OR($A267="",AM$3=""),"",IF(AND($J267&lt;&gt;"",$K267&lt;&gt;"",$J267=$K267,$J267&gt;=AM$3,$J267&lt;=IF(param_mode_affichage="mois",EOMONTH(AM$3,0),AM$3+6)),"◆",""))</f>
      </c>
      <c r="AN267" s="26">
        <f>IF(OR($A267="",AN$3=""),"",IF(AND($J267&lt;&gt;"",$K267&lt;&gt;"",$J267=$K267,$J267&gt;=AN$3,$J267&lt;=IF(param_mode_affichage="mois",EOMONTH(AN$3,0),AN$3+6)),"◆",""))</f>
      </c>
      <c r="AO267" s="26">
        <f>IF(OR($A267="",AO$3=""),"",IF(AND($J267&lt;&gt;"",$K267&lt;&gt;"",$J267=$K267,$J267&gt;=AO$3,$J267&lt;=IF(param_mode_affichage="mois",EOMONTH(AO$3,0),AO$3+6)),"◆",""))</f>
      </c>
      <c r="AP267" s="26">
        <f>IF(OR($A267="",AP$3=""),"",IF(AND($J267&lt;&gt;"",$K267&lt;&gt;"",$J267=$K267,$J267&gt;=AP$3,$J267&lt;=IF(param_mode_affichage="mois",EOMONTH(AP$3,0),AP$3+6)),"◆",""))</f>
      </c>
      <c r="AQ267" s="26">
        <f>IF(OR($A267="",AQ$3=""),"",IF(AND($J267&lt;&gt;"",$K267&lt;&gt;"",$J267=$K267,$J267&gt;=AQ$3,$J267&lt;=IF(param_mode_affichage="mois",EOMONTH(AQ$3,0),AQ$3+6)),"◆",""))</f>
      </c>
      <c r="AR267" s="26">
        <f>IF(OR($A267="",AR$3=""),"",IF(AND($J267&lt;&gt;"",$K267&lt;&gt;"",$J267=$K267,$J267&gt;=AR$3,$J267&lt;=IF(param_mode_affichage="mois",EOMONTH(AR$3,0),AR$3+6)),"◆",""))</f>
      </c>
      <c r="AS267" s="26">
        <f>IF(OR($A267="",AS$3=""),"",IF(AND($J267&lt;&gt;"",$K267&lt;&gt;"",$J267=$K267,$J267&gt;=AS$3,$J267&lt;=IF(param_mode_affichage="mois",EOMONTH(AS$3,0),AS$3+6)),"◆",""))</f>
      </c>
      <c r="AT267" s="26">
        <f>IF(OR($A267="",AT$3=""),"",IF(AND($J267&lt;&gt;"",$K267&lt;&gt;"",$J267=$K267,$J267&gt;=AT$3,$J267&lt;=IF(param_mode_affichage="mois",EOMONTH(AT$3,0),AT$3+6)),"◆",""))</f>
      </c>
      <c r="AU267" s="26">
        <f>IF(OR($A267="",AU$3=""),"",IF(AND($J267&lt;&gt;"",$K267&lt;&gt;"",$J267=$K267,$J267&gt;=AU$3,$J267&lt;=IF(param_mode_affichage="mois",EOMONTH(AU$3,0),AU$3+6)),"◆",""))</f>
      </c>
      <c r="AV267" s="26">
        <f>IF(OR($A267="",AV$3=""),"",IF(AND($J267&lt;&gt;"",$K267&lt;&gt;"",$J267=$K267,$J267&gt;=AV$3,$J267&lt;=IF(param_mode_affichage="mois",EOMONTH(AV$3,0),AV$3+6)),"◆",""))</f>
      </c>
      <c r="AW267" s="26">
        <f>IF(OR($A267="",AW$3=""),"",IF(AND($J267&lt;&gt;"",$K267&lt;&gt;"",$J267=$K267,$J267&gt;=AW$3,$J267&lt;=IF(param_mode_affichage="mois",EOMONTH(AW$3,0),AW$3+6)),"◆",""))</f>
      </c>
      <c r="AX267" s="26">
        <f>IF(OR($A267="",AX$3=""),"",IF(AND($J267&lt;&gt;"",$K267&lt;&gt;"",$J267=$K267,$J267&gt;=AX$3,$J267&lt;=IF(param_mode_affichage="mois",EOMONTH(AX$3,0),AX$3+6)),"◆",""))</f>
      </c>
      <c r="AY267" s="26">
        <f>IF(OR($A267="",AY$3=""),"",IF(AND($J267&lt;&gt;"",$K267&lt;&gt;"",$J267=$K267,$J267&gt;=AY$3,$J267&lt;=IF(param_mode_affichage="mois",EOMONTH(AY$3,0),AY$3+6)),"◆",""))</f>
      </c>
      <c r="AZ267" s="26">
        <f>IF(OR($A267="",AZ$3=""),"",IF(AND($J267&lt;&gt;"",$K267&lt;&gt;"",$J267=$K267,$J267&gt;=AZ$3,$J267&lt;=IF(param_mode_affichage="mois",EOMONTH(AZ$3,0),AZ$3+6)),"◆",""))</f>
      </c>
      <c r="BA267" s="26">
        <f>IF(OR($A267="",BA$3=""),"",IF(AND($J267&lt;&gt;"",$K267&lt;&gt;"",$J267=$K267,$J267&gt;=BA$3,$J267&lt;=IF(param_mode_affichage="mois",EOMONTH(BA$3,0),BA$3+6)),"◆",""))</f>
      </c>
      <c r="BB267" s="26">
        <f>IF(OR($A267="",BB$3=""),"",IF(AND($J267&lt;&gt;"",$K267&lt;&gt;"",$J267=$K267,$J267&gt;=BB$3,$J267&lt;=IF(param_mode_affichage="mois",EOMONTH(BB$3,0),BB$3+6)),"◆",""))</f>
      </c>
      <c r="BC267" s="26">
        <f>IF(OR($A267="",BC$3=""),"",IF(AND($J267&lt;&gt;"",$K267&lt;&gt;"",$J267=$K267,$J267&gt;=BC$3,$J267&lt;=IF(param_mode_affichage="mois",EOMONTH(BC$3,0),BC$3+6)),"◆",""))</f>
      </c>
      <c r="BD267" s="26">
        <f>IF(OR($A267="",BD$3=""),"",IF(AND($J267&lt;&gt;"",$K267&lt;&gt;"",$J267=$K267,$J267&gt;=BD$3,$J267&lt;=IF(param_mode_affichage="mois",EOMONTH(BD$3,0),BD$3+6)),"◆",""))</f>
      </c>
      <c r="BE267" s="26">
        <f>IF(OR($A267="",BE$3=""),"",IF(AND($J267&lt;&gt;"",$K267&lt;&gt;"",$J267=$K267,$J267&gt;=BE$3,$J267&lt;=IF(param_mode_affichage="mois",EOMONTH(BE$3,0),BE$3+6)),"◆",""))</f>
      </c>
      <c r="BF267" s="26">
        <f>IF(OR($A267="",BF$3=""),"",IF(AND($J267&lt;&gt;"",$K267&lt;&gt;"",$J267=$K267,$J267&gt;=BF$3,$J267&lt;=IF(param_mode_affichage="mois",EOMONTH(BF$3,0),BF$3+6)),"◆",""))</f>
      </c>
      <c r="BG267" s="26">
        <f>IF(OR($A267="",BG$3=""),"",IF(AND($J267&lt;&gt;"",$K267&lt;&gt;"",$J267=$K267,$J267&gt;=BG$3,$J267&lt;=IF(param_mode_affichage="mois",EOMONTH(BG$3,0),BG$3+6)),"◆",""))</f>
      </c>
      <c r="BH267" s="26">
        <f>IF(OR($A267="",BH$3=""),"",IF(AND($J267&lt;&gt;"",$K267&lt;&gt;"",$J267=$K267,$J267&gt;=BH$3,$J267&lt;=IF(param_mode_affichage="mois",EOMONTH(BH$3,0),BH$3+6)),"◆",""))</f>
      </c>
      <c r="BI267" s="26">
        <f>IF(OR($A267="",BI$3=""),"",IF(AND($J267&lt;&gt;"",$K267&lt;&gt;"",$J267=$K267,$J267&gt;=BI$3,$J267&lt;=IF(param_mode_affichage="mois",EOMONTH(BI$3,0),BI$3+6)),"◆",""))</f>
      </c>
      <c r="BJ267" s="26">
        <f>IF(OR($A267="",BJ$3=""),"",IF(AND($J267&lt;&gt;"",$K267&lt;&gt;"",$J267=$K267,$J267&gt;=BJ$3,$J267&lt;=IF(param_mode_affichage="mois",EOMONTH(BJ$3,0),BJ$3+6)),"◆",""))</f>
      </c>
      <c r="BK267" s="26">
        <f>IF(OR($A267="",BK$3=""),"",IF(AND($J267&lt;&gt;"",$K267&lt;&gt;"",$J267=$K267,$J267&gt;=BK$3,$J267&lt;=IF(param_mode_affichage="mois",EOMONTH(BK$3,0),BK$3+6)),"◆",""))</f>
      </c>
      <c r="BL267" s="26">
        <f>IF(OR($A267="",BL$3=""),"",IF(AND($J267&lt;&gt;"",$K267&lt;&gt;"",$J267=$K267,$J267&gt;=BL$3,$J267&lt;=IF(param_mode_affichage="mois",EOMONTH(BL$3,0),BL$3+6)),"◆",""))</f>
      </c>
    </row>
    <row r="268" spans="1:64" x14ac:dyDescent="0.25">
      <c r="A268" s="23">
        <f>IFERROR(INDEX(tblTasks[ID],ROW()-4),"")</f>
      </c>
      <c r="B268" s="24">
        <f>IF($A268="","",INDEX(tblTasks[Sujet],ROW()-4))</f>
      </c>
      <c r="C268" s="23">
        <f>IF($A268="","",INDEX(tblTasks[Responsable],ROW()-4))</f>
      </c>
      <c r="D268" s="23">
        <f>IF($A268="","",INDEX(tblTasks[Statut],ROW()-4))</f>
      </c>
      <c r="E268" s="23">
        <f>IF($A268="","",INDEX(tblTasks[Depend_de],ROW()-4))</f>
      </c>
      <c r="F268" s="23">
        <f>IF($A268="","",INDEX(tblTasks[Blocage],ROW()-4))</f>
      </c>
      <c r="G268" s="23">
        <f>IF($A268="","",INDEX(tblTasks[Niveau_criticite],ROW()-4))</f>
      </c>
      <c r="H268" s="23">
        <f>IF($A268="","",INDEX(tblTasks[Goulot],ROW()-4))</f>
      </c>
      <c r="I268" s="23">
        <f>IF($A268="","",IF(LOWER($F268)="oui","non",IF($E268="","oui",IFERROR(IF(LOWER(INDEX(tblTasks[Statut],MATCH($E268,tblTasks[ID],0)))="clos","oui","non"),"non"))))</f>
      </c>
      <c r="J268" s="25">
        <f>IF($A268="","",INDEX(tblTasks[Date_debut_prevue],ROW()-4))</f>
      </c>
      <c r="K268" s="25">
        <f>IF($A268="","",INDEX(tblTasks[Date_fin_prevue],ROW()-4))</f>
      </c>
      <c r="L268" s="23">
        <f>IF($A268="","",INDEX(tblTasks[Irreversibilite],ROW()-4))</f>
      </c>
      <c r="M268" s="26">
        <f>IF(OR($A268="",M$3=""),"",IF(AND($J268&lt;&gt;"",$K268&lt;&gt;"",$J268=$K268,$J268&gt;=M$3,$J268&lt;=IF(param_mode_affichage="mois",EOMONTH(M$3,0),M$3+6)),"◆",""))</f>
      </c>
      <c r="N268" s="26">
        <f>IF(OR($A268="",N$3=""),"",IF(AND($J268&lt;&gt;"",$K268&lt;&gt;"",$J268=$K268,$J268&gt;=N$3,$J268&lt;=IF(param_mode_affichage="mois",EOMONTH(N$3,0),N$3+6)),"◆",""))</f>
      </c>
      <c r="O268" s="26">
        <f>IF(OR($A268="",O$3=""),"",IF(AND($J268&lt;&gt;"",$K268&lt;&gt;"",$J268=$K268,$J268&gt;=O$3,$J268&lt;=IF(param_mode_affichage="mois",EOMONTH(O$3,0),O$3+6)),"◆",""))</f>
      </c>
      <c r="P268" s="26">
        <f>IF(OR($A268="",P$3=""),"",IF(AND($J268&lt;&gt;"",$K268&lt;&gt;"",$J268=$K268,$J268&gt;=P$3,$J268&lt;=IF(param_mode_affichage="mois",EOMONTH(P$3,0),P$3+6)),"◆",""))</f>
      </c>
      <c r="Q268" s="26">
        <f>IF(OR($A268="",Q$3=""),"",IF(AND($J268&lt;&gt;"",$K268&lt;&gt;"",$J268=$K268,$J268&gt;=Q$3,$J268&lt;=IF(param_mode_affichage="mois",EOMONTH(Q$3,0),Q$3+6)),"◆",""))</f>
      </c>
      <c r="R268" s="26">
        <f>IF(OR($A268="",R$3=""),"",IF(AND($J268&lt;&gt;"",$K268&lt;&gt;"",$J268=$K268,$J268&gt;=R$3,$J268&lt;=IF(param_mode_affichage="mois",EOMONTH(R$3,0),R$3+6)),"◆",""))</f>
      </c>
      <c r="S268" s="26">
        <f>IF(OR($A268="",S$3=""),"",IF(AND($J268&lt;&gt;"",$K268&lt;&gt;"",$J268=$K268,$J268&gt;=S$3,$J268&lt;=IF(param_mode_affichage="mois",EOMONTH(S$3,0),S$3+6)),"◆",""))</f>
      </c>
      <c r="T268" s="26">
        <f>IF(OR($A268="",T$3=""),"",IF(AND($J268&lt;&gt;"",$K268&lt;&gt;"",$J268=$K268,$J268&gt;=T$3,$J268&lt;=IF(param_mode_affichage="mois",EOMONTH(T$3,0),T$3+6)),"◆",""))</f>
      </c>
      <c r="U268" s="26">
        <f>IF(OR($A268="",U$3=""),"",IF(AND($J268&lt;&gt;"",$K268&lt;&gt;"",$J268=$K268,$J268&gt;=U$3,$J268&lt;=IF(param_mode_affichage="mois",EOMONTH(U$3,0),U$3+6)),"◆",""))</f>
      </c>
      <c r="V268" s="26">
        <f>IF(OR($A268="",V$3=""),"",IF(AND($J268&lt;&gt;"",$K268&lt;&gt;"",$J268=$K268,$J268&gt;=V$3,$J268&lt;=IF(param_mode_affichage="mois",EOMONTH(V$3,0),V$3+6)),"◆",""))</f>
      </c>
      <c r="W268" s="26">
        <f>IF(OR($A268="",W$3=""),"",IF(AND($J268&lt;&gt;"",$K268&lt;&gt;"",$J268=$K268,$J268&gt;=W$3,$J268&lt;=IF(param_mode_affichage="mois",EOMONTH(W$3,0),W$3+6)),"◆",""))</f>
      </c>
      <c r="X268" s="26">
        <f>IF(OR($A268="",X$3=""),"",IF(AND($J268&lt;&gt;"",$K268&lt;&gt;"",$J268=$K268,$J268&gt;=X$3,$J268&lt;=IF(param_mode_affichage="mois",EOMONTH(X$3,0),X$3+6)),"◆",""))</f>
      </c>
      <c r="Y268" s="26">
        <f>IF(OR($A268="",Y$3=""),"",IF(AND($J268&lt;&gt;"",$K268&lt;&gt;"",$J268=$K268,$J268&gt;=Y$3,$J268&lt;=IF(param_mode_affichage="mois",EOMONTH(Y$3,0),Y$3+6)),"◆",""))</f>
      </c>
      <c r="Z268" s="26">
        <f>IF(OR($A268="",Z$3=""),"",IF(AND($J268&lt;&gt;"",$K268&lt;&gt;"",$J268=$K268,$J268&gt;=Z$3,$J268&lt;=IF(param_mode_affichage="mois",EOMONTH(Z$3,0),Z$3+6)),"◆",""))</f>
      </c>
      <c r="AA268" s="26">
        <f>IF(OR($A268="",AA$3=""),"",IF(AND($J268&lt;&gt;"",$K268&lt;&gt;"",$J268=$K268,$J268&gt;=AA$3,$J268&lt;=IF(param_mode_affichage="mois",EOMONTH(AA$3,0),AA$3+6)),"◆",""))</f>
      </c>
      <c r="AB268" s="26">
        <f>IF(OR($A268="",AB$3=""),"",IF(AND($J268&lt;&gt;"",$K268&lt;&gt;"",$J268=$K268,$J268&gt;=AB$3,$J268&lt;=IF(param_mode_affichage="mois",EOMONTH(AB$3,0),AB$3+6)),"◆",""))</f>
      </c>
      <c r="AC268" s="26">
        <f>IF(OR($A268="",AC$3=""),"",IF(AND($J268&lt;&gt;"",$K268&lt;&gt;"",$J268=$K268,$J268&gt;=AC$3,$J268&lt;=IF(param_mode_affichage="mois",EOMONTH(AC$3,0),AC$3+6)),"◆",""))</f>
      </c>
      <c r="AD268" s="26">
        <f>IF(OR($A268="",AD$3=""),"",IF(AND($J268&lt;&gt;"",$K268&lt;&gt;"",$J268=$K268,$J268&gt;=AD$3,$J268&lt;=IF(param_mode_affichage="mois",EOMONTH(AD$3,0),AD$3+6)),"◆",""))</f>
      </c>
      <c r="AE268" s="26">
        <f>IF(OR($A268="",AE$3=""),"",IF(AND($J268&lt;&gt;"",$K268&lt;&gt;"",$J268=$K268,$J268&gt;=AE$3,$J268&lt;=IF(param_mode_affichage="mois",EOMONTH(AE$3,0),AE$3+6)),"◆",""))</f>
      </c>
      <c r="AF268" s="26">
        <f>IF(OR($A268="",AF$3=""),"",IF(AND($J268&lt;&gt;"",$K268&lt;&gt;"",$J268=$K268,$J268&gt;=AF$3,$J268&lt;=IF(param_mode_affichage="mois",EOMONTH(AF$3,0),AF$3+6)),"◆",""))</f>
      </c>
      <c r="AG268" s="26">
        <f>IF(OR($A268="",AG$3=""),"",IF(AND($J268&lt;&gt;"",$K268&lt;&gt;"",$J268=$K268,$J268&gt;=AG$3,$J268&lt;=IF(param_mode_affichage="mois",EOMONTH(AG$3,0),AG$3+6)),"◆",""))</f>
      </c>
      <c r="AH268" s="26">
        <f>IF(OR($A268="",AH$3=""),"",IF(AND($J268&lt;&gt;"",$K268&lt;&gt;"",$J268=$K268,$J268&gt;=AH$3,$J268&lt;=IF(param_mode_affichage="mois",EOMONTH(AH$3,0),AH$3+6)),"◆",""))</f>
      </c>
      <c r="AI268" s="26">
        <f>IF(OR($A268="",AI$3=""),"",IF(AND($J268&lt;&gt;"",$K268&lt;&gt;"",$J268=$K268,$J268&gt;=AI$3,$J268&lt;=IF(param_mode_affichage="mois",EOMONTH(AI$3,0),AI$3+6)),"◆",""))</f>
      </c>
      <c r="AJ268" s="26">
        <f>IF(OR($A268="",AJ$3=""),"",IF(AND($J268&lt;&gt;"",$K268&lt;&gt;"",$J268=$K268,$J268&gt;=AJ$3,$J268&lt;=IF(param_mode_affichage="mois",EOMONTH(AJ$3,0),AJ$3+6)),"◆",""))</f>
      </c>
      <c r="AK268" s="26">
        <f>IF(OR($A268="",AK$3=""),"",IF(AND($J268&lt;&gt;"",$K268&lt;&gt;"",$J268=$K268,$J268&gt;=AK$3,$J268&lt;=IF(param_mode_affichage="mois",EOMONTH(AK$3,0),AK$3+6)),"◆",""))</f>
      </c>
      <c r="AL268" s="26">
        <f>IF(OR($A268="",AL$3=""),"",IF(AND($J268&lt;&gt;"",$K268&lt;&gt;"",$J268=$K268,$J268&gt;=AL$3,$J268&lt;=IF(param_mode_affichage="mois",EOMONTH(AL$3,0),AL$3+6)),"◆",""))</f>
      </c>
      <c r="AM268" s="26">
        <f>IF(OR($A268="",AM$3=""),"",IF(AND($J268&lt;&gt;"",$K268&lt;&gt;"",$J268=$K268,$J268&gt;=AM$3,$J268&lt;=IF(param_mode_affichage="mois",EOMONTH(AM$3,0),AM$3+6)),"◆",""))</f>
      </c>
      <c r="AN268" s="26">
        <f>IF(OR($A268="",AN$3=""),"",IF(AND($J268&lt;&gt;"",$K268&lt;&gt;"",$J268=$K268,$J268&gt;=AN$3,$J268&lt;=IF(param_mode_affichage="mois",EOMONTH(AN$3,0),AN$3+6)),"◆",""))</f>
      </c>
      <c r="AO268" s="26">
        <f>IF(OR($A268="",AO$3=""),"",IF(AND($J268&lt;&gt;"",$K268&lt;&gt;"",$J268=$K268,$J268&gt;=AO$3,$J268&lt;=IF(param_mode_affichage="mois",EOMONTH(AO$3,0),AO$3+6)),"◆",""))</f>
      </c>
      <c r="AP268" s="26">
        <f>IF(OR($A268="",AP$3=""),"",IF(AND($J268&lt;&gt;"",$K268&lt;&gt;"",$J268=$K268,$J268&gt;=AP$3,$J268&lt;=IF(param_mode_affichage="mois",EOMONTH(AP$3,0),AP$3+6)),"◆",""))</f>
      </c>
      <c r="AQ268" s="26">
        <f>IF(OR($A268="",AQ$3=""),"",IF(AND($J268&lt;&gt;"",$K268&lt;&gt;"",$J268=$K268,$J268&gt;=AQ$3,$J268&lt;=IF(param_mode_affichage="mois",EOMONTH(AQ$3,0),AQ$3+6)),"◆",""))</f>
      </c>
      <c r="AR268" s="26">
        <f>IF(OR($A268="",AR$3=""),"",IF(AND($J268&lt;&gt;"",$K268&lt;&gt;"",$J268=$K268,$J268&gt;=AR$3,$J268&lt;=IF(param_mode_affichage="mois",EOMONTH(AR$3,0),AR$3+6)),"◆",""))</f>
      </c>
      <c r="AS268" s="26">
        <f>IF(OR($A268="",AS$3=""),"",IF(AND($J268&lt;&gt;"",$K268&lt;&gt;"",$J268=$K268,$J268&gt;=AS$3,$J268&lt;=IF(param_mode_affichage="mois",EOMONTH(AS$3,0),AS$3+6)),"◆",""))</f>
      </c>
      <c r="AT268" s="26">
        <f>IF(OR($A268="",AT$3=""),"",IF(AND($J268&lt;&gt;"",$K268&lt;&gt;"",$J268=$K268,$J268&gt;=AT$3,$J268&lt;=IF(param_mode_affichage="mois",EOMONTH(AT$3,0),AT$3+6)),"◆",""))</f>
      </c>
      <c r="AU268" s="26">
        <f>IF(OR($A268="",AU$3=""),"",IF(AND($J268&lt;&gt;"",$K268&lt;&gt;"",$J268=$K268,$J268&gt;=AU$3,$J268&lt;=IF(param_mode_affichage="mois",EOMONTH(AU$3,0),AU$3+6)),"◆",""))</f>
      </c>
      <c r="AV268" s="26">
        <f>IF(OR($A268="",AV$3=""),"",IF(AND($J268&lt;&gt;"",$K268&lt;&gt;"",$J268=$K268,$J268&gt;=AV$3,$J268&lt;=IF(param_mode_affichage="mois",EOMONTH(AV$3,0),AV$3+6)),"◆",""))</f>
      </c>
      <c r="AW268" s="26">
        <f>IF(OR($A268="",AW$3=""),"",IF(AND($J268&lt;&gt;"",$K268&lt;&gt;"",$J268=$K268,$J268&gt;=AW$3,$J268&lt;=IF(param_mode_affichage="mois",EOMONTH(AW$3,0),AW$3+6)),"◆",""))</f>
      </c>
      <c r="AX268" s="26">
        <f>IF(OR($A268="",AX$3=""),"",IF(AND($J268&lt;&gt;"",$K268&lt;&gt;"",$J268=$K268,$J268&gt;=AX$3,$J268&lt;=IF(param_mode_affichage="mois",EOMONTH(AX$3,0),AX$3+6)),"◆",""))</f>
      </c>
      <c r="AY268" s="26">
        <f>IF(OR($A268="",AY$3=""),"",IF(AND($J268&lt;&gt;"",$K268&lt;&gt;"",$J268=$K268,$J268&gt;=AY$3,$J268&lt;=IF(param_mode_affichage="mois",EOMONTH(AY$3,0),AY$3+6)),"◆",""))</f>
      </c>
      <c r="AZ268" s="26">
        <f>IF(OR($A268="",AZ$3=""),"",IF(AND($J268&lt;&gt;"",$K268&lt;&gt;"",$J268=$K268,$J268&gt;=AZ$3,$J268&lt;=IF(param_mode_affichage="mois",EOMONTH(AZ$3,0),AZ$3+6)),"◆",""))</f>
      </c>
      <c r="BA268" s="26">
        <f>IF(OR($A268="",BA$3=""),"",IF(AND($J268&lt;&gt;"",$K268&lt;&gt;"",$J268=$K268,$J268&gt;=BA$3,$J268&lt;=IF(param_mode_affichage="mois",EOMONTH(BA$3,0),BA$3+6)),"◆",""))</f>
      </c>
      <c r="BB268" s="26">
        <f>IF(OR($A268="",BB$3=""),"",IF(AND($J268&lt;&gt;"",$K268&lt;&gt;"",$J268=$K268,$J268&gt;=BB$3,$J268&lt;=IF(param_mode_affichage="mois",EOMONTH(BB$3,0),BB$3+6)),"◆",""))</f>
      </c>
      <c r="BC268" s="26">
        <f>IF(OR($A268="",BC$3=""),"",IF(AND($J268&lt;&gt;"",$K268&lt;&gt;"",$J268=$K268,$J268&gt;=BC$3,$J268&lt;=IF(param_mode_affichage="mois",EOMONTH(BC$3,0),BC$3+6)),"◆",""))</f>
      </c>
      <c r="BD268" s="26">
        <f>IF(OR($A268="",BD$3=""),"",IF(AND($J268&lt;&gt;"",$K268&lt;&gt;"",$J268=$K268,$J268&gt;=BD$3,$J268&lt;=IF(param_mode_affichage="mois",EOMONTH(BD$3,0),BD$3+6)),"◆",""))</f>
      </c>
      <c r="BE268" s="26">
        <f>IF(OR($A268="",BE$3=""),"",IF(AND($J268&lt;&gt;"",$K268&lt;&gt;"",$J268=$K268,$J268&gt;=BE$3,$J268&lt;=IF(param_mode_affichage="mois",EOMONTH(BE$3,0),BE$3+6)),"◆",""))</f>
      </c>
      <c r="BF268" s="26">
        <f>IF(OR($A268="",BF$3=""),"",IF(AND($J268&lt;&gt;"",$K268&lt;&gt;"",$J268=$K268,$J268&gt;=BF$3,$J268&lt;=IF(param_mode_affichage="mois",EOMONTH(BF$3,0),BF$3+6)),"◆",""))</f>
      </c>
      <c r="BG268" s="26">
        <f>IF(OR($A268="",BG$3=""),"",IF(AND($J268&lt;&gt;"",$K268&lt;&gt;"",$J268=$K268,$J268&gt;=BG$3,$J268&lt;=IF(param_mode_affichage="mois",EOMONTH(BG$3,0),BG$3+6)),"◆",""))</f>
      </c>
      <c r="BH268" s="26">
        <f>IF(OR($A268="",BH$3=""),"",IF(AND($J268&lt;&gt;"",$K268&lt;&gt;"",$J268=$K268,$J268&gt;=BH$3,$J268&lt;=IF(param_mode_affichage="mois",EOMONTH(BH$3,0),BH$3+6)),"◆",""))</f>
      </c>
      <c r="BI268" s="26">
        <f>IF(OR($A268="",BI$3=""),"",IF(AND($J268&lt;&gt;"",$K268&lt;&gt;"",$J268=$K268,$J268&gt;=BI$3,$J268&lt;=IF(param_mode_affichage="mois",EOMONTH(BI$3,0),BI$3+6)),"◆",""))</f>
      </c>
      <c r="BJ268" s="26">
        <f>IF(OR($A268="",BJ$3=""),"",IF(AND($J268&lt;&gt;"",$K268&lt;&gt;"",$J268=$K268,$J268&gt;=BJ$3,$J268&lt;=IF(param_mode_affichage="mois",EOMONTH(BJ$3,0),BJ$3+6)),"◆",""))</f>
      </c>
      <c r="BK268" s="26">
        <f>IF(OR($A268="",BK$3=""),"",IF(AND($J268&lt;&gt;"",$K268&lt;&gt;"",$J268=$K268,$J268&gt;=BK$3,$J268&lt;=IF(param_mode_affichage="mois",EOMONTH(BK$3,0),BK$3+6)),"◆",""))</f>
      </c>
      <c r="BL268" s="26">
        <f>IF(OR($A268="",BL$3=""),"",IF(AND($J268&lt;&gt;"",$K268&lt;&gt;"",$J268=$K268,$J268&gt;=BL$3,$J268&lt;=IF(param_mode_affichage="mois",EOMONTH(BL$3,0),BL$3+6)),"◆",""))</f>
      </c>
    </row>
    <row r="269" spans="1:64" x14ac:dyDescent="0.25">
      <c r="A269" s="23">
        <f>IFERROR(INDEX(tblTasks[ID],ROW()-4),"")</f>
      </c>
      <c r="B269" s="24">
        <f>IF($A269="","",INDEX(tblTasks[Sujet],ROW()-4))</f>
      </c>
      <c r="C269" s="23">
        <f>IF($A269="","",INDEX(tblTasks[Responsable],ROW()-4))</f>
      </c>
      <c r="D269" s="23">
        <f>IF($A269="","",INDEX(tblTasks[Statut],ROW()-4))</f>
      </c>
      <c r="E269" s="23">
        <f>IF($A269="","",INDEX(tblTasks[Depend_de],ROW()-4))</f>
      </c>
      <c r="F269" s="23">
        <f>IF($A269="","",INDEX(tblTasks[Blocage],ROW()-4))</f>
      </c>
      <c r="G269" s="23">
        <f>IF($A269="","",INDEX(tblTasks[Niveau_criticite],ROW()-4))</f>
      </c>
      <c r="H269" s="23">
        <f>IF($A269="","",INDEX(tblTasks[Goulot],ROW()-4))</f>
      </c>
      <c r="I269" s="23">
        <f>IF($A269="","",IF(LOWER($F269)="oui","non",IF($E269="","oui",IFERROR(IF(LOWER(INDEX(tblTasks[Statut],MATCH($E269,tblTasks[ID],0)))="clos","oui","non"),"non"))))</f>
      </c>
      <c r="J269" s="25">
        <f>IF($A269="","",INDEX(tblTasks[Date_debut_prevue],ROW()-4))</f>
      </c>
      <c r="K269" s="25">
        <f>IF($A269="","",INDEX(tblTasks[Date_fin_prevue],ROW()-4))</f>
      </c>
      <c r="L269" s="23">
        <f>IF($A269="","",INDEX(tblTasks[Irreversibilite],ROW()-4))</f>
      </c>
      <c r="M269" s="26">
        <f>IF(OR($A269="",M$3=""),"",IF(AND($J269&lt;&gt;"",$K269&lt;&gt;"",$J269=$K269,$J269&gt;=M$3,$J269&lt;=IF(param_mode_affichage="mois",EOMONTH(M$3,0),M$3+6)),"◆",""))</f>
      </c>
      <c r="N269" s="26">
        <f>IF(OR($A269="",N$3=""),"",IF(AND($J269&lt;&gt;"",$K269&lt;&gt;"",$J269=$K269,$J269&gt;=N$3,$J269&lt;=IF(param_mode_affichage="mois",EOMONTH(N$3,0),N$3+6)),"◆",""))</f>
      </c>
      <c r="O269" s="26">
        <f>IF(OR($A269="",O$3=""),"",IF(AND($J269&lt;&gt;"",$K269&lt;&gt;"",$J269=$K269,$J269&gt;=O$3,$J269&lt;=IF(param_mode_affichage="mois",EOMONTH(O$3,0),O$3+6)),"◆",""))</f>
      </c>
      <c r="P269" s="26">
        <f>IF(OR($A269="",P$3=""),"",IF(AND($J269&lt;&gt;"",$K269&lt;&gt;"",$J269=$K269,$J269&gt;=P$3,$J269&lt;=IF(param_mode_affichage="mois",EOMONTH(P$3,0),P$3+6)),"◆",""))</f>
      </c>
      <c r="Q269" s="26">
        <f>IF(OR($A269="",Q$3=""),"",IF(AND($J269&lt;&gt;"",$K269&lt;&gt;"",$J269=$K269,$J269&gt;=Q$3,$J269&lt;=IF(param_mode_affichage="mois",EOMONTH(Q$3,0),Q$3+6)),"◆",""))</f>
      </c>
      <c r="R269" s="26">
        <f>IF(OR($A269="",R$3=""),"",IF(AND($J269&lt;&gt;"",$K269&lt;&gt;"",$J269=$K269,$J269&gt;=R$3,$J269&lt;=IF(param_mode_affichage="mois",EOMONTH(R$3,0),R$3+6)),"◆",""))</f>
      </c>
      <c r="S269" s="26">
        <f>IF(OR($A269="",S$3=""),"",IF(AND($J269&lt;&gt;"",$K269&lt;&gt;"",$J269=$K269,$J269&gt;=S$3,$J269&lt;=IF(param_mode_affichage="mois",EOMONTH(S$3,0),S$3+6)),"◆",""))</f>
      </c>
      <c r="T269" s="26">
        <f>IF(OR($A269="",T$3=""),"",IF(AND($J269&lt;&gt;"",$K269&lt;&gt;"",$J269=$K269,$J269&gt;=T$3,$J269&lt;=IF(param_mode_affichage="mois",EOMONTH(T$3,0),T$3+6)),"◆",""))</f>
      </c>
      <c r="U269" s="26">
        <f>IF(OR($A269="",U$3=""),"",IF(AND($J269&lt;&gt;"",$K269&lt;&gt;"",$J269=$K269,$J269&gt;=U$3,$J269&lt;=IF(param_mode_affichage="mois",EOMONTH(U$3,0),U$3+6)),"◆",""))</f>
      </c>
      <c r="V269" s="26">
        <f>IF(OR($A269="",V$3=""),"",IF(AND($J269&lt;&gt;"",$K269&lt;&gt;"",$J269=$K269,$J269&gt;=V$3,$J269&lt;=IF(param_mode_affichage="mois",EOMONTH(V$3,0),V$3+6)),"◆",""))</f>
      </c>
      <c r="W269" s="26">
        <f>IF(OR($A269="",W$3=""),"",IF(AND($J269&lt;&gt;"",$K269&lt;&gt;"",$J269=$K269,$J269&gt;=W$3,$J269&lt;=IF(param_mode_affichage="mois",EOMONTH(W$3,0),W$3+6)),"◆",""))</f>
      </c>
      <c r="X269" s="26">
        <f>IF(OR($A269="",X$3=""),"",IF(AND($J269&lt;&gt;"",$K269&lt;&gt;"",$J269=$K269,$J269&gt;=X$3,$J269&lt;=IF(param_mode_affichage="mois",EOMONTH(X$3,0),X$3+6)),"◆",""))</f>
      </c>
      <c r="Y269" s="26">
        <f>IF(OR($A269="",Y$3=""),"",IF(AND($J269&lt;&gt;"",$K269&lt;&gt;"",$J269=$K269,$J269&gt;=Y$3,$J269&lt;=IF(param_mode_affichage="mois",EOMONTH(Y$3,0),Y$3+6)),"◆",""))</f>
      </c>
      <c r="Z269" s="26">
        <f>IF(OR($A269="",Z$3=""),"",IF(AND($J269&lt;&gt;"",$K269&lt;&gt;"",$J269=$K269,$J269&gt;=Z$3,$J269&lt;=IF(param_mode_affichage="mois",EOMONTH(Z$3,0),Z$3+6)),"◆",""))</f>
      </c>
      <c r="AA269" s="26">
        <f>IF(OR($A269="",AA$3=""),"",IF(AND($J269&lt;&gt;"",$K269&lt;&gt;"",$J269=$K269,$J269&gt;=AA$3,$J269&lt;=IF(param_mode_affichage="mois",EOMONTH(AA$3,0),AA$3+6)),"◆",""))</f>
      </c>
      <c r="AB269" s="26">
        <f>IF(OR($A269="",AB$3=""),"",IF(AND($J269&lt;&gt;"",$K269&lt;&gt;"",$J269=$K269,$J269&gt;=AB$3,$J269&lt;=IF(param_mode_affichage="mois",EOMONTH(AB$3,0),AB$3+6)),"◆",""))</f>
      </c>
      <c r="AC269" s="26">
        <f>IF(OR($A269="",AC$3=""),"",IF(AND($J269&lt;&gt;"",$K269&lt;&gt;"",$J269=$K269,$J269&gt;=AC$3,$J269&lt;=IF(param_mode_affichage="mois",EOMONTH(AC$3,0),AC$3+6)),"◆",""))</f>
      </c>
      <c r="AD269" s="26">
        <f>IF(OR($A269="",AD$3=""),"",IF(AND($J269&lt;&gt;"",$K269&lt;&gt;"",$J269=$K269,$J269&gt;=AD$3,$J269&lt;=IF(param_mode_affichage="mois",EOMONTH(AD$3,0),AD$3+6)),"◆",""))</f>
      </c>
      <c r="AE269" s="26">
        <f>IF(OR($A269="",AE$3=""),"",IF(AND($J269&lt;&gt;"",$K269&lt;&gt;"",$J269=$K269,$J269&gt;=AE$3,$J269&lt;=IF(param_mode_affichage="mois",EOMONTH(AE$3,0),AE$3+6)),"◆",""))</f>
      </c>
      <c r="AF269" s="26">
        <f>IF(OR($A269="",AF$3=""),"",IF(AND($J269&lt;&gt;"",$K269&lt;&gt;"",$J269=$K269,$J269&gt;=AF$3,$J269&lt;=IF(param_mode_affichage="mois",EOMONTH(AF$3,0),AF$3+6)),"◆",""))</f>
      </c>
      <c r="AG269" s="26">
        <f>IF(OR($A269="",AG$3=""),"",IF(AND($J269&lt;&gt;"",$K269&lt;&gt;"",$J269=$K269,$J269&gt;=AG$3,$J269&lt;=IF(param_mode_affichage="mois",EOMONTH(AG$3,0),AG$3+6)),"◆",""))</f>
      </c>
      <c r="AH269" s="26">
        <f>IF(OR($A269="",AH$3=""),"",IF(AND($J269&lt;&gt;"",$K269&lt;&gt;"",$J269=$K269,$J269&gt;=AH$3,$J269&lt;=IF(param_mode_affichage="mois",EOMONTH(AH$3,0),AH$3+6)),"◆",""))</f>
      </c>
      <c r="AI269" s="26">
        <f>IF(OR($A269="",AI$3=""),"",IF(AND($J269&lt;&gt;"",$K269&lt;&gt;"",$J269=$K269,$J269&gt;=AI$3,$J269&lt;=IF(param_mode_affichage="mois",EOMONTH(AI$3,0),AI$3+6)),"◆",""))</f>
      </c>
      <c r="AJ269" s="26">
        <f>IF(OR($A269="",AJ$3=""),"",IF(AND($J269&lt;&gt;"",$K269&lt;&gt;"",$J269=$K269,$J269&gt;=AJ$3,$J269&lt;=IF(param_mode_affichage="mois",EOMONTH(AJ$3,0),AJ$3+6)),"◆",""))</f>
      </c>
      <c r="AK269" s="26">
        <f>IF(OR($A269="",AK$3=""),"",IF(AND($J269&lt;&gt;"",$K269&lt;&gt;"",$J269=$K269,$J269&gt;=AK$3,$J269&lt;=IF(param_mode_affichage="mois",EOMONTH(AK$3,0),AK$3+6)),"◆",""))</f>
      </c>
      <c r="AL269" s="26">
        <f>IF(OR($A269="",AL$3=""),"",IF(AND($J269&lt;&gt;"",$K269&lt;&gt;"",$J269=$K269,$J269&gt;=AL$3,$J269&lt;=IF(param_mode_affichage="mois",EOMONTH(AL$3,0),AL$3+6)),"◆",""))</f>
      </c>
      <c r="AM269" s="26">
        <f>IF(OR($A269="",AM$3=""),"",IF(AND($J269&lt;&gt;"",$K269&lt;&gt;"",$J269=$K269,$J269&gt;=AM$3,$J269&lt;=IF(param_mode_affichage="mois",EOMONTH(AM$3,0),AM$3+6)),"◆",""))</f>
      </c>
      <c r="AN269" s="26">
        <f>IF(OR($A269="",AN$3=""),"",IF(AND($J269&lt;&gt;"",$K269&lt;&gt;"",$J269=$K269,$J269&gt;=AN$3,$J269&lt;=IF(param_mode_affichage="mois",EOMONTH(AN$3,0),AN$3+6)),"◆",""))</f>
      </c>
      <c r="AO269" s="26">
        <f>IF(OR($A269="",AO$3=""),"",IF(AND($J269&lt;&gt;"",$K269&lt;&gt;"",$J269=$K269,$J269&gt;=AO$3,$J269&lt;=IF(param_mode_affichage="mois",EOMONTH(AO$3,0),AO$3+6)),"◆",""))</f>
      </c>
      <c r="AP269" s="26">
        <f>IF(OR($A269="",AP$3=""),"",IF(AND($J269&lt;&gt;"",$K269&lt;&gt;"",$J269=$K269,$J269&gt;=AP$3,$J269&lt;=IF(param_mode_affichage="mois",EOMONTH(AP$3,0),AP$3+6)),"◆",""))</f>
      </c>
      <c r="AQ269" s="26">
        <f>IF(OR($A269="",AQ$3=""),"",IF(AND($J269&lt;&gt;"",$K269&lt;&gt;"",$J269=$K269,$J269&gt;=AQ$3,$J269&lt;=IF(param_mode_affichage="mois",EOMONTH(AQ$3,0),AQ$3+6)),"◆",""))</f>
      </c>
      <c r="AR269" s="26">
        <f>IF(OR($A269="",AR$3=""),"",IF(AND($J269&lt;&gt;"",$K269&lt;&gt;"",$J269=$K269,$J269&gt;=AR$3,$J269&lt;=IF(param_mode_affichage="mois",EOMONTH(AR$3,0),AR$3+6)),"◆",""))</f>
      </c>
      <c r="AS269" s="26">
        <f>IF(OR($A269="",AS$3=""),"",IF(AND($J269&lt;&gt;"",$K269&lt;&gt;"",$J269=$K269,$J269&gt;=AS$3,$J269&lt;=IF(param_mode_affichage="mois",EOMONTH(AS$3,0),AS$3+6)),"◆",""))</f>
      </c>
      <c r="AT269" s="26">
        <f>IF(OR($A269="",AT$3=""),"",IF(AND($J269&lt;&gt;"",$K269&lt;&gt;"",$J269=$K269,$J269&gt;=AT$3,$J269&lt;=IF(param_mode_affichage="mois",EOMONTH(AT$3,0),AT$3+6)),"◆",""))</f>
      </c>
      <c r="AU269" s="26">
        <f>IF(OR($A269="",AU$3=""),"",IF(AND($J269&lt;&gt;"",$K269&lt;&gt;"",$J269=$K269,$J269&gt;=AU$3,$J269&lt;=IF(param_mode_affichage="mois",EOMONTH(AU$3,0),AU$3+6)),"◆",""))</f>
      </c>
      <c r="AV269" s="26">
        <f>IF(OR($A269="",AV$3=""),"",IF(AND($J269&lt;&gt;"",$K269&lt;&gt;"",$J269=$K269,$J269&gt;=AV$3,$J269&lt;=IF(param_mode_affichage="mois",EOMONTH(AV$3,0),AV$3+6)),"◆",""))</f>
      </c>
      <c r="AW269" s="26">
        <f>IF(OR($A269="",AW$3=""),"",IF(AND($J269&lt;&gt;"",$K269&lt;&gt;"",$J269=$K269,$J269&gt;=AW$3,$J269&lt;=IF(param_mode_affichage="mois",EOMONTH(AW$3,0),AW$3+6)),"◆",""))</f>
      </c>
      <c r="AX269" s="26">
        <f>IF(OR($A269="",AX$3=""),"",IF(AND($J269&lt;&gt;"",$K269&lt;&gt;"",$J269=$K269,$J269&gt;=AX$3,$J269&lt;=IF(param_mode_affichage="mois",EOMONTH(AX$3,0),AX$3+6)),"◆",""))</f>
      </c>
      <c r="AY269" s="26">
        <f>IF(OR($A269="",AY$3=""),"",IF(AND($J269&lt;&gt;"",$K269&lt;&gt;"",$J269=$K269,$J269&gt;=AY$3,$J269&lt;=IF(param_mode_affichage="mois",EOMONTH(AY$3,0),AY$3+6)),"◆",""))</f>
      </c>
      <c r="AZ269" s="26">
        <f>IF(OR($A269="",AZ$3=""),"",IF(AND($J269&lt;&gt;"",$K269&lt;&gt;"",$J269=$K269,$J269&gt;=AZ$3,$J269&lt;=IF(param_mode_affichage="mois",EOMONTH(AZ$3,0),AZ$3+6)),"◆",""))</f>
      </c>
      <c r="BA269" s="26">
        <f>IF(OR($A269="",BA$3=""),"",IF(AND($J269&lt;&gt;"",$K269&lt;&gt;"",$J269=$K269,$J269&gt;=BA$3,$J269&lt;=IF(param_mode_affichage="mois",EOMONTH(BA$3,0),BA$3+6)),"◆",""))</f>
      </c>
      <c r="BB269" s="26">
        <f>IF(OR($A269="",BB$3=""),"",IF(AND($J269&lt;&gt;"",$K269&lt;&gt;"",$J269=$K269,$J269&gt;=BB$3,$J269&lt;=IF(param_mode_affichage="mois",EOMONTH(BB$3,0),BB$3+6)),"◆",""))</f>
      </c>
      <c r="BC269" s="26">
        <f>IF(OR($A269="",BC$3=""),"",IF(AND($J269&lt;&gt;"",$K269&lt;&gt;"",$J269=$K269,$J269&gt;=BC$3,$J269&lt;=IF(param_mode_affichage="mois",EOMONTH(BC$3,0),BC$3+6)),"◆",""))</f>
      </c>
      <c r="BD269" s="26">
        <f>IF(OR($A269="",BD$3=""),"",IF(AND($J269&lt;&gt;"",$K269&lt;&gt;"",$J269=$K269,$J269&gt;=BD$3,$J269&lt;=IF(param_mode_affichage="mois",EOMONTH(BD$3,0),BD$3+6)),"◆",""))</f>
      </c>
      <c r="BE269" s="26">
        <f>IF(OR($A269="",BE$3=""),"",IF(AND($J269&lt;&gt;"",$K269&lt;&gt;"",$J269=$K269,$J269&gt;=BE$3,$J269&lt;=IF(param_mode_affichage="mois",EOMONTH(BE$3,0),BE$3+6)),"◆",""))</f>
      </c>
      <c r="BF269" s="26">
        <f>IF(OR($A269="",BF$3=""),"",IF(AND($J269&lt;&gt;"",$K269&lt;&gt;"",$J269=$K269,$J269&gt;=BF$3,$J269&lt;=IF(param_mode_affichage="mois",EOMONTH(BF$3,0),BF$3+6)),"◆",""))</f>
      </c>
      <c r="BG269" s="26">
        <f>IF(OR($A269="",BG$3=""),"",IF(AND($J269&lt;&gt;"",$K269&lt;&gt;"",$J269=$K269,$J269&gt;=BG$3,$J269&lt;=IF(param_mode_affichage="mois",EOMONTH(BG$3,0),BG$3+6)),"◆",""))</f>
      </c>
      <c r="BH269" s="26">
        <f>IF(OR($A269="",BH$3=""),"",IF(AND($J269&lt;&gt;"",$K269&lt;&gt;"",$J269=$K269,$J269&gt;=BH$3,$J269&lt;=IF(param_mode_affichage="mois",EOMONTH(BH$3,0),BH$3+6)),"◆",""))</f>
      </c>
      <c r="BI269" s="26">
        <f>IF(OR($A269="",BI$3=""),"",IF(AND($J269&lt;&gt;"",$K269&lt;&gt;"",$J269=$K269,$J269&gt;=BI$3,$J269&lt;=IF(param_mode_affichage="mois",EOMONTH(BI$3,0),BI$3+6)),"◆",""))</f>
      </c>
      <c r="BJ269" s="26">
        <f>IF(OR($A269="",BJ$3=""),"",IF(AND($J269&lt;&gt;"",$K269&lt;&gt;"",$J269=$K269,$J269&gt;=BJ$3,$J269&lt;=IF(param_mode_affichage="mois",EOMONTH(BJ$3,0),BJ$3+6)),"◆",""))</f>
      </c>
      <c r="BK269" s="26">
        <f>IF(OR($A269="",BK$3=""),"",IF(AND($J269&lt;&gt;"",$K269&lt;&gt;"",$J269=$K269,$J269&gt;=BK$3,$J269&lt;=IF(param_mode_affichage="mois",EOMONTH(BK$3,0),BK$3+6)),"◆",""))</f>
      </c>
      <c r="BL269" s="26">
        <f>IF(OR($A269="",BL$3=""),"",IF(AND($J269&lt;&gt;"",$K269&lt;&gt;"",$J269=$K269,$J269&gt;=BL$3,$J269&lt;=IF(param_mode_affichage="mois",EOMONTH(BL$3,0),BL$3+6)),"◆",""))</f>
      </c>
    </row>
    <row r="270" spans="1:64" x14ac:dyDescent="0.25">
      <c r="A270" s="23">
        <f>IFERROR(INDEX(tblTasks[ID],ROW()-4),"")</f>
      </c>
      <c r="B270" s="24">
        <f>IF($A270="","",INDEX(tblTasks[Sujet],ROW()-4))</f>
      </c>
      <c r="C270" s="23">
        <f>IF($A270="","",INDEX(tblTasks[Responsable],ROW()-4))</f>
      </c>
      <c r="D270" s="23">
        <f>IF($A270="","",INDEX(tblTasks[Statut],ROW()-4))</f>
      </c>
      <c r="E270" s="23">
        <f>IF($A270="","",INDEX(tblTasks[Depend_de],ROW()-4))</f>
      </c>
      <c r="F270" s="23">
        <f>IF($A270="","",INDEX(tblTasks[Blocage],ROW()-4))</f>
      </c>
      <c r="G270" s="23">
        <f>IF($A270="","",INDEX(tblTasks[Niveau_criticite],ROW()-4))</f>
      </c>
      <c r="H270" s="23">
        <f>IF($A270="","",INDEX(tblTasks[Goulot],ROW()-4))</f>
      </c>
      <c r="I270" s="23">
        <f>IF($A270="","",IF(LOWER($F270)="oui","non",IF($E270="","oui",IFERROR(IF(LOWER(INDEX(tblTasks[Statut],MATCH($E270,tblTasks[ID],0)))="clos","oui","non"),"non"))))</f>
      </c>
      <c r="J270" s="25">
        <f>IF($A270="","",INDEX(tblTasks[Date_debut_prevue],ROW()-4))</f>
      </c>
      <c r="K270" s="25">
        <f>IF($A270="","",INDEX(tblTasks[Date_fin_prevue],ROW()-4))</f>
      </c>
      <c r="L270" s="23">
        <f>IF($A270="","",INDEX(tblTasks[Irreversibilite],ROW()-4))</f>
      </c>
      <c r="M270" s="26">
        <f>IF(OR($A270="",M$3=""),"",IF(AND($J270&lt;&gt;"",$K270&lt;&gt;"",$J270=$K270,$J270&gt;=M$3,$J270&lt;=IF(param_mode_affichage="mois",EOMONTH(M$3,0),M$3+6)),"◆",""))</f>
      </c>
      <c r="N270" s="26">
        <f>IF(OR($A270="",N$3=""),"",IF(AND($J270&lt;&gt;"",$K270&lt;&gt;"",$J270=$K270,$J270&gt;=N$3,$J270&lt;=IF(param_mode_affichage="mois",EOMONTH(N$3,0),N$3+6)),"◆",""))</f>
      </c>
      <c r="O270" s="26">
        <f>IF(OR($A270="",O$3=""),"",IF(AND($J270&lt;&gt;"",$K270&lt;&gt;"",$J270=$K270,$J270&gt;=O$3,$J270&lt;=IF(param_mode_affichage="mois",EOMONTH(O$3,0),O$3+6)),"◆",""))</f>
      </c>
      <c r="P270" s="26">
        <f>IF(OR($A270="",P$3=""),"",IF(AND($J270&lt;&gt;"",$K270&lt;&gt;"",$J270=$K270,$J270&gt;=P$3,$J270&lt;=IF(param_mode_affichage="mois",EOMONTH(P$3,0),P$3+6)),"◆",""))</f>
      </c>
      <c r="Q270" s="26">
        <f>IF(OR($A270="",Q$3=""),"",IF(AND($J270&lt;&gt;"",$K270&lt;&gt;"",$J270=$K270,$J270&gt;=Q$3,$J270&lt;=IF(param_mode_affichage="mois",EOMONTH(Q$3,0),Q$3+6)),"◆",""))</f>
      </c>
      <c r="R270" s="26">
        <f>IF(OR($A270="",R$3=""),"",IF(AND($J270&lt;&gt;"",$K270&lt;&gt;"",$J270=$K270,$J270&gt;=R$3,$J270&lt;=IF(param_mode_affichage="mois",EOMONTH(R$3,0),R$3+6)),"◆",""))</f>
      </c>
      <c r="S270" s="26">
        <f>IF(OR($A270="",S$3=""),"",IF(AND($J270&lt;&gt;"",$K270&lt;&gt;"",$J270=$K270,$J270&gt;=S$3,$J270&lt;=IF(param_mode_affichage="mois",EOMONTH(S$3,0),S$3+6)),"◆",""))</f>
      </c>
      <c r="T270" s="26">
        <f>IF(OR($A270="",T$3=""),"",IF(AND($J270&lt;&gt;"",$K270&lt;&gt;"",$J270=$K270,$J270&gt;=T$3,$J270&lt;=IF(param_mode_affichage="mois",EOMONTH(T$3,0),T$3+6)),"◆",""))</f>
      </c>
      <c r="U270" s="26">
        <f>IF(OR($A270="",U$3=""),"",IF(AND($J270&lt;&gt;"",$K270&lt;&gt;"",$J270=$K270,$J270&gt;=U$3,$J270&lt;=IF(param_mode_affichage="mois",EOMONTH(U$3,0),U$3+6)),"◆",""))</f>
      </c>
      <c r="V270" s="26">
        <f>IF(OR($A270="",V$3=""),"",IF(AND($J270&lt;&gt;"",$K270&lt;&gt;"",$J270=$K270,$J270&gt;=V$3,$J270&lt;=IF(param_mode_affichage="mois",EOMONTH(V$3,0),V$3+6)),"◆",""))</f>
      </c>
      <c r="W270" s="26">
        <f>IF(OR($A270="",W$3=""),"",IF(AND($J270&lt;&gt;"",$K270&lt;&gt;"",$J270=$K270,$J270&gt;=W$3,$J270&lt;=IF(param_mode_affichage="mois",EOMONTH(W$3,0),W$3+6)),"◆",""))</f>
      </c>
      <c r="X270" s="26">
        <f>IF(OR($A270="",X$3=""),"",IF(AND($J270&lt;&gt;"",$K270&lt;&gt;"",$J270=$K270,$J270&gt;=X$3,$J270&lt;=IF(param_mode_affichage="mois",EOMONTH(X$3,0),X$3+6)),"◆",""))</f>
      </c>
      <c r="Y270" s="26">
        <f>IF(OR($A270="",Y$3=""),"",IF(AND($J270&lt;&gt;"",$K270&lt;&gt;"",$J270=$K270,$J270&gt;=Y$3,$J270&lt;=IF(param_mode_affichage="mois",EOMONTH(Y$3,0),Y$3+6)),"◆",""))</f>
      </c>
      <c r="Z270" s="26">
        <f>IF(OR($A270="",Z$3=""),"",IF(AND($J270&lt;&gt;"",$K270&lt;&gt;"",$J270=$K270,$J270&gt;=Z$3,$J270&lt;=IF(param_mode_affichage="mois",EOMONTH(Z$3,0),Z$3+6)),"◆",""))</f>
      </c>
      <c r="AA270" s="26">
        <f>IF(OR($A270="",AA$3=""),"",IF(AND($J270&lt;&gt;"",$K270&lt;&gt;"",$J270=$K270,$J270&gt;=AA$3,$J270&lt;=IF(param_mode_affichage="mois",EOMONTH(AA$3,0),AA$3+6)),"◆",""))</f>
      </c>
      <c r="AB270" s="26">
        <f>IF(OR($A270="",AB$3=""),"",IF(AND($J270&lt;&gt;"",$K270&lt;&gt;"",$J270=$K270,$J270&gt;=AB$3,$J270&lt;=IF(param_mode_affichage="mois",EOMONTH(AB$3,0),AB$3+6)),"◆",""))</f>
      </c>
      <c r="AC270" s="26">
        <f>IF(OR($A270="",AC$3=""),"",IF(AND($J270&lt;&gt;"",$K270&lt;&gt;"",$J270=$K270,$J270&gt;=AC$3,$J270&lt;=IF(param_mode_affichage="mois",EOMONTH(AC$3,0),AC$3+6)),"◆",""))</f>
      </c>
      <c r="AD270" s="26">
        <f>IF(OR($A270="",AD$3=""),"",IF(AND($J270&lt;&gt;"",$K270&lt;&gt;"",$J270=$K270,$J270&gt;=AD$3,$J270&lt;=IF(param_mode_affichage="mois",EOMONTH(AD$3,0),AD$3+6)),"◆",""))</f>
      </c>
      <c r="AE270" s="26">
        <f>IF(OR($A270="",AE$3=""),"",IF(AND($J270&lt;&gt;"",$K270&lt;&gt;"",$J270=$K270,$J270&gt;=AE$3,$J270&lt;=IF(param_mode_affichage="mois",EOMONTH(AE$3,0),AE$3+6)),"◆",""))</f>
      </c>
      <c r="AF270" s="26">
        <f>IF(OR($A270="",AF$3=""),"",IF(AND($J270&lt;&gt;"",$K270&lt;&gt;"",$J270=$K270,$J270&gt;=AF$3,$J270&lt;=IF(param_mode_affichage="mois",EOMONTH(AF$3,0),AF$3+6)),"◆",""))</f>
      </c>
      <c r="AG270" s="26">
        <f>IF(OR($A270="",AG$3=""),"",IF(AND($J270&lt;&gt;"",$K270&lt;&gt;"",$J270=$K270,$J270&gt;=AG$3,$J270&lt;=IF(param_mode_affichage="mois",EOMONTH(AG$3,0),AG$3+6)),"◆",""))</f>
      </c>
      <c r="AH270" s="26">
        <f>IF(OR($A270="",AH$3=""),"",IF(AND($J270&lt;&gt;"",$K270&lt;&gt;"",$J270=$K270,$J270&gt;=AH$3,$J270&lt;=IF(param_mode_affichage="mois",EOMONTH(AH$3,0),AH$3+6)),"◆",""))</f>
      </c>
      <c r="AI270" s="26">
        <f>IF(OR($A270="",AI$3=""),"",IF(AND($J270&lt;&gt;"",$K270&lt;&gt;"",$J270=$K270,$J270&gt;=AI$3,$J270&lt;=IF(param_mode_affichage="mois",EOMONTH(AI$3,0),AI$3+6)),"◆",""))</f>
      </c>
      <c r="AJ270" s="26">
        <f>IF(OR($A270="",AJ$3=""),"",IF(AND($J270&lt;&gt;"",$K270&lt;&gt;"",$J270=$K270,$J270&gt;=AJ$3,$J270&lt;=IF(param_mode_affichage="mois",EOMONTH(AJ$3,0),AJ$3+6)),"◆",""))</f>
      </c>
      <c r="AK270" s="26">
        <f>IF(OR($A270="",AK$3=""),"",IF(AND($J270&lt;&gt;"",$K270&lt;&gt;"",$J270=$K270,$J270&gt;=AK$3,$J270&lt;=IF(param_mode_affichage="mois",EOMONTH(AK$3,0),AK$3+6)),"◆",""))</f>
      </c>
      <c r="AL270" s="26">
        <f>IF(OR($A270="",AL$3=""),"",IF(AND($J270&lt;&gt;"",$K270&lt;&gt;"",$J270=$K270,$J270&gt;=AL$3,$J270&lt;=IF(param_mode_affichage="mois",EOMONTH(AL$3,0),AL$3+6)),"◆",""))</f>
      </c>
      <c r="AM270" s="26">
        <f>IF(OR($A270="",AM$3=""),"",IF(AND($J270&lt;&gt;"",$K270&lt;&gt;"",$J270=$K270,$J270&gt;=AM$3,$J270&lt;=IF(param_mode_affichage="mois",EOMONTH(AM$3,0),AM$3+6)),"◆",""))</f>
      </c>
      <c r="AN270" s="26">
        <f>IF(OR($A270="",AN$3=""),"",IF(AND($J270&lt;&gt;"",$K270&lt;&gt;"",$J270=$K270,$J270&gt;=AN$3,$J270&lt;=IF(param_mode_affichage="mois",EOMONTH(AN$3,0),AN$3+6)),"◆",""))</f>
      </c>
      <c r="AO270" s="26">
        <f>IF(OR($A270="",AO$3=""),"",IF(AND($J270&lt;&gt;"",$K270&lt;&gt;"",$J270=$K270,$J270&gt;=AO$3,$J270&lt;=IF(param_mode_affichage="mois",EOMONTH(AO$3,0),AO$3+6)),"◆",""))</f>
      </c>
      <c r="AP270" s="26">
        <f>IF(OR($A270="",AP$3=""),"",IF(AND($J270&lt;&gt;"",$K270&lt;&gt;"",$J270=$K270,$J270&gt;=AP$3,$J270&lt;=IF(param_mode_affichage="mois",EOMONTH(AP$3,0),AP$3+6)),"◆",""))</f>
      </c>
      <c r="AQ270" s="26">
        <f>IF(OR($A270="",AQ$3=""),"",IF(AND($J270&lt;&gt;"",$K270&lt;&gt;"",$J270=$K270,$J270&gt;=AQ$3,$J270&lt;=IF(param_mode_affichage="mois",EOMONTH(AQ$3,0),AQ$3+6)),"◆",""))</f>
      </c>
      <c r="AR270" s="26">
        <f>IF(OR($A270="",AR$3=""),"",IF(AND($J270&lt;&gt;"",$K270&lt;&gt;"",$J270=$K270,$J270&gt;=AR$3,$J270&lt;=IF(param_mode_affichage="mois",EOMONTH(AR$3,0),AR$3+6)),"◆",""))</f>
      </c>
      <c r="AS270" s="26">
        <f>IF(OR($A270="",AS$3=""),"",IF(AND($J270&lt;&gt;"",$K270&lt;&gt;"",$J270=$K270,$J270&gt;=AS$3,$J270&lt;=IF(param_mode_affichage="mois",EOMONTH(AS$3,0),AS$3+6)),"◆",""))</f>
      </c>
      <c r="AT270" s="26">
        <f>IF(OR($A270="",AT$3=""),"",IF(AND($J270&lt;&gt;"",$K270&lt;&gt;"",$J270=$K270,$J270&gt;=AT$3,$J270&lt;=IF(param_mode_affichage="mois",EOMONTH(AT$3,0),AT$3+6)),"◆",""))</f>
      </c>
      <c r="AU270" s="26">
        <f>IF(OR($A270="",AU$3=""),"",IF(AND($J270&lt;&gt;"",$K270&lt;&gt;"",$J270=$K270,$J270&gt;=AU$3,$J270&lt;=IF(param_mode_affichage="mois",EOMONTH(AU$3,0),AU$3+6)),"◆",""))</f>
      </c>
      <c r="AV270" s="26">
        <f>IF(OR($A270="",AV$3=""),"",IF(AND($J270&lt;&gt;"",$K270&lt;&gt;"",$J270=$K270,$J270&gt;=AV$3,$J270&lt;=IF(param_mode_affichage="mois",EOMONTH(AV$3,0),AV$3+6)),"◆",""))</f>
      </c>
      <c r="AW270" s="26">
        <f>IF(OR($A270="",AW$3=""),"",IF(AND($J270&lt;&gt;"",$K270&lt;&gt;"",$J270=$K270,$J270&gt;=AW$3,$J270&lt;=IF(param_mode_affichage="mois",EOMONTH(AW$3,0),AW$3+6)),"◆",""))</f>
      </c>
      <c r="AX270" s="26">
        <f>IF(OR($A270="",AX$3=""),"",IF(AND($J270&lt;&gt;"",$K270&lt;&gt;"",$J270=$K270,$J270&gt;=AX$3,$J270&lt;=IF(param_mode_affichage="mois",EOMONTH(AX$3,0),AX$3+6)),"◆",""))</f>
      </c>
      <c r="AY270" s="26">
        <f>IF(OR($A270="",AY$3=""),"",IF(AND($J270&lt;&gt;"",$K270&lt;&gt;"",$J270=$K270,$J270&gt;=AY$3,$J270&lt;=IF(param_mode_affichage="mois",EOMONTH(AY$3,0),AY$3+6)),"◆",""))</f>
      </c>
      <c r="AZ270" s="26">
        <f>IF(OR($A270="",AZ$3=""),"",IF(AND($J270&lt;&gt;"",$K270&lt;&gt;"",$J270=$K270,$J270&gt;=AZ$3,$J270&lt;=IF(param_mode_affichage="mois",EOMONTH(AZ$3,0),AZ$3+6)),"◆",""))</f>
      </c>
      <c r="BA270" s="26">
        <f>IF(OR($A270="",BA$3=""),"",IF(AND($J270&lt;&gt;"",$K270&lt;&gt;"",$J270=$K270,$J270&gt;=BA$3,$J270&lt;=IF(param_mode_affichage="mois",EOMONTH(BA$3,0),BA$3+6)),"◆",""))</f>
      </c>
      <c r="BB270" s="26">
        <f>IF(OR($A270="",BB$3=""),"",IF(AND($J270&lt;&gt;"",$K270&lt;&gt;"",$J270=$K270,$J270&gt;=BB$3,$J270&lt;=IF(param_mode_affichage="mois",EOMONTH(BB$3,0),BB$3+6)),"◆",""))</f>
      </c>
      <c r="BC270" s="26">
        <f>IF(OR($A270="",BC$3=""),"",IF(AND($J270&lt;&gt;"",$K270&lt;&gt;"",$J270=$K270,$J270&gt;=BC$3,$J270&lt;=IF(param_mode_affichage="mois",EOMONTH(BC$3,0),BC$3+6)),"◆",""))</f>
      </c>
      <c r="BD270" s="26">
        <f>IF(OR($A270="",BD$3=""),"",IF(AND($J270&lt;&gt;"",$K270&lt;&gt;"",$J270=$K270,$J270&gt;=BD$3,$J270&lt;=IF(param_mode_affichage="mois",EOMONTH(BD$3,0),BD$3+6)),"◆",""))</f>
      </c>
      <c r="BE270" s="26">
        <f>IF(OR($A270="",BE$3=""),"",IF(AND($J270&lt;&gt;"",$K270&lt;&gt;"",$J270=$K270,$J270&gt;=BE$3,$J270&lt;=IF(param_mode_affichage="mois",EOMONTH(BE$3,0),BE$3+6)),"◆",""))</f>
      </c>
      <c r="BF270" s="26">
        <f>IF(OR($A270="",BF$3=""),"",IF(AND($J270&lt;&gt;"",$K270&lt;&gt;"",$J270=$K270,$J270&gt;=BF$3,$J270&lt;=IF(param_mode_affichage="mois",EOMONTH(BF$3,0),BF$3+6)),"◆",""))</f>
      </c>
      <c r="BG270" s="26">
        <f>IF(OR($A270="",BG$3=""),"",IF(AND($J270&lt;&gt;"",$K270&lt;&gt;"",$J270=$K270,$J270&gt;=BG$3,$J270&lt;=IF(param_mode_affichage="mois",EOMONTH(BG$3,0),BG$3+6)),"◆",""))</f>
      </c>
      <c r="BH270" s="26">
        <f>IF(OR($A270="",BH$3=""),"",IF(AND($J270&lt;&gt;"",$K270&lt;&gt;"",$J270=$K270,$J270&gt;=BH$3,$J270&lt;=IF(param_mode_affichage="mois",EOMONTH(BH$3,0),BH$3+6)),"◆",""))</f>
      </c>
      <c r="BI270" s="26">
        <f>IF(OR($A270="",BI$3=""),"",IF(AND($J270&lt;&gt;"",$K270&lt;&gt;"",$J270=$K270,$J270&gt;=BI$3,$J270&lt;=IF(param_mode_affichage="mois",EOMONTH(BI$3,0),BI$3+6)),"◆",""))</f>
      </c>
      <c r="BJ270" s="26">
        <f>IF(OR($A270="",BJ$3=""),"",IF(AND($J270&lt;&gt;"",$K270&lt;&gt;"",$J270=$K270,$J270&gt;=BJ$3,$J270&lt;=IF(param_mode_affichage="mois",EOMONTH(BJ$3,0),BJ$3+6)),"◆",""))</f>
      </c>
      <c r="BK270" s="26">
        <f>IF(OR($A270="",BK$3=""),"",IF(AND($J270&lt;&gt;"",$K270&lt;&gt;"",$J270=$K270,$J270&gt;=BK$3,$J270&lt;=IF(param_mode_affichage="mois",EOMONTH(BK$3,0),BK$3+6)),"◆",""))</f>
      </c>
      <c r="BL270" s="26">
        <f>IF(OR($A270="",BL$3=""),"",IF(AND($J270&lt;&gt;"",$K270&lt;&gt;"",$J270=$K270,$J270&gt;=BL$3,$J270&lt;=IF(param_mode_affichage="mois",EOMONTH(BL$3,0),BL$3+6)),"◆",""))</f>
      </c>
    </row>
    <row r="271" spans="1:64" x14ac:dyDescent="0.25">
      <c r="A271" s="23">
        <f>IFERROR(INDEX(tblTasks[ID],ROW()-4),"")</f>
      </c>
      <c r="B271" s="24">
        <f>IF($A271="","",INDEX(tblTasks[Sujet],ROW()-4))</f>
      </c>
      <c r="C271" s="23">
        <f>IF($A271="","",INDEX(tblTasks[Responsable],ROW()-4))</f>
      </c>
      <c r="D271" s="23">
        <f>IF($A271="","",INDEX(tblTasks[Statut],ROW()-4))</f>
      </c>
      <c r="E271" s="23">
        <f>IF($A271="","",INDEX(tblTasks[Depend_de],ROW()-4))</f>
      </c>
      <c r="F271" s="23">
        <f>IF($A271="","",INDEX(tblTasks[Blocage],ROW()-4))</f>
      </c>
      <c r="G271" s="23">
        <f>IF($A271="","",INDEX(tblTasks[Niveau_criticite],ROW()-4))</f>
      </c>
      <c r="H271" s="23">
        <f>IF($A271="","",INDEX(tblTasks[Goulot],ROW()-4))</f>
      </c>
      <c r="I271" s="23">
        <f>IF($A271="","",IF(LOWER($F271)="oui","non",IF($E271="","oui",IFERROR(IF(LOWER(INDEX(tblTasks[Statut],MATCH($E271,tblTasks[ID],0)))="clos","oui","non"),"non"))))</f>
      </c>
      <c r="J271" s="25">
        <f>IF($A271="","",INDEX(tblTasks[Date_debut_prevue],ROW()-4))</f>
      </c>
      <c r="K271" s="25">
        <f>IF($A271="","",INDEX(tblTasks[Date_fin_prevue],ROW()-4))</f>
      </c>
      <c r="L271" s="23">
        <f>IF($A271="","",INDEX(tblTasks[Irreversibilite],ROW()-4))</f>
      </c>
      <c r="M271" s="26">
        <f>IF(OR($A271="",M$3=""),"",IF(AND($J271&lt;&gt;"",$K271&lt;&gt;"",$J271=$K271,$J271&gt;=M$3,$J271&lt;=IF(param_mode_affichage="mois",EOMONTH(M$3,0),M$3+6)),"◆",""))</f>
      </c>
      <c r="N271" s="26">
        <f>IF(OR($A271="",N$3=""),"",IF(AND($J271&lt;&gt;"",$K271&lt;&gt;"",$J271=$K271,$J271&gt;=N$3,$J271&lt;=IF(param_mode_affichage="mois",EOMONTH(N$3,0),N$3+6)),"◆",""))</f>
      </c>
      <c r="O271" s="26">
        <f>IF(OR($A271="",O$3=""),"",IF(AND($J271&lt;&gt;"",$K271&lt;&gt;"",$J271=$K271,$J271&gt;=O$3,$J271&lt;=IF(param_mode_affichage="mois",EOMONTH(O$3,0),O$3+6)),"◆",""))</f>
      </c>
      <c r="P271" s="26">
        <f>IF(OR($A271="",P$3=""),"",IF(AND($J271&lt;&gt;"",$K271&lt;&gt;"",$J271=$K271,$J271&gt;=P$3,$J271&lt;=IF(param_mode_affichage="mois",EOMONTH(P$3,0),P$3+6)),"◆",""))</f>
      </c>
      <c r="Q271" s="26">
        <f>IF(OR($A271="",Q$3=""),"",IF(AND($J271&lt;&gt;"",$K271&lt;&gt;"",$J271=$K271,$J271&gt;=Q$3,$J271&lt;=IF(param_mode_affichage="mois",EOMONTH(Q$3,0),Q$3+6)),"◆",""))</f>
      </c>
      <c r="R271" s="26">
        <f>IF(OR($A271="",R$3=""),"",IF(AND($J271&lt;&gt;"",$K271&lt;&gt;"",$J271=$K271,$J271&gt;=R$3,$J271&lt;=IF(param_mode_affichage="mois",EOMONTH(R$3,0),R$3+6)),"◆",""))</f>
      </c>
      <c r="S271" s="26">
        <f>IF(OR($A271="",S$3=""),"",IF(AND($J271&lt;&gt;"",$K271&lt;&gt;"",$J271=$K271,$J271&gt;=S$3,$J271&lt;=IF(param_mode_affichage="mois",EOMONTH(S$3,0),S$3+6)),"◆",""))</f>
      </c>
      <c r="T271" s="26">
        <f>IF(OR($A271="",T$3=""),"",IF(AND($J271&lt;&gt;"",$K271&lt;&gt;"",$J271=$K271,$J271&gt;=T$3,$J271&lt;=IF(param_mode_affichage="mois",EOMONTH(T$3,0),T$3+6)),"◆",""))</f>
      </c>
      <c r="U271" s="26">
        <f>IF(OR($A271="",U$3=""),"",IF(AND($J271&lt;&gt;"",$K271&lt;&gt;"",$J271=$K271,$J271&gt;=U$3,$J271&lt;=IF(param_mode_affichage="mois",EOMONTH(U$3,0),U$3+6)),"◆",""))</f>
      </c>
      <c r="V271" s="26">
        <f>IF(OR($A271="",V$3=""),"",IF(AND($J271&lt;&gt;"",$K271&lt;&gt;"",$J271=$K271,$J271&gt;=V$3,$J271&lt;=IF(param_mode_affichage="mois",EOMONTH(V$3,0),V$3+6)),"◆",""))</f>
      </c>
      <c r="W271" s="26">
        <f>IF(OR($A271="",W$3=""),"",IF(AND($J271&lt;&gt;"",$K271&lt;&gt;"",$J271=$K271,$J271&gt;=W$3,$J271&lt;=IF(param_mode_affichage="mois",EOMONTH(W$3,0),W$3+6)),"◆",""))</f>
      </c>
      <c r="X271" s="26">
        <f>IF(OR($A271="",X$3=""),"",IF(AND($J271&lt;&gt;"",$K271&lt;&gt;"",$J271=$K271,$J271&gt;=X$3,$J271&lt;=IF(param_mode_affichage="mois",EOMONTH(X$3,0),X$3+6)),"◆",""))</f>
      </c>
      <c r="Y271" s="26">
        <f>IF(OR($A271="",Y$3=""),"",IF(AND($J271&lt;&gt;"",$K271&lt;&gt;"",$J271=$K271,$J271&gt;=Y$3,$J271&lt;=IF(param_mode_affichage="mois",EOMONTH(Y$3,0),Y$3+6)),"◆",""))</f>
      </c>
      <c r="Z271" s="26">
        <f>IF(OR($A271="",Z$3=""),"",IF(AND($J271&lt;&gt;"",$K271&lt;&gt;"",$J271=$K271,$J271&gt;=Z$3,$J271&lt;=IF(param_mode_affichage="mois",EOMONTH(Z$3,0),Z$3+6)),"◆",""))</f>
      </c>
      <c r="AA271" s="26">
        <f>IF(OR($A271="",AA$3=""),"",IF(AND($J271&lt;&gt;"",$K271&lt;&gt;"",$J271=$K271,$J271&gt;=AA$3,$J271&lt;=IF(param_mode_affichage="mois",EOMONTH(AA$3,0),AA$3+6)),"◆",""))</f>
      </c>
      <c r="AB271" s="26">
        <f>IF(OR($A271="",AB$3=""),"",IF(AND($J271&lt;&gt;"",$K271&lt;&gt;"",$J271=$K271,$J271&gt;=AB$3,$J271&lt;=IF(param_mode_affichage="mois",EOMONTH(AB$3,0),AB$3+6)),"◆",""))</f>
      </c>
      <c r="AC271" s="26">
        <f>IF(OR($A271="",AC$3=""),"",IF(AND($J271&lt;&gt;"",$K271&lt;&gt;"",$J271=$K271,$J271&gt;=AC$3,$J271&lt;=IF(param_mode_affichage="mois",EOMONTH(AC$3,0),AC$3+6)),"◆",""))</f>
      </c>
      <c r="AD271" s="26">
        <f>IF(OR($A271="",AD$3=""),"",IF(AND($J271&lt;&gt;"",$K271&lt;&gt;"",$J271=$K271,$J271&gt;=AD$3,$J271&lt;=IF(param_mode_affichage="mois",EOMONTH(AD$3,0),AD$3+6)),"◆",""))</f>
      </c>
      <c r="AE271" s="26">
        <f>IF(OR($A271="",AE$3=""),"",IF(AND($J271&lt;&gt;"",$K271&lt;&gt;"",$J271=$K271,$J271&gt;=AE$3,$J271&lt;=IF(param_mode_affichage="mois",EOMONTH(AE$3,0),AE$3+6)),"◆",""))</f>
      </c>
      <c r="AF271" s="26">
        <f>IF(OR($A271="",AF$3=""),"",IF(AND($J271&lt;&gt;"",$K271&lt;&gt;"",$J271=$K271,$J271&gt;=AF$3,$J271&lt;=IF(param_mode_affichage="mois",EOMONTH(AF$3,0),AF$3+6)),"◆",""))</f>
      </c>
      <c r="AG271" s="26">
        <f>IF(OR($A271="",AG$3=""),"",IF(AND($J271&lt;&gt;"",$K271&lt;&gt;"",$J271=$K271,$J271&gt;=AG$3,$J271&lt;=IF(param_mode_affichage="mois",EOMONTH(AG$3,0),AG$3+6)),"◆",""))</f>
      </c>
      <c r="AH271" s="26">
        <f>IF(OR($A271="",AH$3=""),"",IF(AND($J271&lt;&gt;"",$K271&lt;&gt;"",$J271=$K271,$J271&gt;=AH$3,$J271&lt;=IF(param_mode_affichage="mois",EOMONTH(AH$3,0),AH$3+6)),"◆",""))</f>
      </c>
      <c r="AI271" s="26">
        <f>IF(OR($A271="",AI$3=""),"",IF(AND($J271&lt;&gt;"",$K271&lt;&gt;"",$J271=$K271,$J271&gt;=AI$3,$J271&lt;=IF(param_mode_affichage="mois",EOMONTH(AI$3,0),AI$3+6)),"◆",""))</f>
      </c>
      <c r="AJ271" s="26">
        <f>IF(OR($A271="",AJ$3=""),"",IF(AND($J271&lt;&gt;"",$K271&lt;&gt;"",$J271=$K271,$J271&gt;=AJ$3,$J271&lt;=IF(param_mode_affichage="mois",EOMONTH(AJ$3,0),AJ$3+6)),"◆",""))</f>
      </c>
      <c r="AK271" s="26">
        <f>IF(OR($A271="",AK$3=""),"",IF(AND($J271&lt;&gt;"",$K271&lt;&gt;"",$J271=$K271,$J271&gt;=AK$3,$J271&lt;=IF(param_mode_affichage="mois",EOMONTH(AK$3,0),AK$3+6)),"◆",""))</f>
      </c>
      <c r="AL271" s="26">
        <f>IF(OR($A271="",AL$3=""),"",IF(AND($J271&lt;&gt;"",$K271&lt;&gt;"",$J271=$K271,$J271&gt;=AL$3,$J271&lt;=IF(param_mode_affichage="mois",EOMONTH(AL$3,0),AL$3+6)),"◆",""))</f>
      </c>
      <c r="AM271" s="26">
        <f>IF(OR($A271="",AM$3=""),"",IF(AND($J271&lt;&gt;"",$K271&lt;&gt;"",$J271=$K271,$J271&gt;=AM$3,$J271&lt;=IF(param_mode_affichage="mois",EOMONTH(AM$3,0),AM$3+6)),"◆",""))</f>
      </c>
      <c r="AN271" s="26">
        <f>IF(OR($A271="",AN$3=""),"",IF(AND($J271&lt;&gt;"",$K271&lt;&gt;"",$J271=$K271,$J271&gt;=AN$3,$J271&lt;=IF(param_mode_affichage="mois",EOMONTH(AN$3,0),AN$3+6)),"◆",""))</f>
      </c>
      <c r="AO271" s="26">
        <f>IF(OR($A271="",AO$3=""),"",IF(AND($J271&lt;&gt;"",$K271&lt;&gt;"",$J271=$K271,$J271&gt;=AO$3,$J271&lt;=IF(param_mode_affichage="mois",EOMONTH(AO$3,0),AO$3+6)),"◆",""))</f>
      </c>
      <c r="AP271" s="26">
        <f>IF(OR($A271="",AP$3=""),"",IF(AND($J271&lt;&gt;"",$K271&lt;&gt;"",$J271=$K271,$J271&gt;=AP$3,$J271&lt;=IF(param_mode_affichage="mois",EOMONTH(AP$3,0),AP$3+6)),"◆",""))</f>
      </c>
      <c r="AQ271" s="26">
        <f>IF(OR($A271="",AQ$3=""),"",IF(AND($J271&lt;&gt;"",$K271&lt;&gt;"",$J271=$K271,$J271&gt;=AQ$3,$J271&lt;=IF(param_mode_affichage="mois",EOMONTH(AQ$3,0),AQ$3+6)),"◆",""))</f>
      </c>
      <c r="AR271" s="26">
        <f>IF(OR($A271="",AR$3=""),"",IF(AND($J271&lt;&gt;"",$K271&lt;&gt;"",$J271=$K271,$J271&gt;=AR$3,$J271&lt;=IF(param_mode_affichage="mois",EOMONTH(AR$3,0),AR$3+6)),"◆",""))</f>
      </c>
      <c r="AS271" s="26">
        <f>IF(OR($A271="",AS$3=""),"",IF(AND($J271&lt;&gt;"",$K271&lt;&gt;"",$J271=$K271,$J271&gt;=AS$3,$J271&lt;=IF(param_mode_affichage="mois",EOMONTH(AS$3,0),AS$3+6)),"◆",""))</f>
      </c>
      <c r="AT271" s="26">
        <f>IF(OR($A271="",AT$3=""),"",IF(AND($J271&lt;&gt;"",$K271&lt;&gt;"",$J271=$K271,$J271&gt;=AT$3,$J271&lt;=IF(param_mode_affichage="mois",EOMONTH(AT$3,0),AT$3+6)),"◆",""))</f>
      </c>
      <c r="AU271" s="26">
        <f>IF(OR($A271="",AU$3=""),"",IF(AND($J271&lt;&gt;"",$K271&lt;&gt;"",$J271=$K271,$J271&gt;=AU$3,$J271&lt;=IF(param_mode_affichage="mois",EOMONTH(AU$3,0),AU$3+6)),"◆",""))</f>
      </c>
      <c r="AV271" s="26">
        <f>IF(OR($A271="",AV$3=""),"",IF(AND($J271&lt;&gt;"",$K271&lt;&gt;"",$J271=$K271,$J271&gt;=AV$3,$J271&lt;=IF(param_mode_affichage="mois",EOMONTH(AV$3,0),AV$3+6)),"◆",""))</f>
      </c>
      <c r="AW271" s="26">
        <f>IF(OR($A271="",AW$3=""),"",IF(AND($J271&lt;&gt;"",$K271&lt;&gt;"",$J271=$K271,$J271&gt;=AW$3,$J271&lt;=IF(param_mode_affichage="mois",EOMONTH(AW$3,0),AW$3+6)),"◆",""))</f>
      </c>
      <c r="AX271" s="26">
        <f>IF(OR($A271="",AX$3=""),"",IF(AND($J271&lt;&gt;"",$K271&lt;&gt;"",$J271=$K271,$J271&gt;=AX$3,$J271&lt;=IF(param_mode_affichage="mois",EOMONTH(AX$3,0),AX$3+6)),"◆",""))</f>
      </c>
      <c r="AY271" s="26">
        <f>IF(OR($A271="",AY$3=""),"",IF(AND($J271&lt;&gt;"",$K271&lt;&gt;"",$J271=$K271,$J271&gt;=AY$3,$J271&lt;=IF(param_mode_affichage="mois",EOMONTH(AY$3,0),AY$3+6)),"◆",""))</f>
      </c>
      <c r="AZ271" s="26">
        <f>IF(OR($A271="",AZ$3=""),"",IF(AND($J271&lt;&gt;"",$K271&lt;&gt;"",$J271=$K271,$J271&gt;=AZ$3,$J271&lt;=IF(param_mode_affichage="mois",EOMONTH(AZ$3,0),AZ$3+6)),"◆",""))</f>
      </c>
      <c r="BA271" s="26">
        <f>IF(OR($A271="",BA$3=""),"",IF(AND($J271&lt;&gt;"",$K271&lt;&gt;"",$J271=$K271,$J271&gt;=BA$3,$J271&lt;=IF(param_mode_affichage="mois",EOMONTH(BA$3,0),BA$3+6)),"◆",""))</f>
      </c>
      <c r="BB271" s="26">
        <f>IF(OR($A271="",BB$3=""),"",IF(AND($J271&lt;&gt;"",$K271&lt;&gt;"",$J271=$K271,$J271&gt;=BB$3,$J271&lt;=IF(param_mode_affichage="mois",EOMONTH(BB$3,0),BB$3+6)),"◆",""))</f>
      </c>
      <c r="BC271" s="26">
        <f>IF(OR($A271="",BC$3=""),"",IF(AND($J271&lt;&gt;"",$K271&lt;&gt;"",$J271=$K271,$J271&gt;=BC$3,$J271&lt;=IF(param_mode_affichage="mois",EOMONTH(BC$3,0),BC$3+6)),"◆",""))</f>
      </c>
      <c r="BD271" s="26">
        <f>IF(OR($A271="",BD$3=""),"",IF(AND($J271&lt;&gt;"",$K271&lt;&gt;"",$J271=$K271,$J271&gt;=BD$3,$J271&lt;=IF(param_mode_affichage="mois",EOMONTH(BD$3,0),BD$3+6)),"◆",""))</f>
      </c>
      <c r="BE271" s="26">
        <f>IF(OR($A271="",BE$3=""),"",IF(AND($J271&lt;&gt;"",$K271&lt;&gt;"",$J271=$K271,$J271&gt;=BE$3,$J271&lt;=IF(param_mode_affichage="mois",EOMONTH(BE$3,0),BE$3+6)),"◆",""))</f>
      </c>
      <c r="BF271" s="26">
        <f>IF(OR($A271="",BF$3=""),"",IF(AND($J271&lt;&gt;"",$K271&lt;&gt;"",$J271=$K271,$J271&gt;=BF$3,$J271&lt;=IF(param_mode_affichage="mois",EOMONTH(BF$3,0),BF$3+6)),"◆",""))</f>
      </c>
      <c r="BG271" s="26">
        <f>IF(OR($A271="",BG$3=""),"",IF(AND($J271&lt;&gt;"",$K271&lt;&gt;"",$J271=$K271,$J271&gt;=BG$3,$J271&lt;=IF(param_mode_affichage="mois",EOMONTH(BG$3,0),BG$3+6)),"◆",""))</f>
      </c>
      <c r="BH271" s="26">
        <f>IF(OR($A271="",BH$3=""),"",IF(AND($J271&lt;&gt;"",$K271&lt;&gt;"",$J271=$K271,$J271&gt;=BH$3,$J271&lt;=IF(param_mode_affichage="mois",EOMONTH(BH$3,0),BH$3+6)),"◆",""))</f>
      </c>
      <c r="BI271" s="26">
        <f>IF(OR($A271="",BI$3=""),"",IF(AND($J271&lt;&gt;"",$K271&lt;&gt;"",$J271=$K271,$J271&gt;=BI$3,$J271&lt;=IF(param_mode_affichage="mois",EOMONTH(BI$3,0),BI$3+6)),"◆",""))</f>
      </c>
      <c r="BJ271" s="26">
        <f>IF(OR($A271="",BJ$3=""),"",IF(AND($J271&lt;&gt;"",$K271&lt;&gt;"",$J271=$K271,$J271&gt;=BJ$3,$J271&lt;=IF(param_mode_affichage="mois",EOMONTH(BJ$3,0),BJ$3+6)),"◆",""))</f>
      </c>
      <c r="BK271" s="26">
        <f>IF(OR($A271="",BK$3=""),"",IF(AND($J271&lt;&gt;"",$K271&lt;&gt;"",$J271=$K271,$J271&gt;=BK$3,$J271&lt;=IF(param_mode_affichage="mois",EOMONTH(BK$3,0),BK$3+6)),"◆",""))</f>
      </c>
      <c r="BL271" s="26">
        <f>IF(OR($A271="",BL$3=""),"",IF(AND($J271&lt;&gt;"",$K271&lt;&gt;"",$J271=$K271,$J271&gt;=BL$3,$J271&lt;=IF(param_mode_affichage="mois",EOMONTH(BL$3,0),BL$3+6)),"◆",""))</f>
      </c>
    </row>
    <row r="272" spans="1:64" x14ac:dyDescent="0.25">
      <c r="A272" s="23">
        <f>IFERROR(INDEX(tblTasks[ID],ROW()-4),"")</f>
      </c>
      <c r="B272" s="24">
        <f>IF($A272="","",INDEX(tblTasks[Sujet],ROW()-4))</f>
      </c>
      <c r="C272" s="23">
        <f>IF($A272="","",INDEX(tblTasks[Responsable],ROW()-4))</f>
      </c>
      <c r="D272" s="23">
        <f>IF($A272="","",INDEX(tblTasks[Statut],ROW()-4))</f>
      </c>
      <c r="E272" s="23">
        <f>IF($A272="","",INDEX(tblTasks[Depend_de],ROW()-4))</f>
      </c>
      <c r="F272" s="23">
        <f>IF($A272="","",INDEX(tblTasks[Blocage],ROW()-4))</f>
      </c>
      <c r="G272" s="23">
        <f>IF($A272="","",INDEX(tblTasks[Niveau_criticite],ROW()-4))</f>
      </c>
      <c r="H272" s="23">
        <f>IF($A272="","",INDEX(tblTasks[Goulot],ROW()-4))</f>
      </c>
      <c r="I272" s="23">
        <f>IF($A272="","",IF(LOWER($F272)="oui","non",IF($E272="","oui",IFERROR(IF(LOWER(INDEX(tblTasks[Statut],MATCH($E272,tblTasks[ID],0)))="clos","oui","non"),"non"))))</f>
      </c>
      <c r="J272" s="25">
        <f>IF($A272="","",INDEX(tblTasks[Date_debut_prevue],ROW()-4))</f>
      </c>
      <c r="K272" s="25">
        <f>IF($A272="","",INDEX(tblTasks[Date_fin_prevue],ROW()-4))</f>
      </c>
      <c r="L272" s="23">
        <f>IF($A272="","",INDEX(tblTasks[Irreversibilite],ROW()-4))</f>
      </c>
      <c r="M272" s="26">
        <f>IF(OR($A272="",M$3=""),"",IF(AND($J272&lt;&gt;"",$K272&lt;&gt;"",$J272=$K272,$J272&gt;=M$3,$J272&lt;=IF(param_mode_affichage="mois",EOMONTH(M$3,0),M$3+6)),"◆",""))</f>
      </c>
      <c r="N272" s="26">
        <f>IF(OR($A272="",N$3=""),"",IF(AND($J272&lt;&gt;"",$K272&lt;&gt;"",$J272=$K272,$J272&gt;=N$3,$J272&lt;=IF(param_mode_affichage="mois",EOMONTH(N$3,0),N$3+6)),"◆",""))</f>
      </c>
      <c r="O272" s="26">
        <f>IF(OR($A272="",O$3=""),"",IF(AND($J272&lt;&gt;"",$K272&lt;&gt;"",$J272=$K272,$J272&gt;=O$3,$J272&lt;=IF(param_mode_affichage="mois",EOMONTH(O$3,0),O$3+6)),"◆",""))</f>
      </c>
      <c r="P272" s="26">
        <f>IF(OR($A272="",P$3=""),"",IF(AND($J272&lt;&gt;"",$K272&lt;&gt;"",$J272=$K272,$J272&gt;=P$3,$J272&lt;=IF(param_mode_affichage="mois",EOMONTH(P$3,0),P$3+6)),"◆",""))</f>
      </c>
      <c r="Q272" s="26">
        <f>IF(OR($A272="",Q$3=""),"",IF(AND($J272&lt;&gt;"",$K272&lt;&gt;"",$J272=$K272,$J272&gt;=Q$3,$J272&lt;=IF(param_mode_affichage="mois",EOMONTH(Q$3,0),Q$3+6)),"◆",""))</f>
      </c>
      <c r="R272" s="26">
        <f>IF(OR($A272="",R$3=""),"",IF(AND($J272&lt;&gt;"",$K272&lt;&gt;"",$J272=$K272,$J272&gt;=R$3,$J272&lt;=IF(param_mode_affichage="mois",EOMONTH(R$3,0),R$3+6)),"◆",""))</f>
      </c>
      <c r="S272" s="26">
        <f>IF(OR($A272="",S$3=""),"",IF(AND($J272&lt;&gt;"",$K272&lt;&gt;"",$J272=$K272,$J272&gt;=S$3,$J272&lt;=IF(param_mode_affichage="mois",EOMONTH(S$3,0),S$3+6)),"◆",""))</f>
      </c>
      <c r="T272" s="26">
        <f>IF(OR($A272="",T$3=""),"",IF(AND($J272&lt;&gt;"",$K272&lt;&gt;"",$J272=$K272,$J272&gt;=T$3,$J272&lt;=IF(param_mode_affichage="mois",EOMONTH(T$3,0),T$3+6)),"◆",""))</f>
      </c>
      <c r="U272" s="26">
        <f>IF(OR($A272="",U$3=""),"",IF(AND($J272&lt;&gt;"",$K272&lt;&gt;"",$J272=$K272,$J272&gt;=U$3,$J272&lt;=IF(param_mode_affichage="mois",EOMONTH(U$3,0),U$3+6)),"◆",""))</f>
      </c>
      <c r="V272" s="26">
        <f>IF(OR($A272="",V$3=""),"",IF(AND($J272&lt;&gt;"",$K272&lt;&gt;"",$J272=$K272,$J272&gt;=V$3,$J272&lt;=IF(param_mode_affichage="mois",EOMONTH(V$3,0),V$3+6)),"◆",""))</f>
      </c>
      <c r="W272" s="26">
        <f>IF(OR($A272="",W$3=""),"",IF(AND($J272&lt;&gt;"",$K272&lt;&gt;"",$J272=$K272,$J272&gt;=W$3,$J272&lt;=IF(param_mode_affichage="mois",EOMONTH(W$3,0),W$3+6)),"◆",""))</f>
      </c>
      <c r="X272" s="26">
        <f>IF(OR($A272="",X$3=""),"",IF(AND($J272&lt;&gt;"",$K272&lt;&gt;"",$J272=$K272,$J272&gt;=X$3,$J272&lt;=IF(param_mode_affichage="mois",EOMONTH(X$3,0),X$3+6)),"◆",""))</f>
      </c>
      <c r="Y272" s="26">
        <f>IF(OR($A272="",Y$3=""),"",IF(AND($J272&lt;&gt;"",$K272&lt;&gt;"",$J272=$K272,$J272&gt;=Y$3,$J272&lt;=IF(param_mode_affichage="mois",EOMONTH(Y$3,0),Y$3+6)),"◆",""))</f>
      </c>
      <c r="Z272" s="26">
        <f>IF(OR($A272="",Z$3=""),"",IF(AND($J272&lt;&gt;"",$K272&lt;&gt;"",$J272=$K272,$J272&gt;=Z$3,$J272&lt;=IF(param_mode_affichage="mois",EOMONTH(Z$3,0),Z$3+6)),"◆",""))</f>
      </c>
      <c r="AA272" s="26">
        <f>IF(OR($A272="",AA$3=""),"",IF(AND($J272&lt;&gt;"",$K272&lt;&gt;"",$J272=$K272,$J272&gt;=AA$3,$J272&lt;=IF(param_mode_affichage="mois",EOMONTH(AA$3,0),AA$3+6)),"◆",""))</f>
      </c>
      <c r="AB272" s="26">
        <f>IF(OR($A272="",AB$3=""),"",IF(AND($J272&lt;&gt;"",$K272&lt;&gt;"",$J272=$K272,$J272&gt;=AB$3,$J272&lt;=IF(param_mode_affichage="mois",EOMONTH(AB$3,0),AB$3+6)),"◆",""))</f>
      </c>
      <c r="AC272" s="26">
        <f>IF(OR($A272="",AC$3=""),"",IF(AND($J272&lt;&gt;"",$K272&lt;&gt;"",$J272=$K272,$J272&gt;=AC$3,$J272&lt;=IF(param_mode_affichage="mois",EOMONTH(AC$3,0),AC$3+6)),"◆",""))</f>
      </c>
      <c r="AD272" s="26">
        <f>IF(OR($A272="",AD$3=""),"",IF(AND($J272&lt;&gt;"",$K272&lt;&gt;"",$J272=$K272,$J272&gt;=AD$3,$J272&lt;=IF(param_mode_affichage="mois",EOMONTH(AD$3,0),AD$3+6)),"◆",""))</f>
      </c>
      <c r="AE272" s="26">
        <f>IF(OR($A272="",AE$3=""),"",IF(AND($J272&lt;&gt;"",$K272&lt;&gt;"",$J272=$K272,$J272&gt;=AE$3,$J272&lt;=IF(param_mode_affichage="mois",EOMONTH(AE$3,0),AE$3+6)),"◆",""))</f>
      </c>
      <c r="AF272" s="26">
        <f>IF(OR($A272="",AF$3=""),"",IF(AND($J272&lt;&gt;"",$K272&lt;&gt;"",$J272=$K272,$J272&gt;=AF$3,$J272&lt;=IF(param_mode_affichage="mois",EOMONTH(AF$3,0),AF$3+6)),"◆",""))</f>
      </c>
      <c r="AG272" s="26">
        <f>IF(OR($A272="",AG$3=""),"",IF(AND($J272&lt;&gt;"",$K272&lt;&gt;"",$J272=$K272,$J272&gt;=AG$3,$J272&lt;=IF(param_mode_affichage="mois",EOMONTH(AG$3,0),AG$3+6)),"◆",""))</f>
      </c>
      <c r="AH272" s="26">
        <f>IF(OR($A272="",AH$3=""),"",IF(AND($J272&lt;&gt;"",$K272&lt;&gt;"",$J272=$K272,$J272&gt;=AH$3,$J272&lt;=IF(param_mode_affichage="mois",EOMONTH(AH$3,0),AH$3+6)),"◆",""))</f>
      </c>
      <c r="AI272" s="26">
        <f>IF(OR($A272="",AI$3=""),"",IF(AND($J272&lt;&gt;"",$K272&lt;&gt;"",$J272=$K272,$J272&gt;=AI$3,$J272&lt;=IF(param_mode_affichage="mois",EOMONTH(AI$3,0),AI$3+6)),"◆",""))</f>
      </c>
      <c r="AJ272" s="26">
        <f>IF(OR($A272="",AJ$3=""),"",IF(AND($J272&lt;&gt;"",$K272&lt;&gt;"",$J272=$K272,$J272&gt;=AJ$3,$J272&lt;=IF(param_mode_affichage="mois",EOMONTH(AJ$3,0),AJ$3+6)),"◆",""))</f>
      </c>
      <c r="AK272" s="26">
        <f>IF(OR($A272="",AK$3=""),"",IF(AND($J272&lt;&gt;"",$K272&lt;&gt;"",$J272=$K272,$J272&gt;=AK$3,$J272&lt;=IF(param_mode_affichage="mois",EOMONTH(AK$3,0),AK$3+6)),"◆",""))</f>
      </c>
      <c r="AL272" s="26">
        <f>IF(OR($A272="",AL$3=""),"",IF(AND($J272&lt;&gt;"",$K272&lt;&gt;"",$J272=$K272,$J272&gt;=AL$3,$J272&lt;=IF(param_mode_affichage="mois",EOMONTH(AL$3,0),AL$3+6)),"◆",""))</f>
      </c>
      <c r="AM272" s="26">
        <f>IF(OR($A272="",AM$3=""),"",IF(AND($J272&lt;&gt;"",$K272&lt;&gt;"",$J272=$K272,$J272&gt;=AM$3,$J272&lt;=IF(param_mode_affichage="mois",EOMONTH(AM$3,0),AM$3+6)),"◆",""))</f>
      </c>
      <c r="AN272" s="26">
        <f>IF(OR($A272="",AN$3=""),"",IF(AND($J272&lt;&gt;"",$K272&lt;&gt;"",$J272=$K272,$J272&gt;=AN$3,$J272&lt;=IF(param_mode_affichage="mois",EOMONTH(AN$3,0),AN$3+6)),"◆",""))</f>
      </c>
      <c r="AO272" s="26">
        <f>IF(OR($A272="",AO$3=""),"",IF(AND($J272&lt;&gt;"",$K272&lt;&gt;"",$J272=$K272,$J272&gt;=AO$3,$J272&lt;=IF(param_mode_affichage="mois",EOMONTH(AO$3,0),AO$3+6)),"◆",""))</f>
      </c>
      <c r="AP272" s="26">
        <f>IF(OR($A272="",AP$3=""),"",IF(AND($J272&lt;&gt;"",$K272&lt;&gt;"",$J272=$K272,$J272&gt;=AP$3,$J272&lt;=IF(param_mode_affichage="mois",EOMONTH(AP$3,0),AP$3+6)),"◆",""))</f>
      </c>
      <c r="AQ272" s="26">
        <f>IF(OR($A272="",AQ$3=""),"",IF(AND($J272&lt;&gt;"",$K272&lt;&gt;"",$J272=$K272,$J272&gt;=AQ$3,$J272&lt;=IF(param_mode_affichage="mois",EOMONTH(AQ$3,0),AQ$3+6)),"◆",""))</f>
      </c>
      <c r="AR272" s="26">
        <f>IF(OR($A272="",AR$3=""),"",IF(AND($J272&lt;&gt;"",$K272&lt;&gt;"",$J272=$K272,$J272&gt;=AR$3,$J272&lt;=IF(param_mode_affichage="mois",EOMONTH(AR$3,0),AR$3+6)),"◆",""))</f>
      </c>
      <c r="AS272" s="26">
        <f>IF(OR($A272="",AS$3=""),"",IF(AND($J272&lt;&gt;"",$K272&lt;&gt;"",$J272=$K272,$J272&gt;=AS$3,$J272&lt;=IF(param_mode_affichage="mois",EOMONTH(AS$3,0),AS$3+6)),"◆",""))</f>
      </c>
      <c r="AT272" s="26">
        <f>IF(OR($A272="",AT$3=""),"",IF(AND($J272&lt;&gt;"",$K272&lt;&gt;"",$J272=$K272,$J272&gt;=AT$3,$J272&lt;=IF(param_mode_affichage="mois",EOMONTH(AT$3,0),AT$3+6)),"◆",""))</f>
      </c>
      <c r="AU272" s="26">
        <f>IF(OR($A272="",AU$3=""),"",IF(AND($J272&lt;&gt;"",$K272&lt;&gt;"",$J272=$K272,$J272&gt;=AU$3,$J272&lt;=IF(param_mode_affichage="mois",EOMONTH(AU$3,0),AU$3+6)),"◆",""))</f>
      </c>
      <c r="AV272" s="26">
        <f>IF(OR($A272="",AV$3=""),"",IF(AND($J272&lt;&gt;"",$K272&lt;&gt;"",$J272=$K272,$J272&gt;=AV$3,$J272&lt;=IF(param_mode_affichage="mois",EOMONTH(AV$3,0),AV$3+6)),"◆",""))</f>
      </c>
      <c r="AW272" s="26">
        <f>IF(OR($A272="",AW$3=""),"",IF(AND($J272&lt;&gt;"",$K272&lt;&gt;"",$J272=$K272,$J272&gt;=AW$3,$J272&lt;=IF(param_mode_affichage="mois",EOMONTH(AW$3,0),AW$3+6)),"◆",""))</f>
      </c>
      <c r="AX272" s="26">
        <f>IF(OR($A272="",AX$3=""),"",IF(AND($J272&lt;&gt;"",$K272&lt;&gt;"",$J272=$K272,$J272&gt;=AX$3,$J272&lt;=IF(param_mode_affichage="mois",EOMONTH(AX$3,0),AX$3+6)),"◆",""))</f>
      </c>
      <c r="AY272" s="26">
        <f>IF(OR($A272="",AY$3=""),"",IF(AND($J272&lt;&gt;"",$K272&lt;&gt;"",$J272=$K272,$J272&gt;=AY$3,$J272&lt;=IF(param_mode_affichage="mois",EOMONTH(AY$3,0),AY$3+6)),"◆",""))</f>
      </c>
      <c r="AZ272" s="26">
        <f>IF(OR($A272="",AZ$3=""),"",IF(AND($J272&lt;&gt;"",$K272&lt;&gt;"",$J272=$K272,$J272&gt;=AZ$3,$J272&lt;=IF(param_mode_affichage="mois",EOMONTH(AZ$3,0),AZ$3+6)),"◆",""))</f>
      </c>
      <c r="BA272" s="26">
        <f>IF(OR($A272="",BA$3=""),"",IF(AND($J272&lt;&gt;"",$K272&lt;&gt;"",$J272=$K272,$J272&gt;=BA$3,$J272&lt;=IF(param_mode_affichage="mois",EOMONTH(BA$3,0),BA$3+6)),"◆",""))</f>
      </c>
      <c r="BB272" s="26">
        <f>IF(OR($A272="",BB$3=""),"",IF(AND($J272&lt;&gt;"",$K272&lt;&gt;"",$J272=$K272,$J272&gt;=BB$3,$J272&lt;=IF(param_mode_affichage="mois",EOMONTH(BB$3,0),BB$3+6)),"◆",""))</f>
      </c>
      <c r="BC272" s="26">
        <f>IF(OR($A272="",BC$3=""),"",IF(AND($J272&lt;&gt;"",$K272&lt;&gt;"",$J272=$K272,$J272&gt;=BC$3,$J272&lt;=IF(param_mode_affichage="mois",EOMONTH(BC$3,0),BC$3+6)),"◆",""))</f>
      </c>
      <c r="BD272" s="26">
        <f>IF(OR($A272="",BD$3=""),"",IF(AND($J272&lt;&gt;"",$K272&lt;&gt;"",$J272=$K272,$J272&gt;=BD$3,$J272&lt;=IF(param_mode_affichage="mois",EOMONTH(BD$3,0),BD$3+6)),"◆",""))</f>
      </c>
      <c r="BE272" s="26">
        <f>IF(OR($A272="",BE$3=""),"",IF(AND($J272&lt;&gt;"",$K272&lt;&gt;"",$J272=$K272,$J272&gt;=BE$3,$J272&lt;=IF(param_mode_affichage="mois",EOMONTH(BE$3,0),BE$3+6)),"◆",""))</f>
      </c>
      <c r="BF272" s="26">
        <f>IF(OR($A272="",BF$3=""),"",IF(AND($J272&lt;&gt;"",$K272&lt;&gt;"",$J272=$K272,$J272&gt;=BF$3,$J272&lt;=IF(param_mode_affichage="mois",EOMONTH(BF$3,0),BF$3+6)),"◆",""))</f>
      </c>
      <c r="BG272" s="26">
        <f>IF(OR($A272="",BG$3=""),"",IF(AND($J272&lt;&gt;"",$K272&lt;&gt;"",$J272=$K272,$J272&gt;=BG$3,$J272&lt;=IF(param_mode_affichage="mois",EOMONTH(BG$3,0),BG$3+6)),"◆",""))</f>
      </c>
      <c r="BH272" s="26">
        <f>IF(OR($A272="",BH$3=""),"",IF(AND($J272&lt;&gt;"",$K272&lt;&gt;"",$J272=$K272,$J272&gt;=BH$3,$J272&lt;=IF(param_mode_affichage="mois",EOMONTH(BH$3,0),BH$3+6)),"◆",""))</f>
      </c>
      <c r="BI272" s="26">
        <f>IF(OR($A272="",BI$3=""),"",IF(AND($J272&lt;&gt;"",$K272&lt;&gt;"",$J272=$K272,$J272&gt;=BI$3,$J272&lt;=IF(param_mode_affichage="mois",EOMONTH(BI$3,0),BI$3+6)),"◆",""))</f>
      </c>
      <c r="BJ272" s="26">
        <f>IF(OR($A272="",BJ$3=""),"",IF(AND($J272&lt;&gt;"",$K272&lt;&gt;"",$J272=$K272,$J272&gt;=BJ$3,$J272&lt;=IF(param_mode_affichage="mois",EOMONTH(BJ$3,0),BJ$3+6)),"◆",""))</f>
      </c>
      <c r="BK272" s="26">
        <f>IF(OR($A272="",BK$3=""),"",IF(AND($J272&lt;&gt;"",$K272&lt;&gt;"",$J272=$K272,$J272&gt;=BK$3,$J272&lt;=IF(param_mode_affichage="mois",EOMONTH(BK$3,0),BK$3+6)),"◆",""))</f>
      </c>
      <c r="BL272" s="26">
        <f>IF(OR($A272="",BL$3=""),"",IF(AND($J272&lt;&gt;"",$K272&lt;&gt;"",$J272=$K272,$J272&gt;=BL$3,$J272&lt;=IF(param_mode_affichage="mois",EOMONTH(BL$3,0),BL$3+6)),"◆",""))</f>
      </c>
    </row>
    <row r="273" spans="1:64" x14ac:dyDescent="0.25">
      <c r="A273" s="23">
        <f>IFERROR(INDEX(tblTasks[ID],ROW()-4),"")</f>
      </c>
      <c r="B273" s="24">
        <f>IF($A273="","",INDEX(tblTasks[Sujet],ROW()-4))</f>
      </c>
      <c r="C273" s="23">
        <f>IF($A273="","",INDEX(tblTasks[Responsable],ROW()-4))</f>
      </c>
      <c r="D273" s="23">
        <f>IF($A273="","",INDEX(tblTasks[Statut],ROW()-4))</f>
      </c>
      <c r="E273" s="23">
        <f>IF($A273="","",INDEX(tblTasks[Depend_de],ROW()-4))</f>
      </c>
      <c r="F273" s="23">
        <f>IF($A273="","",INDEX(tblTasks[Blocage],ROW()-4))</f>
      </c>
      <c r="G273" s="23">
        <f>IF($A273="","",INDEX(tblTasks[Niveau_criticite],ROW()-4))</f>
      </c>
      <c r="H273" s="23">
        <f>IF($A273="","",INDEX(tblTasks[Goulot],ROW()-4))</f>
      </c>
      <c r="I273" s="23">
        <f>IF($A273="","",IF(LOWER($F273)="oui","non",IF($E273="","oui",IFERROR(IF(LOWER(INDEX(tblTasks[Statut],MATCH($E273,tblTasks[ID],0)))="clos","oui","non"),"non"))))</f>
      </c>
      <c r="J273" s="25">
        <f>IF($A273="","",INDEX(tblTasks[Date_debut_prevue],ROW()-4))</f>
      </c>
      <c r="K273" s="25">
        <f>IF($A273="","",INDEX(tblTasks[Date_fin_prevue],ROW()-4))</f>
      </c>
      <c r="L273" s="23">
        <f>IF($A273="","",INDEX(tblTasks[Irreversibilite],ROW()-4))</f>
      </c>
      <c r="M273" s="26">
        <f>IF(OR($A273="",M$3=""),"",IF(AND($J273&lt;&gt;"",$K273&lt;&gt;"",$J273=$K273,$J273&gt;=M$3,$J273&lt;=IF(param_mode_affichage="mois",EOMONTH(M$3,0),M$3+6)),"◆",""))</f>
      </c>
      <c r="N273" s="26">
        <f>IF(OR($A273="",N$3=""),"",IF(AND($J273&lt;&gt;"",$K273&lt;&gt;"",$J273=$K273,$J273&gt;=N$3,$J273&lt;=IF(param_mode_affichage="mois",EOMONTH(N$3,0),N$3+6)),"◆",""))</f>
      </c>
      <c r="O273" s="26">
        <f>IF(OR($A273="",O$3=""),"",IF(AND($J273&lt;&gt;"",$K273&lt;&gt;"",$J273=$K273,$J273&gt;=O$3,$J273&lt;=IF(param_mode_affichage="mois",EOMONTH(O$3,0),O$3+6)),"◆",""))</f>
      </c>
      <c r="P273" s="26">
        <f>IF(OR($A273="",P$3=""),"",IF(AND($J273&lt;&gt;"",$K273&lt;&gt;"",$J273=$K273,$J273&gt;=P$3,$J273&lt;=IF(param_mode_affichage="mois",EOMONTH(P$3,0),P$3+6)),"◆",""))</f>
      </c>
      <c r="Q273" s="26">
        <f>IF(OR($A273="",Q$3=""),"",IF(AND($J273&lt;&gt;"",$K273&lt;&gt;"",$J273=$K273,$J273&gt;=Q$3,$J273&lt;=IF(param_mode_affichage="mois",EOMONTH(Q$3,0),Q$3+6)),"◆",""))</f>
      </c>
      <c r="R273" s="26">
        <f>IF(OR($A273="",R$3=""),"",IF(AND($J273&lt;&gt;"",$K273&lt;&gt;"",$J273=$K273,$J273&gt;=R$3,$J273&lt;=IF(param_mode_affichage="mois",EOMONTH(R$3,0),R$3+6)),"◆",""))</f>
      </c>
      <c r="S273" s="26">
        <f>IF(OR($A273="",S$3=""),"",IF(AND($J273&lt;&gt;"",$K273&lt;&gt;"",$J273=$K273,$J273&gt;=S$3,$J273&lt;=IF(param_mode_affichage="mois",EOMONTH(S$3,0),S$3+6)),"◆",""))</f>
      </c>
      <c r="T273" s="26">
        <f>IF(OR($A273="",T$3=""),"",IF(AND($J273&lt;&gt;"",$K273&lt;&gt;"",$J273=$K273,$J273&gt;=T$3,$J273&lt;=IF(param_mode_affichage="mois",EOMONTH(T$3,0),T$3+6)),"◆",""))</f>
      </c>
      <c r="U273" s="26">
        <f>IF(OR($A273="",U$3=""),"",IF(AND($J273&lt;&gt;"",$K273&lt;&gt;"",$J273=$K273,$J273&gt;=U$3,$J273&lt;=IF(param_mode_affichage="mois",EOMONTH(U$3,0),U$3+6)),"◆",""))</f>
      </c>
      <c r="V273" s="26">
        <f>IF(OR($A273="",V$3=""),"",IF(AND($J273&lt;&gt;"",$K273&lt;&gt;"",$J273=$K273,$J273&gt;=V$3,$J273&lt;=IF(param_mode_affichage="mois",EOMONTH(V$3,0),V$3+6)),"◆",""))</f>
      </c>
      <c r="W273" s="26">
        <f>IF(OR($A273="",W$3=""),"",IF(AND($J273&lt;&gt;"",$K273&lt;&gt;"",$J273=$K273,$J273&gt;=W$3,$J273&lt;=IF(param_mode_affichage="mois",EOMONTH(W$3,0),W$3+6)),"◆",""))</f>
      </c>
      <c r="X273" s="26">
        <f>IF(OR($A273="",X$3=""),"",IF(AND($J273&lt;&gt;"",$K273&lt;&gt;"",$J273=$K273,$J273&gt;=X$3,$J273&lt;=IF(param_mode_affichage="mois",EOMONTH(X$3,0),X$3+6)),"◆",""))</f>
      </c>
      <c r="Y273" s="26">
        <f>IF(OR($A273="",Y$3=""),"",IF(AND($J273&lt;&gt;"",$K273&lt;&gt;"",$J273=$K273,$J273&gt;=Y$3,$J273&lt;=IF(param_mode_affichage="mois",EOMONTH(Y$3,0),Y$3+6)),"◆",""))</f>
      </c>
      <c r="Z273" s="26">
        <f>IF(OR($A273="",Z$3=""),"",IF(AND($J273&lt;&gt;"",$K273&lt;&gt;"",$J273=$K273,$J273&gt;=Z$3,$J273&lt;=IF(param_mode_affichage="mois",EOMONTH(Z$3,0),Z$3+6)),"◆",""))</f>
      </c>
      <c r="AA273" s="26">
        <f>IF(OR($A273="",AA$3=""),"",IF(AND($J273&lt;&gt;"",$K273&lt;&gt;"",$J273=$K273,$J273&gt;=AA$3,$J273&lt;=IF(param_mode_affichage="mois",EOMONTH(AA$3,0),AA$3+6)),"◆",""))</f>
      </c>
      <c r="AB273" s="26">
        <f>IF(OR($A273="",AB$3=""),"",IF(AND($J273&lt;&gt;"",$K273&lt;&gt;"",$J273=$K273,$J273&gt;=AB$3,$J273&lt;=IF(param_mode_affichage="mois",EOMONTH(AB$3,0),AB$3+6)),"◆",""))</f>
      </c>
      <c r="AC273" s="26">
        <f>IF(OR($A273="",AC$3=""),"",IF(AND($J273&lt;&gt;"",$K273&lt;&gt;"",$J273=$K273,$J273&gt;=AC$3,$J273&lt;=IF(param_mode_affichage="mois",EOMONTH(AC$3,0),AC$3+6)),"◆",""))</f>
      </c>
      <c r="AD273" s="26">
        <f>IF(OR($A273="",AD$3=""),"",IF(AND($J273&lt;&gt;"",$K273&lt;&gt;"",$J273=$K273,$J273&gt;=AD$3,$J273&lt;=IF(param_mode_affichage="mois",EOMONTH(AD$3,0),AD$3+6)),"◆",""))</f>
      </c>
      <c r="AE273" s="26">
        <f>IF(OR($A273="",AE$3=""),"",IF(AND($J273&lt;&gt;"",$K273&lt;&gt;"",$J273=$K273,$J273&gt;=AE$3,$J273&lt;=IF(param_mode_affichage="mois",EOMONTH(AE$3,0),AE$3+6)),"◆",""))</f>
      </c>
      <c r="AF273" s="26">
        <f>IF(OR($A273="",AF$3=""),"",IF(AND($J273&lt;&gt;"",$K273&lt;&gt;"",$J273=$K273,$J273&gt;=AF$3,$J273&lt;=IF(param_mode_affichage="mois",EOMONTH(AF$3,0),AF$3+6)),"◆",""))</f>
      </c>
      <c r="AG273" s="26">
        <f>IF(OR($A273="",AG$3=""),"",IF(AND($J273&lt;&gt;"",$K273&lt;&gt;"",$J273=$K273,$J273&gt;=AG$3,$J273&lt;=IF(param_mode_affichage="mois",EOMONTH(AG$3,0),AG$3+6)),"◆",""))</f>
      </c>
      <c r="AH273" s="26">
        <f>IF(OR($A273="",AH$3=""),"",IF(AND($J273&lt;&gt;"",$K273&lt;&gt;"",$J273=$K273,$J273&gt;=AH$3,$J273&lt;=IF(param_mode_affichage="mois",EOMONTH(AH$3,0),AH$3+6)),"◆",""))</f>
      </c>
      <c r="AI273" s="26">
        <f>IF(OR($A273="",AI$3=""),"",IF(AND($J273&lt;&gt;"",$K273&lt;&gt;"",$J273=$K273,$J273&gt;=AI$3,$J273&lt;=IF(param_mode_affichage="mois",EOMONTH(AI$3,0),AI$3+6)),"◆",""))</f>
      </c>
      <c r="AJ273" s="26">
        <f>IF(OR($A273="",AJ$3=""),"",IF(AND($J273&lt;&gt;"",$K273&lt;&gt;"",$J273=$K273,$J273&gt;=AJ$3,$J273&lt;=IF(param_mode_affichage="mois",EOMONTH(AJ$3,0),AJ$3+6)),"◆",""))</f>
      </c>
      <c r="AK273" s="26">
        <f>IF(OR($A273="",AK$3=""),"",IF(AND($J273&lt;&gt;"",$K273&lt;&gt;"",$J273=$K273,$J273&gt;=AK$3,$J273&lt;=IF(param_mode_affichage="mois",EOMONTH(AK$3,0),AK$3+6)),"◆",""))</f>
      </c>
      <c r="AL273" s="26">
        <f>IF(OR($A273="",AL$3=""),"",IF(AND($J273&lt;&gt;"",$K273&lt;&gt;"",$J273=$K273,$J273&gt;=AL$3,$J273&lt;=IF(param_mode_affichage="mois",EOMONTH(AL$3,0),AL$3+6)),"◆",""))</f>
      </c>
      <c r="AM273" s="26">
        <f>IF(OR($A273="",AM$3=""),"",IF(AND($J273&lt;&gt;"",$K273&lt;&gt;"",$J273=$K273,$J273&gt;=AM$3,$J273&lt;=IF(param_mode_affichage="mois",EOMONTH(AM$3,0),AM$3+6)),"◆",""))</f>
      </c>
      <c r="AN273" s="26">
        <f>IF(OR($A273="",AN$3=""),"",IF(AND($J273&lt;&gt;"",$K273&lt;&gt;"",$J273=$K273,$J273&gt;=AN$3,$J273&lt;=IF(param_mode_affichage="mois",EOMONTH(AN$3,0),AN$3+6)),"◆",""))</f>
      </c>
      <c r="AO273" s="26">
        <f>IF(OR($A273="",AO$3=""),"",IF(AND($J273&lt;&gt;"",$K273&lt;&gt;"",$J273=$K273,$J273&gt;=AO$3,$J273&lt;=IF(param_mode_affichage="mois",EOMONTH(AO$3,0),AO$3+6)),"◆",""))</f>
      </c>
      <c r="AP273" s="26">
        <f>IF(OR($A273="",AP$3=""),"",IF(AND($J273&lt;&gt;"",$K273&lt;&gt;"",$J273=$K273,$J273&gt;=AP$3,$J273&lt;=IF(param_mode_affichage="mois",EOMONTH(AP$3,0),AP$3+6)),"◆",""))</f>
      </c>
      <c r="AQ273" s="26">
        <f>IF(OR($A273="",AQ$3=""),"",IF(AND($J273&lt;&gt;"",$K273&lt;&gt;"",$J273=$K273,$J273&gt;=AQ$3,$J273&lt;=IF(param_mode_affichage="mois",EOMONTH(AQ$3,0),AQ$3+6)),"◆",""))</f>
      </c>
      <c r="AR273" s="26">
        <f>IF(OR($A273="",AR$3=""),"",IF(AND($J273&lt;&gt;"",$K273&lt;&gt;"",$J273=$K273,$J273&gt;=AR$3,$J273&lt;=IF(param_mode_affichage="mois",EOMONTH(AR$3,0),AR$3+6)),"◆",""))</f>
      </c>
      <c r="AS273" s="26">
        <f>IF(OR($A273="",AS$3=""),"",IF(AND($J273&lt;&gt;"",$K273&lt;&gt;"",$J273=$K273,$J273&gt;=AS$3,$J273&lt;=IF(param_mode_affichage="mois",EOMONTH(AS$3,0),AS$3+6)),"◆",""))</f>
      </c>
      <c r="AT273" s="26">
        <f>IF(OR($A273="",AT$3=""),"",IF(AND($J273&lt;&gt;"",$K273&lt;&gt;"",$J273=$K273,$J273&gt;=AT$3,$J273&lt;=IF(param_mode_affichage="mois",EOMONTH(AT$3,0),AT$3+6)),"◆",""))</f>
      </c>
      <c r="AU273" s="26">
        <f>IF(OR($A273="",AU$3=""),"",IF(AND($J273&lt;&gt;"",$K273&lt;&gt;"",$J273=$K273,$J273&gt;=AU$3,$J273&lt;=IF(param_mode_affichage="mois",EOMONTH(AU$3,0),AU$3+6)),"◆",""))</f>
      </c>
      <c r="AV273" s="26">
        <f>IF(OR($A273="",AV$3=""),"",IF(AND($J273&lt;&gt;"",$K273&lt;&gt;"",$J273=$K273,$J273&gt;=AV$3,$J273&lt;=IF(param_mode_affichage="mois",EOMONTH(AV$3,0),AV$3+6)),"◆",""))</f>
      </c>
      <c r="AW273" s="26">
        <f>IF(OR($A273="",AW$3=""),"",IF(AND($J273&lt;&gt;"",$K273&lt;&gt;"",$J273=$K273,$J273&gt;=AW$3,$J273&lt;=IF(param_mode_affichage="mois",EOMONTH(AW$3,0),AW$3+6)),"◆",""))</f>
      </c>
      <c r="AX273" s="26">
        <f>IF(OR($A273="",AX$3=""),"",IF(AND($J273&lt;&gt;"",$K273&lt;&gt;"",$J273=$K273,$J273&gt;=AX$3,$J273&lt;=IF(param_mode_affichage="mois",EOMONTH(AX$3,0),AX$3+6)),"◆",""))</f>
      </c>
      <c r="AY273" s="26">
        <f>IF(OR($A273="",AY$3=""),"",IF(AND($J273&lt;&gt;"",$K273&lt;&gt;"",$J273=$K273,$J273&gt;=AY$3,$J273&lt;=IF(param_mode_affichage="mois",EOMONTH(AY$3,0),AY$3+6)),"◆",""))</f>
      </c>
      <c r="AZ273" s="26">
        <f>IF(OR($A273="",AZ$3=""),"",IF(AND($J273&lt;&gt;"",$K273&lt;&gt;"",$J273=$K273,$J273&gt;=AZ$3,$J273&lt;=IF(param_mode_affichage="mois",EOMONTH(AZ$3,0),AZ$3+6)),"◆",""))</f>
      </c>
      <c r="BA273" s="26">
        <f>IF(OR($A273="",BA$3=""),"",IF(AND($J273&lt;&gt;"",$K273&lt;&gt;"",$J273=$K273,$J273&gt;=BA$3,$J273&lt;=IF(param_mode_affichage="mois",EOMONTH(BA$3,0),BA$3+6)),"◆",""))</f>
      </c>
      <c r="BB273" s="26">
        <f>IF(OR($A273="",BB$3=""),"",IF(AND($J273&lt;&gt;"",$K273&lt;&gt;"",$J273=$K273,$J273&gt;=BB$3,$J273&lt;=IF(param_mode_affichage="mois",EOMONTH(BB$3,0),BB$3+6)),"◆",""))</f>
      </c>
      <c r="BC273" s="26">
        <f>IF(OR($A273="",BC$3=""),"",IF(AND($J273&lt;&gt;"",$K273&lt;&gt;"",$J273=$K273,$J273&gt;=BC$3,$J273&lt;=IF(param_mode_affichage="mois",EOMONTH(BC$3,0),BC$3+6)),"◆",""))</f>
      </c>
      <c r="BD273" s="26">
        <f>IF(OR($A273="",BD$3=""),"",IF(AND($J273&lt;&gt;"",$K273&lt;&gt;"",$J273=$K273,$J273&gt;=BD$3,$J273&lt;=IF(param_mode_affichage="mois",EOMONTH(BD$3,0),BD$3+6)),"◆",""))</f>
      </c>
      <c r="BE273" s="26">
        <f>IF(OR($A273="",BE$3=""),"",IF(AND($J273&lt;&gt;"",$K273&lt;&gt;"",$J273=$K273,$J273&gt;=BE$3,$J273&lt;=IF(param_mode_affichage="mois",EOMONTH(BE$3,0),BE$3+6)),"◆",""))</f>
      </c>
      <c r="BF273" s="26">
        <f>IF(OR($A273="",BF$3=""),"",IF(AND($J273&lt;&gt;"",$K273&lt;&gt;"",$J273=$K273,$J273&gt;=BF$3,$J273&lt;=IF(param_mode_affichage="mois",EOMONTH(BF$3,0),BF$3+6)),"◆",""))</f>
      </c>
      <c r="BG273" s="26">
        <f>IF(OR($A273="",BG$3=""),"",IF(AND($J273&lt;&gt;"",$K273&lt;&gt;"",$J273=$K273,$J273&gt;=BG$3,$J273&lt;=IF(param_mode_affichage="mois",EOMONTH(BG$3,0),BG$3+6)),"◆",""))</f>
      </c>
      <c r="BH273" s="26">
        <f>IF(OR($A273="",BH$3=""),"",IF(AND($J273&lt;&gt;"",$K273&lt;&gt;"",$J273=$K273,$J273&gt;=BH$3,$J273&lt;=IF(param_mode_affichage="mois",EOMONTH(BH$3,0),BH$3+6)),"◆",""))</f>
      </c>
      <c r="BI273" s="26">
        <f>IF(OR($A273="",BI$3=""),"",IF(AND($J273&lt;&gt;"",$K273&lt;&gt;"",$J273=$K273,$J273&gt;=BI$3,$J273&lt;=IF(param_mode_affichage="mois",EOMONTH(BI$3,0),BI$3+6)),"◆",""))</f>
      </c>
      <c r="BJ273" s="26">
        <f>IF(OR($A273="",BJ$3=""),"",IF(AND($J273&lt;&gt;"",$K273&lt;&gt;"",$J273=$K273,$J273&gt;=BJ$3,$J273&lt;=IF(param_mode_affichage="mois",EOMONTH(BJ$3,0),BJ$3+6)),"◆",""))</f>
      </c>
      <c r="BK273" s="26">
        <f>IF(OR($A273="",BK$3=""),"",IF(AND($J273&lt;&gt;"",$K273&lt;&gt;"",$J273=$K273,$J273&gt;=BK$3,$J273&lt;=IF(param_mode_affichage="mois",EOMONTH(BK$3,0),BK$3+6)),"◆",""))</f>
      </c>
      <c r="BL273" s="26">
        <f>IF(OR($A273="",BL$3=""),"",IF(AND($J273&lt;&gt;"",$K273&lt;&gt;"",$J273=$K273,$J273&gt;=BL$3,$J273&lt;=IF(param_mode_affichage="mois",EOMONTH(BL$3,0),BL$3+6)),"◆",""))</f>
      </c>
    </row>
    <row r="274" spans="1:64" x14ac:dyDescent="0.25">
      <c r="A274" s="23">
        <f>IFERROR(INDEX(tblTasks[ID],ROW()-4),"")</f>
      </c>
      <c r="B274" s="24">
        <f>IF($A274="","",INDEX(tblTasks[Sujet],ROW()-4))</f>
      </c>
      <c r="C274" s="23">
        <f>IF($A274="","",INDEX(tblTasks[Responsable],ROW()-4))</f>
      </c>
      <c r="D274" s="23">
        <f>IF($A274="","",INDEX(tblTasks[Statut],ROW()-4))</f>
      </c>
      <c r="E274" s="23">
        <f>IF($A274="","",INDEX(tblTasks[Depend_de],ROW()-4))</f>
      </c>
      <c r="F274" s="23">
        <f>IF($A274="","",INDEX(tblTasks[Blocage],ROW()-4))</f>
      </c>
      <c r="G274" s="23">
        <f>IF($A274="","",INDEX(tblTasks[Niveau_criticite],ROW()-4))</f>
      </c>
      <c r="H274" s="23">
        <f>IF($A274="","",INDEX(tblTasks[Goulot],ROW()-4))</f>
      </c>
      <c r="I274" s="23">
        <f>IF($A274="","",IF(LOWER($F274)="oui","non",IF($E274="","oui",IFERROR(IF(LOWER(INDEX(tblTasks[Statut],MATCH($E274,tblTasks[ID],0)))="clos","oui","non"),"non"))))</f>
      </c>
      <c r="J274" s="25">
        <f>IF($A274="","",INDEX(tblTasks[Date_debut_prevue],ROW()-4))</f>
      </c>
      <c r="K274" s="25">
        <f>IF($A274="","",INDEX(tblTasks[Date_fin_prevue],ROW()-4))</f>
      </c>
      <c r="L274" s="23">
        <f>IF($A274="","",INDEX(tblTasks[Irreversibilite],ROW()-4))</f>
      </c>
      <c r="M274" s="26">
        <f>IF(OR($A274="",M$3=""),"",IF(AND($J274&lt;&gt;"",$K274&lt;&gt;"",$J274=$K274,$J274&gt;=M$3,$J274&lt;=IF(param_mode_affichage="mois",EOMONTH(M$3,0),M$3+6)),"◆",""))</f>
      </c>
      <c r="N274" s="26">
        <f>IF(OR($A274="",N$3=""),"",IF(AND($J274&lt;&gt;"",$K274&lt;&gt;"",$J274=$K274,$J274&gt;=N$3,$J274&lt;=IF(param_mode_affichage="mois",EOMONTH(N$3,0),N$3+6)),"◆",""))</f>
      </c>
      <c r="O274" s="26">
        <f>IF(OR($A274="",O$3=""),"",IF(AND($J274&lt;&gt;"",$K274&lt;&gt;"",$J274=$K274,$J274&gt;=O$3,$J274&lt;=IF(param_mode_affichage="mois",EOMONTH(O$3,0),O$3+6)),"◆",""))</f>
      </c>
      <c r="P274" s="26">
        <f>IF(OR($A274="",P$3=""),"",IF(AND($J274&lt;&gt;"",$K274&lt;&gt;"",$J274=$K274,$J274&gt;=P$3,$J274&lt;=IF(param_mode_affichage="mois",EOMONTH(P$3,0),P$3+6)),"◆",""))</f>
      </c>
      <c r="Q274" s="26">
        <f>IF(OR($A274="",Q$3=""),"",IF(AND($J274&lt;&gt;"",$K274&lt;&gt;"",$J274=$K274,$J274&gt;=Q$3,$J274&lt;=IF(param_mode_affichage="mois",EOMONTH(Q$3,0),Q$3+6)),"◆",""))</f>
      </c>
      <c r="R274" s="26">
        <f>IF(OR($A274="",R$3=""),"",IF(AND($J274&lt;&gt;"",$K274&lt;&gt;"",$J274=$K274,$J274&gt;=R$3,$J274&lt;=IF(param_mode_affichage="mois",EOMONTH(R$3,0),R$3+6)),"◆",""))</f>
      </c>
      <c r="S274" s="26">
        <f>IF(OR($A274="",S$3=""),"",IF(AND($J274&lt;&gt;"",$K274&lt;&gt;"",$J274=$K274,$J274&gt;=S$3,$J274&lt;=IF(param_mode_affichage="mois",EOMONTH(S$3,0),S$3+6)),"◆",""))</f>
      </c>
      <c r="T274" s="26">
        <f>IF(OR($A274="",T$3=""),"",IF(AND($J274&lt;&gt;"",$K274&lt;&gt;"",$J274=$K274,$J274&gt;=T$3,$J274&lt;=IF(param_mode_affichage="mois",EOMONTH(T$3,0),T$3+6)),"◆",""))</f>
      </c>
      <c r="U274" s="26">
        <f>IF(OR($A274="",U$3=""),"",IF(AND($J274&lt;&gt;"",$K274&lt;&gt;"",$J274=$K274,$J274&gt;=U$3,$J274&lt;=IF(param_mode_affichage="mois",EOMONTH(U$3,0),U$3+6)),"◆",""))</f>
      </c>
      <c r="V274" s="26">
        <f>IF(OR($A274="",V$3=""),"",IF(AND($J274&lt;&gt;"",$K274&lt;&gt;"",$J274=$K274,$J274&gt;=V$3,$J274&lt;=IF(param_mode_affichage="mois",EOMONTH(V$3,0),V$3+6)),"◆",""))</f>
      </c>
      <c r="W274" s="26">
        <f>IF(OR($A274="",W$3=""),"",IF(AND($J274&lt;&gt;"",$K274&lt;&gt;"",$J274=$K274,$J274&gt;=W$3,$J274&lt;=IF(param_mode_affichage="mois",EOMONTH(W$3,0),W$3+6)),"◆",""))</f>
      </c>
      <c r="X274" s="26">
        <f>IF(OR($A274="",X$3=""),"",IF(AND($J274&lt;&gt;"",$K274&lt;&gt;"",$J274=$K274,$J274&gt;=X$3,$J274&lt;=IF(param_mode_affichage="mois",EOMONTH(X$3,0),X$3+6)),"◆",""))</f>
      </c>
      <c r="Y274" s="26">
        <f>IF(OR($A274="",Y$3=""),"",IF(AND($J274&lt;&gt;"",$K274&lt;&gt;"",$J274=$K274,$J274&gt;=Y$3,$J274&lt;=IF(param_mode_affichage="mois",EOMONTH(Y$3,0),Y$3+6)),"◆",""))</f>
      </c>
      <c r="Z274" s="26">
        <f>IF(OR($A274="",Z$3=""),"",IF(AND($J274&lt;&gt;"",$K274&lt;&gt;"",$J274=$K274,$J274&gt;=Z$3,$J274&lt;=IF(param_mode_affichage="mois",EOMONTH(Z$3,0),Z$3+6)),"◆",""))</f>
      </c>
      <c r="AA274" s="26">
        <f>IF(OR($A274="",AA$3=""),"",IF(AND($J274&lt;&gt;"",$K274&lt;&gt;"",$J274=$K274,$J274&gt;=AA$3,$J274&lt;=IF(param_mode_affichage="mois",EOMONTH(AA$3,0),AA$3+6)),"◆",""))</f>
      </c>
      <c r="AB274" s="26">
        <f>IF(OR($A274="",AB$3=""),"",IF(AND($J274&lt;&gt;"",$K274&lt;&gt;"",$J274=$K274,$J274&gt;=AB$3,$J274&lt;=IF(param_mode_affichage="mois",EOMONTH(AB$3,0),AB$3+6)),"◆",""))</f>
      </c>
      <c r="AC274" s="26">
        <f>IF(OR($A274="",AC$3=""),"",IF(AND($J274&lt;&gt;"",$K274&lt;&gt;"",$J274=$K274,$J274&gt;=AC$3,$J274&lt;=IF(param_mode_affichage="mois",EOMONTH(AC$3,0),AC$3+6)),"◆",""))</f>
      </c>
      <c r="AD274" s="26">
        <f>IF(OR($A274="",AD$3=""),"",IF(AND($J274&lt;&gt;"",$K274&lt;&gt;"",$J274=$K274,$J274&gt;=AD$3,$J274&lt;=IF(param_mode_affichage="mois",EOMONTH(AD$3,0),AD$3+6)),"◆",""))</f>
      </c>
      <c r="AE274" s="26">
        <f>IF(OR($A274="",AE$3=""),"",IF(AND($J274&lt;&gt;"",$K274&lt;&gt;"",$J274=$K274,$J274&gt;=AE$3,$J274&lt;=IF(param_mode_affichage="mois",EOMONTH(AE$3,0),AE$3+6)),"◆",""))</f>
      </c>
      <c r="AF274" s="26">
        <f>IF(OR($A274="",AF$3=""),"",IF(AND($J274&lt;&gt;"",$K274&lt;&gt;"",$J274=$K274,$J274&gt;=AF$3,$J274&lt;=IF(param_mode_affichage="mois",EOMONTH(AF$3,0),AF$3+6)),"◆",""))</f>
      </c>
      <c r="AG274" s="26">
        <f>IF(OR($A274="",AG$3=""),"",IF(AND($J274&lt;&gt;"",$K274&lt;&gt;"",$J274=$K274,$J274&gt;=AG$3,$J274&lt;=IF(param_mode_affichage="mois",EOMONTH(AG$3,0),AG$3+6)),"◆",""))</f>
      </c>
      <c r="AH274" s="26">
        <f>IF(OR($A274="",AH$3=""),"",IF(AND($J274&lt;&gt;"",$K274&lt;&gt;"",$J274=$K274,$J274&gt;=AH$3,$J274&lt;=IF(param_mode_affichage="mois",EOMONTH(AH$3,0),AH$3+6)),"◆",""))</f>
      </c>
      <c r="AI274" s="26">
        <f>IF(OR($A274="",AI$3=""),"",IF(AND($J274&lt;&gt;"",$K274&lt;&gt;"",$J274=$K274,$J274&gt;=AI$3,$J274&lt;=IF(param_mode_affichage="mois",EOMONTH(AI$3,0),AI$3+6)),"◆",""))</f>
      </c>
      <c r="AJ274" s="26">
        <f>IF(OR($A274="",AJ$3=""),"",IF(AND($J274&lt;&gt;"",$K274&lt;&gt;"",$J274=$K274,$J274&gt;=AJ$3,$J274&lt;=IF(param_mode_affichage="mois",EOMONTH(AJ$3,0),AJ$3+6)),"◆",""))</f>
      </c>
      <c r="AK274" s="26">
        <f>IF(OR($A274="",AK$3=""),"",IF(AND($J274&lt;&gt;"",$K274&lt;&gt;"",$J274=$K274,$J274&gt;=AK$3,$J274&lt;=IF(param_mode_affichage="mois",EOMONTH(AK$3,0),AK$3+6)),"◆",""))</f>
      </c>
      <c r="AL274" s="26">
        <f>IF(OR($A274="",AL$3=""),"",IF(AND($J274&lt;&gt;"",$K274&lt;&gt;"",$J274=$K274,$J274&gt;=AL$3,$J274&lt;=IF(param_mode_affichage="mois",EOMONTH(AL$3,0),AL$3+6)),"◆",""))</f>
      </c>
      <c r="AM274" s="26">
        <f>IF(OR($A274="",AM$3=""),"",IF(AND($J274&lt;&gt;"",$K274&lt;&gt;"",$J274=$K274,$J274&gt;=AM$3,$J274&lt;=IF(param_mode_affichage="mois",EOMONTH(AM$3,0),AM$3+6)),"◆",""))</f>
      </c>
      <c r="AN274" s="26">
        <f>IF(OR($A274="",AN$3=""),"",IF(AND($J274&lt;&gt;"",$K274&lt;&gt;"",$J274=$K274,$J274&gt;=AN$3,$J274&lt;=IF(param_mode_affichage="mois",EOMONTH(AN$3,0),AN$3+6)),"◆",""))</f>
      </c>
      <c r="AO274" s="26">
        <f>IF(OR($A274="",AO$3=""),"",IF(AND($J274&lt;&gt;"",$K274&lt;&gt;"",$J274=$K274,$J274&gt;=AO$3,$J274&lt;=IF(param_mode_affichage="mois",EOMONTH(AO$3,0),AO$3+6)),"◆",""))</f>
      </c>
      <c r="AP274" s="26">
        <f>IF(OR($A274="",AP$3=""),"",IF(AND($J274&lt;&gt;"",$K274&lt;&gt;"",$J274=$K274,$J274&gt;=AP$3,$J274&lt;=IF(param_mode_affichage="mois",EOMONTH(AP$3,0),AP$3+6)),"◆",""))</f>
      </c>
      <c r="AQ274" s="26">
        <f>IF(OR($A274="",AQ$3=""),"",IF(AND($J274&lt;&gt;"",$K274&lt;&gt;"",$J274=$K274,$J274&gt;=AQ$3,$J274&lt;=IF(param_mode_affichage="mois",EOMONTH(AQ$3,0),AQ$3+6)),"◆",""))</f>
      </c>
      <c r="AR274" s="26">
        <f>IF(OR($A274="",AR$3=""),"",IF(AND($J274&lt;&gt;"",$K274&lt;&gt;"",$J274=$K274,$J274&gt;=AR$3,$J274&lt;=IF(param_mode_affichage="mois",EOMONTH(AR$3,0),AR$3+6)),"◆",""))</f>
      </c>
      <c r="AS274" s="26">
        <f>IF(OR($A274="",AS$3=""),"",IF(AND($J274&lt;&gt;"",$K274&lt;&gt;"",$J274=$K274,$J274&gt;=AS$3,$J274&lt;=IF(param_mode_affichage="mois",EOMONTH(AS$3,0),AS$3+6)),"◆",""))</f>
      </c>
      <c r="AT274" s="26">
        <f>IF(OR($A274="",AT$3=""),"",IF(AND($J274&lt;&gt;"",$K274&lt;&gt;"",$J274=$K274,$J274&gt;=AT$3,$J274&lt;=IF(param_mode_affichage="mois",EOMONTH(AT$3,0),AT$3+6)),"◆",""))</f>
      </c>
      <c r="AU274" s="26">
        <f>IF(OR($A274="",AU$3=""),"",IF(AND($J274&lt;&gt;"",$K274&lt;&gt;"",$J274=$K274,$J274&gt;=AU$3,$J274&lt;=IF(param_mode_affichage="mois",EOMONTH(AU$3,0),AU$3+6)),"◆",""))</f>
      </c>
      <c r="AV274" s="26">
        <f>IF(OR($A274="",AV$3=""),"",IF(AND($J274&lt;&gt;"",$K274&lt;&gt;"",$J274=$K274,$J274&gt;=AV$3,$J274&lt;=IF(param_mode_affichage="mois",EOMONTH(AV$3,0),AV$3+6)),"◆",""))</f>
      </c>
      <c r="AW274" s="26">
        <f>IF(OR($A274="",AW$3=""),"",IF(AND($J274&lt;&gt;"",$K274&lt;&gt;"",$J274=$K274,$J274&gt;=AW$3,$J274&lt;=IF(param_mode_affichage="mois",EOMONTH(AW$3,0),AW$3+6)),"◆",""))</f>
      </c>
      <c r="AX274" s="26">
        <f>IF(OR($A274="",AX$3=""),"",IF(AND($J274&lt;&gt;"",$K274&lt;&gt;"",$J274=$K274,$J274&gt;=AX$3,$J274&lt;=IF(param_mode_affichage="mois",EOMONTH(AX$3,0),AX$3+6)),"◆",""))</f>
      </c>
      <c r="AY274" s="26">
        <f>IF(OR($A274="",AY$3=""),"",IF(AND($J274&lt;&gt;"",$K274&lt;&gt;"",$J274=$K274,$J274&gt;=AY$3,$J274&lt;=IF(param_mode_affichage="mois",EOMONTH(AY$3,0),AY$3+6)),"◆",""))</f>
      </c>
      <c r="AZ274" s="26">
        <f>IF(OR($A274="",AZ$3=""),"",IF(AND($J274&lt;&gt;"",$K274&lt;&gt;"",$J274=$K274,$J274&gt;=AZ$3,$J274&lt;=IF(param_mode_affichage="mois",EOMONTH(AZ$3,0),AZ$3+6)),"◆",""))</f>
      </c>
      <c r="BA274" s="26">
        <f>IF(OR($A274="",BA$3=""),"",IF(AND($J274&lt;&gt;"",$K274&lt;&gt;"",$J274=$K274,$J274&gt;=BA$3,$J274&lt;=IF(param_mode_affichage="mois",EOMONTH(BA$3,0),BA$3+6)),"◆",""))</f>
      </c>
      <c r="BB274" s="26">
        <f>IF(OR($A274="",BB$3=""),"",IF(AND($J274&lt;&gt;"",$K274&lt;&gt;"",$J274=$K274,$J274&gt;=BB$3,$J274&lt;=IF(param_mode_affichage="mois",EOMONTH(BB$3,0),BB$3+6)),"◆",""))</f>
      </c>
      <c r="BC274" s="26">
        <f>IF(OR($A274="",BC$3=""),"",IF(AND($J274&lt;&gt;"",$K274&lt;&gt;"",$J274=$K274,$J274&gt;=BC$3,$J274&lt;=IF(param_mode_affichage="mois",EOMONTH(BC$3,0),BC$3+6)),"◆",""))</f>
      </c>
      <c r="BD274" s="26">
        <f>IF(OR($A274="",BD$3=""),"",IF(AND($J274&lt;&gt;"",$K274&lt;&gt;"",$J274=$K274,$J274&gt;=BD$3,$J274&lt;=IF(param_mode_affichage="mois",EOMONTH(BD$3,0),BD$3+6)),"◆",""))</f>
      </c>
      <c r="BE274" s="26">
        <f>IF(OR($A274="",BE$3=""),"",IF(AND($J274&lt;&gt;"",$K274&lt;&gt;"",$J274=$K274,$J274&gt;=BE$3,$J274&lt;=IF(param_mode_affichage="mois",EOMONTH(BE$3,0),BE$3+6)),"◆",""))</f>
      </c>
      <c r="BF274" s="26">
        <f>IF(OR($A274="",BF$3=""),"",IF(AND($J274&lt;&gt;"",$K274&lt;&gt;"",$J274=$K274,$J274&gt;=BF$3,$J274&lt;=IF(param_mode_affichage="mois",EOMONTH(BF$3,0),BF$3+6)),"◆",""))</f>
      </c>
      <c r="BG274" s="26">
        <f>IF(OR($A274="",BG$3=""),"",IF(AND($J274&lt;&gt;"",$K274&lt;&gt;"",$J274=$K274,$J274&gt;=BG$3,$J274&lt;=IF(param_mode_affichage="mois",EOMONTH(BG$3,0),BG$3+6)),"◆",""))</f>
      </c>
      <c r="BH274" s="26">
        <f>IF(OR($A274="",BH$3=""),"",IF(AND($J274&lt;&gt;"",$K274&lt;&gt;"",$J274=$K274,$J274&gt;=BH$3,$J274&lt;=IF(param_mode_affichage="mois",EOMONTH(BH$3,0),BH$3+6)),"◆",""))</f>
      </c>
      <c r="BI274" s="26">
        <f>IF(OR($A274="",BI$3=""),"",IF(AND($J274&lt;&gt;"",$K274&lt;&gt;"",$J274=$K274,$J274&gt;=BI$3,$J274&lt;=IF(param_mode_affichage="mois",EOMONTH(BI$3,0),BI$3+6)),"◆",""))</f>
      </c>
      <c r="BJ274" s="26">
        <f>IF(OR($A274="",BJ$3=""),"",IF(AND($J274&lt;&gt;"",$K274&lt;&gt;"",$J274=$K274,$J274&gt;=BJ$3,$J274&lt;=IF(param_mode_affichage="mois",EOMONTH(BJ$3,0),BJ$3+6)),"◆",""))</f>
      </c>
      <c r="BK274" s="26">
        <f>IF(OR($A274="",BK$3=""),"",IF(AND($J274&lt;&gt;"",$K274&lt;&gt;"",$J274=$K274,$J274&gt;=BK$3,$J274&lt;=IF(param_mode_affichage="mois",EOMONTH(BK$3,0),BK$3+6)),"◆",""))</f>
      </c>
      <c r="BL274" s="26">
        <f>IF(OR($A274="",BL$3=""),"",IF(AND($J274&lt;&gt;"",$K274&lt;&gt;"",$J274=$K274,$J274&gt;=BL$3,$J274&lt;=IF(param_mode_affichage="mois",EOMONTH(BL$3,0),BL$3+6)),"◆",""))</f>
      </c>
    </row>
    <row r="275" spans="1:64" x14ac:dyDescent="0.25">
      <c r="A275" s="23">
        <f>IFERROR(INDEX(tblTasks[ID],ROW()-4),"")</f>
      </c>
      <c r="B275" s="24">
        <f>IF($A275="","",INDEX(tblTasks[Sujet],ROW()-4))</f>
      </c>
      <c r="C275" s="23">
        <f>IF($A275="","",INDEX(tblTasks[Responsable],ROW()-4))</f>
      </c>
      <c r="D275" s="23">
        <f>IF($A275="","",INDEX(tblTasks[Statut],ROW()-4))</f>
      </c>
      <c r="E275" s="23">
        <f>IF($A275="","",INDEX(tblTasks[Depend_de],ROW()-4))</f>
      </c>
      <c r="F275" s="23">
        <f>IF($A275="","",INDEX(tblTasks[Blocage],ROW()-4))</f>
      </c>
      <c r="G275" s="23">
        <f>IF($A275="","",INDEX(tblTasks[Niveau_criticite],ROW()-4))</f>
      </c>
      <c r="H275" s="23">
        <f>IF($A275="","",INDEX(tblTasks[Goulot],ROW()-4))</f>
      </c>
      <c r="I275" s="23">
        <f>IF($A275="","",IF(LOWER($F275)="oui","non",IF($E275="","oui",IFERROR(IF(LOWER(INDEX(tblTasks[Statut],MATCH($E275,tblTasks[ID],0)))="clos","oui","non"),"non"))))</f>
      </c>
      <c r="J275" s="25">
        <f>IF($A275="","",INDEX(tblTasks[Date_debut_prevue],ROW()-4))</f>
      </c>
      <c r="K275" s="25">
        <f>IF($A275="","",INDEX(tblTasks[Date_fin_prevue],ROW()-4))</f>
      </c>
      <c r="L275" s="23">
        <f>IF($A275="","",INDEX(tblTasks[Irreversibilite],ROW()-4))</f>
      </c>
      <c r="M275" s="26">
        <f>IF(OR($A275="",M$3=""),"",IF(AND($J275&lt;&gt;"",$K275&lt;&gt;"",$J275=$K275,$J275&gt;=M$3,$J275&lt;=IF(param_mode_affichage="mois",EOMONTH(M$3,0),M$3+6)),"◆",""))</f>
      </c>
      <c r="N275" s="26">
        <f>IF(OR($A275="",N$3=""),"",IF(AND($J275&lt;&gt;"",$K275&lt;&gt;"",$J275=$K275,$J275&gt;=N$3,$J275&lt;=IF(param_mode_affichage="mois",EOMONTH(N$3,0),N$3+6)),"◆",""))</f>
      </c>
      <c r="O275" s="26">
        <f>IF(OR($A275="",O$3=""),"",IF(AND($J275&lt;&gt;"",$K275&lt;&gt;"",$J275=$K275,$J275&gt;=O$3,$J275&lt;=IF(param_mode_affichage="mois",EOMONTH(O$3,0),O$3+6)),"◆",""))</f>
      </c>
      <c r="P275" s="26">
        <f>IF(OR($A275="",P$3=""),"",IF(AND($J275&lt;&gt;"",$K275&lt;&gt;"",$J275=$K275,$J275&gt;=P$3,$J275&lt;=IF(param_mode_affichage="mois",EOMONTH(P$3,0),P$3+6)),"◆",""))</f>
      </c>
      <c r="Q275" s="26">
        <f>IF(OR($A275="",Q$3=""),"",IF(AND($J275&lt;&gt;"",$K275&lt;&gt;"",$J275=$K275,$J275&gt;=Q$3,$J275&lt;=IF(param_mode_affichage="mois",EOMONTH(Q$3,0),Q$3+6)),"◆",""))</f>
      </c>
      <c r="R275" s="26">
        <f>IF(OR($A275="",R$3=""),"",IF(AND($J275&lt;&gt;"",$K275&lt;&gt;"",$J275=$K275,$J275&gt;=R$3,$J275&lt;=IF(param_mode_affichage="mois",EOMONTH(R$3,0),R$3+6)),"◆",""))</f>
      </c>
      <c r="S275" s="26">
        <f>IF(OR($A275="",S$3=""),"",IF(AND($J275&lt;&gt;"",$K275&lt;&gt;"",$J275=$K275,$J275&gt;=S$3,$J275&lt;=IF(param_mode_affichage="mois",EOMONTH(S$3,0),S$3+6)),"◆",""))</f>
      </c>
      <c r="T275" s="26">
        <f>IF(OR($A275="",T$3=""),"",IF(AND($J275&lt;&gt;"",$K275&lt;&gt;"",$J275=$K275,$J275&gt;=T$3,$J275&lt;=IF(param_mode_affichage="mois",EOMONTH(T$3,0),T$3+6)),"◆",""))</f>
      </c>
      <c r="U275" s="26">
        <f>IF(OR($A275="",U$3=""),"",IF(AND($J275&lt;&gt;"",$K275&lt;&gt;"",$J275=$K275,$J275&gt;=U$3,$J275&lt;=IF(param_mode_affichage="mois",EOMONTH(U$3,0),U$3+6)),"◆",""))</f>
      </c>
      <c r="V275" s="26">
        <f>IF(OR($A275="",V$3=""),"",IF(AND($J275&lt;&gt;"",$K275&lt;&gt;"",$J275=$K275,$J275&gt;=V$3,$J275&lt;=IF(param_mode_affichage="mois",EOMONTH(V$3,0),V$3+6)),"◆",""))</f>
      </c>
      <c r="W275" s="26">
        <f>IF(OR($A275="",W$3=""),"",IF(AND($J275&lt;&gt;"",$K275&lt;&gt;"",$J275=$K275,$J275&gt;=W$3,$J275&lt;=IF(param_mode_affichage="mois",EOMONTH(W$3,0),W$3+6)),"◆",""))</f>
      </c>
      <c r="X275" s="26">
        <f>IF(OR($A275="",X$3=""),"",IF(AND($J275&lt;&gt;"",$K275&lt;&gt;"",$J275=$K275,$J275&gt;=X$3,$J275&lt;=IF(param_mode_affichage="mois",EOMONTH(X$3,0),X$3+6)),"◆",""))</f>
      </c>
      <c r="Y275" s="26">
        <f>IF(OR($A275="",Y$3=""),"",IF(AND($J275&lt;&gt;"",$K275&lt;&gt;"",$J275=$K275,$J275&gt;=Y$3,$J275&lt;=IF(param_mode_affichage="mois",EOMONTH(Y$3,0),Y$3+6)),"◆",""))</f>
      </c>
      <c r="Z275" s="26">
        <f>IF(OR($A275="",Z$3=""),"",IF(AND($J275&lt;&gt;"",$K275&lt;&gt;"",$J275=$K275,$J275&gt;=Z$3,$J275&lt;=IF(param_mode_affichage="mois",EOMONTH(Z$3,0),Z$3+6)),"◆",""))</f>
      </c>
      <c r="AA275" s="26">
        <f>IF(OR($A275="",AA$3=""),"",IF(AND($J275&lt;&gt;"",$K275&lt;&gt;"",$J275=$K275,$J275&gt;=AA$3,$J275&lt;=IF(param_mode_affichage="mois",EOMONTH(AA$3,0),AA$3+6)),"◆",""))</f>
      </c>
      <c r="AB275" s="26">
        <f>IF(OR($A275="",AB$3=""),"",IF(AND($J275&lt;&gt;"",$K275&lt;&gt;"",$J275=$K275,$J275&gt;=AB$3,$J275&lt;=IF(param_mode_affichage="mois",EOMONTH(AB$3,0),AB$3+6)),"◆",""))</f>
      </c>
      <c r="AC275" s="26">
        <f>IF(OR($A275="",AC$3=""),"",IF(AND($J275&lt;&gt;"",$K275&lt;&gt;"",$J275=$K275,$J275&gt;=AC$3,$J275&lt;=IF(param_mode_affichage="mois",EOMONTH(AC$3,0),AC$3+6)),"◆",""))</f>
      </c>
      <c r="AD275" s="26">
        <f>IF(OR($A275="",AD$3=""),"",IF(AND($J275&lt;&gt;"",$K275&lt;&gt;"",$J275=$K275,$J275&gt;=AD$3,$J275&lt;=IF(param_mode_affichage="mois",EOMONTH(AD$3,0),AD$3+6)),"◆",""))</f>
      </c>
      <c r="AE275" s="26">
        <f>IF(OR($A275="",AE$3=""),"",IF(AND($J275&lt;&gt;"",$K275&lt;&gt;"",$J275=$K275,$J275&gt;=AE$3,$J275&lt;=IF(param_mode_affichage="mois",EOMONTH(AE$3,0),AE$3+6)),"◆",""))</f>
      </c>
      <c r="AF275" s="26">
        <f>IF(OR($A275="",AF$3=""),"",IF(AND($J275&lt;&gt;"",$K275&lt;&gt;"",$J275=$K275,$J275&gt;=AF$3,$J275&lt;=IF(param_mode_affichage="mois",EOMONTH(AF$3,0),AF$3+6)),"◆",""))</f>
      </c>
      <c r="AG275" s="26">
        <f>IF(OR($A275="",AG$3=""),"",IF(AND($J275&lt;&gt;"",$K275&lt;&gt;"",$J275=$K275,$J275&gt;=AG$3,$J275&lt;=IF(param_mode_affichage="mois",EOMONTH(AG$3,0),AG$3+6)),"◆",""))</f>
      </c>
      <c r="AH275" s="26">
        <f>IF(OR($A275="",AH$3=""),"",IF(AND($J275&lt;&gt;"",$K275&lt;&gt;"",$J275=$K275,$J275&gt;=AH$3,$J275&lt;=IF(param_mode_affichage="mois",EOMONTH(AH$3,0),AH$3+6)),"◆",""))</f>
      </c>
      <c r="AI275" s="26">
        <f>IF(OR($A275="",AI$3=""),"",IF(AND($J275&lt;&gt;"",$K275&lt;&gt;"",$J275=$K275,$J275&gt;=AI$3,$J275&lt;=IF(param_mode_affichage="mois",EOMONTH(AI$3,0),AI$3+6)),"◆",""))</f>
      </c>
      <c r="AJ275" s="26">
        <f>IF(OR($A275="",AJ$3=""),"",IF(AND($J275&lt;&gt;"",$K275&lt;&gt;"",$J275=$K275,$J275&gt;=AJ$3,$J275&lt;=IF(param_mode_affichage="mois",EOMONTH(AJ$3,0),AJ$3+6)),"◆",""))</f>
      </c>
      <c r="AK275" s="26">
        <f>IF(OR($A275="",AK$3=""),"",IF(AND($J275&lt;&gt;"",$K275&lt;&gt;"",$J275=$K275,$J275&gt;=AK$3,$J275&lt;=IF(param_mode_affichage="mois",EOMONTH(AK$3,0),AK$3+6)),"◆",""))</f>
      </c>
      <c r="AL275" s="26">
        <f>IF(OR($A275="",AL$3=""),"",IF(AND($J275&lt;&gt;"",$K275&lt;&gt;"",$J275=$K275,$J275&gt;=AL$3,$J275&lt;=IF(param_mode_affichage="mois",EOMONTH(AL$3,0),AL$3+6)),"◆",""))</f>
      </c>
      <c r="AM275" s="26">
        <f>IF(OR($A275="",AM$3=""),"",IF(AND($J275&lt;&gt;"",$K275&lt;&gt;"",$J275=$K275,$J275&gt;=AM$3,$J275&lt;=IF(param_mode_affichage="mois",EOMONTH(AM$3,0),AM$3+6)),"◆",""))</f>
      </c>
      <c r="AN275" s="26">
        <f>IF(OR($A275="",AN$3=""),"",IF(AND($J275&lt;&gt;"",$K275&lt;&gt;"",$J275=$K275,$J275&gt;=AN$3,$J275&lt;=IF(param_mode_affichage="mois",EOMONTH(AN$3,0),AN$3+6)),"◆",""))</f>
      </c>
      <c r="AO275" s="26">
        <f>IF(OR($A275="",AO$3=""),"",IF(AND($J275&lt;&gt;"",$K275&lt;&gt;"",$J275=$K275,$J275&gt;=AO$3,$J275&lt;=IF(param_mode_affichage="mois",EOMONTH(AO$3,0),AO$3+6)),"◆",""))</f>
      </c>
      <c r="AP275" s="26">
        <f>IF(OR($A275="",AP$3=""),"",IF(AND($J275&lt;&gt;"",$K275&lt;&gt;"",$J275=$K275,$J275&gt;=AP$3,$J275&lt;=IF(param_mode_affichage="mois",EOMONTH(AP$3,0),AP$3+6)),"◆",""))</f>
      </c>
      <c r="AQ275" s="26">
        <f>IF(OR($A275="",AQ$3=""),"",IF(AND($J275&lt;&gt;"",$K275&lt;&gt;"",$J275=$K275,$J275&gt;=AQ$3,$J275&lt;=IF(param_mode_affichage="mois",EOMONTH(AQ$3,0),AQ$3+6)),"◆",""))</f>
      </c>
      <c r="AR275" s="26">
        <f>IF(OR($A275="",AR$3=""),"",IF(AND($J275&lt;&gt;"",$K275&lt;&gt;"",$J275=$K275,$J275&gt;=AR$3,$J275&lt;=IF(param_mode_affichage="mois",EOMONTH(AR$3,0),AR$3+6)),"◆",""))</f>
      </c>
      <c r="AS275" s="26">
        <f>IF(OR($A275="",AS$3=""),"",IF(AND($J275&lt;&gt;"",$K275&lt;&gt;"",$J275=$K275,$J275&gt;=AS$3,$J275&lt;=IF(param_mode_affichage="mois",EOMONTH(AS$3,0),AS$3+6)),"◆",""))</f>
      </c>
      <c r="AT275" s="26">
        <f>IF(OR($A275="",AT$3=""),"",IF(AND($J275&lt;&gt;"",$K275&lt;&gt;"",$J275=$K275,$J275&gt;=AT$3,$J275&lt;=IF(param_mode_affichage="mois",EOMONTH(AT$3,0),AT$3+6)),"◆",""))</f>
      </c>
      <c r="AU275" s="26">
        <f>IF(OR($A275="",AU$3=""),"",IF(AND($J275&lt;&gt;"",$K275&lt;&gt;"",$J275=$K275,$J275&gt;=AU$3,$J275&lt;=IF(param_mode_affichage="mois",EOMONTH(AU$3,0),AU$3+6)),"◆",""))</f>
      </c>
      <c r="AV275" s="26">
        <f>IF(OR($A275="",AV$3=""),"",IF(AND($J275&lt;&gt;"",$K275&lt;&gt;"",$J275=$K275,$J275&gt;=AV$3,$J275&lt;=IF(param_mode_affichage="mois",EOMONTH(AV$3,0),AV$3+6)),"◆",""))</f>
      </c>
      <c r="AW275" s="26">
        <f>IF(OR($A275="",AW$3=""),"",IF(AND($J275&lt;&gt;"",$K275&lt;&gt;"",$J275=$K275,$J275&gt;=AW$3,$J275&lt;=IF(param_mode_affichage="mois",EOMONTH(AW$3,0),AW$3+6)),"◆",""))</f>
      </c>
      <c r="AX275" s="26">
        <f>IF(OR($A275="",AX$3=""),"",IF(AND($J275&lt;&gt;"",$K275&lt;&gt;"",$J275=$K275,$J275&gt;=AX$3,$J275&lt;=IF(param_mode_affichage="mois",EOMONTH(AX$3,0),AX$3+6)),"◆",""))</f>
      </c>
      <c r="AY275" s="26">
        <f>IF(OR($A275="",AY$3=""),"",IF(AND($J275&lt;&gt;"",$K275&lt;&gt;"",$J275=$K275,$J275&gt;=AY$3,$J275&lt;=IF(param_mode_affichage="mois",EOMONTH(AY$3,0),AY$3+6)),"◆",""))</f>
      </c>
      <c r="AZ275" s="26">
        <f>IF(OR($A275="",AZ$3=""),"",IF(AND($J275&lt;&gt;"",$K275&lt;&gt;"",$J275=$K275,$J275&gt;=AZ$3,$J275&lt;=IF(param_mode_affichage="mois",EOMONTH(AZ$3,0),AZ$3+6)),"◆",""))</f>
      </c>
      <c r="BA275" s="26">
        <f>IF(OR($A275="",BA$3=""),"",IF(AND($J275&lt;&gt;"",$K275&lt;&gt;"",$J275=$K275,$J275&gt;=BA$3,$J275&lt;=IF(param_mode_affichage="mois",EOMONTH(BA$3,0),BA$3+6)),"◆",""))</f>
      </c>
      <c r="BB275" s="26">
        <f>IF(OR($A275="",BB$3=""),"",IF(AND($J275&lt;&gt;"",$K275&lt;&gt;"",$J275=$K275,$J275&gt;=BB$3,$J275&lt;=IF(param_mode_affichage="mois",EOMONTH(BB$3,0),BB$3+6)),"◆",""))</f>
      </c>
      <c r="BC275" s="26">
        <f>IF(OR($A275="",BC$3=""),"",IF(AND($J275&lt;&gt;"",$K275&lt;&gt;"",$J275=$K275,$J275&gt;=BC$3,$J275&lt;=IF(param_mode_affichage="mois",EOMONTH(BC$3,0),BC$3+6)),"◆",""))</f>
      </c>
      <c r="BD275" s="26">
        <f>IF(OR($A275="",BD$3=""),"",IF(AND($J275&lt;&gt;"",$K275&lt;&gt;"",$J275=$K275,$J275&gt;=BD$3,$J275&lt;=IF(param_mode_affichage="mois",EOMONTH(BD$3,0),BD$3+6)),"◆",""))</f>
      </c>
      <c r="BE275" s="26">
        <f>IF(OR($A275="",BE$3=""),"",IF(AND($J275&lt;&gt;"",$K275&lt;&gt;"",$J275=$K275,$J275&gt;=BE$3,$J275&lt;=IF(param_mode_affichage="mois",EOMONTH(BE$3,0),BE$3+6)),"◆",""))</f>
      </c>
      <c r="BF275" s="26">
        <f>IF(OR($A275="",BF$3=""),"",IF(AND($J275&lt;&gt;"",$K275&lt;&gt;"",$J275=$K275,$J275&gt;=BF$3,$J275&lt;=IF(param_mode_affichage="mois",EOMONTH(BF$3,0),BF$3+6)),"◆",""))</f>
      </c>
      <c r="BG275" s="26">
        <f>IF(OR($A275="",BG$3=""),"",IF(AND($J275&lt;&gt;"",$K275&lt;&gt;"",$J275=$K275,$J275&gt;=BG$3,$J275&lt;=IF(param_mode_affichage="mois",EOMONTH(BG$3,0),BG$3+6)),"◆",""))</f>
      </c>
      <c r="BH275" s="26">
        <f>IF(OR($A275="",BH$3=""),"",IF(AND($J275&lt;&gt;"",$K275&lt;&gt;"",$J275=$K275,$J275&gt;=BH$3,$J275&lt;=IF(param_mode_affichage="mois",EOMONTH(BH$3,0),BH$3+6)),"◆",""))</f>
      </c>
      <c r="BI275" s="26">
        <f>IF(OR($A275="",BI$3=""),"",IF(AND($J275&lt;&gt;"",$K275&lt;&gt;"",$J275=$K275,$J275&gt;=BI$3,$J275&lt;=IF(param_mode_affichage="mois",EOMONTH(BI$3,0),BI$3+6)),"◆",""))</f>
      </c>
      <c r="BJ275" s="26">
        <f>IF(OR($A275="",BJ$3=""),"",IF(AND($J275&lt;&gt;"",$K275&lt;&gt;"",$J275=$K275,$J275&gt;=BJ$3,$J275&lt;=IF(param_mode_affichage="mois",EOMONTH(BJ$3,0),BJ$3+6)),"◆",""))</f>
      </c>
      <c r="BK275" s="26">
        <f>IF(OR($A275="",BK$3=""),"",IF(AND($J275&lt;&gt;"",$K275&lt;&gt;"",$J275=$K275,$J275&gt;=BK$3,$J275&lt;=IF(param_mode_affichage="mois",EOMONTH(BK$3,0),BK$3+6)),"◆",""))</f>
      </c>
      <c r="BL275" s="26">
        <f>IF(OR($A275="",BL$3=""),"",IF(AND($J275&lt;&gt;"",$K275&lt;&gt;"",$J275=$K275,$J275&gt;=BL$3,$J275&lt;=IF(param_mode_affichage="mois",EOMONTH(BL$3,0),BL$3+6)),"◆",""))</f>
      </c>
    </row>
    <row r="276" spans="1:64" x14ac:dyDescent="0.25">
      <c r="A276" s="23">
        <f>IFERROR(INDEX(tblTasks[ID],ROW()-4),"")</f>
      </c>
      <c r="B276" s="24">
        <f>IF($A276="","",INDEX(tblTasks[Sujet],ROW()-4))</f>
      </c>
      <c r="C276" s="23">
        <f>IF($A276="","",INDEX(tblTasks[Responsable],ROW()-4))</f>
      </c>
      <c r="D276" s="23">
        <f>IF($A276="","",INDEX(tblTasks[Statut],ROW()-4))</f>
      </c>
      <c r="E276" s="23">
        <f>IF($A276="","",INDEX(tblTasks[Depend_de],ROW()-4))</f>
      </c>
      <c r="F276" s="23">
        <f>IF($A276="","",INDEX(tblTasks[Blocage],ROW()-4))</f>
      </c>
      <c r="G276" s="23">
        <f>IF($A276="","",INDEX(tblTasks[Niveau_criticite],ROW()-4))</f>
      </c>
      <c r="H276" s="23">
        <f>IF($A276="","",INDEX(tblTasks[Goulot],ROW()-4))</f>
      </c>
      <c r="I276" s="23">
        <f>IF($A276="","",IF(LOWER($F276)="oui","non",IF($E276="","oui",IFERROR(IF(LOWER(INDEX(tblTasks[Statut],MATCH($E276,tblTasks[ID],0)))="clos","oui","non"),"non"))))</f>
      </c>
      <c r="J276" s="25">
        <f>IF($A276="","",INDEX(tblTasks[Date_debut_prevue],ROW()-4))</f>
      </c>
      <c r="K276" s="25">
        <f>IF($A276="","",INDEX(tblTasks[Date_fin_prevue],ROW()-4))</f>
      </c>
      <c r="L276" s="23">
        <f>IF($A276="","",INDEX(tblTasks[Irreversibilite],ROW()-4))</f>
      </c>
      <c r="M276" s="26">
        <f>IF(OR($A276="",M$3=""),"",IF(AND($J276&lt;&gt;"",$K276&lt;&gt;"",$J276=$K276,$J276&gt;=M$3,$J276&lt;=IF(param_mode_affichage="mois",EOMONTH(M$3,0),M$3+6)),"◆",""))</f>
      </c>
      <c r="N276" s="26">
        <f>IF(OR($A276="",N$3=""),"",IF(AND($J276&lt;&gt;"",$K276&lt;&gt;"",$J276=$K276,$J276&gt;=N$3,$J276&lt;=IF(param_mode_affichage="mois",EOMONTH(N$3,0),N$3+6)),"◆",""))</f>
      </c>
      <c r="O276" s="26">
        <f>IF(OR($A276="",O$3=""),"",IF(AND($J276&lt;&gt;"",$K276&lt;&gt;"",$J276=$K276,$J276&gt;=O$3,$J276&lt;=IF(param_mode_affichage="mois",EOMONTH(O$3,0),O$3+6)),"◆",""))</f>
      </c>
      <c r="P276" s="26">
        <f>IF(OR($A276="",P$3=""),"",IF(AND($J276&lt;&gt;"",$K276&lt;&gt;"",$J276=$K276,$J276&gt;=P$3,$J276&lt;=IF(param_mode_affichage="mois",EOMONTH(P$3,0),P$3+6)),"◆",""))</f>
      </c>
      <c r="Q276" s="26">
        <f>IF(OR($A276="",Q$3=""),"",IF(AND($J276&lt;&gt;"",$K276&lt;&gt;"",$J276=$K276,$J276&gt;=Q$3,$J276&lt;=IF(param_mode_affichage="mois",EOMONTH(Q$3,0),Q$3+6)),"◆",""))</f>
      </c>
      <c r="R276" s="26">
        <f>IF(OR($A276="",R$3=""),"",IF(AND($J276&lt;&gt;"",$K276&lt;&gt;"",$J276=$K276,$J276&gt;=R$3,$J276&lt;=IF(param_mode_affichage="mois",EOMONTH(R$3,0),R$3+6)),"◆",""))</f>
      </c>
      <c r="S276" s="26">
        <f>IF(OR($A276="",S$3=""),"",IF(AND($J276&lt;&gt;"",$K276&lt;&gt;"",$J276=$K276,$J276&gt;=S$3,$J276&lt;=IF(param_mode_affichage="mois",EOMONTH(S$3,0),S$3+6)),"◆",""))</f>
      </c>
      <c r="T276" s="26">
        <f>IF(OR($A276="",T$3=""),"",IF(AND($J276&lt;&gt;"",$K276&lt;&gt;"",$J276=$K276,$J276&gt;=T$3,$J276&lt;=IF(param_mode_affichage="mois",EOMONTH(T$3,0),T$3+6)),"◆",""))</f>
      </c>
      <c r="U276" s="26">
        <f>IF(OR($A276="",U$3=""),"",IF(AND($J276&lt;&gt;"",$K276&lt;&gt;"",$J276=$K276,$J276&gt;=U$3,$J276&lt;=IF(param_mode_affichage="mois",EOMONTH(U$3,0),U$3+6)),"◆",""))</f>
      </c>
      <c r="V276" s="26">
        <f>IF(OR($A276="",V$3=""),"",IF(AND($J276&lt;&gt;"",$K276&lt;&gt;"",$J276=$K276,$J276&gt;=V$3,$J276&lt;=IF(param_mode_affichage="mois",EOMONTH(V$3,0),V$3+6)),"◆",""))</f>
      </c>
      <c r="W276" s="26">
        <f>IF(OR($A276="",W$3=""),"",IF(AND($J276&lt;&gt;"",$K276&lt;&gt;"",$J276=$K276,$J276&gt;=W$3,$J276&lt;=IF(param_mode_affichage="mois",EOMONTH(W$3,0),W$3+6)),"◆",""))</f>
      </c>
      <c r="X276" s="26">
        <f>IF(OR($A276="",X$3=""),"",IF(AND($J276&lt;&gt;"",$K276&lt;&gt;"",$J276=$K276,$J276&gt;=X$3,$J276&lt;=IF(param_mode_affichage="mois",EOMONTH(X$3,0),X$3+6)),"◆",""))</f>
      </c>
      <c r="Y276" s="26">
        <f>IF(OR($A276="",Y$3=""),"",IF(AND($J276&lt;&gt;"",$K276&lt;&gt;"",$J276=$K276,$J276&gt;=Y$3,$J276&lt;=IF(param_mode_affichage="mois",EOMONTH(Y$3,0),Y$3+6)),"◆",""))</f>
      </c>
      <c r="Z276" s="26">
        <f>IF(OR($A276="",Z$3=""),"",IF(AND($J276&lt;&gt;"",$K276&lt;&gt;"",$J276=$K276,$J276&gt;=Z$3,$J276&lt;=IF(param_mode_affichage="mois",EOMONTH(Z$3,0),Z$3+6)),"◆",""))</f>
      </c>
      <c r="AA276" s="26">
        <f>IF(OR($A276="",AA$3=""),"",IF(AND($J276&lt;&gt;"",$K276&lt;&gt;"",$J276=$K276,$J276&gt;=AA$3,$J276&lt;=IF(param_mode_affichage="mois",EOMONTH(AA$3,0),AA$3+6)),"◆",""))</f>
      </c>
      <c r="AB276" s="26">
        <f>IF(OR($A276="",AB$3=""),"",IF(AND($J276&lt;&gt;"",$K276&lt;&gt;"",$J276=$K276,$J276&gt;=AB$3,$J276&lt;=IF(param_mode_affichage="mois",EOMONTH(AB$3,0),AB$3+6)),"◆",""))</f>
      </c>
      <c r="AC276" s="26">
        <f>IF(OR($A276="",AC$3=""),"",IF(AND($J276&lt;&gt;"",$K276&lt;&gt;"",$J276=$K276,$J276&gt;=AC$3,$J276&lt;=IF(param_mode_affichage="mois",EOMONTH(AC$3,0),AC$3+6)),"◆",""))</f>
      </c>
      <c r="AD276" s="26">
        <f>IF(OR($A276="",AD$3=""),"",IF(AND($J276&lt;&gt;"",$K276&lt;&gt;"",$J276=$K276,$J276&gt;=AD$3,$J276&lt;=IF(param_mode_affichage="mois",EOMONTH(AD$3,0),AD$3+6)),"◆",""))</f>
      </c>
      <c r="AE276" s="26">
        <f>IF(OR($A276="",AE$3=""),"",IF(AND($J276&lt;&gt;"",$K276&lt;&gt;"",$J276=$K276,$J276&gt;=AE$3,$J276&lt;=IF(param_mode_affichage="mois",EOMONTH(AE$3,0),AE$3+6)),"◆",""))</f>
      </c>
      <c r="AF276" s="26">
        <f>IF(OR($A276="",AF$3=""),"",IF(AND($J276&lt;&gt;"",$K276&lt;&gt;"",$J276=$K276,$J276&gt;=AF$3,$J276&lt;=IF(param_mode_affichage="mois",EOMONTH(AF$3,0),AF$3+6)),"◆",""))</f>
      </c>
      <c r="AG276" s="26">
        <f>IF(OR($A276="",AG$3=""),"",IF(AND($J276&lt;&gt;"",$K276&lt;&gt;"",$J276=$K276,$J276&gt;=AG$3,$J276&lt;=IF(param_mode_affichage="mois",EOMONTH(AG$3,0),AG$3+6)),"◆",""))</f>
      </c>
      <c r="AH276" s="26">
        <f>IF(OR($A276="",AH$3=""),"",IF(AND($J276&lt;&gt;"",$K276&lt;&gt;"",$J276=$K276,$J276&gt;=AH$3,$J276&lt;=IF(param_mode_affichage="mois",EOMONTH(AH$3,0),AH$3+6)),"◆",""))</f>
      </c>
      <c r="AI276" s="26">
        <f>IF(OR($A276="",AI$3=""),"",IF(AND($J276&lt;&gt;"",$K276&lt;&gt;"",$J276=$K276,$J276&gt;=AI$3,$J276&lt;=IF(param_mode_affichage="mois",EOMONTH(AI$3,0),AI$3+6)),"◆",""))</f>
      </c>
      <c r="AJ276" s="26">
        <f>IF(OR($A276="",AJ$3=""),"",IF(AND($J276&lt;&gt;"",$K276&lt;&gt;"",$J276=$K276,$J276&gt;=AJ$3,$J276&lt;=IF(param_mode_affichage="mois",EOMONTH(AJ$3,0),AJ$3+6)),"◆",""))</f>
      </c>
      <c r="AK276" s="26">
        <f>IF(OR($A276="",AK$3=""),"",IF(AND($J276&lt;&gt;"",$K276&lt;&gt;"",$J276=$K276,$J276&gt;=AK$3,$J276&lt;=IF(param_mode_affichage="mois",EOMONTH(AK$3,0),AK$3+6)),"◆",""))</f>
      </c>
      <c r="AL276" s="26">
        <f>IF(OR($A276="",AL$3=""),"",IF(AND($J276&lt;&gt;"",$K276&lt;&gt;"",$J276=$K276,$J276&gt;=AL$3,$J276&lt;=IF(param_mode_affichage="mois",EOMONTH(AL$3,0),AL$3+6)),"◆",""))</f>
      </c>
      <c r="AM276" s="26">
        <f>IF(OR($A276="",AM$3=""),"",IF(AND($J276&lt;&gt;"",$K276&lt;&gt;"",$J276=$K276,$J276&gt;=AM$3,$J276&lt;=IF(param_mode_affichage="mois",EOMONTH(AM$3,0),AM$3+6)),"◆",""))</f>
      </c>
      <c r="AN276" s="26">
        <f>IF(OR($A276="",AN$3=""),"",IF(AND($J276&lt;&gt;"",$K276&lt;&gt;"",$J276=$K276,$J276&gt;=AN$3,$J276&lt;=IF(param_mode_affichage="mois",EOMONTH(AN$3,0),AN$3+6)),"◆",""))</f>
      </c>
      <c r="AO276" s="26">
        <f>IF(OR($A276="",AO$3=""),"",IF(AND($J276&lt;&gt;"",$K276&lt;&gt;"",$J276=$K276,$J276&gt;=AO$3,$J276&lt;=IF(param_mode_affichage="mois",EOMONTH(AO$3,0),AO$3+6)),"◆",""))</f>
      </c>
      <c r="AP276" s="26">
        <f>IF(OR($A276="",AP$3=""),"",IF(AND($J276&lt;&gt;"",$K276&lt;&gt;"",$J276=$K276,$J276&gt;=AP$3,$J276&lt;=IF(param_mode_affichage="mois",EOMONTH(AP$3,0),AP$3+6)),"◆",""))</f>
      </c>
      <c r="AQ276" s="26">
        <f>IF(OR($A276="",AQ$3=""),"",IF(AND($J276&lt;&gt;"",$K276&lt;&gt;"",$J276=$K276,$J276&gt;=AQ$3,$J276&lt;=IF(param_mode_affichage="mois",EOMONTH(AQ$3,0),AQ$3+6)),"◆",""))</f>
      </c>
      <c r="AR276" s="26">
        <f>IF(OR($A276="",AR$3=""),"",IF(AND($J276&lt;&gt;"",$K276&lt;&gt;"",$J276=$K276,$J276&gt;=AR$3,$J276&lt;=IF(param_mode_affichage="mois",EOMONTH(AR$3,0),AR$3+6)),"◆",""))</f>
      </c>
      <c r="AS276" s="26">
        <f>IF(OR($A276="",AS$3=""),"",IF(AND($J276&lt;&gt;"",$K276&lt;&gt;"",$J276=$K276,$J276&gt;=AS$3,$J276&lt;=IF(param_mode_affichage="mois",EOMONTH(AS$3,0),AS$3+6)),"◆",""))</f>
      </c>
      <c r="AT276" s="26">
        <f>IF(OR($A276="",AT$3=""),"",IF(AND($J276&lt;&gt;"",$K276&lt;&gt;"",$J276=$K276,$J276&gt;=AT$3,$J276&lt;=IF(param_mode_affichage="mois",EOMONTH(AT$3,0),AT$3+6)),"◆",""))</f>
      </c>
      <c r="AU276" s="26">
        <f>IF(OR($A276="",AU$3=""),"",IF(AND($J276&lt;&gt;"",$K276&lt;&gt;"",$J276=$K276,$J276&gt;=AU$3,$J276&lt;=IF(param_mode_affichage="mois",EOMONTH(AU$3,0),AU$3+6)),"◆",""))</f>
      </c>
      <c r="AV276" s="26">
        <f>IF(OR($A276="",AV$3=""),"",IF(AND($J276&lt;&gt;"",$K276&lt;&gt;"",$J276=$K276,$J276&gt;=AV$3,$J276&lt;=IF(param_mode_affichage="mois",EOMONTH(AV$3,0),AV$3+6)),"◆",""))</f>
      </c>
      <c r="AW276" s="26">
        <f>IF(OR($A276="",AW$3=""),"",IF(AND($J276&lt;&gt;"",$K276&lt;&gt;"",$J276=$K276,$J276&gt;=AW$3,$J276&lt;=IF(param_mode_affichage="mois",EOMONTH(AW$3,0),AW$3+6)),"◆",""))</f>
      </c>
      <c r="AX276" s="26">
        <f>IF(OR($A276="",AX$3=""),"",IF(AND($J276&lt;&gt;"",$K276&lt;&gt;"",$J276=$K276,$J276&gt;=AX$3,$J276&lt;=IF(param_mode_affichage="mois",EOMONTH(AX$3,0),AX$3+6)),"◆",""))</f>
      </c>
      <c r="AY276" s="26">
        <f>IF(OR($A276="",AY$3=""),"",IF(AND($J276&lt;&gt;"",$K276&lt;&gt;"",$J276=$K276,$J276&gt;=AY$3,$J276&lt;=IF(param_mode_affichage="mois",EOMONTH(AY$3,0),AY$3+6)),"◆",""))</f>
      </c>
      <c r="AZ276" s="26">
        <f>IF(OR($A276="",AZ$3=""),"",IF(AND($J276&lt;&gt;"",$K276&lt;&gt;"",$J276=$K276,$J276&gt;=AZ$3,$J276&lt;=IF(param_mode_affichage="mois",EOMONTH(AZ$3,0),AZ$3+6)),"◆",""))</f>
      </c>
      <c r="BA276" s="26">
        <f>IF(OR($A276="",BA$3=""),"",IF(AND($J276&lt;&gt;"",$K276&lt;&gt;"",$J276=$K276,$J276&gt;=BA$3,$J276&lt;=IF(param_mode_affichage="mois",EOMONTH(BA$3,0),BA$3+6)),"◆",""))</f>
      </c>
      <c r="BB276" s="26">
        <f>IF(OR($A276="",BB$3=""),"",IF(AND($J276&lt;&gt;"",$K276&lt;&gt;"",$J276=$K276,$J276&gt;=BB$3,$J276&lt;=IF(param_mode_affichage="mois",EOMONTH(BB$3,0),BB$3+6)),"◆",""))</f>
      </c>
      <c r="BC276" s="26">
        <f>IF(OR($A276="",BC$3=""),"",IF(AND($J276&lt;&gt;"",$K276&lt;&gt;"",$J276=$K276,$J276&gt;=BC$3,$J276&lt;=IF(param_mode_affichage="mois",EOMONTH(BC$3,0),BC$3+6)),"◆",""))</f>
      </c>
      <c r="BD276" s="26">
        <f>IF(OR($A276="",BD$3=""),"",IF(AND($J276&lt;&gt;"",$K276&lt;&gt;"",$J276=$K276,$J276&gt;=BD$3,$J276&lt;=IF(param_mode_affichage="mois",EOMONTH(BD$3,0),BD$3+6)),"◆",""))</f>
      </c>
      <c r="BE276" s="26">
        <f>IF(OR($A276="",BE$3=""),"",IF(AND($J276&lt;&gt;"",$K276&lt;&gt;"",$J276=$K276,$J276&gt;=BE$3,$J276&lt;=IF(param_mode_affichage="mois",EOMONTH(BE$3,0),BE$3+6)),"◆",""))</f>
      </c>
      <c r="BF276" s="26">
        <f>IF(OR($A276="",BF$3=""),"",IF(AND($J276&lt;&gt;"",$K276&lt;&gt;"",$J276=$K276,$J276&gt;=BF$3,$J276&lt;=IF(param_mode_affichage="mois",EOMONTH(BF$3,0),BF$3+6)),"◆",""))</f>
      </c>
      <c r="BG276" s="26">
        <f>IF(OR($A276="",BG$3=""),"",IF(AND($J276&lt;&gt;"",$K276&lt;&gt;"",$J276=$K276,$J276&gt;=BG$3,$J276&lt;=IF(param_mode_affichage="mois",EOMONTH(BG$3,0),BG$3+6)),"◆",""))</f>
      </c>
      <c r="BH276" s="26">
        <f>IF(OR($A276="",BH$3=""),"",IF(AND($J276&lt;&gt;"",$K276&lt;&gt;"",$J276=$K276,$J276&gt;=BH$3,$J276&lt;=IF(param_mode_affichage="mois",EOMONTH(BH$3,0),BH$3+6)),"◆",""))</f>
      </c>
      <c r="BI276" s="26">
        <f>IF(OR($A276="",BI$3=""),"",IF(AND($J276&lt;&gt;"",$K276&lt;&gt;"",$J276=$K276,$J276&gt;=BI$3,$J276&lt;=IF(param_mode_affichage="mois",EOMONTH(BI$3,0),BI$3+6)),"◆",""))</f>
      </c>
      <c r="BJ276" s="26">
        <f>IF(OR($A276="",BJ$3=""),"",IF(AND($J276&lt;&gt;"",$K276&lt;&gt;"",$J276=$K276,$J276&gt;=BJ$3,$J276&lt;=IF(param_mode_affichage="mois",EOMONTH(BJ$3,0),BJ$3+6)),"◆",""))</f>
      </c>
      <c r="BK276" s="26">
        <f>IF(OR($A276="",BK$3=""),"",IF(AND($J276&lt;&gt;"",$K276&lt;&gt;"",$J276=$K276,$J276&gt;=BK$3,$J276&lt;=IF(param_mode_affichage="mois",EOMONTH(BK$3,0),BK$3+6)),"◆",""))</f>
      </c>
      <c r="BL276" s="26">
        <f>IF(OR($A276="",BL$3=""),"",IF(AND($J276&lt;&gt;"",$K276&lt;&gt;"",$J276=$K276,$J276&gt;=BL$3,$J276&lt;=IF(param_mode_affichage="mois",EOMONTH(BL$3,0),BL$3+6)),"◆",""))</f>
      </c>
    </row>
    <row r="277" spans="1:64" x14ac:dyDescent="0.25">
      <c r="A277" s="23">
        <f>IFERROR(INDEX(tblTasks[ID],ROW()-4),"")</f>
      </c>
      <c r="B277" s="24">
        <f>IF($A277="","",INDEX(tblTasks[Sujet],ROW()-4))</f>
      </c>
      <c r="C277" s="23">
        <f>IF($A277="","",INDEX(tblTasks[Responsable],ROW()-4))</f>
      </c>
      <c r="D277" s="23">
        <f>IF($A277="","",INDEX(tblTasks[Statut],ROW()-4))</f>
      </c>
      <c r="E277" s="23">
        <f>IF($A277="","",INDEX(tblTasks[Depend_de],ROW()-4))</f>
      </c>
      <c r="F277" s="23">
        <f>IF($A277="","",INDEX(tblTasks[Blocage],ROW()-4))</f>
      </c>
      <c r="G277" s="23">
        <f>IF($A277="","",INDEX(tblTasks[Niveau_criticite],ROW()-4))</f>
      </c>
      <c r="H277" s="23">
        <f>IF($A277="","",INDEX(tblTasks[Goulot],ROW()-4))</f>
      </c>
      <c r="I277" s="23">
        <f>IF($A277="","",IF(LOWER($F277)="oui","non",IF($E277="","oui",IFERROR(IF(LOWER(INDEX(tblTasks[Statut],MATCH($E277,tblTasks[ID],0)))="clos","oui","non"),"non"))))</f>
      </c>
      <c r="J277" s="25">
        <f>IF($A277="","",INDEX(tblTasks[Date_debut_prevue],ROW()-4))</f>
      </c>
      <c r="K277" s="25">
        <f>IF($A277="","",INDEX(tblTasks[Date_fin_prevue],ROW()-4))</f>
      </c>
      <c r="L277" s="23">
        <f>IF($A277="","",INDEX(tblTasks[Irreversibilite],ROW()-4))</f>
      </c>
      <c r="M277" s="26">
        <f>IF(OR($A277="",M$3=""),"",IF(AND($J277&lt;&gt;"",$K277&lt;&gt;"",$J277=$K277,$J277&gt;=M$3,$J277&lt;=IF(param_mode_affichage="mois",EOMONTH(M$3,0),M$3+6)),"◆",""))</f>
      </c>
      <c r="N277" s="26">
        <f>IF(OR($A277="",N$3=""),"",IF(AND($J277&lt;&gt;"",$K277&lt;&gt;"",$J277=$K277,$J277&gt;=N$3,$J277&lt;=IF(param_mode_affichage="mois",EOMONTH(N$3,0),N$3+6)),"◆",""))</f>
      </c>
      <c r="O277" s="26">
        <f>IF(OR($A277="",O$3=""),"",IF(AND($J277&lt;&gt;"",$K277&lt;&gt;"",$J277=$K277,$J277&gt;=O$3,$J277&lt;=IF(param_mode_affichage="mois",EOMONTH(O$3,0),O$3+6)),"◆",""))</f>
      </c>
      <c r="P277" s="26">
        <f>IF(OR($A277="",P$3=""),"",IF(AND($J277&lt;&gt;"",$K277&lt;&gt;"",$J277=$K277,$J277&gt;=P$3,$J277&lt;=IF(param_mode_affichage="mois",EOMONTH(P$3,0),P$3+6)),"◆",""))</f>
      </c>
      <c r="Q277" s="26">
        <f>IF(OR($A277="",Q$3=""),"",IF(AND($J277&lt;&gt;"",$K277&lt;&gt;"",$J277=$K277,$J277&gt;=Q$3,$J277&lt;=IF(param_mode_affichage="mois",EOMONTH(Q$3,0),Q$3+6)),"◆",""))</f>
      </c>
      <c r="R277" s="26">
        <f>IF(OR($A277="",R$3=""),"",IF(AND($J277&lt;&gt;"",$K277&lt;&gt;"",$J277=$K277,$J277&gt;=R$3,$J277&lt;=IF(param_mode_affichage="mois",EOMONTH(R$3,0),R$3+6)),"◆",""))</f>
      </c>
      <c r="S277" s="26">
        <f>IF(OR($A277="",S$3=""),"",IF(AND($J277&lt;&gt;"",$K277&lt;&gt;"",$J277=$K277,$J277&gt;=S$3,$J277&lt;=IF(param_mode_affichage="mois",EOMONTH(S$3,0),S$3+6)),"◆",""))</f>
      </c>
      <c r="T277" s="26">
        <f>IF(OR($A277="",T$3=""),"",IF(AND($J277&lt;&gt;"",$K277&lt;&gt;"",$J277=$K277,$J277&gt;=T$3,$J277&lt;=IF(param_mode_affichage="mois",EOMONTH(T$3,0),T$3+6)),"◆",""))</f>
      </c>
      <c r="U277" s="26">
        <f>IF(OR($A277="",U$3=""),"",IF(AND($J277&lt;&gt;"",$K277&lt;&gt;"",$J277=$K277,$J277&gt;=U$3,$J277&lt;=IF(param_mode_affichage="mois",EOMONTH(U$3,0),U$3+6)),"◆",""))</f>
      </c>
      <c r="V277" s="26">
        <f>IF(OR($A277="",V$3=""),"",IF(AND($J277&lt;&gt;"",$K277&lt;&gt;"",$J277=$K277,$J277&gt;=V$3,$J277&lt;=IF(param_mode_affichage="mois",EOMONTH(V$3,0),V$3+6)),"◆",""))</f>
      </c>
      <c r="W277" s="26">
        <f>IF(OR($A277="",W$3=""),"",IF(AND($J277&lt;&gt;"",$K277&lt;&gt;"",$J277=$K277,$J277&gt;=W$3,$J277&lt;=IF(param_mode_affichage="mois",EOMONTH(W$3,0),W$3+6)),"◆",""))</f>
      </c>
      <c r="X277" s="26">
        <f>IF(OR($A277="",X$3=""),"",IF(AND($J277&lt;&gt;"",$K277&lt;&gt;"",$J277=$K277,$J277&gt;=X$3,$J277&lt;=IF(param_mode_affichage="mois",EOMONTH(X$3,0),X$3+6)),"◆",""))</f>
      </c>
      <c r="Y277" s="26">
        <f>IF(OR($A277="",Y$3=""),"",IF(AND($J277&lt;&gt;"",$K277&lt;&gt;"",$J277=$K277,$J277&gt;=Y$3,$J277&lt;=IF(param_mode_affichage="mois",EOMONTH(Y$3,0),Y$3+6)),"◆",""))</f>
      </c>
      <c r="Z277" s="26">
        <f>IF(OR($A277="",Z$3=""),"",IF(AND($J277&lt;&gt;"",$K277&lt;&gt;"",$J277=$K277,$J277&gt;=Z$3,$J277&lt;=IF(param_mode_affichage="mois",EOMONTH(Z$3,0),Z$3+6)),"◆",""))</f>
      </c>
      <c r="AA277" s="26">
        <f>IF(OR($A277="",AA$3=""),"",IF(AND($J277&lt;&gt;"",$K277&lt;&gt;"",$J277=$K277,$J277&gt;=AA$3,$J277&lt;=IF(param_mode_affichage="mois",EOMONTH(AA$3,0),AA$3+6)),"◆",""))</f>
      </c>
      <c r="AB277" s="26">
        <f>IF(OR($A277="",AB$3=""),"",IF(AND($J277&lt;&gt;"",$K277&lt;&gt;"",$J277=$K277,$J277&gt;=AB$3,$J277&lt;=IF(param_mode_affichage="mois",EOMONTH(AB$3,0),AB$3+6)),"◆",""))</f>
      </c>
      <c r="AC277" s="26">
        <f>IF(OR($A277="",AC$3=""),"",IF(AND($J277&lt;&gt;"",$K277&lt;&gt;"",$J277=$K277,$J277&gt;=AC$3,$J277&lt;=IF(param_mode_affichage="mois",EOMONTH(AC$3,0),AC$3+6)),"◆",""))</f>
      </c>
      <c r="AD277" s="26">
        <f>IF(OR($A277="",AD$3=""),"",IF(AND($J277&lt;&gt;"",$K277&lt;&gt;"",$J277=$K277,$J277&gt;=AD$3,$J277&lt;=IF(param_mode_affichage="mois",EOMONTH(AD$3,0),AD$3+6)),"◆",""))</f>
      </c>
      <c r="AE277" s="26">
        <f>IF(OR($A277="",AE$3=""),"",IF(AND($J277&lt;&gt;"",$K277&lt;&gt;"",$J277=$K277,$J277&gt;=AE$3,$J277&lt;=IF(param_mode_affichage="mois",EOMONTH(AE$3,0),AE$3+6)),"◆",""))</f>
      </c>
      <c r="AF277" s="26">
        <f>IF(OR($A277="",AF$3=""),"",IF(AND($J277&lt;&gt;"",$K277&lt;&gt;"",$J277=$K277,$J277&gt;=AF$3,$J277&lt;=IF(param_mode_affichage="mois",EOMONTH(AF$3,0),AF$3+6)),"◆",""))</f>
      </c>
      <c r="AG277" s="26">
        <f>IF(OR($A277="",AG$3=""),"",IF(AND($J277&lt;&gt;"",$K277&lt;&gt;"",$J277=$K277,$J277&gt;=AG$3,$J277&lt;=IF(param_mode_affichage="mois",EOMONTH(AG$3,0),AG$3+6)),"◆",""))</f>
      </c>
      <c r="AH277" s="26">
        <f>IF(OR($A277="",AH$3=""),"",IF(AND($J277&lt;&gt;"",$K277&lt;&gt;"",$J277=$K277,$J277&gt;=AH$3,$J277&lt;=IF(param_mode_affichage="mois",EOMONTH(AH$3,0),AH$3+6)),"◆",""))</f>
      </c>
      <c r="AI277" s="26">
        <f>IF(OR($A277="",AI$3=""),"",IF(AND($J277&lt;&gt;"",$K277&lt;&gt;"",$J277=$K277,$J277&gt;=AI$3,$J277&lt;=IF(param_mode_affichage="mois",EOMONTH(AI$3,0),AI$3+6)),"◆",""))</f>
      </c>
      <c r="AJ277" s="26">
        <f>IF(OR($A277="",AJ$3=""),"",IF(AND($J277&lt;&gt;"",$K277&lt;&gt;"",$J277=$K277,$J277&gt;=AJ$3,$J277&lt;=IF(param_mode_affichage="mois",EOMONTH(AJ$3,0),AJ$3+6)),"◆",""))</f>
      </c>
      <c r="AK277" s="26">
        <f>IF(OR($A277="",AK$3=""),"",IF(AND($J277&lt;&gt;"",$K277&lt;&gt;"",$J277=$K277,$J277&gt;=AK$3,$J277&lt;=IF(param_mode_affichage="mois",EOMONTH(AK$3,0),AK$3+6)),"◆",""))</f>
      </c>
      <c r="AL277" s="26">
        <f>IF(OR($A277="",AL$3=""),"",IF(AND($J277&lt;&gt;"",$K277&lt;&gt;"",$J277=$K277,$J277&gt;=AL$3,$J277&lt;=IF(param_mode_affichage="mois",EOMONTH(AL$3,0),AL$3+6)),"◆",""))</f>
      </c>
      <c r="AM277" s="26">
        <f>IF(OR($A277="",AM$3=""),"",IF(AND($J277&lt;&gt;"",$K277&lt;&gt;"",$J277=$K277,$J277&gt;=AM$3,$J277&lt;=IF(param_mode_affichage="mois",EOMONTH(AM$3,0),AM$3+6)),"◆",""))</f>
      </c>
      <c r="AN277" s="26">
        <f>IF(OR($A277="",AN$3=""),"",IF(AND($J277&lt;&gt;"",$K277&lt;&gt;"",$J277=$K277,$J277&gt;=AN$3,$J277&lt;=IF(param_mode_affichage="mois",EOMONTH(AN$3,0),AN$3+6)),"◆",""))</f>
      </c>
      <c r="AO277" s="26">
        <f>IF(OR($A277="",AO$3=""),"",IF(AND($J277&lt;&gt;"",$K277&lt;&gt;"",$J277=$K277,$J277&gt;=AO$3,$J277&lt;=IF(param_mode_affichage="mois",EOMONTH(AO$3,0),AO$3+6)),"◆",""))</f>
      </c>
      <c r="AP277" s="26">
        <f>IF(OR($A277="",AP$3=""),"",IF(AND($J277&lt;&gt;"",$K277&lt;&gt;"",$J277=$K277,$J277&gt;=AP$3,$J277&lt;=IF(param_mode_affichage="mois",EOMONTH(AP$3,0),AP$3+6)),"◆",""))</f>
      </c>
      <c r="AQ277" s="26">
        <f>IF(OR($A277="",AQ$3=""),"",IF(AND($J277&lt;&gt;"",$K277&lt;&gt;"",$J277=$K277,$J277&gt;=AQ$3,$J277&lt;=IF(param_mode_affichage="mois",EOMONTH(AQ$3,0),AQ$3+6)),"◆",""))</f>
      </c>
      <c r="AR277" s="26">
        <f>IF(OR($A277="",AR$3=""),"",IF(AND($J277&lt;&gt;"",$K277&lt;&gt;"",$J277=$K277,$J277&gt;=AR$3,$J277&lt;=IF(param_mode_affichage="mois",EOMONTH(AR$3,0),AR$3+6)),"◆",""))</f>
      </c>
      <c r="AS277" s="26">
        <f>IF(OR($A277="",AS$3=""),"",IF(AND($J277&lt;&gt;"",$K277&lt;&gt;"",$J277=$K277,$J277&gt;=AS$3,$J277&lt;=IF(param_mode_affichage="mois",EOMONTH(AS$3,0),AS$3+6)),"◆",""))</f>
      </c>
      <c r="AT277" s="26">
        <f>IF(OR($A277="",AT$3=""),"",IF(AND($J277&lt;&gt;"",$K277&lt;&gt;"",$J277=$K277,$J277&gt;=AT$3,$J277&lt;=IF(param_mode_affichage="mois",EOMONTH(AT$3,0),AT$3+6)),"◆",""))</f>
      </c>
      <c r="AU277" s="26">
        <f>IF(OR($A277="",AU$3=""),"",IF(AND($J277&lt;&gt;"",$K277&lt;&gt;"",$J277=$K277,$J277&gt;=AU$3,$J277&lt;=IF(param_mode_affichage="mois",EOMONTH(AU$3,0),AU$3+6)),"◆",""))</f>
      </c>
      <c r="AV277" s="26">
        <f>IF(OR($A277="",AV$3=""),"",IF(AND($J277&lt;&gt;"",$K277&lt;&gt;"",$J277=$K277,$J277&gt;=AV$3,$J277&lt;=IF(param_mode_affichage="mois",EOMONTH(AV$3,0),AV$3+6)),"◆",""))</f>
      </c>
      <c r="AW277" s="26">
        <f>IF(OR($A277="",AW$3=""),"",IF(AND($J277&lt;&gt;"",$K277&lt;&gt;"",$J277=$K277,$J277&gt;=AW$3,$J277&lt;=IF(param_mode_affichage="mois",EOMONTH(AW$3,0),AW$3+6)),"◆",""))</f>
      </c>
      <c r="AX277" s="26">
        <f>IF(OR($A277="",AX$3=""),"",IF(AND($J277&lt;&gt;"",$K277&lt;&gt;"",$J277=$K277,$J277&gt;=AX$3,$J277&lt;=IF(param_mode_affichage="mois",EOMONTH(AX$3,0),AX$3+6)),"◆",""))</f>
      </c>
      <c r="AY277" s="26">
        <f>IF(OR($A277="",AY$3=""),"",IF(AND($J277&lt;&gt;"",$K277&lt;&gt;"",$J277=$K277,$J277&gt;=AY$3,$J277&lt;=IF(param_mode_affichage="mois",EOMONTH(AY$3,0),AY$3+6)),"◆",""))</f>
      </c>
      <c r="AZ277" s="26">
        <f>IF(OR($A277="",AZ$3=""),"",IF(AND($J277&lt;&gt;"",$K277&lt;&gt;"",$J277=$K277,$J277&gt;=AZ$3,$J277&lt;=IF(param_mode_affichage="mois",EOMONTH(AZ$3,0),AZ$3+6)),"◆",""))</f>
      </c>
      <c r="BA277" s="26">
        <f>IF(OR($A277="",BA$3=""),"",IF(AND($J277&lt;&gt;"",$K277&lt;&gt;"",$J277=$K277,$J277&gt;=BA$3,$J277&lt;=IF(param_mode_affichage="mois",EOMONTH(BA$3,0),BA$3+6)),"◆",""))</f>
      </c>
      <c r="BB277" s="26">
        <f>IF(OR($A277="",BB$3=""),"",IF(AND($J277&lt;&gt;"",$K277&lt;&gt;"",$J277=$K277,$J277&gt;=BB$3,$J277&lt;=IF(param_mode_affichage="mois",EOMONTH(BB$3,0),BB$3+6)),"◆",""))</f>
      </c>
      <c r="BC277" s="26">
        <f>IF(OR($A277="",BC$3=""),"",IF(AND($J277&lt;&gt;"",$K277&lt;&gt;"",$J277=$K277,$J277&gt;=BC$3,$J277&lt;=IF(param_mode_affichage="mois",EOMONTH(BC$3,0),BC$3+6)),"◆",""))</f>
      </c>
      <c r="BD277" s="26">
        <f>IF(OR($A277="",BD$3=""),"",IF(AND($J277&lt;&gt;"",$K277&lt;&gt;"",$J277=$K277,$J277&gt;=BD$3,$J277&lt;=IF(param_mode_affichage="mois",EOMONTH(BD$3,0),BD$3+6)),"◆",""))</f>
      </c>
      <c r="BE277" s="26">
        <f>IF(OR($A277="",BE$3=""),"",IF(AND($J277&lt;&gt;"",$K277&lt;&gt;"",$J277=$K277,$J277&gt;=BE$3,$J277&lt;=IF(param_mode_affichage="mois",EOMONTH(BE$3,0),BE$3+6)),"◆",""))</f>
      </c>
      <c r="BF277" s="26">
        <f>IF(OR($A277="",BF$3=""),"",IF(AND($J277&lt;&gt;"",$K277&lt;&gt;"",$J277=$K277,$J277&gt;=BF$3,$J277&lt;=IF(param_mode_affichage="mois",EOMONTH(BF$3,0),BF$3+6)),"◆",""))</f>
      </c>
      <c r="BG277" s="26">
        <f>IF(OR($A277="",BG$3=""),"",IF(AND($J277&lt;&gt;"",$K277&lt;&gt;"",$J277=$K277,$J277&gt;=BG$3,$J277&lt;=IF(param_mode_affichage="mois",EOMONTH(BG$3,0),BG$3+6)),"◆",""))</f>
      </c>
      <c r="BH277" s="26">
        <f>IF(OR($A277="",BH$3=""),"",IF(AND($J277&lt;&gt;"",$K277&lt;&gt;"",$J277=$K277,$J277&gt;=BH$3,$J277&lt;=IF(param_mode_affichage="mois",EOMONTH(BH$3,0),BH$3+6)),"◆",""))</f>
      </c>
      <c r="BI277" s="26">
        <f>IF(OR($A277="",BI$3=""),"",IF(AND($J277&lt;&gt;"",$K277&lt;&gt;"",$J277=$K277,$J277&gt;=BI$3,$J277&lt;=IF(param_mode_affichage="mois",EOMONTH(BI$3,0),BI$3+6)),"◆",""))</f>
      </c>
      <c r="BJ277" s="26">
        <f>IF(OR($A277="",BJ$3=""),"",IF(AND($J277&lt;&gt;"",$K277&lt;&gt;"",$J277=$K277,$J277&gt;=BJ$3,$J277&lt;=IF(param_mode_affichage="mois",EOMONTH(BJ$3,0),BJ$3+6)),"◆",""))</f>
      </c>
      <c r="BK277" s="26">
        <f>IF(OR($A277="",BK$3=""),"",IF(AND($J277&lt;&gt;"",$K277&lt;&gt;"",$J277=$K277,$J277&gt;=BK$3,$J277&lt;=IF(param_mode_affichage="mois",EOMONTH(BK$3,0),BK$3+6)),"◆",""))</f>
      </c>
      <c r="BL277" s="26">
        <f>IF(OR($A277="",BL$3=""),"",IF(AND($J277&lt;&gt;"",$K277&lt;&gt;"",$J277=$K277,$J277&gt;=BL$3,$J277&lt;=IF(param_mode_affichage="mois",EOMONTH(BL$3,0),BL$3+6)),"◆",""))</f>
      </c>
    </row>
    <row r="278" spans="1:64" x14ac:dyDescent="0.25">
      <c r="A278" s="23">
        <f>IFERROR(INDEX(tblTasks[ID],ROW()-4),"")</f>
      </c>
      <c r="B278" s="24">
        <f>IF($A278="","",INDEX(tblTasks[Sujet],ROW()-4))</f>
      </c>
      <c r="C278" s="23">
        <f>IF($A278="","",INDEX(tblTasks[Responsable],ROW()-4))</f>
      </c>
      <c r="D278" s="23">
        <f>IF($A278="","",INDEX(tblTasks[Statut],ROW()-4))</f>
      </c>
      <c r="E278" s="23">
        <f>IF($A278="","",INDEX(tblTasks[Depend_de],ROW()-4))</f>
      </c>
      <c r="F278" s="23">
        <f>IF($A278="","",INDEX(tblTasks[Blocage],ROW()-4))</f>
      </c>
      <c r="G278" s="23">
        <f>IF($A278="","",INDEX(tblTasks[Niveau_criticite],ROW()-4))</f>
      </c>
      <c r="H278" s="23">
        <f>IF($A278="","",INDEX(tblTasks[Goulot],ROW()-4))</f>
      </c>
      <c r="I278" s="23">
        <f>IF($A278="","",IF(LOWER($F278)="oui","non",IF($E278="","oui",IFERROR(IF(LOWER(INDEX(tblTasks[Statut],MATCH($E278,tblTasks[ID],0)))="clos","oui","non"),"non"))))</f>
      </c>
      <c r="J278" s="25">
        <f>IF($A278="","",INDEX(tblTasks[Date_debut_prevue],ROW()-4))</f>
      </c>
      <c r="K278" s="25">
        <f>IF($A278="","",INDEX(tblTasks[Date_fin_prevue],ROW()-4))</f>
      </c>
      <c r="L278" s="23">
        <f>IF($A278="","",INDEX(tblTasks[Irreversibilite],ROW()-4))</f>
      </c>
      <c r="M278" s="26">
        <f>IF(OR($A278="",M$3=""),"",IF(AND($J278&lt;&gt;"",$K278&lt;&gt;"",$J278=$K278,$J278&gt;=M$3,$J278&lt;=IF(param_mode_affichage="mois",EOMONTH(M$3,0),M$3+6)),"◆",""))</f>
      </c>
      <c r="N278" s="26">
        <f>IF(OR($A278="",N$3=""),"",IF(AND($J278&lt;&gt;"",$K278&lt;&gt;"",$J278=$K278,$J278&gt;=N$3,$J278&lt;=IF(param_mode_affichage="mois",EOMONTH(N$3,0),N$3+6)),"◆",""))</f>
      </c>
      <c r="O278" s="26">
        <f>IF(OR($A278="",O$3=""),"",IF(AND($J278&lt;&gt;"",$K278&lt;&gt;"",$J278=$K278,$J278&gt;=O$3,$J278&lt;=IF(param_mode_affichage="mois",EOMONTH(O$3,0),O$3+6)),"◆",""))</f>
      </c>
      <c r="P278" s="26">
        <f>IF(OR($A278="",P$3=""),"",IF(AND($J278&lt;&gt;"",$K278&lt;&gt;"",$J278=$K278,$J278&gt;=P$3,$J278&lt;=IF(param_mode_affichage="mois",EOMONTH(P$3,0),P$3+6)),"◆",""))</f>
      </c>
      <c r="Q278" s="26">
        <f>IF(OR($A278="",Q$3=""),"",IF(AND($J278&lt;&gt;"",$K278&lt;&gt;"",$J278=$K278,$J278&gt;=Q$3,$J278&lt;=IF(param_mode_affichage="mois",EOMONTH(Q$3,0),Q$3+6)),"◆",""))</f>
      </c>
      <c r="R278" s="26">
        <f>IF(OR($A278="",R$3=""),"",IF(AND($J278&lt;&gt;"",$K278&lt;&gt;"",$J278=$K278,$J278&gt;=R$3,$J278&lt;=IF(param_mode_affichage="mois",EOMONTH(R$3,0),R$3+6)),"◆",""))</f>
      </c>
      <c r="S278" s="26">
        <f>IF(OR($A278="",S$3=""),"",IF(AND($J278&lt;&gt;"",$K278&lt;&gt;"",$J278=$K278,$J278&gt;=S$3,$J278&lt;=IF(param_mode_affichage="mois",EOMONTH(S$3,0),S$3+6)),"◆",""))</f>
      </c>
      <c r="T278" s="26">
        <f>IF(OR($A278="",T$3=""),"",IF(AND($J278&lt;&gt;"",$K278&lt;&gt;"",$J278=$K278,$J278&gt;=T$3,$J278&lt;=IF(param_mode_affichage="mois",EOMONTH(T$3,0),T$3+6)),"◆",""))</f>
      </c>
      <c r="U278" s="26">
        <f>IF(OR($A278="",U$3=""),"",IF(AND($J278&lt;&gt;"",$K278&lt;&gt;"",$J278=$K278,$J278&gt;=U$3,$J278&lt;=IF(param_mode_affichage="mois",EOMONTH(U$3,0),U$3+6)),"◆",""))</f>
      </c>
      <c r="V278" s="26">
        <f>IF(OR($A278="",V$3=""),"",IF(AND($J278&lt;&gt;"",$K278&lt;&gt;"",$J278=$K278,$J278&gt;=V$3,$J278&lt;=IF(param_mode_affichage="mois",EOMONTH(V$3,0),V$3+6)),"◆",""))</f>
      </c>
      <c r="W278" s="26">
        <f>IF(OR($A278="",W$3=""),"",IF(AND($J278&lt;&gt;"",$K278&lt;&gt;"",$J278=$K278,$J278&gt;=W$3,$J278&lt;=IF(param_mode_affichage="mois",EOMONTH(W$3,0),W$3+6)),"◆",""))</f>
      </c>
      <c r="X278" s="26">
        <f>IF(OR($A278="",X$3=""),"",IF(AND($J278&lt;&gt;"",$K278&lt;&gt;"",$J278=$K278,$J278&gt;=X$3,$J278&lt;=IF(param_mode_affichage="mois",EOMONTH(X$3,0),X$3+6)),"◆",""))</f>
      </c>
      <c r="Y278" s="26">
        <f>IF(OR($A278="",Y$3=""),"",IF(AND($J278&lt;&gt;"",$K278&lt;&gt;"",$J278=$K278,$J278&gt;=Y$3,$J278&lt;=IF(param_mode_affichage="mois",EOMONTH(Y$3,0),Y$3+6)),"◆",""))</f>
      </c>
      <c r="Z278" s="26">
        <f>IF(OR($A278="",Z$3=""),"",IF(AND($J278&lt;&gt;"",$K278&lt;&gt;"",$J278=$K278,$J278&gt;=Z$3,$J278&lt;=IF(param_mode_affichage="mois",EOMONTH(Z$3,0),Z$3+6)),"◆",""))</f>
      </c>
      <c r="AA278" s="26">
        <f>IF(OR($A278="",AA$3=""),"",IF(AND($J278&lt;&gt;"",$K278&lt;&gt;"",$J278=$K278,$J278&gt;=AA$3,$J278&lt;=IF(param_mode_affichage="mois",EOMONTH(AA$3,0),AA$3+6)),"◆",""))</f>
      </c>
      <c r="AB278" s="26">
        <f>IF(OR($A278="",AB$3=""),"",IF(AND($J278&lt;&gt;"",$K278&lt;&gt;"",$J278=$K278,$J278&gt;=AB$3,$J278&lt;=IF(param_mode_affichage="mois",EOMONTH(AB$3,0),AB$3+6)),"◆",""))</f>
      </c>
      <c r="AC278" s="26">
        <f>IF(OR($A278="",AC$3=""),"",IF(AND($J278&lt;&gt;"",$K278&lt;&gt;"",$J278=$K278,$J278&gt;=AC$3,$J278&lt;=IF(param_mode_affichage="mois",EOMONTH(AC$3,0),AC$3+6)),"◆",""))</f>
      </c>
      <c r="AD278" s="26">
        <f>IF(OR($A278="",AD$3=""),"",IF(AND($J278&lt;&gt;"",$K278&lt;&gt;"",$J278=$K278,$J278&gt;=AD$3,$J278&lt;=IF(param_mode_affichage="mois",EOMONTH(AD$3,0),AD$3+6)),"◆",""))</f>
      </c>
      <c r="AE278" s="26">
        <f>IF(OR($A278="",AE$3=""),"",IF(AND($J278&lt;&gt;"",$K278&lt;&gt;"",$J278=$K278,$J278&gt;=AE$3,$J278&lt;=IF(param_mode_affichage="mois",EOMONTH(AE$3,0),AE$3+6)),"◆",""))</f>
      </c>
      <c r="AF278" s="26">
        <f>IF(OR($A278="",AF$3=""),"",IF(AND($J278&lt;&gt;"",$K278&lt;&gt;"",$J278=$K278,$J278&gt;=AF$3,$J278&lt;=IF(param_mode_affichage="mois",EOMONTH(AF$3,0),AF$3+6)),"◆",""))</f>
      </c>
      <c r="AG278" s="26">
        <f>IF(OR($A278="",AG$3=""),"",IF(AND($J278&lt;&gt;"",$K278&lt;&gt;"",$J278=$K278,$J278&gt;=AG$3,$J278&lt;=IF(param_mode_affichage="mois",EOMONTH(AG$3,0),AG$3+6)),"◆",""))</f>
      </c>
      <c r="AH278" s="26">
        <f>IF(OR($A278="",AH$3=""),"",IF(AND($J278&lt;&gt;"",$K278&lt;&gt;"",$J278=$K278,$J278&gt;=AH$3,$J278&lt;=IF(param_mode_affichage="mois",EOMONTH(AH$3,0),AH$3+6)),"◆",""))</f>
      </c>
      <c r="AI278" s="26">
        <f>IF(OR($A278="",AI$3=""),"",IF(AND($J278&lt;&gt;"",$K278&lt;&gt;"",$J278=$K278,$J278&gt;=AI$3,$J278&lt;=IF(param_mode_affichage="mois",EOMONTH(AI$3,0),AI$3+6)),"◆",""))</f>
      </c>
      <c r="AJ278" s="26">
        <f>IF(OR($A278="",AJ$3=""),"",IF(AND($J278&lt;&gt;"",$K278&lt;&gt;"",$J278=$K278,$J278&gt;=AJ$3,$J278&lt;=IF(param_mode_affichage="mois",EOMONTH(AJ$3,0),AJ$3+6)),"◆",""))</f>
      </c>
      <c r="AK278" s="26">
        <f>IF(OR($A278="",AK$3=""),"",IF(AND($J278&lt;&gt;"",$K278&lt;&gt;"",$J278=$K278,$J278&gt;=AK$3,$J278&lt;=IF(param_mode_affichage="mois",EOMONTH(AK$3,0),AK$3+6)),"◆",""))</f>
      </c>
      <c r="AL278" s="26">
        <f>IF(OR($A278="",AL$3=""),"",IF(AND($J278&lt;&gt;"",$K278&lt;&gt;"",$J278=$K278,$J278&gt;=AL$3,$J278&lt;=IF(param_mode_affichage="mois",EOMONTH(AL$3,0),AL$3+6)),"◆",""))</f>
      </c>
      <c r="AM278" s="26">
        <f>IF(OR($A278="",AM$3=""),"",IF(AND($J278&lt;&gt;"",$K278&lt;&gt;"",$J278=$K278,$J278&gt;=AM$3,$J278&lt;=IF(param_mode_affichage="mois",EOMONTH(AM$3,0),AM$3+6)),"◆",""))</f>
      </c>
      <c r="AN278" s="26">
        <f>IF(OR($A278="",AN$3=""),"",IF(AND($J278&lt;&gt;"",$K278&lt;&gt;"",$J278=$K278,$J278&gt;=AN$3,$J278&lt;=IF(param_mode_affichage="mois",EOMONTH(AN$3,0),AN$3+6)),"◆",""))</f>
      </c>
      <c r="AO278" s="26">
        <f>IF(OR($A278="",AO$3=""),"",IF(AND($J278&lt;&gt;"",$K278&lt;&gt;"",$J278=$K278,$J278&gt;=AO$3,$J278&lt;=IF(param_mode_affichage="mois",EOMONTH(AO$3,0),AO$3+6)),"◆",""))</f>
      </c>
      <c r="AP278" s="26">
        <f>IF(OR($A278="",AP$3=""),"",IF(AND($J278&lt;&gt;"",$K278&lt;&gt;"",$J278=$K278,$J278&gt;=AP$3,$J278&lt;=IF(param_mode_affichage="mois",EOMONTH(AP$3,0),AP$3+6)),"◆",""))</f>
      </c>
      <c r="AQ278" s="26">
        <f>IF(OR($A278="",AQ$3=""),"",IF(AND($J278&lt;&gt;"",$K278&lt;&gt;"",$J278=$K278,$J278&gt;=AQ$3,$J278&lt;=IF(param_mode_affichage="mois",EOMONTH(AQ$3,0),AQ$3+6)),"◆",""))</f>
      </c>
      <c r="AR278" s="26">
        <f>IF(OR($A278="",AR$3=""),"",IF(AND($J278&lt;&gt;"",$K278&lt;&gt;"",$J278=$K278,$J278&gt;=AR$3,$J278&lt;=IF(param_mode_affichage="mois",EOMONTH(AR$3,0),AR$3+6)),"◆",""))</f>
      </c>
      <c r="AS278" s="26">
        <f>IF(OR($A278="",AS$3=""),"",IF(AND($J278&lt;&gt;"",$K278&lt;&gt;"",$J278=$K278,$J278&gt;=AS$3,$J278&lt;=IF(param_mode_affichage="mois",EOMONTH(AS$3,0),AS$3+6)),"◆",""))</f>
      </c>
      <c r="AT278" s="26">
        <f>IF(OR($A278="",AT$3=""),"",IF(AND($J278&lt;&gt;"",$K278&lt;&gt;"",$J278=$K278,$J278&gt;=AT$3,$J278&lt;=IF(param_mode_affichage="mois",EOMONTH(AT$3,0),AT$3+6)),"◆",""))</f>
      </c>
      <c r="AU278" s="26">
        <f>IF(OR($A278="",AU$3=""),"",IF(AND($J278&lt;&gt;"",$K278&lt;&gt;"",$J278=$K278,$J278&gt;=AU$3,$J278&lt;=IF(param_mode_affichage="mois",EOMONTH(AU$3,0),AU$3+6)),"◆",""))</f>
      </c>
      <c r="AV278" s="26">
        <f>IF(OR($A278="",AV$3=""),"",IF(AND($J278&lt;&gt;"",$K278&lt;&gt;"",$J278=$K278,$J278&gt;=AV$3,$J278&lt;=IF(param_mode_affichage="mois",EOMONTH(AV$3,0),AV$3+6)),"◆",""))</f>
      </c>
      <c r="AW278" s="26">
        <f>IF(OR($A278="",AW$3=""),"",IF(AND($J278&lt;&gt;"",$K278&lt;&gt;"",$J278=$K278,$J278&gt;=AW$3,$J278&lt;=IF(param_mode_affichage="mois",EOMONTH(AW$3,0),AW$3+6)),"◆",""))</f>
      </c>
      <c r="AX278" s="26">
        <f>IF(OR($A278="",AX$3=""),"",IF(AND($J278&lt;&gt;"",$K278&lt;&gt;"",$J278=$K278,$J278&gt;=AX$3,$J278&lt;=IF(param_mode_affichage="mois",EOMONTH(AX$3,0),AX$3+6)),"◆",""))</f>
      </c>
      <c r="AY278" s="26">
        <f>IF(OR($A278="",AY$3=""),"",IF(AND($J278&lt;&gt;"",$K278&lt;&gt;"",$J278=$K278,$J278&gt;=AY$3,$J278&lt;=IF(param_mode_affichage="mois",EOMONTH(AY$3,0),AY$3+6)),"◆",""))</f>
      </c>
      <c r="AZ278" s="26">
        <f>IF(OR($A278="",AZ$3=""),"",IF(AND($J278&lt;&gt;"",$K278&lt;&gt;"",$J278=$K278,$J278&gt;=AZ$3,$J278&lt;=IF(param_mode_affichage="mois",EOMONTH(AZ$3,0),AZ$3+6)),"◆",""))</f>
      </c>
      <c r="BA278" s="26">
        <f>IF(OR($A278="",BA$3=""),"",IF(AND($J278&lt;&gt;"",$K278&lt;&gt;"",$J278=$K278,$J278&gt;=BA$3,$J278&lt;=IF(param_mode_affichage="mois",EOMONTH(BA$3,0),BA$3+6)),"◆",""))</f>
      </c>
      <c r="BB278" s="26">
        <f>IF(OR($A278="",BB$3=""),"",IF(AND($J278&lt;&gt;"",$K278&lt;&gt;"",$J278=$K278,$J278&gt;=BB$3,$J278&lt;=IF(param_mode_affichage="mois",EOMONTH(BB$3,0),BB$3+6)),"◆",""))</f>
      </c>
      <c r="BC278" s="26">
        <f>IF(OR($A278="",BC$3=""),"",IF(AND($J278&lt;&gt;"",$K278&lt;&gt;"",$J278=$K278,$J278&gt;=BC$3,$J278&lt;=IF(param_mode_affichage="mois",EOMONTH(BC$3,0),BC$3+6)),"◆",""))</f>
      </c>
      <c r="BD278" s="26">
        <f>IF(OR($A278="",BD$3=""),"",IF(AND($J278&lt;&gt;"",$K278&lt;&gt;"",$J278=$K278,$J278&gt;=BD$3,$J278&lt;=IF(param_mode_affichage="mois",EOMONTH(BD$3,0),BD$3+6)),"◆",""))</f>
      </c>
      <c r="BE278" s="26">
        <f>IF(OR($A278="",BE$3=""),"",IF(AND($J278&lt;&gt;"",$K278&lt;&gt;"",$J278=$K278,$J278&gt;=BE$3,$J278&lt;=IF(param_mode_affichage="mois",EOMONTH(BE$3,0),BE$3+6)),"◆",""))</f>
      </c>
      <c r="BF278" s="26">
        <f>IF(OR($A278="",BF$3=""),"",IF(AND($J278&lt;&gt;"",$K278&lt;&gt;"",$J278=$K278,$J278&gt;=BF$3,$J278&lt;=IF(param_mode_affichage="mois",EOMONTH(BF$3,0),BF$3+6)),"◆",""))</f>
      </c>
      <c r="BG278" s="26">
        <f>IF(OR($A278="",BG$3=""),"",IF(AND($J278&lt;&gt;"",$K278&lt;&gt;"",$J278=$K278,$J278&gt;=BG$3,$J278&lt;=IF(param_mode_affichage="mois",EOMONTH(BG$3,0),BG$3+6)),"◆",""))</f>
      </c>
      <c r="BH278" s="26">
        <f>IF(OR($A278="",BH$3=""),"",IF(AND($J278&lt;&gt;"",$K278&lt;&gt;"",$J278=$K278,$J278&gt;=BH$3,$J278&lt;=IF(param_mode_affichage="mois",EOMONTH(BH$3,0),BH$3+6)),"◆",""))</f>
      </c>
      <c r="BI278" s="26">
        <f>IF(OR($A278="",BI$3=""),"",IF(AND($J278&lt;&gt;"",$K278&lt;&gt;"",$J278=$K278,$J278&gt;=BI$3,$J278&lt;=IF(param_mode_affichage="mois",EOMONTH(BI$3,0),BI$3+6)),"◆",""))</f>
      </c>
      <c r="BJ278" s="26">
        <f>IF(OR($A278="",BJ$3=""),"",IF(AND($J278&lt;&gt;"",$K278&lt;&gt;"",$J278=$K278,$J278&gt;=BJ$3,$J278&lt;=IF(param_mode_affichage="mois",EOMONTH(BJ$3,0),BJ$3+6)),"◆",""))</f>
      </c>
      <c r="BK278" s="26">
        <f>IF(OR($A278="",BK$3=""),"",IF(AND($J278&lt;&gt;"",$K278&lt;&gt;"",$J278=$K278,$J278&gt;=BK$3,$J278&lt;=IF(param_mode_affichage="mois",EOMONTH(BK$3,0),BK$3+6)),"◆",""))</f>
      </c>
      <c r="BL278" s="26">
        <f>IF(OR($A278="",BL$3=""),"",IF(AND($J278&lt;&gt;"",$K278&lt;&gt;"",$J278=$K278,$J278&gt;=BL$3,$J278&lt;=IF(param_mode_affichage="mois",EOMONTH(BL$3,0),BL$3+6)),"◆",""))</f>
      </c>
    </row>
    <row r="279" spans="1:64" x14ac:dyDescent="0.25">
      <c r="A279" s="23">
        <f>IFERROR(INDEX(tblTasks[ID],ROW()-4),"")</f>
      </c>
      <c r="B279" s="24">
        <f>IF($A279="","",INDEX(tblTasks[Sujet],ROW()-4))</f>
      </c>
      <c r="C279" s="23">
        <f>IF($A279="","",INDEX(tblTasks[Responsable],ROW()-4))</f>
      </c>
      <c r="D279" s="23">
        <f>IF($A279="","",INDEX(tblTasks[Statut],ROW()-4))</f>
      </c>
      <c r="E279" s="23">
        <f>IF($A279="","",INDEX(tblTasks[Depend_de],ROW()-4))</f>
      </c>
      <c r="F279" s="23">
        <f>IF($A279="","",INDEX(tblTasks[Blocage],ROW()-4))</f>
      </c>
      <c r="G279" s="23">
        <f>IF($A279="","",INDEX(tblTasks[Niveau_criticite],ROW()-4))</f>
      </c>
      <c r="H279" s="23">
        <f>IF($A279="","",INDEX(tblTasks[Goulot],ROW()-4))</f>
      </c>
      <c r="I279" s="23">
        <f>IF($A279="","",IF(LOWER($F279)="oui","non",IF($E279="","oui",IFERROR(IF(LOWER(INDEX(tblTasks[Statut],MATCH($E279,tblTasks[ID],0)))="clos","oui","non"),"non"))))</f>
      </c>
      <c r="J279" s="25">
        <f>IF($A279="","",INDEX(tblTasks[Date_debut_prevue],ROW()-4))</f>
      </c>
      <c r="K279" s="25">
        <f>IF($A279="","",INDEX(tblTasks[Date_fin_prevue],ROW()-4))</f>
      </c>
      <c r="L279" s="23">
        <f>IF($A279="","",INDEX(tblTasks[Irreversibilite],ROW()-4))</f>
      </c>
      <c r="M279" s="26">
        <f>IF(OR($A279="",M$3=""),"",IF(AND($J279&lt;&gt;"",$K279&lt;&gt;"",$J279=$K279,$J279&gt;=M$3,$J279&lt;=IF(param_mode_affichage="mois",EOMONTH(M$3,0),M$3+6)),"◆",""))</f>
      </c>
      <c r="N279" s="26">
        <f>IF(OR($A279="",N$3=""),"",IF(AND($J279&lt;&gt;"",$K279&lt;&gt;"",$J279=$K279,$J279&gt;=N$3,$J279&lt;=IF(param_mode_affichage="mois",EOMONTH(N$3,0),N$3+6)),"◆",""))</f>
      </c>
      <c r="O279" s="26">
        <f>IF(OR($A279="",O$3=""),"",IF(AND($J279&lt;&gt;"",$K279&lt;&gt;"",$J279=$K279,$J279&gt;=O$3,$J279&lt;=IF(param_mode_affichage="mois",EOMONTH(O$3,0),O$3+6)),"◆",""))</f>
      </c>
      <c r="P279" s="26">
        <f>IF(OR($A279="",P$3=""),"",IF(AND($J279&lt;&gt;"",$K279&lt;&gt;"",$J279=$K279,$J279&gt;=P$3,$J279&lt;=IF(param_mode_affichage="mois",EOMONTH(P$3,0),P$3+6)),"◆",""))</f>
      </c>
      <c r="Q279" s="26">
        <f>IF(OR($A279="",Q$3=""),"",IF(AND($J279&lt;&gt;"",$K279&lt;&gt;"",$J279=$K279,$J279&gt;=Q$3,$J279&lt;=IF(param_mode_affichage="mois",EOMONTH(Q$3,0),Q$3+6)),"◆",""))</f>
      </c>
      <c r="R279" s="26">
        <f>IF(OR($A279="",R$3=""),"",IF(AND($J279&lt;&gt;"",$K279&lt;&gt;"",$J279=$K279,$J279&gt;=R$3,$J279&lt;=IF(param_mode_affichage="mois",EOMONTH(R$3,0),R$3+6)),"◆",""))</f>
      </c>
      <c r="S279" s="26">
        <f>IF(OR($A279="",S$3=""),"",IF(AND($J279&lt;&gt;"",$K279&lt;&gt;"",$J279=$K279,$J279&gt;=S$3,$J279&lt;=IF(param_mode_affichage="mois",EOMONTH(S$3,0),S$3+6)),"◆",""))</f>
      </c>
      <c r="T279" s="26">
        <f>IF(OR($A279="",T$3=""),"",IF(AND($J279&lt;&gt;"",$K279&lt;&gt;"",$J279=$K279,$J279&gt;=T$3,$J279&lt;=IF(param_mode_affichage="mois",EOMONTH(T$3,0),T$3+6)),"◆",""))</f>
      </c>
      <c r="U279" s="26">
        <f>IF(OR($A279="",U$3=""),"",IF(AND($J279&lt;&gt;"",$K279&lt;&gt;"",$J279=$K279,$J279&gt;=U$3,$J279&lt;=IF(param_mode_affichage="mois",EOMONTH(U$3,0),U$3+6)),"◆",""))</f>
      </c>
      <c r="V279" s="26">
        <f>IF(OR($A279="",V$3=""),"",IF(AND($J279&lt;&gt;"",$K279&lt;&gt;"",$J279=$K279,$J279&gt;=V$3,$J279&lt;=IF(param_mode_affichage="mois",EOMONTH(V$3,0),V$3+6)),"◆",""))</f>
      </c>
      <c r="W279" s="26">
        <f>IF(OR($A279="",W$3=""),"",IF(AND($J279&lt;&gt;"",$K279&lt;&gt;"",$J279=$K279,$J279&gt;=W$3,$J279&lt;=IF(param_mode_affichage="mois",EOMONTH(W$3,0),W$3+6)),"◆",""))</f>
      </c>
      <c r="X279" s="26">
        <f>IF(OR($A279="",X$3=""),"",IF(AND($J279&lt;&gt;"",$K279&lt;&gt;"",$J279=$K279,$J279&gt;=X$3,$J279&lt;=IF(param_mode_affichage="mois",EOMONTH(X$3,0),X$3+6)),"◆",""))</f>
      </c>
      <c r="Y279" s="26">
        <f>IF(OR($A279="",Y$3=""),"",IF(AND($J279&lt;&gt;"",$K279&lt;&gt;"",$J279=$K279,$J279&gt;=Y$3,$J279&lt;=IF(param_mode_affichage="mois",EOMONTH(Y$3,0),Y$3+6)),"◆",""))</f>
      </c>
      <c r="Z279" s="26">
        <f>IF(OR($A279="",Z$3=""),"",IF(AND($J279&lt;&gt;"",$K279&lt;&gt;"",$J279=$K279,$J279&gt;=Z$3,$J279&lt;=IF(param_mode_affichage="mois",EOMONTH(Z$3,0),Z$3+6)),"◆",""))</f>
      </c>
      <c r="AA279" s="26">
        <f>IF(OR($A279="",AA$3=""),"",IF(AND($J279&lt;&gt;"",$K279&lt;&gt;"",$J279=$K279,$J279&gt;=AA$3,$J279&lt;=IF(param_mode_affichage="mois",EOMONTH(AA$3,0),AA$3+6)),"◆",""))</f>
      </c>
      <c r="AB279" s="26">
        <f>IF(OR($A279="",AB$3=""),"",IF(AND($J279&lt;&gt;"",$K279&lt;&gt;"",$J279=$K279,$J279&gt;=AB$3,$J279&lt;=IF(param_mode_affichage="mois",EOMONTH(AB$3,0),AB$3+6)),"◆",""))</f>
      </c>
      <c r="AC279" s="26">
        <f>IF(OR($A279="",AC$3=""),"",IF(AND($J279&lt;&gt;"",$K279&lt;&gt;"",$J279=$K279,$J279&gt;=AC$3,$J279&lt;=IF(param_mode_affichage="mois",EOMONTH(AC$3,0),AC$3+6)),"◆",""))</f>
      </c>
      <c r="AD279" s="26">
        <f>IF(OR($A279="",AD$3=""),"",IF(AND($J279&lt;&gt;"",$K279&lt;&gt;"",$J279=$K279,$J279&gt;=AD$3,$J279&lt;=IF(param_mode_affichage="mois",EOMONTH(AD$3,0),AD$3+6)),"◆",""))</f>
      </c>
      <c r="AE279" s="26">
        <f>IF(OR($A279="",AE$3=""),"",IF(AND($J279&lt;&gt;"",$K279&lt;&gt;"",$J279=$K279,$J279&gt;=AE$3,$J279&lt;=IF(param_mode_affichage="mois",EOMONTH(AE$3,0),AE$3+6)),"◆",""))</f>
      </c>
      <c r="AF279" s="26">
        <f>IF(OR($A279="",AF$3=""),"",IF(AND($J279&lt;&gt;"",$K279&lt;&gt;"",$J279=$K279,$J279&gt;=AF$3,$J279&lt;=IF(param_mode_affichage="mois",EOMONTH(AF$3,0),AF$3+6)),"◆",""))</f>
      </c>
      <c r="AG279" s="26">
        <f>IF(OR($A279="",AG$3=""),"",IF(AND($J279&lt;&gt;"",$K279&lt;&gt;"",$J279=$K279,$J279&gt;=AG$3,$J279&lt;=IF(param_mode_affichage="mois",EOMONTH(AG$3,0),AG$3+6)),"◆",""))</f>
      </c>
      <c r="AH279" s="26">
        <f>IF(OR($A279="",AH$3=""),"",IF(AND($J279&lt;&gt;"",$K279&lt;&gt;"",$J279=$K279,$J279&gt;=AH$3,$J279&lt;=IF(param_mode_affichage="mois",EOMONTH(AH$3,0),AH$3+6)),"◆",""))</f>
      </c>
      <c r="AI279" s="26">
        <f>IF(OR($A279="",AI$3=""),"",IF(AND($J279&lt;&gt;"",$K279&lt;&gt;"",$J279=$K279,$J279&gt;=AI$3,$J279&lt;=IF(param_mode_affichage="mois",EOMONTH(AI$3,0),AI$3+6)),"◆",""))</f>
      </c>
      <c r="AJ279" s="26">
        <f>IF(OR($A279="",AJ$3=""),"",IF(AND($J279&lt;&gt;"",$K279&lt;&gt;"",$J279=$K279,$J279&gt;=AJ$3,$J279&lt;=IF(param_mode_affichage="mois",EOMONTH(AJ$3,0),AJ$3+6)),"◆",""))</f>
      </c>
      <c r="AK279" s="26">
        <f>IF(OR($A279="",AK$3=""),"",IF(AND($J279&lt;&gt;"",$K279&lt;&gt;"",$J279=$K279,$J279&gt;=AK$3,$J279&lt;=IF(param_mode_affichage="mois",EOMONTH(AK$3,0),AK$3+6)),"◆",""))</f>
      </c>
      <c r="AL279" s="26">
        <f>IF(OR($A279="",AL$3=""),"",IF(AND($J279&lt;&gt;"",$K279&lt;&gt;"",$J279=$K279,$J279&gt;=AL$3,$J279&lt;=IF(param_mode_affichage="mois",EOMONTH(AL$3,0),AL$3+6)),"◆",""))</f>
      </c>
      <c r="AM279" s="26">
        <f>IF(OR($A279="",AM$3=""),"",IF(AND($J279&lt;&gt;"",$K279&lt;&gt;"",$J279=$K279,$J279&gt;=AM$3,$J279&lt;=IF(param_mode_affichage="mois",EOMONTH(AM$3,0),AM$3+6)),"◆",""))</f>
      </c>
      <c r="AN279" s="26">
        <f>IF(OR($A279="",AN$3=""),"",IF(AND($J279&lt;&gt;"",$K279&lt;&gt;"",$J279=$K279,$J279&gt;=AN$3,$J279&lt;=IF(param_mode_affichage="mois",EOMONTH(AN$3,0),AN$3+6)),"◆",""))</f>
      </c>
      <c r="AO279" s="26">
        <f>IF(OR($A279="",AO$3=""),"",IF(AND($J279&lt;&gt;"",$K279&lt;&gt;"",$J279=$K279,$J279&gt;=AO$3,$J279&lt;=IF(param_mode_affichage="mois",EOMONTH(AO$3,0),AO$3+6)),"◆",""))</f>
      </c>
      <c r="AP279" s="26">
        <f>IF(OR($A279="",AP$3=""),"",IF(AND($J279&lt;&gt;"",$K279&lt;&gt;"",$J279=$K279,$J279&gt;=AP$3,$J279&lt;=IF(param_mode_affichage="mois",EOMONTH(AP$3,0),AP$3+6)),"◆",""))</f>
      </c>
      <c r="AQ279" s="26">
        <f>IF(OR($A279="",AQ$3=""),"",IF(AND($J279&lt;&gt;"",$K279&lt;&gt;"",$J279=$K279,$J279&gt;=AQ$3,$J279&lt;=IF(param_mode_affichage="mois",EOMONTH(AQ$3,0),AQ$3+6)),"◆",""))</f>
      </c>
      <c r="AR279" s="26">
        <f>IF(OR($A279="",AR$3=""),"",IF(AND($J279&lt;&gt;"",$K279&lt;&gt;"",$J279=$K279,$J279&gt;=AR$3,$J279&lt;=IF(param_mode_affichage="mois",EOMONTH(AR$3,0),AR$3+6)),"◆",""))</f>
      </c>
      <c r="AS279" s="26">
        <f>IF(OR($A279="",AS$3=""),"",IF(AND($J279&lt;&gt;"",$K279&lt;&gt;"",$J279=$K279,$J279&gt;=AS$3,$J279&lt;=IF(param_mode_affichage="mois",EOMONTH(AS$3,0),AS$3+6)),"◆",""))</f>
      </c>
      <c r="AT279" s="26">
        <f>IF(OR($A279="",AT$3=""),"",IF(AND($J279&lt;&gt;"",$K279&lt;&gt;"",$J279=$K279,$J279&gt;=AT$3,$J279&lt;=IF(param_mode_affichage="mois",EOMONTH(AT$3,0),AT$3+6)),"◆",""))</f>
      </c>
      <c r="AU279" s="26">
        <f>IF(OR($A279="",AU$3=""),"",IF(AND($J279&lt;&gt;"",$K279&lt;&gt;"",$J279=$K279,$J279&gt;=AU$3,$J279&lt;=IF(param_mode_affichage="mois",EOMONTH(AU$3,0),AU$3+6)),"◆",""))</f>
      </c>
      <c r="AV279" s="26">
        <f>IF(OR($A279="",AV$3=""),"",IF(AND($J279&lt;&gt;"",$K279&lt;&gt;"",$J279=$K279,$J279&gt;=AV$3,$J279&lt;=IF(param_mode_affichage="mois",EOMONTH(AV$3,0),AV$3+6)),"◆",""))</f>
      </c>
      <c r="AW279" s="26">
        <f>IF(OR($A279="",AW$3=""),"",IF(AND($J279&lt;&gt;"",$K279&lt;&gt;"",$J279=$K279,$J279&gt;=AW$3,$J279&lt;=IF(param_mode_affichage="mois",EOMONTH(AW$3,0),AW$3+6)),"◆",""))</f>
      </c>
      <c r="AX279" s="26">
        <f>IF(OR($A279="",AX$3=""),"",IF(AND($J279&lt;&gt;"",$K279&lt;&gt;"",$J279=$K279,$J279&gt;=AX$3,$J279&lt;=IF(param_mode_affichage="mois",EOMONTH(AX$3,0),AX$3+6)),"◆",""))</f>
      </c>
      <c r="AY279" s="26">
        <f>IF(OR($A279="",AY$3=""),"",IF(AND($J279&lt;&gt;"",$K279&lt;&gt;"",$J279=$K279,$J279&gt;=AY$3,$J279&lt;=IF(param_mode_affichage="mois",EOMONTH(AY$3,0),AY$3+6)),"◆",""))</f>
      </c>
      <c r="AZ279" s="26">
        <f>IF(OR($A279="",AZ$3=""),"",IF(AND($J279&lt;&gt;"",$K279&lt;&gt;"",$J279=$K279,$J279&gt;=AZ$3,$J279&lt;=IF(param_mode_affichage="mois",EOMONTH(AZ$3,0),AZ$3+6)),"◆",""))</f>
      </c>
      <c r="BA279" s="26">
        <f>IF(OR($A279="",BA$3=""),"",IF(AND($J279&lt;&gt;"",$K279&lt;&gt;"",$J279=$K279,$J279&gt;=BA$3,$J279&lt;=IF(param_mode_affichage="mois",EOMONTH(BA$3,0),BA$3+6)),"◆",""))</f>
      </c>
      <c r="BB279" s="26">
        <f>IF(OR($A279="",BB$3=""),"",IF(AND($J279&lt;&gt;"",$K279&lt;&gt;"",$J279=$K279,$J279&gt;=BB$3,$J279&lt;=IF(param_mode_affichage="mois",EOMONTH(BB$3,0),BB$3+6)),"◆",""))</f>
      </c>
      <c r="BC279" s="26">
        <f>IF(OR($A279="",BC$3=""),"",IF(AND($J279&lt;&gt;"",$K279&lt;&gt;"",$J279=$K279,$J279&gt;=BC$3,$J279&lt;=IF(param_mode_affichage="mois",EOMONTH(BC$3,0),BC$3+6)),"◆",""))</f>
      </c>
      <c r="BD279" s="26">
        <f>IF(OR($A279="",BD$3=""),"",IF(AND($J279&lt;&gt;"",$K279&lt;&gt;"",$J279=$K279,$J279&gt;=BD$3,$J279&lt;=IF(param_mode_affichage="mois",EOMONTH(BD$3,0),BD$3+6)),"◆",""))</f>
      </c>
      <c r="BE279" s="26">
        <f>IF(OR($A279="",BE$3=""),"",IF(AND($J279&lt;&gt;"",$K279&lt;&gt;"",$J279=$K279,$J279&gt;=BE$3,$J279&lt;=IF(param_mode_affichage="mois",EOMONTH(BE$3,0),BE$3+6)),"◆",""))</f>
      </c>
      <c r="BF279" s="26">
        <f>IF(OR($A279="",BF$3=""),"",IF(AND($J279&lt;&gt;"",$K279&lt;&gt;"",$J279=$K279,$J279&gt;=BF$3,$J279&lt;=IF(param_mode_affichage="mois",EOMONTH(BF$3,0),BF$3+6)),"◆",""))</f>
      </c>
      <c r="BG279" s="26">
        <f>IF(OR($A279="",BG$3=""),"",IF(AND($J279&lt;&gt;"",$K279&lt;&gt;"",$J279=$K279,$J279&gt;=BG$3,$J279&lt;=IF(param_mode_affichage="mois",EOMONTH(BG$3,0),BG$3+6)),"◆",""))</f>
      </c>
      <c r="BH279" s="26">
        <f>IF(OR($A279="",BH$3=""),"",IF(AND($J279&lt;&gt;"",$K279&lt;&gt;"",$J279=$K279,$J279&gt;=BH$3,$J279&lt;=IF(param_mode_affichage="mois",EOMONTH(BH$3,0),BH$3+6)),"◆",""))</f>
      </c>
      <c r="BI279" s="26">
        <f>IF(OR($A279="",BI$3=""),"",IF(AND($J279&lt;&gt;"",$K279&lt;&gt;"",$J279=$K279,$J279&gt;=BI$3,$J279&lt;=IF(param_mode_affichage="mois",EOMONTH(BI$3,0),BI$3+6)),"◆",""))</f>
      </c>
      <c r="BJ279" s="26">
        <f>IF(OR($A279="",BJ$3=""),"",IF(AND($J279&lt;&gt;"",$K279&lt;&gt;"",$J279=$K279,$J279&gt;=BJ$3,$J279&lt;=IF(param_mode_affichage="mois",EOMONTH(BJ$3,0),BJ$3+6)),"◆",""))</f>
      </c>
      <c r="BK279" s="26">
        <f>IF(OR($A279="",BK$3=""),"",IF(AND($J279&lt;&gt;"",$K279&lt;&gt;"",$J279=$K279,$J279&gt;=BK$3,$J279&lt;=IF(param_mode_affichage="mois",EOMONTH(BK$3,0),BK$3+6)),"◆",""))</f>
      </c>
      <c r="BL279" s="26">
        <f>IF(OR($A279="",BL$3=""),"",IF(AND($J279&lt;&gt;"",$K279&lt;&gt;"",$J279=$K279,$J279&gt;=BL$3,$J279&lt;=IF(param_mode_affichage="mois",EOMONTH(BL$3,0),BL$3+6)),"◆",""))</f>
      </c>
    </row>
    <row r="280" spans="1:64" x14ac:dyDescent="0.25">
      <c r="A280" s="23">
        <f>IFERROR(INDEX(tblTasks[ID],ROW()-4),"")</f>
      </c>
      <c r="B280" s="24">
        <f>IF($A280="","",INDEX(tblTasks[Sujet],ROW()-4))</f>
      </c>
      <c r="C280" s="23">
        <f>IF($A280="","",INDEX(tblTasks[Responsable],ROW()-4))</f>
      </c>
      <c r="D280" s="23">
        <f>IF($A280="","",INDEX(tblTasks[Statut],ROW()-4))</f>
      </c>
      <c r="E280" s="23">
        <f>IF($A280="","",INDEX(tblTasks[Depend_de],ROW()-4))</f>
      </c>
      <c r="F280" s="23">
        <f>IF($A280="","",INDEX(tblTasks[Blocage],ROW()-4))</f>
      </c>
      <c r="G280" s="23">
        <f>IF($A280="","",INDEX(tblTasks[Niveau_criticite],ROW()-4))</f>
      </c>
      <c r="H280" s="23">
        <f>IF($A280="","",INDEX(tblTasks[Goulot],ROW()-4))</f>
      </c>
      <c r="I280" s="23">
        <f>IF($A280="","",IF(LOWER($F280)="oui","non",IF($E280="","oui",IFERROR(IF(LOWER(INDEX(tblTasks[Statut],MATCH($E280,tblTasks[ID],0)))="clos","oui","non"),"non"))))</f>
      </c>
      <c r="J280" s="25">
        <f>IF($A280="","",INDEX(tblTasks[Date_debut_prevue],ROW()-4))</f>
      </c>
      <c r="K280" s="25">
        <f>IF($A280="","",INDEX(tblTasks[Date_fin_prevue],ROW()-4))</f>
      </c>
      <c r="L280" s="23">
        <f>IF($A280="","",INDEX(tblTasks[Irreversibilite],ROW()-4))</f>
      </c>
      <c r="M280" s="26">
        <f>IF(OR($A280="",M$3=""),"",IF(AND($J280&lt;&gt;"",$K280&lt;&gt;"",$J280=$K280,$J280&gt;=M$3,$J280&lt;=IF(param_mode_affichage="mois",EOMONTH(M$3,0),M$3+6)),"◆",""))</f>
      </c>
      <c r="N280" s="26">
        <f>IF(OR($A280="",N$3=""),"",IF(AND($J280&lt;&gt;"",$K280&lt;&gt;"",$J280=$K280,$J280&gt;=N$3,$J280&lt;=IF(param_mode_affichage="mois",EOMONTH(N$3,0),N$3+6)),"◆",""))</f>
      </c>
      <c r="O280" s="26">
        <f>IF(OR($A280="",O$3=""),"",IF(AND($J280&lt;&gt;"",$K280&lt;&gt;"",$J280=$K280,$J280&gt;=O$3,$J280&lt;=IF(param_mode_affichage="mois",EOMONTH(O$3,0),O$3+6)),"◆",""))</f>
      </c>
      <c r="P280" s="26">
        <f>IF(OR($A280="",P$3=""),"",IF(AND($J280&lt;&gt;"",$K280&lt;&gt;"",$J280=$K280,$J280&gt;=P$3,$J280&lt;=IF(param_mode_affichage="mois",EOMONTH(P$3,0),P$3+6)),"◆",""))</f>
      </c>
      <c r="Q280" s="26">
        <f>IF(OR($A280="",Q$3=""),"",IF(AND($J280&lt;&gt;"",$K280&lt;&gt;"",$J280=$K280,$J280&gt;=Q$3,$J280&lt;=IF(param_mode_affichage="mois",EOMONTH(Q$3,0),Q$3+6)),"◆",""))</f>
      </c>
      <c r="R280" s="26">
        <f>IF(OR($A280="",R$3=""),"",IF(AND($J280&lt;&gt;"",$K280&lt;&gt;"",$J280=$K280,$J280&gt;=R$3,$J280&lt;=IF(param_mode_affichage="mois",EOMONTH(R$3,0),R$3+6)),"◆",""))</f>
      </c>
      <c r="S280" s="26">
        <f>IF(OR($A280="",S$3=""),"",IF(AND($J280&lt;&gt;"",$K280&lt;&gt;"",$J280=$K280,$J280&gt;=S$3,$J280&lt;=IF(param_mode_affichage="mois",EOMONTH(S$3,0),S$3+6)),"◆",""))</f>
      </c>
      <c r="T280" s="26">
        <f>IF(OR($A280="",T$3=""),"",IF(AND($J280&lt;&gt;"",$K280&lt;&gt;"",$J280=$K280,$J280&gt;=T$3,$J280&lt;=IF(param_mode_affichage="mois",EOMONTH(T$3,0),T$3+6)),"◆",""))</f>
      </c>
      <c r="U280" s="26">
        <f>IF(OR($A280="",U$3=""),"",IF(AND($J280&lt;&gt;"",$K280&lt;&gt;"",$J280=$K280,$J280&gt;=U$3,$J280&lt;=IF(param_mode_affichage="mois",EOMONTH(U$3,0),U$3+6)),"◆",""))</f>
      </c>
      <c r="V280" s="26">
        <f>IF(OR($A280="",V$3=""),"",IF(AND($J280&lt;&gt;"",$K280&lt;&gt;"",$J280=$K280,$J280&gt;=V$3,$J280&lt;=IF(param_mode_affichage="mois",EOMONTH(V$3,0),V$3+6)),"◆",""))</f>
      </c>
      <c r="W280" s="26">
        <f>IF(OR($A280="",W$3=""),"",IF(AND($J280&lt;&gt;"",$K280&lt;&gt;"",$J280=$K280,$J280&gt;=W$3,$J280&lt;=IF(param_mode_affichage="mois",EOMONTH(W$3,0),W$3+6)),"◆",""))</f>
      </c>
      <c r="X280" s="26">
        <f>IF(OR($A280="",X$3=""),"",IF(AND($J280&lt;&gt;"",$K280&lt;&gt;"",$J280=$K280,$J280&gt;=X$3,$J280&lt;=IF(param_mode_affichage="mois",EOMONTH(X$3,0),X$3+6)),"◆",""))</f>
      </c>
      <c r="Y280" s="26">
        <f>IF(OR($A280="",Y$3=""),"",IF(AND($J280&lt;&gt;"",$K280&lt;&gt;"",$J280=$K280,$J280&gt;=Y$3,$J280&lt;=IF(param_mode_affichage="mois",EOMONTH(Y$3,0),Y$3+6)),"◆",""))</f>
      </c>
      <c r="Z280" s="26">
        <f>IF(OR($A280="",Z$3=""),"",IF(AND($J280&lt;&gt;"",$K280&lt;&gt;"",$J280=$K280,$J280&gt;=Z$3,$J280&lt;=IF(param_mode_affichage="mois",EOMONTH(Z$3,0),Z$3+6)),"◆",""))</f>
      </c>
      <c r="AA280" s="26">
        <f>IF(OR($A280="",AA$3=""),"",IF(AND($J280&lt;&gt;"",$K280&lt;&gt;"",$J280=$K280,$J280&gt;=AA$3,$J280&lt;=IF(param_mode_affichage="mois",EOMONTH(AA$3,0),AA$3+6)),"◆",""))</f>
      </c>
      <c r="AB280" s="26">
        <f>IF(OR($A280="",AB$3=""),"",IF(AND($J280&lt;&gt;"",$K280&lt;&gt;"",$J280=$K280,$J280&gt;=AB$3,$J280&lt;=IF(param_mode_affichage="mois",EOMONTH(AB$3,0),AB$3+6)),"◆",""))</f>
      </c>
      <c r="AC280" s="26">
        <f>IF(OR($A280="",AC$3=""),"",IF(AND($J280&lt;&gt;"",$K280&lt;&gt;"",$J280=$K280,$J280&gt;=AC$3,$J280&lt;=IF(param_mode_affichage="mois",EOMONTH(AC$3,0),AC$3+6)),"◆",""))</f>
      </c>
      <c r="AD280" s="26">
        <f>IF(OR($A280="",AD$3=""),"",IF(AND($J280&lt;&gt;"",$K280&lt;&gt;"",$J280=$K280,$J280&gt;=AD$3,$J280&lt;=IF(param_mode_affichage="mois",EOMONTH(AD$3,0),AD$3+6)),"◆",""))</f>
      </c>
      <c r="AE280" s="26">
        <f>IF(OR($A280="",AE$3=""),"",IF(AND($J280&lt;&gt;"",$K280&lt;&gt;"",$J280=$K280,$J280&gt;=AE$3,$J280&lt;=IF(param_mode_affichage="mois",EOMONTH(AE$3,0),AE$3+6)),"◆",""))</f>
      </c>
      <c r="AF280" s="26">
        <f>IF(OR($A280="",AF$3=""),"",IF(AND($J280&lt;&gt;"",$K280&lt;&gt;"",$J280=$K280,$J280&gt;=AF$3,$J280&lt;=IF(param_mode_affichage="mois",EOMONTH(AF$3,0),AF$3+6)),"◆",""))</f>
      </c>
      <c r="AG280" s="26">
        <f>IF(OR($A280="",AG$3=""),"",IF(AND($J280&lt;&gt;"",$K280&lt;&gt;"",$J280=$K280,$J280&gt;=AG$3,$J280&lt;=IF(param_mode_affichage="mois",EOMONTH(AG$3,0),AG$3+6)),"◆",""))</f>
      </c>
      <c r="AH280" s="26">
        <f>IF(OR($A280="",AH$3=""),"",IF(AND($J280&lt;&gt;"",$K280&lt;&gt;"",$J280=$K280,$J280&gt;=AH$3,$J280&lt;=IF(param_mode_affichage="mois",EOMONTH(AH$3,0),AH$3+6)),"◆",""))</f>
      </c>
      <c r="AI280" s="26">
        <f>IF(OR($A280="",AI$3=""),"",IF(AND($J280&lt;&gt;"",$K280&lt;&gt;"",$J280=$K280,$J280&gt;=AI$3,$J280&lt;=IF(param_mode_affichage="mois",EOMONTH(AI$3,0),AI$3+6)),"◆",""))</f>
      </c>
      <c r="AJ280" s="26">
        <f>IF(OR($A280="",AJ$3=""),"",IF(AND($J280&lt;&gt;"",$K280&lt;&gt;"",$J280=$K280,$J280&gt;=AJ$3,$J280&lt;=IF(param_mode_affichage="mois",EOMONTH(AJ$3,0),AJ$3+6)),"◆",""))</f>
      </c>
      <c r="AK280" s="26">
        <f>IF(OR($A280="",AK$3=""),"",IF(AND($J280&lt;&gt;"",$K280&lt;&gt;"",$J280=$K280,$J280&gt;=AK$3,$J280&lt;=IF(param_mode_affichage="mois",EOMONTH(AK$3,0),AK$3+6)),"◆",""))</f>
      </c>
      <c r="AL280" s="26">
        <f>IF(OR($A280="",AL$3=""),"",IF(AND($J280&lt;&gt;"",$K280&lt;&gt;"",$J280=$K280,$J280&gt;=AL$3,$J280&lt;=IF(param_mode_affichage="mois",EOMONTH(AL$3,0),AL$3+6)),"◆",""))</f>
      </c>
      <c r="AM280" s="26">
        <f>IF(OR($A280="",AM$3=""),"",IF(AND($J280&lt;&gt;"",$K280&lt;&gt;"",$J280=$K280,$J280&gt;=AM$3,$J280&lt;=IF(param_mode_affichage="mois",EOMONTH(AM$3,0),AM$3+6)),"◆",""))</f>
      </c>
      <c r="AN280" s="26">
        <f>IF(OR($A280="",AN$3=""),"",IF(AND($J280&lt;&gt;"",$K280&lt;&gt;"",$J280=$K280,$J280&gt;=AN$3,$J280&lt;=IF(param_mode_affichage="mois",EOMONTH(AN$3,0),AN$3+6)),"◆",""))</f>
      </c>
      <c r="AO280" s="26">
        <f>IF(OR($A280="",AO$3=""),"",IF(AND($J280&lt;&gt;"",$K280&lt;&gt;"",$J280=$K280,$J280&gt;=AO$3,$J280&lt;=IF(param_mode_affichage="mois",EOMONTH(AO$3,0),AO$3+6)),"◆",""))</f>
      </c>
      <c r="AP280" s="26">
        <f>IF(OR($A280="",AP$3=""),"",IF(AND($J280&lt;&gt;"",$K280&lt;&gt;"",$J280=$K280,$J280&gt;=AP$3,$J280&lt;=IF(param_mode_affichage="mois",EOMONTH(AP$3,0),AP$3+6)),"◆",""))</f>
      </c>
      <c r="AQ280" s="26">
        <f>IF(OR($A280="",AQ$3=""),"",IF(AND($J280&lt;&gt;"",$K280&lt;&gt;"",$J280=$K280,$J280&gt;=AQ$3,$J280&lt;=IF(param_mode_affichage="mois",EOMONTH(AQ$3,0),AQ$3+6)),"◆",""))</f>
      </c>
      <c r="AR280" s="26">
        <f>IF(OR($A280="",AR$3=""),"",IF(AND($J280&lt;&gt;"",$K280&lt;&gt;"",$J280=$K280,$J280&gt;=AR$3,$J280&lt;=IF(param_mode_affichage="mois",EOMONTH(AR$3,0),AR$3+6)),"◆",""))</f>
      </c>
      <c r="AS280" s="26">
        <f>IF(OR($A280="",AS$3=""),"",IF(AND($J280&lt;&gt;"",$K280&lt;&gt;"",$J280=$K280,$J280&gt;=AS$3,$J280&lt;=IF(param_mode_affichage="mois",EOMONTH(AS$3,0),AS$3+6)),"◆",""))</f>
      </c>
      <c r="AT280" s="26">
        <f>IF(OR($A280="",AT$3=""),"",IF(AND($J280&lt;&gt;"",$K280&lt;&gt;"",$J280=$K280,$J280&gt;=AT$3,$J280&lt;=IF(param_mode_affichage="mois",EOMONTH(AT$3,0),AT$3+6)),"◆",""))</f>
      </c>
      <c r="AU280" s="26">
        <f>IF(OR($A280="",AU$3=""),"",IF(AND($J280&lt;&gt;"",$K280&lt;&gt;"",$J280=$K280,$J280&gt;=AU$3,$J280&lt;=IF(param_mode_affichage="mois",EOMONTH(AU$3,0),AU$3+6)),"◆",""))</f>
      </c>
      <c r="AV280" s="26">
        <f>IF(OR($A280="",AV$3=""),"",IF(AND($J280&lt;&gt;"",$K280&lt;&gt;"",$J280=$K280,$J280&gt;=AV$3,$J280&lt;=IF(param_mode_affichage="mois",EOMONTH(AV$3,0),AV$3+6)),"◆",""))</f>
      </c>
      <c r="AW280" s="26">
        <f>IF(OR($A280="",AW$3=""),"",IF(AND($J280&lt;&gt;"",$K280&lt;&gt;"",$J280=$K280,$J280&gt;=AW$3,$J280&lt;=IF(param_mode_affichage="mois",EOMONTH(AW$3,0),AW$3+6)),"◆",""))</f>
      </c>
      <c r="AX280" s="26">
        <f>IF(OR($A280="",AX$3=""),"",IF(AND($J280&lt;&gt;"",$K280&lt;&gt;"",$J280=$K280,$J280&gt;=AX$3,$J280&lt;=IF(param_mode_affichage="mois",EOMONTH(AX$3,0),AX$3+6)),"◆",""))</f>
      </c>
      <c r="AY280" s="26">
        <f>IF(OR($A280="",AY$3=""),"",IF(AND($J280&lt;&gt;"",$K280&lt;&gt;"",$J280=$K280,$J280&gt;=AY$3,$J280&lt;=IF(param_mode_affichage="mois",EOMONTH(AY$3,0),AY$3+6)),"◆",""))</f>
      </c>
      <c r="AZ280" s="26">
        <f>IF(OR($A280="",AZ$3=""),"",IF(AND($J280&lt;&gt;"",$K280&lt;&gt;"",$J280=$K280,$J280&gt;=AZ$3,$J280&lt;=IF(param_mode_affichage="mois",EOMONTH(AZ$3,0),AZ$3+6)),"◆",""))</f>
      </c>
      <c r="BA280" s="26">
        <f>IF(OR($A280="",BA$3=""),"",IF(AND($J280&lt;&gt;"",$K280&lt;&gt;"",$J280=$K280,$J280&gt;=BA$3,$J280&lt;=IF(param_mode_affichage="mois",EOMONTH(BA$3,0),BA$3+6)),"◆",""))</f>
      </c>
      <c r="BB280" s="26">
        <f>IF(OR($A280="",BB$3=""),"",IF(AND($J280&lt;&gt;"",$K280&lt;&gt;"",$J280=$K280,$J280&gt;=BB$3,$J280&lt;=IF(param_mode_affichage="mois",EOMONTH(BB$3,0),BB$3+6)),"◆",""))</f>
      </c>
      <c r="BC280" s="26">
        <f>IF(OR($A280="",BC$3=""),"",IF(AND($J280&lt;&gt;"",$K280&lt;&gt;"",$J280=$K280,$J280&gt;=BC$3,$J280&lt;=IF(param_mode_affichage="mois",EOMONTH(BC$3,0),BC$3+6)),"◆",""))</f>
      </c>
      <c r="BD280" s="26">
        <f>IF(OR($A280="",BD$3=""),"",IF(AND($J280&lt;&gt;"",$K280&lt;&gt;"",$J280=$K280,$J280&gt;=BD$3,$J280&lt;=IF(param_mode_affichage="mois",EOMONTH(BD$3,0),BD$3+6)),"◆",""))</f>
      </c>
      <c r="BE280" s="26">
        <f>IF(OR($A280="",BE$3=""),"",IF(AND($J280&lt;&gt;"",$K280&lt;&gt;"",$J280=$K280,$J280&gt;=BE$3,$J280&lt;=IF(param_mode_affichage="mois",EOMONTH(BE$3,0),BE$3+6)),"◆",""))</f>
      </c>
      <c r="BF280" s="26">
        <f>IF(OR($A280="",BF$3=""),"",IF(AND($J280&lt;&gt;"",$K280&lt;&gt;"",$J280=$K280,$J280&gt;=BF$3,$J280&lt;=IF(param_mode_affichage="mois",EOMONTH(BF$3,0),BF$3+6)),"◆",""))</f>
      </c>
      <c r="BG280" s="26">
        <f>IF(OR($A280="",BG$3=""),"",IF(AND($J280&lt;&gt;"",$K280&lt;&gt;"",$J280=$K280,$J280&gt;=BG$3,$J280&lt;=IF(param_mode_affichage="mois",EOMONTH(BG$3,0),BG$3+6)),"◆",""))</f>
      </c>
      <c r="BH280" s="26">
        <f>IF(OR($A280="",BH$3=""),"",IF(AND($J280&lt;&gt;"",$K280&lt;&gt;"",$J280=$K280,$J280&gt;=BH$3,$J280&lt;=IF(param_mode_affichage="mois",EOMONTH(BH$3,0),BH$3+6)),"◆",""))</f>
      </c>
      <c r="BI280" s="26">
        <f>IF(OR($A280="",BI$3=""),"",IF(AND($J280&lt;&gt;"",$K280&lt;&gt;"",$J280=$K280,$J280&gt;=BI$3,$J280&lt;=IF(param_mode_affichage="mois",EOMONTH(BI$3,0),BI$3+6)),"◆",""))</f>
      </c>
      <c r="BJ280" s="26">
        <f>IF(OR($A280="",BJ$3=""),"",IF(AND($J280&lt;&gt;"",$K280&lt;&gt;"",$J280=$K280,$J280&gt;=BJ$3,$J280&lt;=IF(param_mode_affichage="mois",EOMONTH(BJ$3,0),BJ$3+6)),"◆",""))</f>
      </c>
      <c r="BK280" s="26">
        <f>IF(OR($A280="",BK$3=""),"",IF(AND($J280&lt;&gt;"",$K280&lt;&gt;"",$J280=$K280,$J280&gt;=BK$3,$J280&lt;=IF(param_mode_affichage="mois",EOMONTH(BK$3,0),BK$3+6)),"◆",""))</f>
      </c>
      <c r="BL280" s="26">
        <f>IF(OR($A280="",BL$3=""),"",IF(AND($J280&lt;&gt;"",$K280&lt;&gt;"",$J280=$K280,$J280&gt;=BL$3,$J280&lt;=IF(param_mode_affichage="mois",EOMONTH(BL$3,0),BL$3+6)),"◆",""))</f>
      </c>
    </row>
    <row r="281" spans="1:64" x14ac:dyDescent="0.25">
      <c r="A281" s="23">
        <f>IFERROR(INDEX(tblTasks[ID],ROW()-4),"")</f>
      </c>
      <c r="B281" s="24">
        <f>IF($A281="","",INDEX(tblTasks[Sujet],ROW()-4))</f>
      </c>
      <c r="C281" s="23">
        <f>IF($A281="","",INDEX(tblTasks[Responsable],ROW()-4))</f>
      </c>
      <c r="D281" s="23">
        <f>IF($A281="","",INDEX(tblTasks[Statut],ROW()-4))</f>
      </c>
      <c r="E281" s="23">
        <f>IF($A281="","",INDEX(tblTasks[Depend_de],ROW()-4))</f>
      </c>
      <c r="F281" s="23">
        <f>IF($A281="","",INDEX(tblTasks[Blocage],ROW()-4))</f>
      </c>
      <c r="G281" s="23">
        <f>IF($A281="","",INDEX(tblTasks[Niveau_criticite],ROW()-4))</f>
      </c>
      <c r="H281" s="23">
        <f>IF($A281="","",INDEX(tblTasks[Goulot],ROW()-4))</f>
      </c>
      <c r="I281" s="23">
        <f>IF($A281="","",IF(LOWER($F281)="oui","non",IF($E281="","oui",IFERROR(IF(LOWER(INDEX(tblTasks[Statut],MATCH($E281,tblTasks[ID],0)))="clos","oui","non"),"non"))))</f>
      </c>
      <c r="J281" s="25">
        <f>IF($A281="","",INDEX(tblTasks[Date_debut_prevue],ROW()-4))</f>
      </c>
      <c r="K281" s="25">
        <f>IF($A281="","",INDEX(tblTasks[Date_fin_prevue],ROW()-4))</f>
      </c>
      <c r="L281" s="23">
        <f>IF($A281="","",INDEX(tblTasks[Irreversibilite],ROW()-4))</f>
      </c>
      <c r="M281" s="26">
        <f>IF(OR($A281="",M$3=""),"",IF(AND($J281&lt;&gt;"",$K281&lt;&gt;"",$J281=$K281,$J281&gt;=M$3,$J281&lt;=IF(param_mode_affichage="mois",EOMONTH(M$3,0),M$3+6)),"◆",""))</f>
      </c>
      <c r="N281" s="26">
        <f>IF(OR($A281="",N$3=""),"",IF(AND($J281&lt;&gt;"",$K281&lt;&gt;"",$J281=$K281,$J281&gt;=N$3,$J281&lt;=IF(param_mode_affichage="mois",EOMONTH(N$3,0),N$3+6)),"◆",""))</f>
      </c>
      <c r="O281" s="26">
        <f>IF(OR($A281="",O$3=""),"",IF(AND($J281&lt;&gt;"",$K281&lt;&gt;"",$J281=$K281,$J281&gt;=O$3,$J281&lt;=IF(param_mode_affichage="mois",EOMONTH(O$3,0),O$3+6)),"◆",""))</f>
      </c>
      <c r="P281" s="26">
        <f>IF(OR($A281="",P$3=""),"",IF(AND($J281&lt;&gt;"",$K281&lt;&gt;"",$J281=$K281,$J281&gt;=P$3,$J281&lt;=IF(param_mode_affichage="mois",EOMONTH(P$3,0),P$3+6)),"◆",""))</f>
      </c>
      <c r="Q281" s="26">
        <f>IF(OR($A281="",Q$3=""),"",IF(AND($J281&lt;&gt;"",$K281&lt;&gt;"",$J281=$K281,$J281&gt;=Q$3,$J281&lt;=IF(param_mode_affichage="mois",EOMONTH(Q$3,0),Q$3+6)),"◆",""))</f>
      </c>
      <c r="R281" s="26">
        <f>IF(OR($A281="",R$3=""),"",IF(AND($J281&lt;&gt;"",$K281&lt;&gt;"",$J281=$K281,$J281&gt;=R$3,$J281&lt;=IF(param_mode_affichage="mois",EOMONTH(R$3,0),R$3+6)),"◆",""))</f>
      </c>
      <c r="S281" s="26">
        <f>IF(OR($A281="",S$3=""),"",IF(AND($J281&lt;&gt;"",$K281&lt;&gt;"",$J281=$K281,$J281&gt;=S$3,$J281&lt;=IF(param_mode_affichage="mois",EOMONTH(S$3,0),S$3+6)),"◆",""))</f>
      </c>
      <c r="T281" s="26">
        <f>IF(OR($A281="",T$3=""),"",IF(AND($J281&lt;&gt;"",$K281&lt;&gt;"",$J281=$K281,$J281&gt;=T$3,$J281&lt;=IF(param_mode_affichage="mois",EOMONTH(T$3,0),T$3+6)),"◆",""))</f>
      </c>
      <c r="U281" s="26">
        <f>IF(OR($A281="",U$3=""),"",IF(AND($J281&lt;&gt;"",$K281&lt;&gt;"",$J281=$K281,$J281&gt;=U$3,$J281&lt;=IF(param_mode_affichage="mois",EOMONTH(U$3,0),U$3+6)),"◆",""))</f>
      </c>
      <c r="V281" s="26">
        <f>IF(OR($A281="",V$3=""),"",IF(AND($J281&lt;&gt;"",$K281&lt;&gt;"",$J281=$K281,$J281&gt;=V$3,$J281&lt;=IF(param_mode_affichage="mois",EOMONTH(V$3,0),V$3+6)),"◆",""))</f>
      </c>
      <c r="W281" s="26">
        <f>IF(OR($A281="",W$3=""),"",IF(AND($J281&lt;&gt;"",$K281&lt;&gt;"",$J281=$K281,$J281&gt;=W$3,$J281&lt;=IF(param_mode_affichage="mois",EOMONTH(W$3,0),W$3+6)),"◆",""))</f>
      </c>
      <c r="X281" s="26">
        <f>IF(OR($A281="",X$3=""),"",IF(AND($J281&lt;&gt;"",$K281&lt;&gt;"",$J281=$K281,$J281&gt;=X$3,$J281&lt;=IF(param_mode_affichage="mois",EOMONTH(X$3,0),X$3+6)),"◆",""))</f>
      </c>
      <c r="Y281" s="26">
        <f>IF(OR($A281="",Y$3=""),"",IF(AND($J281&lt;&gt;"",$K281&lt;&gt;"",$J281=$K281,$J281&gt;=Y$3,$J281&lt;=IF(param_mode_affichage="mois",EOMONTH(Y$3,0),Y$3+6)),"◆",""))</f>
      </c>
      <c r="Z281" s="26">
        <f>IF(OR($A281="",Z$3=""),"",IF(AND($J281&lt;&gt;"",$K281&lt;&gt;"",$J281=$K281,$J281&gt;=Z$3,$J281&lt;=IF(param_mode_affichage="mois",EOMONTH(Z$3,0),Z$3+6)),"◆",""))</f>
      </c>
      <c r="AA281" s="26">
        <f>IF(OR($A281="",AA$3=""),"",IF(AND($J281&lt;&gt;"",$K281&lt;&gt;"",$J281=$K281,$J281&gt;=AA$3,$J281&lt;=IF(param_mode_affichage="mois",EOMONTH(AA$3,0),AA$3+6)),"◆",""))</f>
      </c>
      <c r="AB281" s="26">
        <f>IF(OR($A281="",AB$3=""),"",IF(AND($J281&lt;&gt;"",$K281&lt;&gt;"",$J281=$K281,$J281&gt;=AB$3,$J281&lt;=IF(param_mode_affichage="mois",EOMONTH(AB$3,0),AB$3+6)),"◆",""))</f>
      </c>
      <c r="AC281" s="26">
        <f>IF(OR($A281="",AC$3=""),"",IF(AND($J281&lt;&gt;"",$K281&lt;&gt;"",$J281=$K281,$J281&gt;=AC$3,$J281&lt;=IF(param_mode_affichage="mois",EOMONTH(AC$3,0),AC$3+6)),"◆",""))</f>
      </c>
      <c r="AD281" s="26">
        <f>IF(OR($A281="",AD$3=""),"",IF(AND($J281&lt;&gt;"",$K281&lt;&gt;"",$J281=$K281,$J281&gt;=AD$3,$J281&lt;=IF(param_mode_affichage="mois",EOMONTH(AD$3,0),AD$3+6)),"◆",""))</f>
      </c>
      <c r="AE281" s="26">
        <f>IF(OR($A281="",AE$3=""),"",IF(AND($J281&lt;&gt;"",$K281&lt;&gt;"",$J281=$K281,$J281&gt;=AE$3,$J281&lt;=IF(param_mode_affichage="mois",EOMONTH(AE$3,0),AE$3+6)),"◆",""))</f>
      </c>
      <c r="AF281" s="26">
        <f>IF(OR($A281="",AF$3=""),"",IF(AND($J281&lt;&gt;"",$K281&lt;&gt;"",$J281=$K281,$J281&gt;=AF$3,$J281&lt;=IF(param_mode_affichage="mois",EOMONTH(AF$3,0),AF$3+6)),"◆",""))</f>
      </c>
      <c r="AG281" s="26">
        <f>IF(OR($A281="",AG$3=""),"",IF(AND($J281&lt;&gt;"",$K281&lt;&gt;"",$J281=$K281,$J281&gt;=AG$3,$J281&lt;=IF(param_mode_affichage="mois",EOMONTH(AG$3,0),AG$3+6)),"◆",""))</f>
      </c>
      <c r="AH281" s="26">
        <f>IF(OR($A281="",AH$3=""),"",IF(AND($J281&lt;&gt;"",$K281&lt;&gt;"",$J281=$K281,$J281&gt;=AH$3,$J281&lt;=IF(param_mode_affichage="mois",EOMONTH(AH$3,0),AH$3+6)),"◆",""))</f>
      </c>
      <c r="AI281" s="26">
        <f>IF(OR($A281="",AI$3=""),"",IF(AND($J281&lt;&gt;"",$K281&lt;&gt;"",$J281=$K281,$J281&gt;=AI$3,$J281&lt;=IF(param_mode_affichage="mois",EOMONTH(AI$3,0),AI$3+6)),"◆",""))</f>
      </c>
      <c r="AJ281" s="26">
        <f>IF(OR($A281="",AJ$3=""),"",IF(AND($J281&lt;&gt;"",$K281&lt;&gt;"",$J281=$K281,$J281&gt;=AJ$3,$J281&lt;=IF(param_mode_affichage="mois",EOMONTH(AJ$3,0),AJ$3+6)),"◆",""))</f>
      </c>
      <c r="AK281" s="26">
        <f>IF(OR($A281="",AK$3=""),"",IF(AND($J281&lt;&gt;"",$K281&lt;&gt;"",$J281=$K281,$J281&gt;=AK$3,$J281&lt;=IF(param_mode_affichage="mois",EOMONTH(AK$3,0),AK$3+6)),"◆",""))</f>
      </c>
      <c r="AL281" s="26">
        <f>IF(OR($A281="",AL$3=""),"",IF(AND($J281&lt;&gt;"",$K281&lt;&gt;"",$J281=$K281,$J281&gt;=AL$3,$J281&lt;=IF(param_mode_affichage="mois",EOMONTH(AL$3,0),AL$3+6)),"◆",""))</f>
      </c>
      <c r="AM281" s="26">
        <f>IF(OR($A281="",AM$3=""),"",IF(AND($J281&lt;&gt;"",$K281&lt;&gt;"",$J281=$K281,$J281&gt;=AM$3,$J281&lt;=IF(param_mode_affichage="mois",EOMONTH(AM$3,0),AM$3+6)),"◆",""))</f>
      </c>
      <c r="AN281" s="26">
        <f>IF(OR($A281="",AN$3=""),"",IF(AND($J281&lt;&gt;"",$K281&lt;&gt;"",$J281=$K281,$J281&gt;=AN$3,$J281&lt;=IF(param_mode_affichage="mois",EOMONTH(AN$3,0),AN$3+6)),"◆",""))</f>
      </c>
      <c r="AO281" s="26">
        <f>IF(OR($A281="",AO$3=""),"",IF(AND($J281&lt;&gt;"",$K281&lt;&gt;"",$J281=$K281,$J281&gt;=AO$3,$J281&lt;=IF(param_mode_affichage="mois",EOMONTH(AO$3,0),AO$3+6)),"◆",""))</f>
      </c>
      <c r="AP281" s="26">
        <f>IF(OR($A281="",AP$3=""),"",IF(AND($J281&lt;&gt;"",$K281&lt;&gt;"",$J281=$K281,$J281&gt;=AP$3,$J281&lt;=IF(param_mode_affichage="mois",EOMONTH(AP$3,0),AP$3+6)),"◆",""))</f>
      </c>
      <c r="AQ281" s="26">
        <f>IF(OR($A281="",AQ$3=""),"",IF(AND($J281&lt;&gt;"",$K281&lt;&gt;"",$J281=$K281,$J281&gt;=AQ$3,$J281&lt;=IF(param_mode_affichage="mois",EOMONTH(AQ$3,0),AQ$3+6)),"◆",""))</f>
      </c>
      <c r="AR281" s="26">
        <f>IF(OR($A281="",AR$3=""),"",IF(AND($J281&lt;&gt;"",$K281&lt;&gt;"",$J281=$K281,$J281&gt;=AR$3,$J281&lt;=IF(param_mode_affichage="mois",EOMONTH(AR$3,0),AR$3+6)),"◆",""))</f>
      </c>
      <c r="AS281" s="26">
        <f>IF(OR($A281="",AS$3=""),"",IF(AND($J281&lt;&gt;"",$K281&lt;&gt;"",$J281=$K281,$J281&gt;=AS$3,$J281&lt;=IF(param_mode_affichage="mois",EOMONTH(AS$3,0),AS$3+6)),"◆",""))</f>
      </c>
      <c r="AT281" s="26">
        <f>IF(OR($A281="",AT$3=""),"",IF(AND($J281&lt;&gt;"",$K281&lt;&gt;"",$J281=$K281,$J281&gt;=AT$3,$J281&lt;=IF(param_mode_affichage="mois",EOMONTH(AT$3,0),AT$3+6)),"◆",""))</f>
      </c>
      <c r="AU281" s="26">
        <f>IF(OR($A281="",AU$3=""),"",IF(AND($J281&lt;&gt;"",$K281&lt;&gt;"",$J281=$K281,$J281&gt;=AU$3,$J281&lt;=IF(param_mode_affichage="mois",EOMONTH(AU$3,0),AU$3+6)),"◆",""))</f>
      </c>
      <c r="AV281" s="26">
        <f>IF(OR($A281="",AV$3=""),"",IF(AND($J281&lt;&gt;"",$K281&lt;&gt;"",$J281=$K281,$J281&gt;=AV$3,$J281&lt;=IF(param_mode_affichage="mois",EOMONTH(AV$3,0),AV$3+6)),"◆",""))</f>
      </c>
      <c r="AW281" s="26">
        <f>IF(OR($A281="",AW$3=""),"",IF(AND($J281&lt;&gt;"",$K281&lt;&gt;"",$J281=$K281,$J281&gt;=AW$3,$J281&lt;=IF(param_mode_affichage="mois",EOMONTH(AW$3,0),AW$3+6)),"◆",""))</f>
      </c>
      <c r="AX281" s="26">
        <f>IF(OR($A281="",AX$3=""),"",IF(AND($J281&lt;&gt;"",$K281&lt;&gt;"",$J281=$K281,$J281&gt;=AX$3,$J281&lt;=IF(param_mode_affichage="mois",EOMONTH(AX$3,0),AX$3+6)),"◆",""))</f>
      </c>
      <c r="AY281" s="26">
        <f>IF(OR($A281="",AY$3=""),"",IF(AND($J281&lt;&gt;"",$K281&lt;&gt;"",$J281=$K281,$J281&gt;=AY$3,$J281&lt;=IF(param_mode_affichage="mois",EOMONTH(AY$3,0),AY$3+6)),"◆",""))</f>
      </c>
      <c r="AZ281" s="26">
        <f>IF(OR($A281="",AZ$3=""),"",IF(AND($J281&lt;&gt;"",$K281&lt;&gt;"",$J281=$K281,$J281&gt;=AZ$3,$J281&lt;=IF(param_mode_affichage="mois",EOMONTH(AZ$3,0),AZ$3+6)),"◆",""))</f>
      </c>
      <c r="BA281" s="26">
        <f>IF(OR($A281="",BA$3=""),"",IF(AND($J281&lt;&gt;"",$K281&lt;&gt;"",$J281=$K281,$J281&gt;=BA$3,$J281&lt;=IF(param_mode_affichage="mois",EOMONTH(BA$3,0),BA$3+6)),"◆",""))</f>
      </c>
      <c r="BB281" s="26">
        <f>IF(OR($A281="",BB$3=""),"",IF(AND($J281&lt;&gt;"",$K281&lt;&gt;"",$J281=$K281,$J281&gt;=BB$3,$J281&lt;=IF(param_mode_affichage="mois",EOMONTH(BB$3,0),BB$3+6)),"◆",""))</f>
      </c>
      <c r="BC281" s="26">
        <f>IF(OR($A281="",BC$3=""),"",IF(AND($J281&lt;&gt;"",$K281&lt;&gt;"",$J281=$K281,$J281&gt;=BC$3,$J281&lt;=IF(param_mode_affichage="mois",EOMONTH(BC$3,0),BC$3+6)),"◆",""))</f>
      </c>
      <c r="BD281" s="26">
        <f>IF(OR($A281="",BD$3=""),"",IF(AND($J281&lt;&gt;"",$K281&lt;&gt;"",$J281=$K281,$J281&gt;=BD$3,$J281&lt;=IF(param_mode_affichage="mois",EOMONTH(BD$3,0),BD$3+6)),"◆",""))</f>
      </c>
      <c r="BE281" s="26">
        <f>IF(OR($A281="",BE$3=""),"",IF(AND($J281&lt;&gt;"",$K281&lt;&gt;"",$J281=$K281,$J281&gt;=BE$3,$J281&lt;=IF(param_mode_affichage="mois",EOMONTH(BE$3,0),BE$3+6)),"◆",""))</f>
      </c>
      <c r="BF281" s="26">
        <f>IF(OR($A281="",BF$3=""),"",IF(AND($J281&lt;&gt;"",$K281&lt;&gt;"",$J281=$K281,$J281&gt;=BF$3,$J281&lt;=IF(param_mode_affichage="mois",EOMONTH(BF$3,0),BF$3+6)),"◆",""))</f>
      </c>
      <c r="BG281" s="26">
        <f>IF(OR($A281="",BG$3=""),"",IF(AND($J281&lt;&gt;"",$K281&lt;&gt;"",$J281=$K281,$J281&gt;=BG$3,$J281&lt;=IF(param_mode_affichage="mois",EOMONTH(BG$3,0),BG$3+6)),"◆",""))</f>
      </c>
      <c r="BH281" s="26">
        <f>IF(OR($A281="",BH$3=""),"",IF(AND($J281&lt;&gt;"",$K281&lt;&gt;"",$J281=$K281,$J281&gt;=BH$3,$J281&lt;=IF(param_mode_affichage="mois",EOMONTH(BH$3,0),BH$3+6)),"◆",""))</f>
      </c>
      <c r="BI281" s="26">
        <f>IF(OR($A281="",BI$3=""),"",IF(AND($J281&lt;&gt;"",$K281&lt;&gt;"",$J281=$K281,$J281&gt;=BI$3,$J281&lt;=IF(param_mode_affichage="mois",EOMONTH(BI$3,0),BI$3+6)),"◆",""))</f>
      </c>
      <c r="BJ281" s="26">
        <f>IF(OR($A281="",BJ$3=""),"",IF(AND($J281&lt;&gt;"",$K281&lt;&gt;"",$J281=$K281,$J281&gt;=BJ$3,$J281&lt;=IF(param_mode_affichage="mois",EOMONTH(BJ$3,0),BJ$3+6)),"◆",""))</f>
      </c>
      <c r="BK281" s="26">
        <f>IF(OR($A281="",BK$3=""),"",IF(AND($J281&lt;&gt;"",$K281&lt;&gt;"",$J281=$K281,$J281&gt;=BK$3,$J281&lt;=IF(param_mode_affichage="mois",EOMONTH(BK$3,0),BK$3+6)),"◆",""))</f>
      </c>
      <c r="BL281" s="26">
        <f>IF(OR($A281="",BL$3=""),"",IF(AND($J281&lt;&gt;"",$K281&lt;&gt;"",$J281=$K281,$J281&gt;=BL$3,$J281&lt;=IF(param_mode_affichage="mois",EOMONTH(BL$3,0),BL$3+6)),"◆",""))</f>
      </c>
    </row>
    <row r="282" spans="1:64" x14ac:dyDescent="0.25">
      <c r="A282" s="23">
        <f>IFERROR(INDEX(tblTasks[ID],ROW()-4),"")</f>
      </c>
      <c r="B282" s="24">
        <f>IF($A282="","",INDEX(tblTasks[Sujet],ROW()-4))</f>
      </c>
      <c r="C282" s="23">
        <f>IF($A282="","",INDEX(tblTasks[Responsable],ROW()-4))</f>
      </c>
      <c r="D282" s="23">
        <f>IF($A282="","",INDEX(tblTasks[Statut],ROW()-4))</f>
      </c>
      <c r="E282" s="23">
        <f>IF($A282="","",INDEX(tblTasks[Depend_de],ROW()-4))</f>
      </c>
      <c r="F282" s="23">
        <f>IF($A282="","",INDEX(tblTasks[Blocage],ROW()-4))</f>
      </c>
      <c r="G282" s="23">
        <f>IF($A282="","",INDEX(tblTasks[Niveau_criticite],ROW()-4))</f>
      </c>
      <c r="H282" s="23">
        <f>IF($A282="","",INDEX(tblTasks[Goulot],ROW()-4))</f>
      </c>
      <c r="I282" s="23">
        <f>IF($A282="","",IF(LOWER($F282)="oui","non",IF($E282="","oui",IFERROR(IF(LOWER(INDEX(tblTasks[Statut],MATCH($E282,tblTasks[ID],0)))="clos","oui","non"),"non"))))</f>
      </c>
      <c r="J282" s="25">
        <f>IF($A282="","",INDEX(tblTasks[Date_debut_prevue],ROW()-4))</f>
      </c>
      <c r="K282" s="25">
        <f>IF($A282="","",INDEX(tblTasks[Date_fin_prevue],ROW()-4))</f>
      </c>
      <c r="L282" s="23">
        <f>IF($A282="","",INDEX(tblTasks[Irreversibilite],ROW()-4))</f>
      </c>
      <c r="M282" s="26">
        <f>IF(OR($A282="",M$3=""),"",IF(AND($J282&lt;&gt;"",$K282&lt;&gt;"",$J282=$K282,$J282&gt;=M$3,$J282&lt;=IF(param_mode_affichage="mois",EOMONTH(M$3,0),M$3+6)),"◆",""))</f>
      </c>
      <c r="N282" s="26">
        <f>IF(OR($A282="",N$3=""),"",IF(AND($J282&lt;&gt;"",$K282&lt;&gt;"",$J282=$K282,$J282&gt;=N$3,$J282&lt;=IF(param_mode_affichage="mois",EOMONTH(N$3,0),N$3+6)),"◆",""))</f>
      </c>
      <c r="O282" s="26">
        <f>IF(OR($A282="",O$3=""),"",IF(AND($J282&lt;&gt;"",$K282&lt;&gt;"",$J282=$K282,$J282&gt;=O$3,$J282&lt;=IF(param_mode_affichage="mois",EOMONTH(O$3,0),O$3+6)),"◆",""))</f>
      </c>
      <c r="P282" s="26">
        <f>IF(OR($A282="",P$3=""),"",IF(AND($J282&lt;&gt;"",$K282&lt;&gt;"",$J282=$K282,$J282&gt;=P$3,$J282&lt;=IF(param_mode_affichage="mois",EOMONTH(P$3,0),P$3+6)),"◆",""))</f>
      </c>
      <c r="Q282" s="26">
        <f>IF(OR($A282="",Q$3=""),"",IF(AND($J282&lt;&gt;"",$K282&lt;&gt;"",$J282=$K282,$J282&gt;=Q$3,$J282&lt;=IF(param_mode_affichage="mois",EOMONTH(Q$3,0),Q$3+6)),"◆",""))</f>
      </c>
      <c r="R282" s="26">
        <f>IF(OR($A282="",R$3=""),"",IF(AND($J282&lt;&gt;"",$K282&lt;&gt;"",$J282=$K282,$J282&gt;=R$3,$J282&lt;=IF(param_mode_affichage="mois",EOMONTH(R$3,0),R$3+6)),"◆",""))</f>
      </c>
      <c r="S282" s="26">
        <f>IF(OR($A282="",S$3=""),"",IF(AND($J282&lt;&gt;"",$K282&lt;&gt;"",$J282=$K282,$J282&gt;=S$3,$J282&lt;=IF(param_mode_affichage="mois",EOMONTH(S$3,0),S$3+6)),"◆",""))</f>
      </c>
      <c r="T282" s="26">
        <f>IF(OR($A282="",T$3=""),"",IF(AND($J282&lt;&gt;"",$K282&lt;&gt;"",$J282=$K282,$J282&gt;=T$3,$J282&lt;=IF(param_mode_affichage="mois",EOMONTH(T$3,0),T$3+6)),"◆",""))</f>
      </c>
      <c r="U282" s="26">
        <f>IF(OR($A282="",U$3=""),"",IF(AND($J282&lt;&gt;"",$K282&lt;&gt;"",$J282=$K282,$J282&gt;=U$3,$J282&lt;=IF(param_mode_affichage="mois",EOMONTH(U$3,0),U$3+6)),"◆",""))</f>
      </c>
      <c r="V282" s="26">
        <f>IF(OR($A282="",V$3=""),"",IF(AND($J282&lt;&gt;"",$K282&lt;&gt;"",$J282=$K282,$J282&gt;=V$3,$J282&lt;=IF(param_mode_affichage="mois",EOMONTH(V$3,0),V$3+6)),"◆",""))</f>
      </c>
      <c r="W282" s="26">
        <f>IF(OR($A282="",W$3=""),"",IF(AND($J282&lt;&gt;"",$K282&lt;&gt;"",$J282=$K282,$J282&gt;=W$3,$J282&lt;=IF(param_mode_affichage="mois",EOMONTH(W$3,0),W$3+6)),"◆",""))</f>
      </c>
      <c r="X282" s="26">
        <f>IF(OR($A282="",X$3=""),"",IF(AND($J282&lt;&gt;"",$K282&lt;&gt;"",$J282=$K282,$J282&gt;=X$3,$J282&lt;=IF(param_mode_affichage="mois",EOMONTH(X$3,0),X$3+6)),"◆",""))</f>
      </c>
      <c r="Y282" s="26">
        <f>IF(OR($A282="",Y$3=""),"",IF(AND($J282&lt;&gt;"",$K282&lt;&gt;"",$J282=$K282,$J282&gt;=Y$3,$J282&lt;=IF(param_mode_affichage="mois",EOMONTH(Y$3,0),Y$3+6)),"◆",""))</f>
      </c>
      <c r="Z282" s="26">
        <f>IF(OR($A282="",Z$3=""),"",IF(AND($J282&lt;&gt;"",$K282&lt;&gt;"",$J282=$K282,$J282&gt;=Z$3,$J282&lt;=IF(param_mode_affichage="mois",EOMONTH(Z$3,0),Z$3+6)),"◆",""))</f>
      </c>
      <c r="AA282" s="26">
        <f>IF(OR($A282="",AA$3=""),"",IF(AND($J282&lt;&gt;"",$K282&lt;&gt;"",$J282=$K282,$J282&gt;=AA$3,$J282&lt;=IF(param_mode_affichage="mois",EOMONTH(AA$3,0),AA$3+6)),"◆",""))</f>
      </c>
      <c r="AB282" s="26">
        <f>IF(OR($A282="",AB$3=""),"",IF(AND($J282&lt;&gt;"",$K282&lt;&gt;"",$J282=$K282,$J282&gt;=AB$3,$J282&lt;=IF(param_mode_affichage="mois",EOMONTH(AB$3,0),AB$3+6)),"◆",""))</f>
      </c>
      <c r="AC282" s="26">
        <f>IF(OR($A282="",AC$3=""),"",IF(AND($J282&lt;&gt;"",$K282&lt;&gt;"",$J282=$K282,$J282&gt;=AC$3,$J282&lt;=IF(param_mode_affichage="mois",EOMONTH(AC$3,0),AC$3+6)),"◆",""))</f>
      </c>
      <c r="AD282" s="26">
        <f>IF(OR($A282="",AD$3=""),"",IF(AND($J282&lt;&gt;"",$K282&lt;&gt;"",$J282=$K282,$J282&gt;=AD$3,$J282&lt;=IF(param_mode_affichage="mois",EOMONTH(AD$3,0),AD$3+6)),"◆",""))</f>
      </c>
      <c r="AE282" s="26">
        <f>IF(OR($A282="",AE$3=""),"",IF(AND($J282&lt;&gt;"",$K282&lt;&gt;"",$J282=$K282,$J282&gt;=AE$3,$J282&lt;=IF(param_mode_affichage="mois",EOMONTH(AE$3,0),AE$3+6)),"◆",""))</f>
      </c>
      <c r="AF282" s="26">
        <f>IF(OR($A282="",AF$3=""),"",IF(AND($J282&lt;&gt;"",$K282&lt;&gt;"",$J282=$K282,$J282&gt;=AF$3,$J282&lt;=IF(param_mode_affichage="mois",EOMONTH(AF$3,0),AF$3+6)),"◆",""))</f>
      </c>
      <c r="AG282" s="26">
        <f>IF(OR($A282="",AG$3=""),"",IF(AND($J282&lt;&gt;"",$K282&lt;&gt;"",$J282=$K282,$J282&gt;=AG$3,$J282&lt;=IF(param_mode_affichage="mois",EOMONTH(AG$3,0),AG$3+6)),"◆",""))</f>
      </c>
      <c r="AH282" s="26">
        <f>IF(OR($A282="",AH$3=""),"",IF(AND($J282&lt;&gt;"",$K282&lt;&gt;"",$J282=$K282,$J282&gt;=AH$3,$J282&lt;=IF(param_mode_affichage="mois",EOMONTH(AH$3,0),AH$3+6)),"◆",""))</f>
      </c>
      <c r="AI282" s="26">
        <f>IF(OR($A282="",AI$3=""),"",IF(AND($J282&lt;&gt;"",$K282&lt;&gt;"",$J282=$K282,$J282&gt;=AI$3,$J282&lt;=IF(param_mode_affichage="mois",EOMONTH(AI$3,0),AI$3+6)),"◆",""))</f>
      </c>
      <c r="AJ282" s="26">
        <f>IF(OR($A282="",AJ$3=""),"",IF(AND($J282&lt;&gt;"",$K282&lt;&gt;"",$J282=$K282,$J282&gt;=AJ$3,$J282&lt;=IF(param_mode_affichage="mois",EOMONTH(AJ$3,0),AJ$3+6)),"◆",""))</f>
      </c>
      <c r="AK282" s="26">
        <f>IF(OR($A282="",AK$3=""),"",IF(AND($J282&lt;&gt;"",$K282&lt;&gt;"",$J282=$K282,$J282&gt;=AK$3,$J282&lt;=IF(param_mode_affichage="mois",EOMONTH(AK$3,0),AK$3+6)),"◆",""))</f>
      </c>
      <c r="AL282" s="26">
        <f>IF(OR($A282="",AL$3=""),"",IF(AND($J282&lt;&gt;"",$K282&lt;&gt;"",$J282=$K282,$J282&gt;=AL$3,$J282&lt;=IF(param_mode_affichage="mois",EOMONTH(AL$3,0),AL$3+6)),"◆",""))</f>
      </c>
      <c r="AM282" s="26">
        <f>IF(OR($A282="",AM$3=""),"",IF(AND($J282&lt;&gt;"",$K282&lt;&gt;"",$J282=$K282,$J282&gt;=AM$3,$J282&lt;=IF(param_mode_affichage="mois",EOMONTH(AM$3,0),AM$3+6)),"◆",""))</f>
      </c>
      <c r="AN282" s="26">
        <f>IF(OR($A282="",AN$3=""),"",IF(AND($J282&lt;&gt;"",$K282&lt;&gt;"",$J282=$K282,$J282&gt;=AN$3,$J282&lt;=IF(param_mode_affichage="mois",EOMONTH(AN$3,0),AN$3+6)),"◆",""))</f>
      </c>
      <c r="AO282" s="26">
        <f>IF(OR($A282="",AO$3=""),"",IF(AND($J282&lt;&gt;"",$K282&lt;&gt;"",$J282=$K282,$J282&gt;=AO$3,$J282&lt;=IF(param_mode_affichage="mois",EOMONTH(AO$3,0),AO$3+6)),"◆",""))</f>
      </c>
      <c r="AP282" s="26">
        <f>IF(OR($A282="",AP$3=""),"",IF(AND($J282&lt;&gt;"",$K282&lt;&gt;"",$J282=$K282,$J282&gt;=AP$3,$J282&lt;=IF(param_mode_affichage="mois",EOMONTH(AP$3,0),AP$3+6)),"◆",""))</f>
      </c>
      <c r="AQ282" s="26">
        <f>IF(OR($A282="",AQ$3=""),"",IF(AND($J282&lt;&gt;"",$K282&lt;&gt;"",$J282=$K282,$J282&gt;=AQ$3,$J282&lt;=IF(param_mode_affichage="mois",EOMONTH(AQ$3,0),AQ$3+6)),"◆",""))</f>
      </c>
      <c r="AR282" s="26">
        <f>IF(OR($A282="",AR$3=""),"",IF(AND($J282&lt;&gt;"",$K282&lt;&gt;"",$J282=$K282,$J282&gt;=AR$3,$J282&lt;=IF(param_mode_affichage="mois",EOMONTH(AR$3,0),AR$3+6)),"◆",""))</f>
      </c>
      <c r="AS282" s="26">
        <f>IF(OR($A282="",AS$3=""),"",IF(AND($J282&lt;&gt;"",$K282&lt;&gt;"",$J282=$K282,$J282&gt;=AS$3,$J282&lt;=IF(param_mode_affichage="mois",EOMONTH(AS$3,0),AS$3+6)),"◆",""))</f>
      </c>
      <c r="AT282" s="26">
        <f>IF(OR($A282="",AT$3=""),"",IF(AND($J282&lt;&gt;"",$K282&lt;&gt;"",$J282=$K282,$J282&gt;=AT$3,$J282&lt;=IF(param_mode_affichage="mois",EOMONTH(AT$3,0),AT$3+6)),"◆",""))</f>
      </c>
      <c r="AU282" s="26">
        <f>IF(OR($A282="",AU$3=""),"",IF(AND($J282&lt;&gt;"",$K282&lt;&gt;"",$J282=$K282,$J282&gt;=AU$3,$J282&lt;=IF(param_mode_affichage="mois",EOMONTH(AU$3,0),AU$3+6)),"◆",""))</f>
      </c>
      <c r="AV282" s="26">
        <f>IF(OR($A282="",AV$3=""),"",IF(AND($J282&lt;&gt;"",$K282&lt;&gt;"",$J282=$K282,$J282&gt;=AV$3,$J282&lt;=IF(param_mode_affichage="mois",EOMONTH(AV$3,0),AV$3+6)),"◆",""))</f>
      </c>
      <c r="AW282" s="26">
        <f>IF(OR($A282="",AW$3=""),"",IF(AND($J282&lt;&gt;"",$K282&lt;&gt;"",$J282=$K282,$J282&gt;=AW$3,$J282&lt;=IF(param_mode_affichage="mois",EOMONTH(AW$3,0),AW$3+6)),"◆",""))</f>
      </c>
      <c r="AX282" s="26">
        <f>IF(OR($A282="",AX$3=""),"",IF(AND($J282&lt;&gt;"",$K282&lt;&gt;"",$J282=$K282,$J282&gt;=AX$3,$J282&lt;=IF(param_mode_affichage="mois",EOMONTH(AX$3,0),AX$3+6)),"◆",""))</f>
      </c>
      <c r="AY282" s="26">
        <f>IF(OR($A282="",AY$3=""),"",IF(AND($J282&lt;&gt;"",$K282&lt;&gt;"",$J282=$K282,$J282&gt;=AY$3,$J282&lt;=IF(param_mode_affichage="mois",EOMONTH(AY$3,0),AY$3+6)),"◆",""))</f>
      </c>
      <c r="AZ282" s="26">
        <f>IF(OR($A282="",AZ$3=""),"",IF(AND($J282&lt;&gt;"",$K282&lt;&gt;"",$J282=$K282,$J282&gt;=AZ$3,$J282&lt;=IF(param_mode_affichage="mois",EOMONTH(AZ$3,0),AZ$3+6)),"◆",""))</f>
      </c>
      <c r="BA282" s="26">
        <f>IF(OR($A282="",BA$3=""),"",IF(AND($J282&lt;&gt;"",$K282&lt;&gt;"",$J282=$K282,$J282&gt;=BA$3,$J282&lt;=IF(param_mode_affichage="mois",EOMONTH(BA$3,0),BA$3+6)),"◆",""))</f>
      </c>
      <c r="BB282" s="26">
        <f>IF(OR($A282="",BB$3=""),"",IF(AND($J282&lt;&gt;"",$K282&lt;&gt;"",$J282=$K282,$J282&gt;=BB$3,$J282&lt;=IF(param_mode_affichage="mois",EOMONTH(BB$3,0),BB$3+6)),"◆",""))</f>
      </c>
      <c r="BC282" s="26">
        <f>IF(OR($A282="",BC$3=""),"",IF(AND($J282&lt;&gt;"",$K282&lt;&gt;"",$J282=$K282,$J282&gt;=BC$3,$J282&lt;=IF(param_mode_affichage="mois",EOMONTH(BC$3,0),BC$3+6)),"◆",""))</f>
      </c>
      <c r="BD282" s="26">
        <f>IF(OR($A282="",BD$3=""),"",IF(AND($J282&lt;&gt;"",$K282&lt;&gt;"",$J282=$K282,$J282&gt;=BD$3,$J282&lt;=IF(param_mode_affichage="mois",EOMONTH(BD$3,0),BD$3+6)),"◆",""))</f>
      </c>
      <c r="BE282" s="26">
        <f>IF(OR($A282="",BE$3=""),"",IF(AND($J282&lt;&gt;"",$K282&lt;&gt;"",$J282=$K282,$J282&gt;=BE$3,$J282&lt;=IF(param_mode_affichage="mois",EOMONTH(BE$3,0),BE$3+6)),"◆",""))</f>
      </c>
      <c r="BF282" s="26">
        <f>IF(OR($A282="",BF$3=""),"",IF(AND($J282&lt;&gt;"",$K282&lt;&gt;"",$J282=$K282,$J282&gt;=BF$3,$J282&lt;=IF(param_mode_affichage="mois",EOMONTH(BF$3,0),BF$3+6)),"◆",""))</f>
      </c>
      <c r="BG282" s="26">
        <f>IF(OR($A282="",BG$3=""),"",IF(AND($J282&lt;&gt;"",$K282&lt;&gt;"",$J282=$K282,$J282&gt;=BG$3,$J282&lt;=IF(param_mode_affichage="mois",EOMONTH(BG$3,0),BG$3+6)),"◆",""))</f>
      </c>
      <c r="BH282" s="26">
        <f>IF(OR($A282="",BH$3=""),"",IF(AND($J282&lt;&gt;"",$K282&lt;&gt;"",$J282=$K282,$J282&gt;=BH$3,$J282&lt;=IF(param_mode_affichage="mois",EOMONTH(BH$3,0),BH$3+6)),"◆",""))</f>
      </c>
      <c r="BI282" s="26">
        <f>IF(OR($A282="",BI$3=""),"",IF(AND($J282&lt;&gt;"",$K282&lt;&gt;"",$J282=$K282,$J282&gt;=BI$3,$J282&lt;=IF(param_mode_affichage="mois",EOMONTH(BI$3,0),BI$3+6)),"◆",""))</f>
      </c>
      <c r="BJ282" s="26">
        <f>IF(OR($A282="",BJ$3=""),"",IF(AND($J282&lt;&gt;"",$K282&lt;&gt;"",$J282=$K282,$J282&gt;=BJ$3,$J282&lt;=IF(param_mode_affichage="mois",EOMONTH(BJ$3,0),BJ$3+6)),"◆",""))</f>
      </c>
      <c r="BK282" s="26">
        <f>IF(OR($A282="",BK$3=""),"",IF(AND($J282&lt;&gt;"",$K282&lt;&gt;"",$J282=$K282,$J282&gt;=BK$3,$J282&lt;=IF(param_mode_affichage="mois",EOMONTH(BK$3,0),BK$3+6)),"◆",""))</f>
      </c>
      <c r="BL282" s="26">
        <f>IF(OR($A282="",BL$3=""),"",IF(AND($J282&lt;&gt;"",$K282&lt;&gt;"",$J282=$K282,$J282&gt;=BL$3,$J282&lt;=IF(param_mode_affichage="mois",EOMONTH(BL$3,0),BL$3+6)),"◆",""))</f>
      </c>
    </row>
    <row r="283" spans="1:64" x14ac:dyDescent="0.25">
      <c r="A283" s="23">
        <f>IFERROR(INDEX(tblTasks[ID],ROW()-4),"")</f>
      </c>
      <c r="B283" s="24">
        <f>IF($A283="","",INDEX(tblTasks[Sujet],ROW()-4))</f>
      </c>
      <c r="C283" s="23">
        <f>IF($A283="","",INDEX(tblTasks[Responsable],ROW()-4))</f>
      </c>
      <c r="D283" s="23">
        <f>IF($A283="","",INDEX(tblTasks[Statut],ROW()-4))</f>
      </c>
      <c r="E283" s="23">
        <f>IF($A283="","",INDEX(tblTasks[Depend_de],ROW()-4))</f>
      </c>
      <c r="F283" s="23">
        <f>IF($A283="","",INDEX(tblTasks[Blocage],ROW()-4))</f>
      </c>
      <c r="G283" s="23">
        <f>IF($A283="","",INDEX(tblTasks[Niveau_criticite],ROW()-4))</f>
      </c>
      <c r="H283" s="23">
        <f>IF($A283="","",INDEX(tblTasks[Goulot],ROW()-4))</f>
      </c>
      <c r="I283" s="23">
        <f>IF($A283="","",IF(LOWER($F283)="oui","non",IF($E283="","oui",IFERROR(IF(LOWER(INDEX(tblTasks[Statut],MATCH($E283,tblTasks[ID],0)))="clos","oui","non"),"non"))))</f>
      </c>
      <c r="J283" s="25">
        <f>IF($A283="","",INDEX(tblTasks[Date_debut_prevue],ROW()-4))</f>
      </c>
      <c r="K283" s="25">
        <f>IF($A283="","",INDEX(tblTasks[Date_fin_prevue],ROW()-4))</f>
      </c>
      <c r="L283" s="23">
        <f>IF($A283="","",INDEX(tblTasks[Irreversibilite],ROW()-4))</f>
      </c>
      <c r="M283" s="26">
        <f>IF(OR($A283="",M$3=""),"",IF(AND($J283&lt;&gt;"",$K283&lt;&gt;"",$J283=$K283,$J283&gt;=M$3,$J283&lt;=IF(param_mode_affichage="mois",EOMONTH(M$3,0),M$3+6)),"◆",""))</f>
      </c>
      <c r="N283" s="26">
        <f>IF(OR($A283="",N$3=""),"",IF(AND($J283&lt;&gt;"",$K283&lt;&gt;"",$J283=$K283,$J283&gt;=N$3,$J283&lt;=IF(param_mode_affichage="mois",EOMONTH(N$3,0),N$3+6)),"◆",""))</f>
      </c>
      <c r="O283" s="26">
        <f>IF(OR($A283="",O$3=""),"",IF(AND($J283&lt;&gt;"",$K283&lt;&gt;"",$J283=$K283,$J283&gt;=O$3,$J283&lt;=IF(param_mode_affichage="mois",EOMONTH(O$3,0),O$3+6)),"◆",""))</f>
      </c>
      <c r="P283" s="26">
        <f>IF(OR($A283="",P$3=""),"",IF(AND($J283&lt;&gt;"",$K283&lt;&gt;"",$J283=$K283,$J283&gt;=P$3,$J283&lt;=IF(param_mode_affichage="mois",EOMONTH(P$3,0),P$3+6)),"◆",""))</f>
      </c>
      <c r="Q283" s="26">
        <f>IF(OR($A283="",Q$3=""),"",IF(AND($J283&lt;&gt;"",$K283&lt;&gt;"",$J283=$K283,$J283&gt;=Q$3,$J283&lt;=IF(param_mode_affichage="mois",EOMONTH(Q$3,0),Q$3+6)),"◆",""))</f>
      </c>
      <c r="R283" s="26">
        <f>IF(OR($A283="",R$3=""),"",IF(AND($J283&lt;&gt;"",$K283&lt;&gt;"",$J283=$K283,$J283&gt;=R$3,$J283&lt;=IF(param_mode_affichage="mois",EOMONTH(R$3,0),R$3+6)),"◆",""))</f>
      </c>
      <c r="S283" s="26">
        <f>IF(OR($A283="",S$3=""),"",IF(AND($J283&lt;&gt;"",$K283&lt;&gt;"",$J283=$K283,$J283&gt;=S$3,$J283&lt;=IF(param_mode_affichage="mois",EOMONTH(S$3,0),S$3+6)),"◆",""))</f>
      </c>
      <c r="T283" s="26">
        <f>IF(OR($A283="",T$3=""),"",IF(AND($J283&lt;&gt;"",$K283&lt;&gt;"",$J283=$K283,$J283&gt;=T$3,$J283&lt;=IF(param_mode_affichage="mois",EOMONTH(T$3,0),T$3+6)),"◆",""))</f>
      </c>
      <c r="U283" s="26">
        <f>IF(OR($A283="",U$3=""),"",IF(AND($J283&lt;&gt;"",$K283&lt;&gt;"",$J283=$K283,$J283&gt;=U$3,$J283&lt;=IF(param_mode_affichage="mois",EOMONTH(U$3,0),U$3+6)),"◆",""))</f>
      </c>
      <c r="V283" s="26">
        <f>IF(OR($A283="",V$3=""),"",IF(AND($J283&lt;&gt;"",$K283&lt;&gt;"",$J283=$K283,$J283&gt;=V$3,$J283&lt;=IF(param_mode_affichage="mois",EOMONTH(V$3,0),V$3+6)),"◆",""))</f>
      </c>
      <c r="W283" s="26">
        <f>IF(OR($A283="",W$3=""),"",IF(AND($J283&lt;&gt;"",$K283&lt;&gt;"",$J283=$K283,$J283&gt;=W$3,$J283&lt;=IF(param_mode_affichage="mois",EOMONTH(W$3,0),W$3+6)),"◆",""))</f>
      </c>
      <c r="X283" s="26">
        <f>IF(OR($A283="",X$3=""),"",IF(AND($J283&lt;&gt;"",$K283&lt;&gt;"",$J283=$K283,$J283&gt;=X$3,$J283&lt;=IF(param_mode_affichage="mois",EOMONTH(X$3,0),X$3+6)),"◆",""))</f>
      </c>
      <c r="Y283" s="26">
        <f>IF(OR($A283="",Y$3=""),"",IF(AND($J283&lt;&gt;"",$K283&lt;&gt;"",$J283=$K283,$J283&gt;=Y$3,$J283&lt;=IF(param_mode_affichage="mois",EOMONTH(Y$3,0),Y$3+6)),"◆",""))</f>
      </c>
      <c r="Z283" s="26">
        <f>IF(OR($A283="",Z$3=""),"",IF(AND($J283&lt;&gt;"",$K283&lt;&gt;"",$J283=$K283,$J283&gt;=Z$3,$J283&lt;=IF(param_mode_affichage="mois",EOMONTH(Z$3,0),Z$3+6)),"◆",""))</f>
      </c>
      <c r="AA283" s="26">
        <f>IF(OR($A283="",AA$3=""),"",IF(AND($J283&lt;&gt;"",$K283&lt;&gt;"",$J283=$K283,$J283&gt;=AA$3,$J283&lt;=IF(param_mode_affichage="mois",EOMONTH(AA$3,0),AA$3+6)),"◆",""))</f>
      </c>
      <c r="AB283" s="26">
        <f>IF(OR($A283="",AB$3=""),"",IF(AND($J283&lt;&gt;"",$K283&lt;&gt;"",$J283=$K283,$J283&gt;=AB$3,$J283&lt;=IF(param_mode_affichage="mois",EOMONTH(AB$3,0),AB$3+6)),"◆",""))</f>
      </c>
      <c r="AC283" s="26">
        <f>IF(OR($A283="",AC$3=""),"",IF(AND($J283&lt;&gt;"",$K283&lt;&gt;"",$J283=$K283,$J283&gt;=AC$3,$J283&lt;=IF(param_mode_affichage="mois",EOMONTH(AC$3,0),AC$3+6)),"◆",""))</f>
      </c>
      <c r="AD283" s="26">
        <f>IF(OR($A283="",AD$3=""),"",IF(AND($J283&lt;&gt;"",$K283&lt;&gt;"",$J283=$K283,$J283&gt;=AD$3,$J283&lt;=IF(param_mode_affichage="mois",EOMONTH(AD$3,0),AD$3+6)),"◆",""))</f>
      </c>
      <c r="AE283" s="26">
        <f>IF(OR($A283="",AE$3=""),"",IF(AND($J283&lt;&gt;"",$K283&lt;&gt;"",$J283=$K283,$J283&gt;=AE$3,$J283&lt;=IF(param_mode_affichage="mois",EOMONTH(AE$3,0),AE$3+6)),"◆",""))</f>
      </c>
      <c r="AF283" s="26">
        <f>IF(OR($A283="",AF$3=""),"",IF(AND($J283&lt;&gt;"",$K283&lt;&gt;"",$J283=$K283,$J283&gt;=AF$3,$J283&lt;=IF(param_mode_affichage="mois",EOMONTH(AF$3,0),AF$3+6)),"◆",""))</f>
      </c>
      <c r="AG283" s="26">
        <f>IF(OR($A283="",AG$3=""),"",IF(AND($J283&lt;&gt;"",$K283&lt;&gt;"",$J283=$K283,$J283&gt;=AG$3,$J283&lt;=IF(param_mode_affichage="mois",EOMONTH(AG$3,0),AG$3+6)),"◆",""))</f>
      </c>
      <c r="AH283" s="26">
        <f>IF(OR($A283="",AH$3=""),"",IF(AND($J283&lt;&gt;"",$K283&lt;&gt;"",$J283=$K283,$J283&gt;=AH$3,$J283&lt;=IF(param_mode_affichage="mois",EOMONTH(AH$3,0),AH$3+6)),"◆",""))</f>
      </c>
      <c r="AI283" s="26">
        <f>IF(OR($A283="",AI$3=""),"",IF(AND($J283&lt;&gt;"",$K283&lt;&gt;"",$J283=$K283,$J283&gt;=AI$3,$J283&lt;=IF(param_mode_affichage="mois",EOMONTH(AI$3,0),AI$3+6)),"◆",""))</f>
      </c>
      <c r="AJ283" s="26">
        <f>IF(OR($A283="",AJ$3=""),"",IF(AND($J283&lt;&gt;"",$K283&lt;&gt;"",$J283=$K283,$J283&gt;=AJ$3,$J283&lt;=IF(param_mode_affichage="mois",EOMONTH(AJ$3,0),AJ$3+6)),"◆",""))</f>
      </c>
      <c r="AK283" s="26">
        <f>IF(OR($A283="",AK$3=""),"",IF(AND($J283&lt;&gt;"",$K283&lt;&gt;"",$J283=$K283,$J283&gt;=AK$3,$J283&lt;=IF(param_mode_affichage="mois",EOMONTH(AK$3,0),AK$3+6)),"◆",""))</f>
      </c>
      <c r="AL283" s="26">
        <f>IF(OR($A283="",AL$3=""),"",IF(AND($J283&lt;&gt;"",$K283&lt;&gt;"",$J283=$K283,$J283&gt;=AL$3,$J283&lt;=IF(param_mode_affichage="mois",EOMONTH(AL$3,0),AL$3+6)),"◆",""))</f>
      </c>
      <c r="AM283" s="26">
        <f>IF(OR($A283="",AM$3=""),"",IF(AND($J283&lt;&gt;"",$K283&lt;&gt;"",$J283=$K283,$J283&gt;=AM$3,$J283&lt;=IF(param_mode_affichage="mois",EOMONTH(AM$3,0),AM$3+6)),"◆",""))</f>
      </c>
      <c r="AN283" s="26">
        <f>IF(OR($A283="",AN$3=""),"",IF(AND($J283&lt;&gt;"",$K283&lt;&gt;"",$J283=$K283,$J283&gt;=AN$3,$J283&lt;=IF(param_mode_affichage="mois",EOMONTH(AN$3,0),AN$3+6)),"◆",""))</f>
      </c>
      <c r="AO283" s="26">
        <f>IF(OR($A283="",AO$3=""),"",IF(AND($J283&lt;&gt;"",$K283&lt;&gt;"",$J283=$K283,$J283&gt;=AO$3,$J283&lt;=IF(param_mode_affichage="mois",EOMONTH(AO$3,0),AO$3+6)),"◆",""))</f>
      </c>
      <c r="AP283" s="26">
        <f>IF(OR($A283="",AP$3=""),"",IF(AND($J283&lt;&gt;"",$K283&lt;&gt;"",$J283=$K283,$J283&gt;=AP$3,$J283&lt;=IF(param_mode_affichage="mois",EOMONTH(AP$3,0),AP$3+6)),"◆",""))</f>
      </c>
      <c r="AQ283" s="26">
        <f>IF(OR($A283="",AQ$3=""),"",IF(AND($J283&lt;&gt;"",$K283&lt;&gt;"",$J283=$K283,$J283&gt;=AQ$3,$J283&lt;=IF(param_mode_affichage="mois",EOMONTH(AQ$3,0),AQ$3+6)),"◆",""))</f>
      </c>
      <c r="AR283" s="26">
        <f>IF(OR($A283="",AR$3=""),"",IF(AND($J283&lt;&gt;"",$K283&lt;&gt;"",$J283=$K283,$J283&gt;=AR$3,$J283&lt;=IF(param_mode_affichage="mois",EOMONTH(AR$3,0),AR$3+6)),"◆",""))</f>
      </c>
      <c r="AS283" s="26">
        <f>IF(OR($A283="",AS$3=""),"",IF(AND($J283&lt;&gt;"",$K283&lt;&gt;"",$J283=$K283,$J283&gt;=AS$3,$J283&lt;=IF(param_mode_affichage="mois",EOMONTH(AS$3,0),AS$3+6)),"◆",""))</f>
      </c>
      <c r="AT283" s="26">
        <f>IF(OR($A283="",AT$3=""),"",IF(AND($J283&lt;&gt;"",$K283&lt;&gt;"",$J283=$K283,$J283&gt;=AT$3,$J283&lt;=IF(param_mode_affichage="mois",EOMONTH(AT$3,0),AT$3+6)),"◆",""))</f>
      </c>
      <c r="AU283" s="26">
        <f>IF(OR($A283="",AU$3=""),"",IF(AND($J283&lt;&gt;"",$K283&lt;&gt;"",$J283=$K283,$J283&gt;=AU$3,$J283&lt;=IF(param_mode_affichage="mois",EOMONTH(AU$3,0),AU$3+6)),"◆",""))</f>
      </c>
      <c r="AV283" s="26">
        <f>IF(OR($A283="",AV$3=""),"",IF(AND($J283&lt;&gt;"",$K283&lt;&gt;"",$J283=$K283,$J283&gt;=AV$3,$J283&lt;=IF(param_mode_affichage="mois",EOMONTH(AV$3,0),AV$3+6)),"◆",""))</f>
      </c>
      <c r="AW283" s="26">
        <f>IF(OR($A283="",AW$3=""),"",IF(AND($J283&lt;&gt;"",$K283&lt;&gt;"",$J283=$K283,$J283&gt;=AW$3,$J283&lt;=IF(param_mode_affichage="mois",EOMONTH(AW$3,0),AW$3+6)),"◆",""))</f>
      </c>
      <c r="AX283" s="26">
        <f>IF(OR($A283="",AX$3=""),"",IF(AND($J283&lt;&gt;"",$K283&lt;&gt;"",$J283=$K283,$J283&gt;=AX$3,$J283&lt;=IF(param_mode_affichage="mois",EOMONTH(AX$3,0),AX$3+6)),"◆",""))</f>
      </c>
      <c r="AY283" s="26">
        <f>IF(OR($A283="",AY$3=""),"",IF(AND($J283&lt;&gt;"",$K283&lt;&gt;"",$J283=$K283,$J283&gt;=AY$3,$J283&lt;=IF(param_mode_affichage="mois",EOMONTH(AY$3,0),AY$3+6)),"◆",""))</f>
      </c>
      <c r="AZ283" s="26">
        <f>IF(OR($A283="",AZ$3=""),"",IF(AND($J283&lt;&gt;"",$K283&lt;&gt;"",$J283=$K283,$J283&gt;=AZ$3,$J283&lt;=IF(param_mode_affichage="mois",EOMONTH(AZ$3,0),AZ$3+6)),"◆",""))</f>
      </c>
      <c r="BA283" s="26">
        <f>IF(OR($A283="",BA$3=""),"",IF(AND($J283&lt;&gt;"",$K283&lt;&gt;"",$J283=$K283,$J283&gt;=BA$3,$J283&lt;=IF(param_mode_affichage="mois",EOMONTH(BA$3,0),BA$3+6)),"◆",""))</f>
      </c>
      <c r="BB283" s="26">
        <f>IF(OR($A283="",BB$3=""),"",IF(AND($J283&lt;&gt;"",$K283&lt;&gt;"",$J283=$K283,$J283&gt;=BB$3,$J283&lt;=IF(param_mode_affichage="mois",EOMONTH(BB$3,0),BB$3+6)),"◆",""))</f>
      </c>
      <c r="BC283" s="26">
        <f>IF(OR($A283="",BC$3=""),"",IF(AND($J283&lt;&gt;"",$K283&lt;&gt;"",$J283=$K283,$J283&gt;=BC$3,$J283&lt;=IF(param_mode_affichage="mois",EOMONTH(BC$3,0),BC$3+6)),"◆",""))</f>
      </c>
      <c r="BD283" s="26">
        <f>IF(OR($A283="",BD$3=""),"",IF(AND($J283&lt;&gt;"",$K283&lt;&gt;"",$J283=$K283,$J283&gt;=BD$3,$J283&lt;=IF(param_mode_affichage="mois",EOMONTH(BD$3,0),BD$3+6)),"◆",""))</f>
      </c>
      <c r="BE283" s="26">
        <f>IF(OR($A283="",BE$3=""),"",IF(AND($J283&lt;&gt;"",$K283&lt;&gt;"",$J283=$K283,$J283&gt;=BE$3,$J283&lt;=IF(param_mode_affichage="mois",EOMONTH(BE$3,0),BE$3+6)),"◆",""))</f>
      </c>
      <c r="BF283" s="26">
        <f>IF(OR($A283="",BF$3=""),"",IF(AND($J283&lt;&gt;"",$K283&lt;&gt;"",$J283=$K283,$J283&gt;=BF$3,$J283&lt;=IF(param_mode_affichage="mois",EOMONTH(BF$3,0),BF$3+6)),"◆",""))</f>
      </c>
      <c r="BG283" s="26">
        <f>IF(OR($A283="",BG$3=""),"",IF(AND($J283&lt;&gt;"",$K283&lt;&gt;"",$J283=$K283,$J283&gt;=BG$3,$J283&lt;=IF(param_mode_affichage="mois",EOMONTH(BG$3,0),BG$3+6)),"◆",""))</f>
      </c>
      <c r="BH283" s="26">
        <f>IF(OR($A283="",BH$3=""),"",IF(AND($J283&lt;&gt;"",$K283&lt;&gt;"",$J283=$K283,$J283&gt;=BH$3,$J283&lt;=IF(param_mode_affichage="mois",EOMONTH(BH$3,0),BH$3+6)),"◆",""))</f>
      </c>
      <c r="BI283" s="26">
        <f>IF(OR($A283="",BI$3=""),"",IF(AND($J283&lt;&gt;"",$K283&lt;&gt;"",$J283=$K283,$J283&gt;=BI$3,$J283&lt;=IF(param_mode_affichage="mois",EOMONTH(BI$3,0),BI$3+6)),"◆",""))</f>
      </c>
      <c r="BJ283" s="26">
        <f>IF(OR($A283="",BJ$3=""),"",IF(AND($J283&lt;&gt;"",$K283&lt;&gt;"",$J283=$K283,$J283&gt;=BJ$3,$J283&lt;=IF(param_mode_affichage="mois",EOMONTH(BJ$3,0),BJ$3+6)),"◆",""))</f>
      </c>
      <c r="BK283" s="26">
        <f>IF(OR($A283="",BK$3=""),"",IF(AND($J283&lt;&gt;"",$K283&lt;&gt;"",$J283=$K283,$J283&gt;=BK$3,$J283&lt;=IF(param_mode_affichage="mois",EOMONTH(BK$3,0),BK$3+6)),"◆",""))</f>
      </c>
      <c r="BL283" s="26">
        <f>IF(OR($A283="",BL$3=""),"",IF(AND($J283&lt;&gt;"",$K283&lt;&gt;"",$J283=$K283,$J283&gt;=BL$3,$J283&lt;=IF(param_mode_affichage="mois",EOMONTH(BL$3,0),BL$3+6)),"◆",""))</f>
      </c>
    </row>
    <row r="284" spans="1:64" x14ac:dyDescent="0.25">
      <c r="A284" s="23">
        <f>IFERROR(INDEX(tblTasks[ID],ROW()-4),"")</f>
      </c>
      <c r="B284" s="24">
        <f>IF($A284="","",INDEX(tblTasks[Sujet],ROW()-4))</f>
      </c>
      <c r="C284" s="23">
        <f>IF($A284="","",INDEX(tblTasks[Responsable],ROW()-4))</f>
      </c>
      <c r="D284" s="23">
        <f>IF($A284="","",INDEX(tblTasks[Statut],ROW()-4))</f>
      </c>
      <c r="E284" s="23">
        <f>IF($A284="","",INDEX(tblTasks[Depend_de],ROW()-4))</f>
      </c>
      <c r="F284" s="23">
        <f>IF($A284="","",INDEX(tblTasks[Blocage],ROW()-4))</f>
      </c>
      <c r="G284" s="23">
        <f>IF($A284="","",INDEX(tblTasks[Niveau_criticite],ROW()-4))</f>
      </c>
      <c r="H284" s="23">
        <f>IF($A284="","",INDEX(tblTasks[Goulot],ROW()-4))</f>
      </c>
      <c r="I284" s="23">
        <f>IF($A284="","",IF(LOWER($F284)="oui","non",IF($E284="","oui",IFERROR(IF(LOWER(INDEX(tblTasks[Statut],MATCH($E284,tblTasks[ID],0)))="clos","oui","non"),"non"))))</f>
      </c>
      <c r="J284" s="25">
        <f>IF($A284="","",INDEX(tblTasks[Date_debut_prevue],ROW()-4))</f>
      </c>
      <c r="K284" s="25">
        <f>IF($A284="","",INDEX(tblTasks[Date_fin_prevue],ROW()-4))</f>
      </c>
      <c r="L284" s="23">
        <f>IF($A284="","",INDEX(tblTasks[Irreversibilite],ROW()-4))</f>
      </c>
      <c r="M284" s="26">
        <f>IF(OR($A284="",M$3=""),"",IF(AND($J284&lt;&gt;"",$K284&lt;&gt;"",$J284=$K284,$J284&gt;=M$3,$J284&lt;=IF(param_mode_affichage="mois",EOMONTH(M$3,0),M$3+6)),"◆",""))</f>
      </c>
      <c r="N284" s="26">
        <f>IF(OR($A284="",N$3=""),"",IF(AND($J284&lt;&gt;"",$K284&lt;&gt;"",$J284=$K284,$J284&gt;=N$3,$J284&lt;=IF(param_mode_affichage="mois",EOMONTH(N$3,0),N$3+6)),"◆",""))</f>
      </c>
      <c r="O284" s="26">
        <f>IF(OR($A284="",O$3=""),"",IF(AND($J284&lt;&gt;"",$K284&lt;&gt;"",$J284=$K284,$J284&gt;=O$3,$J284&lt;=IF(param_mode_affichage="mois",EOMONTH(O$3,0),O$3+6)),"◆",""))</f>
      </c>
      <c r="P284" s="26">
        <f>IF(OR($A284="",P$3=""),"",IF(AND($J284&lt;&gt;"",$K284&lt;&gt;"",$J284=$K284,$J284&gt;=P$3,$J284&lt;=IF(param_mode_affichage="mois",EOMONTH(P$3,0),P$3+6)),"◆",""))</f>
      </c>
      <c r="Q284" s="26">
        <f>IF(OR($A284="",Q$3=""),"",IF(AND($J284&lt;&gt;"",$K284&lt;&gt;"",$J284=$K284,$J284&gt;=Q$3,$J284&lt;=IF(param_mode_affichage="mois",EOMONTH(Q$3,0),Q$3+6)),"◆",""))</f>
      </c>
      <c r="R284" s="26">
        <f>IF(OR($A284="",R$3=""),"",IF(AND($J284&lt;&gt;"",$K284&lt;&gt;"",$J284=$K284,$J284&gt;=R$3,$J284&lt;=IF(param_mode_affichage="mois",EOMONTH(R$3,0),R$3+6)),"◆",""))</f>
      </c>
      <c r="S284" s="26">
        <f>IF(OR($A284="",S$3=""),"",IF(AND($J284&lt;&gt;"",$K284&lt;&gt;"",$J284=$K284,$J284&gt;=S$3,$J284&lt;=IF(param_mode_affichage="mois",EOMONTH(S$3,0),S$3+6)),"◆",""))</f>
      </c>
      <c r="T284" s="26">
        <f>IF(OR($A284="",T$3=""),"",IF(AND($J284&lt;&gt;"",$K284&lt;&gt;"",$J284=$K284,$J284&gt;=T$3,$J284&lt;=IF(param_mode_affichage="mois",EOMONTH(T$3,0),T$3+6)),"◆",""))</f>
      </c>
      <c r="U284" s="26">
        <f>IF(OR($A284="",U$3=""),"",IF(AND($J284&lt;&gt;"",$K284&lt;&gt;"",$J284=$K284,$J284&gt;=U$3,$J284&lt;=IF(param_mode_affichage="mois",EOMONTH(U$3,0),U$3+6)),"◆",""))</f>
      </c>
      <c r="V284" s="26">
        <f>IF(OR($A284="",V$3=""),"",IF(AND($J284&lt;&gt;"",$K284&lt;&gt;"",$J284=$K284,$J284&gt;=V$3,$J284&lt;=IF(param_mode_affichage="mois",EOMONTH(V$3,0),V$3+6)),"◆",""))</f>
      </c>
      <c r="W284" s="26">
        <f>IF(OR($A284="",W$3=""),"",IF(AND($J284&lt;&gt;"",$K284&lt;&gt;"",$J284=$K284,$J284&gt;=W$3,$J284&lt;=IF(param_mode_affichage="mois",EOMONTH(W$3,0),W$3+6)),"◆",""))</f>
      </c>
      <c r="X284" s="26">
        <f>IF(OR($A284="",X$3=""),"",IF(AND($J284&lt;&gt;"",$K284&lt;&gt;"",$J284=$K284,$J284&gt;=X$3,$J284&lt;=IF(param_mode_affichage="mois",EOMONTH(X$3,0),X$3+6)),"◆",""))</f>
      </c>
      <c r="Y284" s="26">
        <f>IF(OR($A284="",Y$3=""),"",IF(AND($J284&lt;&gt;"",$K284&lt;&gt;"",$J284=$K284,$J284&gt;=Y$3,$J284&lt;=IF(param_mode_affichage="mois",EOMONTH(Y$3,0),Y$3+6)),"◆",""))</f>
      </c>
      <c r="Z284" s="26">
        <f>IF(OR($A284="",Z$3=""),"",IF(AND($J284&lt;&gt;"",$K284&lt;&gt;"",$J284=$K284,$J284&gt;=Z$3,$J284&lt;=IF(param_mode_affichage="mois",EOMONTH(Z$3,0),Z$3+6)),"◆",""))</f>
      </c>
      <c r="AA284" s="26">
        <f>IF(OR($A284="",AA$3=""),"",IF(AND($J284&lt;&gt;"",$K284&lt;&gt;"",$J284=$K284,$J284&gt;=AA$3,$J284&lt;=IF(param_mode_affichage="mois",EOMONTH(AA$3,0),AA$3+6)),"◆",""))</f>
      </c>
      <c r="AB284" s="26">
        <f>IF(OR($A284="",AB$3=""),"",IF(AND($J284&lt;&gt;"",$K284&lt;&gt;"",$J284=$K284,$J284&gt;=AB$3,$J284&lt;=IF(param_mode_affichage="mois",EOMONTH(AB$3,0),AB$3+6)),"◆",""))</f>
      </c>
      <c r="AC284" s="26">
        <f>IF(OR($A284="",AC$3=""),"",IF(AND($J284&lt;&gt;"",$K284&lt;&gt;"",$J284=$K284,$J284&gt;=AC$3,$J284&lt;=IF(param_mode_affichage="mois",EOMONTH(AC$3,0),AC$3+6)),"◆",""))</f>
      </c>
      <c r="AD284" s="26">
        <f>IF(OR($A284="",AD$3=""),"",IF(AND($J284&lt;&gt;"",$K284&lt;&gt;"",$J284=$K284,$J284&gt;=AD$3,$J284&lt;=IF(param_mode_affichage="mois",EOMONTH(AD$3,0),AD$3+6)),"◆",""))</f>
      </c>
      <c r="AE284" s="26">
        <f>IF(OR($A284="",AE$3=""),"",IF(AND($J284&lt;&gt;"",$K284&lt;&gt;"",$J284=$K284,$J284&gt;=AE$3,$J284&lt;=IF(param_mode_affichage="mois",EOMONTH(AE$3,0),AE$3+6)),"◆",""))</f>
      </c>
      <c r="AF284" s="26">
        <f>IF(OR($A284="",AF$3=""),"",IF(AND($J284&lt;&gt;"",$K284&lt;&gt;"",$J284=$K284,$J284&gt;=AF$3,$J284&lt;=IF(param_mode_affichage="mois",EOMONTH(AF$3,0),AF$3+6)),"◆",""))</f>
      </c>
      <c r="AG284" s="26">
        <f>IF(OR($A284="",AG$3=""),"",IF(AND($J284&lt;&gt;"",$K284&lt;&gt;"",$J284=$K284,$J284&gt;=AG$3,$J284&lt;=IF(param_mode_affichage="mois",EOMONTH(AG$3,0),AG$3+6)),"◆",""))</f>
      </c>
      <c r="AH284" s="26">
        <f>IF(OR($A284="",AH$3=""),"",IF(AND($J284&lt;&gt;"",$K284&lt;&gt;"",$J284=$K284,$J284&gt;=AH$3,$J284&lt;=IF(param_mode_affichage="mois",EOMONTH(AH$3,0),AH$3+6)),"◆",""))</f>
      </c>
      <c r="AI284" s="26">
        <f>IF(OR($A284="",AI$3=""),"",IF(AND($J284&lt;&gt;"",$K284&lt;&gt;"",$J284=$K284,$J284&gt;=AI$3,$J284&lt;=IF(param_mode_affichage="mois",EOMONTH(AI$3,0),AI$3+6)),"◆",""))</f>
      </c>
      <c r="AJ284" s="26">
        <f>IF(OR($A284="",AJ$3=""),"",IF(AND($J284&lt;&gt;"",$K284&lt;&gt;"",$J284=$K284,$J284&gt;=AJ$3,$J284&lt;=IF(param_mode_affichage="mois",EOMONTH(AJ$3,0),AJ$3+6)),"◆",""))</f>
      </c>
      <c r="AK284" s="26">
        <f>IF(OR($A284="",AK$3=""),"",IF(AND($J284&lt;&gt;"",$K284&lt;&gt;"",$J284=$K284,$J284&gt;=AK$3,$J284&lt;=IF(param_mode_affichage="mois",EOMONTH(AK$3,0),AK$3+6)),"◆",""))</f>
      </c>
      <c r="AL284" s="26">
        <f>IF(OR($A284="",AL$3=""),"",IF(AND($J284&lt;&gt;"",$K284&lt;&gt;"",$J284=$K284,$J284&gt;=AL$3,$J284&lt;=IF(param_mode_affichage="mois",EOMONTH(AL$3,0),AL$3+6)),"◆",""))</f>
      </c>
      <c r="AM284" s="26">
        <f>IF(OR($A284="",AM$3=""),"",IF(AND($J284&lt;&gt;"",$K284&lt;&gt;"",$J284=$K284,$J284&gt;=AM$3,$J284&lt;=IF(param_mode_affichage="mois",EOMONTH(AM$3,0),AM$3+6)),"◆",""))</f>
      </c>
      <c r="AN284" s="26">
        <f>IF(OR($A284="",AN$3=""),"",IF(AND($J284&lt;&gt;"",$K284&lt;&gt;"",$J284=$K284,$J284&gt;=AN$3,$J284&lt;=IF(param_mode_affichage="mois",EOMONTH(AN$3,0),AN$3+6)),"◆",""))</f>
      </c>
      <c r="AO284" s="26">
        <f>IF(OR($A284="",AO$3=""),"",IF(AND($J284&lt;&gt;"",$K284&lt;&gt;"",$J284=$K284,$J284&gt;=AO$3,$J284&lt;=IF(param_mode_affichage="mois",EOMONTH(AO$3,0),AO$3+6)),"◆",""))</f>
      </c>
      <c r="AP284" s="26">
        <f>IF(OR($A284="",AP$3=""),"",IF(AND($J284&lt;&gt;"",$K284&lt;&gt;"",$J284=$K284,$J284&gt;=AP$3,$J284&lt;=IF(param_mode_affichage="mois",EOMONTH(AP$3,0),AP$3+6)),"◆",""))</f>
      </c>
      <c r="AQ284" s="26">
        <f>IF(OR($A284="",AQ$3=""),"",IF(AND($J284&lt;&gt;"",$K284&lt;&gt;"",$J284=$K284,$J284&gt;=AQ$3,$J284&lt;=IF(param_mode_affichage="mois",EOMONTH(AQ$3,0),AQ$3+6)),"◆",""))</f>
      </c>
      <c r="AR284" s="26">
        <f>IF(OR($A284="",AR$3=""),"",IF(AND($J284&lt;&gt;"",$K284&lt;&gt;"",$J284=$K284,$J284&gt;=AR$3,$J284&lt;=IF(param_mode_affichage="mois",EOMONTH(AR$3,0),AR$3+6)),"◆",""))</f>
      </c>
      <c r="AS284" s="26">
        <f>IF(OR($A284="",AS$3=""),"",IF(AND($J284&lt;&gt;"",$K284&lt;&gt;"",$J284=$K284,$J284&gt;=AS$3,$J284&lt;=IF(param_mode_affichage="mois",EOMONTH(AS$3,0),AS$3+6)),"◆",""))</f>
      </c>
      <c r="AT284" s="26">
        <f>IF(OR($A284="",AT$3=""),"",IF(AND($J284&lt;&gt;"",$K284&lt;&gt;"",$J284=$K284,$J284&gt;=AT$3,$J284&lt;=IF(param_mode_affichage="mois",EOMONTH(AT$3,0),AT$3+6)),"◆",""))</f>
      </c>
      <c r="AU284" s="26">
        <f>IF(OR($A284="",AU$3=""),"",IF(AND($J284&lt;&gt;"",$K284&lt;&gt;"",$J284=$K284,$J284&gt;=AU$3,$J284&lt;=IF(param_mode_affichage="mois",EOMONTH(AU$3,0),AU$3+6)),"◆",""))</f>
      </c>
      <c r="AV284" s="26">
        <f>IF(OR($A284="",AV$3=""),"",IF(AND($J284&lt;&gt;"",$K284&lt;&gt;"",$J284=$K284,$J284&gt;=AV$3,$J284&lt;=IF(param_mode_affichage="mois",EOMONTH(AV$3,0),AV$3+6)),"◆",""))</f>
      </c>
      <c r="AW284" s="26">
        <f>IF(OR($A284="",AW$3=""),"",IF(AND($J284&lt;&gt;"",$K284&lt;&gt;"",$J284=$K284,$J284&gt;=AW$3,$J284&lt;=IF(param_mode_affichage="mois",EOMONTH(AW$3,0),AW$3+6)),"◆",""))</f>
      </c>
      <c r="AX284" s="26">
        <f>IF(OR($A284="",AX$3=""),"",IF(AND($J284&lt;&gt;"",$K284&lt;&gt;"",$J284=$K284,$J284&gt;=AX$3,$J284&lt;=IF(param_mode_affichage="mois",EOMONTH(AX$3,0),AX$3+6)),"◆",""))</f>
      </c>
      <c r="AY284" s="26">
        <f>IF(OR($A284="",AY$3=""),"",IF(AND($J284&lt;&gt;"",$K284&lt;&gt;"",$J284=$K284,$J284&gt;=AY$3,$J284&lt;=IF(param_mode_affichage="mois",EOMONTH(AY$3,0),AY$3+6)),"◆",""))</f>
      </c>
      <c r="AZ284" s="26">
        <f>IF(OR($A284="",AZ$3=""),"",IF(AND($J284&lt;&gt;"",$K284&lt;&gt;"",$J284=$K284,$J284&gt;=AZ$3,$J284&lt;=IF(param_mode_affichage="mois",EOMONTH(AZ$3,0),AZ$3+6)),"◆",""))</f>
      </c>
      <c r="BA284" s="26">
        <f>IF(OR($A284="",BA$3=""),"",IF(AND($J284&lt;&gt;"",$K284&lt;&gt;"",$J284=$K284,$J284&gt;=BA$3,$J284&lt;=IF(param_mode_affichage="mois",EOMONTH(BA$3,0),BA$3+6)),"◆",""))</f>
      </c>
      <c r="BB284" s="26">
        <f>IF(OR($A284="",BB$3=""),"",IF(AND($J284&lt;&gt;"",$K284&lt;&gt;"",$J284=$K284,$J284&gt;=BB$3,$J284&lt;=IF(param_mode_affichage="mois",EOMONTH(BB$3,0),BB$3+6)),"◆",""))</f>
      </c>
      <c r="BC284" s="26">
        <f>IF(OR($A284="",BC$3=""),"",IF(AND($J284&lt;&gt;"",$K284&lt;&gt;"",$J284=$K284,$J284&gt;=BC$3,$J284&lt;=IF(param_mode_affichage="mois",EOMONTH(BC$3,0),BC$3+6)),"◆",""))</f>
      </c>
      <c r="BD284" s="26">
        <f>IF(OR($A284="",BD$3=""),"",IF(AND($J284&lt;&gt;"",$K284&lt;&gt;"",$J284=$K284,$J284&gt;=BD$3,$J284&lt;=IF(param_mode_affichage="mois",EOMONTH(BD$3,0),BD$3+6)),"◆",""))</f>
      </c>
      <c r="BE284" s="26">
        <f>IF(OR($A284="",BE$3=""),"",IF(AND($J284&lt;&gt;"",$K284&lt;&gt;"",$J284=$K284,$J284&gt;=BE$3,$J284&lt;=IF(param_mode_affichage="mois",EOMONTH(BE$3,0),BE$3+6)),"◆",""))</f>
      </c>
      <c r="BF284" s="26">
        <f>IF(OR($A284="",BF$3=""),"",IF(AND($J284&lt;&gt;"",$K284&lt;&gt;"",$J284=$K284,$J284&gt;=BF$3,$J284&lt;=IF(param_mode_affichage="mois",EOMONTH(BF$3,0),BF$3+6)),"◆",""))</f>
      </c>
      <c r="BG284" s="26">
        <f>IF(OR($A284="",BG$3=""),"",IF(AND($J284&lt;&gt;"",$K284&lt;&gt;"",$J284=$K284,$J284&gt;=BG$3,$J284&lt;=IF(param_mode_affichage="mois",EOMONTH(BG$3,0),BG$3+6)),"◆",""))</f>
      </c>
      <c r="BH284" s="26">
        <f>IF(OR($A284="",BH$3=""),"",IF(AND($J284&lt;&gt;"",$K284&lt;&gt;"",$J284=$K284,$J284&gt;=BH$3,$J284&lt;=IF(param_mode_affichage="mois",EOMONTH(BH$3,0),BH$3+6)),"◆",""))</f>
      </c>
      <c r="BI284" s="26">
        <f>IF(OR($A284="",BI$3=""),"",IF(AND($J284&lt;&gt;"",$K284&lt;&gt;"",$J284=$K284,$J284&gt;=BI$3,$J284&lt;=IF(param_mode_affichage="mois",EOMONTH(BI$3,0),BI$3+6)),"◆",""))</f>
      </c>
      <c r="BJ284" s="26">
        <f>IF(OR($A284="",BJ$3=""),"",IF(AND($J284&lt;&gt;"",$K284&lt;&gt;"",$J284=$K284,$J284&gt;=BJ$3,$J284&lt;=IF(param_mode_affichage="mois",EOMONTH(BJ$3,0),BJ$3+6)),"◆",""))</f>
      </c>
      <c r="BK284" s="26">
        <f>IF(OR($A284="",BK$3=""),"",IF(AND($J284&lt;&gt;"",$K284&lt;&gt;"",$J284=$K284,$J284&gt;=BK$3,$J284&lt;=IF(param_mode_affichage="mois",EOMONTH(BK$3,0),BK$3+6)),"◆",""))</f>
      </c>
      <c r="BL284" s="26">
        <f>IF(OR($A284="",BL$3=""),"",IF(AND($J284&lt;&gt;"",$K284&lt;&gt;"",$J284=$K284,$J284&gt;=BL$3,$J284&lt;=IF(param_mode_affichage="mois",EOMONTH(BL$3,0),BL$3+6)),"◆",""))</f>
      </c>
    </row>
    <row r="285" spans="1:64" x14ac:dyDescent="0.25">
      <c r="A285" s="23">
        <f>IFERROR(INDEX(tblTasks[ID],ROW()-4),"")</f>
      </c>
      <c r="B285" s="24">
        <f>IF($A285="","",INDEX(tblTasks[Sujet],ROW()-4))</f>
      </c>
      <c r="C285" s="23">
        <f>IF($A285="","",INDEX(tblTasks[Responsable],ROW()-4))</f>
      </c>
      <c r="D285" s="23">
        <f>IF($A285="","",INDEX(tblTasks[Statut],ROW()-4))</f>
      </c>
      <c r="E285" s="23">
        <f>IF($A285="","",INDEX(tblTasks[Depend_de],ROW()-4))</f>
      </c>
      <c r="F285" s="23">
        <f>IF($A285="","",INDEX(tblTasks[Blocage],ROW()-4))</f>
      </c>
      <c r="G285" s="23">
        <f>IF($A285="","",INDEX(tblTasks[Niveau_criticite],ROW()-4))</f>
      </c>
      <c r="H285" s="23">
        <f>IF($A285="","",INDEX(tblTasks[Goulot],ROW()-4))</f>
      </c>
      <c r="I285" s="23">
        <f>IF($A285="","",IF(LOWER($F285)="oui","non",IF($E285="","oui",IFERROR(IF(LOWER(INDEX(tblTasks[Statut],MATCH($E285,tblTasks[ID],0)))="clos","oui","non"),"non"))))</f>
      </c>
      <c r="J285" s="25">
        <f>IF($A285="","",INDEX(tblTasks[Date_debut_prevue],ROW()-4))</f>
      </c>
      <c r="K285" s="25">
        <f>IF($A285="","",INDEX(tblTasks[Date_fin_prevue],ROW()-4))</f>
      </c>
      <c r="L285" s="23">
        <f>IF($A285="","",INDEX(tblTasks[Irreversibilite],ROW()-4))</f>
      </c>
      <c r="M285" s="26">
        <f>IF(OR($A285="",M$3=""),"",IF(AND($J285&lt;&gt;"",$K285&lt;&gt;"",$J285=$K285,$J285&gt;=M$3,$J285&lt;=IF(param_mode_affichage="mois",EOMONTH(M$3,0),M$3+6)),"◆",""))</f>
      </c>
      <c r="N285" s="26">
        <f>IF(OR($A285="",N$3=""),"",IF(AND($J285&lt;&gt;"",$K285&lt;&gt;"",$J285=$K285,$J285&gt;=N$3,$J285&lt;=IF(param_mode_affichage="mois",EOMONTH(N$3,0),N$3+6)),"◆",""))</f>
      </c>
      <c r="O285" s="26">
        <f>IF(OR($A285="",O$3=""),"",IF(AND($J285&lt;&gt;"",$K285&lt;&gt;"",$J285=$K285,$J285&gt;=O$3,$J285&lt;=IF(param_mode_affichage="mois",EOMONTH(O$3,0),O$3+6)),"◆",""))</f>
      </c>
      <c r="P285" s="26">
        <f>IF(OR($A285="",P$3=""),"",IF(AND($J285&lt;&gt;"",$K285&lt;&gt;"",$J285=$K285,$J285&gt;=P$3,$J285&lt;=IF(param_mode_affichage="mois",EOMONTH(P$3,0),P$3+6)),"◆",""))</f>
      </c>
      <c r="Q285" s="26">
        <f>IF(OR($A285="",Q$3=""),"",IF(AND($J285&lt;&gt;"",$K285&lt;&gt;"",$J285=$K285,$J285&gt;=Q$3,$J285&lt;=IF(param_mode_affichage="mois",EOMONTH(Q$3,0),Q$3+6)),"◆",""))</f>
      </c>
      <c r="R285" s="26">
        <f>IF(OR($A285="",R$3=""),"",IF(AND($J285&lt;&gt;"",$K285&lt;&gt;"",$J285=$K285,$J285&gt;=R$3,$J285&lt;=IF(param_mode_affichage="mois",EOMONTH(R$3,0),R$3+6)),"◆",""))</f>
      </c>
      <c r="S285" s="26">
        <f>IF(OR($A285="",S$3=""),"",IF(AND($J285&lt;&gt;"",$K285&lt;&gt;"",$J285=$K285,$J285&gt;=S$3,$J285&lt;=IF(param_mode_affichage="mois",EOMONTH(S$3,0),S$3+6)),"◆",""))</f>
      </c>
      <c r="T285" s="26">
        <f>IF(OR($A285="",T$3=""),"",IF(AND($J285&lt;&gt;"",$K285&lt;&gt;"",$J285=$K285,$J285&gt;=T$3,$J285&lt;=IF(param_mode_affichage="mois",EOMONTH(T$3,0),T$3+6)),"◆",""))</f>
      </c>
      <c r="U285" s="26">
        <f>IF(OR($A285="",U$3=""),"",IF(AND($J285&lt;&gt;"",$K285&lt;&gt;"",$J285=$K285,$J285&gt;=U$3,$J285&lt;=IF(param_mode_affichage="mois",EOMONTH(U$3,0),U$3+6)),"◆",""))</f>
      </c>
      <c r="V285" s="26">
        <f>IF(OR($A285="",V$3=""),"",IF(AND($J285&lt;&gt;"",$K285&lt;&gt;"",$J285=$K285,$J285&gt;=V$3,$J285&lt;=IF(param_mode_affichage="mois",EOMONTH(V$3,0),V$3+6)),"◆",""))</f>
      </c>
      <c r="W285" s="26">
        <f>IF(OR($A285="",W$3=""),"",IF(AND($J285&lt;&gt;"",$K285&lt;&gt;"",$J285=$K285,$J285&gt;=W$3,$J285&lt;=IF(param_mode_affichage="mois",EOMONTH(W$3,0),W$3+6)),"◆",""))</f>
      </c>
      <c r="X285" s="26">
        <f>IF(OR($A285="",X$3=""),"",IF(AND($J285&lt;&gt;"",$K285&lt;&gt;"",$J285=$K285,$J285&gt;=X$3,$J285&lt;=IF(param_mode_affichage="mois",EOMONTH(X$3,0),X$3+6)),"◆",""))</f>
      </c>
      <c r="Y285" s="26">
        <f>IF(OR($A285="",Y$3=""),"",IF(AND($J285&lt;&gt;"",$K285&lt;&gt;"",$J285=$K285,$J285&gt;=Y$3,$J285&lt;=IF(param_mode_affichage="mois",EOMONTH(Y$3,0),Y$3+6)),"◆",""))</f>
      </c>
      <c r="Z285" s="26">
        <f>IF(OR($A285="",Z$3=""),"",IF(AND($J285&lt;&gt;"",$K285&lt;&gt;"",$J285=$K285,$J285&gt;=Z$3,$J285&lt;=IF(param_mode_affichage="mois",EOMONTH(Z$3,0),Z$3+6)),"◆",""))</f>
      </c>
      <c r="AA285" s="26">
        <f>IF(OR($A285="",AA$3=""),"",IF(AND($J285&lt;&gt;"",$K285&lt;&gt;"",$J285=$K285,$J285&gt;=AA$3,$J285&lt;=IF(param_mode_affichage="mois",EOMONTH(AA$3,0),AA$3+6)),"◆",""))</f>
      </c>
      <c r="AB285" s="26">
        <f>IF(OR($A285="",AB$3=""),"",IF(AND($J285&lt;&gt;"",$K285&lt;&gt;"",$J285=$K285,$J285&gt;=AB$3,$J285&lt;=IF(param_mode_affichage="mois",EOMONTH(AB$3,0),AB$3+6)),"◆",""))</f>
      </c>
      <c r="AC285" s="26">
        <f>IF(OR($A285="",AC$3=""),"",IF(AND($J285&lt;&gt;"",$K285&lt;&gt;"",$J285=$K285,$J285&gt;=AC$3,$J285&lt;=IF(param_mode_affichage="mois",EOMONTH(AC$3,0),AC$3+6)),"◆",""))</f>
      </c>
      <c r="AD285" s="26">
        <f>IF(OR($A285="",AD$3=""),"",IF(AND($J285&lt;&gt;"",$K285&lt;&gt;"",$J285=$K285,$J285&gt;=AD$3,$J285&lt;=IF(param_mode_affichage="mois",EOMONTH(AD$3,0),AD$3+6)),"◆",""))</f>
      </c>
      <c r="AE285" s="26">
        <f>IF(OR($A285="",AE$3=""),"",IF(AND($J285&lt;&gt;"",$K285&lt;&gt;"",$J285=$K285,$J285&gt;=AE$3,$J285&lt;=IF(param_mode_affichage="mois",EOMONTH(AE$3,0),AE$3+6)),"◆",""))</f>
      </c>
      <c r="AF285" s="26">
        <f>IF(OR($A285="",AF$3=""),"",IF(AND($J285&lt;&gt;"",$K285&lt;&gt;"",$J285=$K285,$J285&gt;=AF$3,$J285&lt;=IF(param_mode_affichage="mois",EOMONTH(AF$3,0),AF$3+6)),"◆",""))</f>
      </c>
      <c r="AG285" s="26">
        <f>IF(OR($A285="",AG$3=""),"",IF(AND($J285&lt;&gt;"",$K285&lt;&gt;"",$J285=$K285,$J285&gt;=AG$3,$J285&lt;=IF(param_mode_affichage="mois",EOMONTH(AG$3,0),AG$3+6)),"◆",""))</f>
      </c>
      <c r="AH285" s="26">
        <f>IF(OR($A285="",AH$3=""),"",IF(AND($J285&lt;&gt;"",$K285&lt;&gt;"",$J285=$K285,$J285&gt;=AH$3,$J285&lt;=IF(param_mode_affichage="mois",EOMONTH(AH$3,0),AH$3+6)),"◆",""))</f>
      </c>
      <c r="AI285" s="26">
        <f>IF(OR($A285="",AI$3=""),"",IF(AND($J285&lt;&gt;"",$K285&lt;&gt;"",$J285=$K285,$J285&gt;=AI$3,$J285&lt;=IF(param_mode_affichage="mois",EOMONTH(AI$3,0),AI$3+6)),"◆",""))</f>
      </c>
      <c r="AJ285" s="26">
        <f>IF(OR($A285="",AJ$3=""),"",IF(AND($J285&lt;&gt;"",$K285&lt;&gt;"",$J285=$K285,$J285&gt;=AJ$3,$J285&lt;=IF(param_mode_affichage="mois",EOMONTH(AJ$3,0),AJ$3+6)),"◆",""))</f>
      </c>
      <c r="AK285" s="26">
        <f>IF(OR($A285="",AK$3=""),"",IF(AND($J285&lt;&gt;"",$K285&lt;&gt;"",$J285=$K285,$J285&gt;=AK$3,$J285&lt;=IF(param_mode_affichage="mois",EOMONTH(AK$3,0),AK$3+6)),"◆",""))</f>
      </c>
      <c r="AL285" s="26">
        <f>IF(OR($A285="",AL$3=""),"",IF(AND($J285&lt;&gt;"",$K285&lt;&gt;"",$J285=$K285,$J285&gt;=AL$3,$J285&lt;=IF(param_mode_affichage="mois",EOMONTH(AL$3,0),AL$3+6)),"◆",""))</f>
      </c>
      <c r="AM285" s="26">
        <f>IF(OR($A285="",AM$3=""),"",IF(AND($J285&lt;&gt;"",$K285&lt;&gt;"",$J285=$K285,$J285&gt;=AM$3,$J285&lt;=IF(param_mode_affichage="mois",EOMONTH(AM$3,0),AM$3+6)),"◆",""))</f>
      </c>
      <c r="AN285" s="26">
        <f>IF(OR($A285="",AN$3=""),"",IF(AND($J285&lt;&gt;"",$K285&lt;&gt;"",$J285=$K285,$J285&gt;=AN$3,$J285&lt;=IF(param_mode_affichage="mois",EOMONTH(AN$3,0),AN$3+6)),"◆",""))</f>
      </c>
      <c r="AO285" s="26">
        <f>IF(OR($A285="",AO$3=""),"",IF(AND($J285&lt;&gt;"",$K285&lt;&gt;"",$J285=$K285,$J285&gt;=AO$3,$J285&lt;=IF(param_mode_affichage="mois",EOMONTH(AO$3,0),AO$3+6)),"◆",""))</f>
      </c>
      <c r="AP285" s="26">
        <f>IF(OR($A285="",AP$3=""),"",IF(AND($J285&lt;&gt;"",$K285&lt;&gt;"",$J285=$K285,$J285&gt;=AP$3,$J285&lt;=IF(param_mode_affichage="mois",EOMONTH(AP$3,0),AP$3+6)),"◆",""))</f>
      </c>
      <c r="AQ285" s="26">
        <f>IF(OR($A285="",AQ$3=""),"",IF(AND($J285&lt;&gt;"",$K285&lt;&gt;"",$J285=$K285,$J285&gt;=AQ$3,$J285&lt;=IF(param_mode_affichage="mois",EOMONTH(AQ$3,0),AQ$3+6)),"◆",""))</f>
      </c>
      <c r="AR285" s="26">
        <f>IF(OR($A285="",AR$3=""),"",IF(AND($J285&lt;&gt;"",$K285&lt;&gt;"",$J285=$K285,$J285&gt;=AR$3,$J285&lt;=IF(param_mode_affichage="mois",EOMONTH(AR$3,0),AR$3+6)),"◆",""))</f>
      </c>
      <c r="AS285" s="26">
        <f>IF(OR($A285="",AS$3=""),"",IF(AND($J285&lt;&gt;"",$K285&lt;&gt;"",$J285=$K285,$J285&gt;=AS$3,$J285&lt;=IF(param_mode_affichage="mois",EOMONTH(AS$3,0),AS$3+6)),"◆",""))</f>
      </c>
      <c r="AT285" s="26">
        <f>IF(OR($A285="",AT$3=""),"",IF(AND($J285&lt;&gt;"",$K285&lt;&gt;"",$J285=$K285,$J285&gt;=AT$3,$J285&lt;=IF(param_mode_affichage="mois",EOMONTH(AT$3,0),AT$3+6)),"◆",""))</f>
      </c>
      <c r="AU285" s="26">
        <f>IF(OR($A285="",AU$3=""),"",IF(AND($J285&lt;&gt;"",$K285&lt;&gt;"",$J285=$K285,$J285&gt;=AU$3,$J285&lt;=IF(param_mode_affichage="mois",EOMONTH(AU$3,0),AU$3+6)),"◆",""))</f>
      </c>
      <c r="AV285" s="26">
        <f>IF(OR($A285="",AV$3=""),"",IF(AND($J285&lt;&gt;"",$K285&lt;&gt;"",$J285=$K285,$J285&gt;=AV$3,$J285&lt;=IF(param_mode_affichage="mois",EOMONTH(AV$3,0),AV$3+6)),"◆",""))</f>
      </c>
      <c r="AW285" s="26">
        <f>IF(OR($A285="",AW$3=""),"",IF(AND($J285&lt;&gt;"",$K285&lt;&gt;"",$J285=$K285,$J285&gt;=AW$3,$J285&lt;=IF(param_mode_affichage="mois",EOMONTH(AW$3,0),AW$3+6)),"◆",""))</f>
      </c>
      <c r="AX285" s="26">
        <f>IF(OR($A285="",AX$3=""),"",IF(AND($J285&lt;&gt;"",$K285&lt;&gt;"",$J285=$K285,$J285&gt;=AX$3,$J285&lt;=IF(param_mode_affichage="mois",EOMONTH(AX$3,0),AX$3+6)),"◆",""))</f>
      </c>
      <c r="AY285" s="26">
        <f>IF(OR($A285="",AY$3=""),"",IF(AND($J285&lt;&gt;"",$K285&lt;&gt;"",$J285=$K285,$J285&gt;=AY$3,$J285&lt;=IF(param_mode_affichage="mois",EOMONTH(AY$3,0),AY$3+6)),"◆",""))</f>
      </c>
      <c r="AZ285" s="26">
        <f>IF(OR($A285="",AZ$3=""),"",IF(AND($J285&lt;&gt;"",$K285&lt;&gt;"",$J285=$K285,$J285&gt;=AZ$3,$J285&lt;=IF(param_mode_affichage="mois",EOMONTH(AZ$3,0),AZ$3+6)),"◆",""))</f>
      </c>
      <c r="BA285" s="26">
        <f>IF(OR($A285="",BA$3=""),"",IF(AND($J285&lt;&gt;"",$K285&lt;&gt;"",$J285=$K285,$J285&gt;=BA$3,$J285&lt;=IF(param_mode_affichage="mois",EOMONTH(BA$3,0),BA$3+6)),"◆",""))</f>
      </c>
      <c r="BB285" s="26">
        <f>IF(OR($A285="",BB$3=""),"",IF(AND($J285&lt;&gt;"",$K285&lt;&gt;"",$J285=$K285,$J285&gt;=BB$3,$J285&lt;=IF(param_mode_affichage="mois",EOMONTH(BB$3,0),BB$3+6)),"◆",""))</f>
      </c>
      <c r="BC285" s="26">
        <f>IF(OR($A285="",BC$3=""),"",IF(AND($J285&lt;&gt;"",$K285&lt;&gt;"",$J285=$K285,$J285&gt;=BC$3,$J285&lt;=IF(param_mode_affichage="mois",EOMONTH(BC$3,0),BC$3+6)),"◆",""))</f>
      </c>
      <c r="BD285" s="26">
        <f>IF(OR($A285="",BD$3=""),"",IF(AND($J285&lt;&gt;"",$K285&lt;&gt;"",$J285=$K285,$J285&gt;=BD$3,$J285&lt;=IF(param_mode_affichage="mois",EOMONTH(BD$3,0),BD$3+6)),"◆",""))</f>
      </c>
      <c r="BE285" s="26">
        <f>IF(OR($A285="",BE$3=""),"",IF(AND($J285&lt;&gt;"",$K285&lt;&gt;"",$J285=$K285,$J285&gt;=BE$3,$J285&lt;=IF(param_mode_affichage="mois",EOMONTH(BE$3,0),BE$3+6)),"◆",""))</f>
      </c>
      <c r="BF285" s="26">
        <f>IF(OR($A285="",BF$3=""),"",IF(AND($J285&lt;&gt;"",$K285&lt;&gt;"",$J285=$K285,$J285&gt;=BF$3,$J285&lt;=IF(param_mode_affichage="mois",EOMONTH(BF$3,0),BF$3+6)),"◆",""))</f>
      </c>
      <c r="BG285" s="26">
        <f>IF(OR($A285="",BG$3=""),"",IF(AND($J285&lt;&gt;"",$K285&lt;&gt;"",$J285=$K285,$J285&gt;=BG$3,$J285&lt;=IF(param_mode_affichage="mois",EOMONTH(BG$3,0),BG$3+6)),"◆",""))</f>
      </c>
      <c r="BH285" s="26">
        <f>IF(OR($A285="",BH$3=""),"",IF(AND($J285&lt;&gt;"",$K285&lt;&gt;"",$J285=$K285,$J285&gt;=BH$3,$J285&lt;=IF(param_mode_affichage="mois",EOMONTH(BH$3,0),BH$3+6)),"◆",""))</f>
      </c>
      <c r="BI285" s="26">
        <f>IF(OR($A285="",BI$3=""),"",IF(AND($J285&lt;&gt;"",$K285&lt;&gt;"",$J285=$K285,$J285&gt;=BI$3,$J285&lt;=IF(param_mode_affichage="mois",EOMONTH(BI$3,0),BI$3+6)),"◆",""))</f>
      </c>
      <c r="BJ285" s="26">
        <f>IF(OR($A285="",BJ$3=""),"",IF(AND($J285&lt;&gt;"",$K285&lt;&gt;"",$J285=$K285,$J285&gt;=BJ$3,$J285&lt;=IF(param_mode_affichage="mois",EOMONTH(BJ$3,0),BJ$3+6)),"◆",""))</f>
      </c>
      <c r="BK285" s="26">
        <f>IF(OR($A285="",BK$3=""),"",IF(AND($J285&lt;&gt;"",$K285&lt;&gt;"",$J285=$K285,$J285&gt;=BK$3,$J285&lt;=IF(param_mode_affichage="mois",EOMONTH(BK$3,0),BK$3+6)),"◆",""))</f>
      </c>
      <c r="BL285" s="26">
        <f>IF(OR($A285="",BL$3=""),"",IF(AND($J285&lt;&gt;"",$K285&lt;&gt;"",$J285=$K285,$J285&gt;=BL$3,$J285&lt;=IF(param_mode_affichage="mois",EOMONTH(BL$3,0),BL$3+6)),"◆",""))</f>
      </c>
    </row>
    <row r="286" spans="1:64" x14ac:dyDescent="0.25">
      <c r="A286" s="23">
        <f>IFERROR(INDEX(tblTasks[ID],ROW()-4),"")</f>
      </c>
      <c r="B286" s="24">
        <f>IF($A286="","",INDEX(tblTasks[Sujet],ROW()-4))</f>
      </c>
      <c r="C286" s="23">
        <f>IF($A286="","",INDEX(tblTasks[Responsable],ROW()-4))</f>
      </c>
      <c r="D286" s="23">
        <f>IF($A286="","",INDEX(tblTasks[Statut],ROW()-4))</f>
      </c>
      <c r="E286" s="23">
        <f>IF($A286="","",INDEX(tblTasks[Depend_de],ROW()-4))</f>
      </c>
      <c r="F286" s="23">
        <f>IF($A286="","",INDEX(tblTasks[Blocage],ROW()-4))</f>
      </c>
      <c r="G286" s="23">
        <f>IF($A286="","",INDEX(tblTasks[Niveau_criticite],ROW()-4))</f>
      </c>
      <c r="H286" s="23">
        <f>IF($A286="","",INDEX(tblTasks[Goulot],ROW()-4))</f>
      </c>
      <c r="I286" s="23">
        <f>IF($A286="","",IF(LOWER($F286)="oui","non",IF($E286="","oui",IFERROR(IF(LOWER(INDEX(tblTasks[Statut],MATCH($E286,tblTasks[ID],0)))="clos","oui","non"),"non"))))</f>
      </c>
      <c r="J286" s="25">
        <f>IF($A286="","",INDEX(tblTasks[Date_debut_prevue],ROW()-4))</f>
      </c>
      <c r="K286" s="25">
        <f>IF($A286="","",INDEX(tblTasks[Date_fin_prevue],ROW()-4))</f>
      </c>
      <c r="L286" s="23">
        <f>IF($A286="","",INDEX(tblTasks[Irreversibilite],ROW()-4))</f>
      </c>
      <c r="M286" s="26">
        <f>IF(OR($A286="",M$3=""),"",IF(AND($J286&lt;&gt;"",$K286&lt;&gt;"",$J286=$K286,$J286&gt;=M$3,$J286&lt;=IF(param_mode_affichage="mois",EOMONTH(M$3,0),M$3+6)),"◆",""))</f>
      </c>
      <c r="N286" s="26">
        <f>IF(OR($A286="",N$3=""),"",IF(AND($J286&lt;&gt;"",$K286&lt;&gt;"",$J286=$K286,$J286&gt;=N$3,$J286&lt;=IF(param_mode_affichage="mois",EOMONTH(N$3,0),N$3+6)),"◆",""))</f>
      </c>
      <c r="O286" s="26">
        <f>IF(OR($A286="",O$3=""),"",IF(AND($J286&lt;&gt;"",$K286&lt;&gt;"",$J286=$K286,$J286&gt;=O$3,$J286&lt;=IF(param_mode_affichage="mois",EOMONTH(O$3,0),O$3+6)),"◆",""))</f>
      </c>
      <c r="P286" s="26">
        <f>IF(OR($A286="",P$3=""),"",IF(AND($J286&lt;&gt;"",$K286&lt;&gt;"",$J286=$K286,$J286&gt;=P$3,$J286&lt;=IF(param_mode_affichage="mois",EOMONTH(P$3,0),P$3+6)),"◆",""))</f>
      </c>
      <c r="Q286" s="26">
        <f>IF(OR($A286="",Q$3=""),"",IF(AND($J286&lt;&gt;"",$K286&lt;&gt;"",$J286=$K286,$J286&gt;=Q$3,$J286&lt;=IF(param_mode_affichage="mois",EOMONTH(Q$3,0),Q$3+6)),"◆",""))</f>
      </c>
      <c r="R286" s="26">
        <f>IF(OR($A286="",R$3=""),"",IF(AND($J286&lt;&gt;"",$K286&lt;&gt;"",$J286=$K286,$J286&gt;=R$3,$J286&lt;=IF(param_mode_affichage="mois",EOMONTH(R$3,0),R$3+6)),"◆",""))</f>
      </c>
      <c r="S286" s="26">
        <f>IF(OR($A286="",S$3=""),"",IF(AND($J286&lt;&gt;"",$K286&lt;&gt;"",$J286=$K286,$J286&gt;=S$3,$J286&lt;=IF(param_mode_affichage="mois",EOMONTH(S$3,0),S$3+6)),"◆",""))</f>
      </c>
      <c r="T286" s="26">
        <f>IF(OR($A286="",T$3=""),"",IF(AND($J286&lt;&gt;"",$K286&lt;&gt;"",$J286=$K286,$J286&gt;=T$3,$J286&lt;=IF(param_mode_affichage="mois",EOMONTH(T$3,0),T$3+6)),"◆",""))</f>
      </c>
      <c r="U286" s="26">
        <f>IF(OR($A286="",U$3=""),"",IF(AND($J286&lt;&gt;"",$K286&lt;&gt;"",$J286=$K286,$J286&gt;=U$3,$J286&lt;=IF(param_mode_affichage="mois",EOMONTH(U$3,0),U$3+6)),"◆",""))</f>
      </c>
      <c r="V286" s="26">
        <f>IF(OR($A286="",V$3=""),"",IF(AND($J286&lt;&gt;"",$K286&lt;&gt;"",$J286=$K286,$J286&gt;=V$3,$J286&lt;=IF(param_mode_affichage="mois",EOMONTH(V$3,0),V$3+6)),"◆",""))</f>
      </c>
      <c r="W286" s="26">
        <f>IF(OR($A286="",W$3=""),"",IF(AND($J286&lt;&gt;"",$K286&lt;&gt;"",$J286=$K286,$J286&gt;=W$3,$J286&lt;=IF(param_mode_affichage="mois",EOMONTH(W$3,0),W$3+6)),"◆",""))</f>
      </c>
      <c r="X286" s="26">
        <f>IF(OR($A286="",X$3=""),"",IF(AND($J286&lt;&gt;"",$K286&lt;&gt;"",$J286=$K286,$J286&gt;=X$3,$J286&lt;=IF(param_mode_affichage="mois",EOMONTH(X$3,0),X$3+6)),"◆",""))</f>
      </c>
      <c r="Y286" s="26">
        <f>IF(OR($A286="",Y$3=""),"",IF(AND($J286&lt;&gt;"",$K286&lt;&gt;"",$J286=$K286,$J286&gt;=Y$3,$J286&lt;=IF(param_mode_affichage="mois",EOMONTH(Y$3,0),Y$3+6)),"◆",""))</f>
      </c>
      <c r="Z286" s="26">
        <f>IF(OR($A286="",Z$3=""),"",IF(AND($J286&lt;&gt;"",$K286&lt;&gt;"",$J286=$K286,$J286&gt;=Z$3,$J286&lt;=IF(param_mode_affichage="mois",EOMONTH(Z$3,0),Z$3+6)),"◆",""))</f>
      </c>
      <c r="AA286" s="26">
        <f>IF(OR($A286="",AA$3=""),"",IF(AND($J286&lt;&gt;"",$K286&lt;&gt;"",$J286=$K286,$J286&gt;=AA$3,$J286&lt;=IF(param_mode_affichage="mois",EOMONTH(AA$3,0),AA$3+6)),"◆",""))</f>
      </c>
      <c r="AB286" s="26">
        <f>IF(OR($A286="",AB$3=""),"",IF(AND($J286&lt;&gt;"",$K286&lt;&gt;"",$J286=$K286,$J286&gt;=AB$3,$J286&lt;=IF(param_mode_affichage="mois",EOMONTH(AB$3,0),AB$3+6)),"◆",""))</f>
      </c>
      <c r="AC286" s="26">
        <f>IF(OR($A286="",AC$3=""),"",IF(AND($J286&lt;&gt;"",$K286&lt;&gt;"",$J286=$K286,$J286&gt;=AC$3,$J286&lt;=IF(param_mode_affichage="mois",EOMONTH(AC$3,0),AC$3+6)),"◆",""))</f>
      </c>
      <c r="AD286" s="26">
        <f>IF(OR($A286="",AD$3=""),"",IF(AND($J286&lt;&gt;"",$K286&lt;&gt;"",$J286=$K286,$J286&gt;=AD$3,$J286&lt;=IF(param_mode_affichage="mois",EOMONTH(AD$3,0),AD$3+6)),"◆",""))</f>
      </c>
      <c r="AE286" s="26">
        <f>IF(OR($A286="",AE$3=""),"",IF(AND($J286&lt;&gt;"",$K286&lt;&gt;"",$J286=$K286,$J286&gt;=AE$3,$J286&lt;=IF(param_mode_affichage="mois",EOMONTH(AE$3,0),AE$3+6)),"◆",""))</f>
      </c>
      <c r="AF286" s="26">
        <f>IF(OR($A286="",AF$3=""),"",IF(AND($J286&lt;&gt;"",$K286&lt;&gt;"",$J286=$K286,$J286&gt;=AF$3,$J286&lt;=IF(param_mode_affichage="mois",EOMONTH(AF$3,0),AF$3+6)),"◆",""))</f>
      </c>
      <c r="AG286" s="26">
        <f>IF(OR($A286="",AG$3=""),"",IF(AND($J286&lt;&gt;"",$K286&lt;&gt;"",$J286=$K286,$J286&gt;=AG$3,$J286&lt;=IF(param_mode_affichage="mois",EOMONTH(AG$3,0),AG$3+6)),"◆",""))</f>
      </c>
      <c r="AH286" s="26">
        <f>IF(OR($A286="",AH$3=""),"",IF(AND($J286&lt;&gt;"",$K286&lt;&gt;"",$J286=$K286,$J286&gt;=AH$3,$J286&lt;=IF(param_mode_affichage="mois",EOMONTH(AH$3,0),AH$3+6)),"◆",""))</f>
      </c>
      <c r="AI286" s="26">
        <f>IF(OR($A286="",AI$3=""),"",IF(AND($J286&lt;&gt;"",$K286&lt;&gt;"",$J286=$K286,$J286&gt;=AI$3,$J286&lt;=IF(param_mode_affichage="mois",EOMONTH(AI$3,0),AI$3+6)),"◆",""))</f>
      </c>
      <c r="AJ286" s="26">
        <f>IF(OR($A286="",AJ$3=""),"",IF(AND($J286&lt;&gt;"",$K286&lt;&gt;"",$J286=$K286,$J286&gt;=AJ$3,$J286&lt;=IF(param_mode_affichage="mois",EOMONTH(AJ$3,0),AJ$3+6)),"◆",""))</f>
      </c>
      <c r="AK286" s="26">
        <f>IF(OR($A286="",AK$3=""),"",IF(AND($J286&lt;&gt;"",$K286&lt;&gt;"",$J286=$K286,$J286&gt;=AK$3,$J286&lt;=IF(param_mode_affichage="mois",EOMONTH(AK$3,0),AK$3+6)),"◆",""))</f>
      </c>
      <c r="AL286" s="26">
        <f>IF(OR($A286="",AL$3=""),"",IF(AND($J286&lt;&gt;"",$K286&lt;&gt;"",$J286=$K286,$J286&gt;=AL$3,$J286&lt;=IF(param_mode_affichage="mois",EOMONTH(AL$3,0),AL$3+6)),"◆",""))</f>
      </c>
      <c r="AM286" s="26">
        <f>IF(OR($A286="",AM$3=""),"",IF(AND($J286&lt;&gt;"",$K286&lt;&gt;"",$J286=$K286,$J286&gt;=AM$3,$J286&lt;=IF(param_mode_affichage="mois",EOMONTH(AM$3,0),AM$3+6)),"◆",""))</f>
      </c>
      <c r="AN286" s="26">
        <f>IF(OR($A286="",AN$3=""),"",IF(AND($J286&lt;&gt;"",$K286&lt;&gt;"",$J286=$K286,$J286&gt;=AN$3,$J286&lt;=IF(param_mode_affichage="mois",EOMONTH(AN$3,0),AN$3+6)),"◆",""))</f>
      </c>
      <c r="AO286" s="26">
        <f>IF(OR($A286="",AO$3=""),"",IF(AND($J286&lt;&gt;"",$K286&lt;&gt;"",$J286=$K286,$J286&gt;=AO$3,$J286&lt;=IF(param_mode_affichage="mois",EOMONTH(AO$3,0),AO$3+6)),"◆",""))</f>
      </c>
      <c r="AP286" s="26">
        <f>IF(OR($A286="",AP$3=""),"",IF(AND($J286&lt;&gt;"",$K286&lt;&gt;"",$J286=$K286,$J286&gt;=AP$3,$J286&lt;=IF(param_mode_affichage="mois",EOMONTH(AP$3,0),AP$3+6)),"◆",""))</f>
      </c>
      <c r="AQ286" s="26">
        <f>IF(OR($A286="",AQ$3=""),"",IF(AND($J286&lt;&gt;"",$K286&lt;&gt;"",$J286=$K286,$J286&gt;=AQ$3,$J286&lt;=IF(param_mode_affichage="mois",EOMONTH(AQ$3,0),AQ$3+6)),"◆",""))</f>
      </c>
      <c r="AR286" s="26">
        <f>IF(OR($A286="",AR$3=""),"",IF(AND($J286&lt;&gt;"",$K286&lt;&gt;"",$J286=$K286,$J286&gt;=AR$3,$J286&lt;=IF(param_mode_affichage="mois",EOMONTH(AR$3,0),AR$3+6)),"◆",""))</f>
      </c>
      <c r="AS286" s="26">
        <f>IF(OR($A286="",AS$3=""),"",IF(AND($J286&lt;&gt;"",$K286&lt;&gt;"",$J286=$K286,$J286&gt;=AS$3,$J286&lt;=IF(param_mode_affichage="mois",EOMONTH(AS$3,0),AS$3+6)),"◆",""))</f>
      </c>
      <c r="AT286" s="26">
        <f>IF(OR($A286="",AT$3=""),"",IF(AND($J286&lt;&gt;"",$K286&lt;&gt;"",$J286=$K286,$J286&gt;=AT$3,$J286&lt;=IF(param_mode_affichage="mois",EOMONTH(AT$3,0),AT$3+6)),"◆",""))</f>
      </c>
      <c r="AU286" s="26">
        <f>IF(OR($A286="",AU$3=""),"",IF(AND($J286&lt;&gt;"",$K286&lt;&gt;"",$J286=$K286,$J286&gt;=AU$3,$J286&lt;=IF(param_mode_affichage="mois",EOMONTH(AU$3,0),AU$3+6)),"◆",""))</f>
      </c>
      <c r="AV286" s="26">
        <f>IF(OR($A286="",AV$3=""),"",IF(AND($J286&lt;&gt;"",$K286&lt;&gt;"",$J286=$K286,$J286&gt;=AV$3,$J286&lt;=IF(param_mode_affichage="mois",EOMONTH(AV$3,0),AV$3+6)),"◆",""))</f>
      </c>
      <c r="AW286" s="26">
        <f>IF(OR($A286="",AW$3=""),"",IF(AND($J286&lt;&gt;"",$K286&lt;&gt;"",$J286=$K286,$J286&gt;=AW$3,$J286&lt;=IF(param_mode_affichage="mois",EOMONTH(AW$3,0),AW$3+6)),"◆",""))</f>
      </c>
      <c r="AX286" s="26">
        <f>IF(OR($A286="",AX$3=""),"",IF(AND($J286&lt;&gt;"",$K286&lt;&gt;"",$J286=$K286,$J286&gt;=AX$3,$J286&lt;=IF(param_mode_affichage="mois",EOMONTH(AX$3,0),AX$3+6)),"◆",""))</f>
      </c>
      <c r="AY286" s="26">
        <f>IF(OR($A286="",AY$3=""),"",IF(AND($J286&lt;&gt;"",$K286&lt;&gt;"",$J286=$K286,$J286&gt;=AY$3,$J286&lt;=IF(param_mode_affichage="mois",EOMONTH(AY$3,0),AY$3+6)),"◆",""))</f>
      </c>
      <c r="AZ286" s="26">
        <f>IF(OR($A286="",AZ$3=""),"",IF(AND($J286&lt;&gt;"",$K286&lt;&gt;"",$J286=$K286,$J286&gt;=AZ$3,$J286&lt;=IF(param_mode_affichage="mois",EOMONTH(AZ$3,0),AZ$3+6)),"◆",""))</f>
      </c>
      <c r="BA286" s="26">
        <f>IF(OR($A286="",BA$3=""),"",IF(AND($J286&lt;&gt;"",$K286&lt;&gt;"",$J286=$K286,$J286&gt;=BA$3,$J286&lt;=IF(param_mode_affichage="mois",EOMONTH(BA$3,0),BA$3+6)),"◆",""))</f>
      </c>
      <c r="BB286" s="26">
        <f>IF(OR($A286="",BB$3=""),"",IF(AND($J286&lt;&gt;"",$K286&lt;&gt;"",$J286=$K286,$J286&gt;=BB$3,$J286&lt;=IF(param_mode_affichage="mois",EOMONTH(BB$3,0),BB$3+6)),"◆",""))</f>
      </c>
      <c r="BC286" s="26">
        <f>IF(OR($A286="",BC$3=""),"",IF(AND($J286&lt;&gt;"",$K286&lt;&gt;"",$J286=$K286,$J286&gt;=BC$3,$J286&lt;=IF(param_mode_affichage="mois",EOMONTH(BC$3,0),BC$3+6)),"◆",""))</f>
      </c>
      <c r="BD286" s="26">
        <f>IF(OR($A286="",BD$3=""),"",IF(AND($J286&lt;&gt;"",$K286&lt;&gt;"",$J286=$K286,$J286&gt;=BD$3,$J286&lt;=IF(param_mode_affichage="mois",EOMONTH(BD$3,0),BD$3+6)),"◆",""))</f>
      </c>
      <c r="BE286" s="26">
        <f>IF(OR($A286="",BE$3=""),"",IF(AND($J286&lt;&gt;"",$K286&lt;&gt;"",$J286=$K286,$J286&gt;=BE$3,$J286&lt;=IF(param_mode_affichage="mois",EOMONTH(BE$3,0),BE$3+6)),"◆",""))</f>
      </c>
      <c r="BF286" s="26">
        <f>IF(OR($A286="",BF$3=""),"",IF(AND($J286&lt;&gt;"",$K286&lt;&gt;"",$J286=$K286,$J286&gt;=BF$3,$J286&lt;=IF(param_mode_affichage="mois",EOMONTH(BF$3,0),BF$3+6)),"◆",""))</f>
      </c>
      <c r="BG286" s="26">
        <f>IF(OR($A286="",BG$3=""),"",IF(AND($J286&lt;&gt;"",$K286&lt;&gt;"",$J286=$K286,$J286&gt;=BG$3,$J286&lt;=IF(param_mode_affichage="mois",EOMONTH(BG$3,0),BG$3+6)),"◆",""))</f>
      </c>
      <c r="BH286" s="26">
        <f>IF(OR($A286="",BH$3=""),"",IF(AND($J286&lt;&gt;"",$K286&lt;&gt;"",$J286=$K286,$J286&gt;=BH$3,$J286&lt;=IF(param_mode_affichage="mois",EOMONTH(BH$3,0),BH$3+6)),"◆",""))</f>
      </c>
      <c r="BI286" s="26">
        <f>IF(OR($A286="",BI$3=""),"",IF(AND($J286&lt;&gt;"",$K286&lt;&gt;"",$J286=$K286,$J286&gt;=BI$3,$J286&lt;=IF(param_mode_affichage="mois",EOMONTH(BI$3,0),BI$3+6)),"◆",""))</f>
      </c>
      <c r="BJ286" s="26">
        <f>IF(OR($A286="",BJ$3=""),"",IF(AND($J286&lt;&gt;"",$K286&lt;&gt;"",$J286=$K286,$J286&gt;=BJ$3,$J286&lt;=IF(param_mode_affichage="mois",EOMONTH(BJ$3,0),BJ$3+6)),"◆",""))</f>
      </c>
      <c r="BK286" s="26">
        <f>IF(OR($A286="",BK$3=""),"",IF(AND($J286&lt;&gt;"",$K286&lt;&gt;"",$J286=$K286,$J286&gt;=BK$3,$J286&lt;=IF(param_mode_affichage="mois",EOMONTH(BK$3,0),BK$3+6)),"◆",""))</f>
      </c>
      <c r="BL286" s="26">
        <f>IF(OR($A286="",BL$3=""),"",IF(AND($J286&lt;&gt;"",$K286&lt;&gt;"",$J286=$K286,$J286&gt;=BL$3,$J286&lt;=IF(param_mode_affichage="mois",EOMONTH(BL$3,0),BL$3+6)),"◆",""))</f>
      </c>
    </row>
    <row r="287" spans="1:64" x14ac:dyDescent="0.25">
      <c r="A287" s="23">
        <f>IFERROR(INDEX(tblTasks[ID],ROW()-4),"")</f>
      </c>
      <c r="B287" s="24">
        <f>IF($A287="","",INDEX(tblTasks[Sujet],ROW()-4))</f>
      </c>
      <c r="C287" s="23">
        <f>IF($A287="","",INDEX(tblTasks[Responsable],ROW()-4))</f>
      </c>
      <c r="D287" s="23">
        <f>IF($A287="","",INDEX(tblTasks[Statut],ROW()-4))</f>
      </c>
      <c r="E287" s="23">
        <f>IF($A287="","",INDEX(tblTasks[Depend_de],ROW()-4))</f>
      </c>
      <c r="F287" s="23">
        <f>IF($A287="","",INDEX(tblTasks[Blocage],ROW()-4))</f>
      </c>
      <c r="G287" s="23">
        <f>IF($A287="","",INDEX(tblTasks[Niveau_criticite],ROW()-4))</f>
      </c>
      <c r="H287" s="23">
        <f>IF($A287="","",INDEX(tblTasks[Goulot],ROW()-4))</f>
      </c>
      <c r="I287" s="23">
        <f>IF($A287="","",IF(LOWER($F287)="oui","non",IF($E287="","oui",IFERROR(IF(LOWER(INDEX(tblTasks[Statut],MATCH($E287,tblTasks[ID],0)))="clos","oui","non"),"non"))))</f>
      </c>
      <c r="J287" s="25">
        <f>IF($A287="","",INDEX(tblTasks[Date_debut_prevue],ROW()-4))</f>
      </c>
      <c r="K287" s="25">
        <f>IF($A287="","",INDEX(tblTasks[Date_fin_prevue],ROW()-4))</f>
      </c>
      <c r="L287" s="23">
        <f>IF($A287="","",INDEX(tblTasks[Irreversibilite],ROW()-4))</f>
      </c>
      <c r="M287" s="26">
        <f>IF(OR($A287="",M$3=""),"",IF(AND($J287&lt;&gt;"",$K287&lt;&gt;"",$J287=$K287,$J287&gt;=M$3,$J287&lt;=IF(param_mode_affichage="mois",EOMONTH(M$3,0),M$3+6)),"◆",""))</f>
      </c>
      <c r="N287" s="26">
        <f>IF(OR($A287="",N$3=""),"",IF(AND($J287&lt;&gt;"",$K287&lt;&gt;"",$J287=$K287,$J287&gt;=N$3,$J287&lt;=IF(param_mode_affichage="mois",EOMONTH(N$3,0),N$3+6)),"◆",""))</f>
      </c>
      <c r="O287" s="26">
        <f>IF(OR($A287="",O$3=""),"",IF(AND($J287&lt;&gt;"",$K287&lt;&gt;"",$J287=$K287,$J287&gt;=O$3,$J287&lt;=IF(param_mode_affichage="mois",EOMONTH(O$3,0),O$3+6)),"◆",""))</f>
      </c>
      <c r="P287" s="26">
        <f>IF(OR($A287="",P$3=""),"",IF(AND($J287&lt;&gt;"",$K287&lt;&gt;"",$J287=$K287,$J287&gt;=P$3,$J287&lt;=IF(param_mode_affichage="mois",EOMONTH(P$3,0),P$3+6)),"◆",""))</f>
      </c>
      <c r="Q287" s="26">
        <f>IF(OR($A287="",Q$3=""),"",IF(AND($J287&lt;&gt;"",$K287&lt;&gt;"",$J287=$K287,$J287&gt;=Q$3,$J287&lt;=IF(param_mode_affichage="mois",EOMONTH(Q$3,0),Q$3+6)),"◆",""))</f>
      </c>
      <c r="R287" s="26">
        <f>IF(OR($A287="",R$3=""),"",IF(AND($J287&lt;&gt;"",$K287&lt;&gt;"",$J287=$K287,$J287&gt;=R$3,$J287&lt;=IF(param_mode_affichage="mois",EOMONTH(R$3,0),R$3+6)),"◆",""))</f>
      </c>
      <c r="S287" s="26">
        <f>IF(OR($A287="",S$3=""),"",IF(AND($J287&lt;&gt;"",$K287&lt;&gt;"",$J287=$K287,$J287&gt;=S$3,$J287&lt;=IF(param_mode_affichage="mois",EOMONTH(S$3,0),S$3+6)),"◆",""))</f>
      </c>
      <c r="T287" s="26">
        <f>IF(OR($A287="",T$3=""),"",IF(AND($J287&lt;&gt;"",$K287&lt;&gt;"",$J287=$K287,$J287&gt;=T$3,$J287&lt;=IF(param_mode_affichage="mois",EOMONTH(T$3,0),T$3+6)),"◆",""))</f>
      </c>
      <c r="U287" s="26">
        <f>IF(OR($A287="",U$3=""),"",IF(AND($J287&lt;&gt;"",$K287&lt;&gt;"",$J287=$K287,$J287&gt;=U$3,$J287&lt;=IF(param_mode_affichage="mois",EOMONTH(U$3,0),U$3+6)),"◆",""))</f>
      </c>
      <c r="V287" s="26">
        <f>IF(OR($A287="",V$3=""),"",IF(AND($J287&lt;&gt;"",$K287&lt;&gt;"",$J287=$K287,$J287&gt;=V$3,$J287&lt;=IF(param_mode_affichage="mois",EOMONTH(V$3,0),V$3+6)),"◆",""))</f>
      </c>
      <c r="W287" s="26">
        <f>IF(OR($A287="",W$3=""),"",IF(AND($J287&lt;&gt;"",$K287&lt;&gt;"",$J287=$K287,$J287&gt;=W$3,$J287&lt;=IF(param_mode_affichage="mois",EOMONTH(W$3,0),W$3+6)),"◆",""))</f>
      </c>
      <c r="X287" s="26">
        <f>IF(OR($A287="",X$3=""),"",IF(AND($J287&lt;&gt;"",$K287&lt;&gt;"",$J287=$K287,$J287&gt;=X$3,$J287&lt;=IF(param_mode_affichage="mois",EOMONTH(X$3,0),X$3+6)),"◆",""))</f>
      </c>
      <c r="Y287" s="26">
        <f>IF(OR($A287="",Y$3=""),"",IF(AND($J287&lt;&gt;"",$K287&lt;&gt;"",$J287=$K287,$J287&gt;=Y$3,$J287&lt;=IF(param_mode_affichage="mois",EOMONTH(Y$3,0),Y$3+6)),"◆",""))</f>
      </c>
      <c r="Z287" s="26">
        <f>IF(OR($A287="",Z$3=""),"",IF(AND($J287&lt;&gt;"",$K287&lt;&gt;"",$J287=$K287,$J287&gt;=Z$3,$J287&lt;=IF(param_mode_affichage="mois",EOMONTH(Z$3,0),Z$3+6)),"◆",""))</f>
      </c>
      <c r="AA287" s="26">
        <f>IF(OR($A287="",AA$3=""),"",IF(AND($J287&lt;&gt;"",$K287&lt;&gt;"",$J287=$K287,$J287&gt;=AA$3,$J287&lt;=IF(param_mode_affichage="mois",EOMONTH(AA$3,0),AA$3+6)),"◆",""))</f>
      </c>
      <c r="AB287" s="26">
        <f>IF(OR($A287="",AB$3=""),"",IF(AND($J287&lt;&gt;"",$K287&lt;&gt;"",$J287=$K287,$J287&gt;=AB$3,$J287&lt;=IF(param_mode_affichage="mois",EOMONTH(AB$3,0),AB$3+6)),"◆",""))</f>
      </c>
      <c r="AC287" s="26">
        <f>IF(OR($A287="",AC$3=""),"",IF(AND($J287&lt;&gt;"",$K287&lt;&gt;"",$J287=$K287,$J287&gt;=AC$3,$J287&lt;=IF(param_mode_affichage="mois",EOMONTH(AC$3,0),AC$3+6)),"◆",""))</f>
      </c>
      <c r="AD287" s="26">
        <f>IF(OR($A287="",AD$3=""),"",IF(AND($J287&lt;&gt;"",$K287&lt;&gt;"",$J287=$K287,$J287&gt;=AD$3,$J287&lt;=IF(param_mode_affichage="mois",EOMONTH(AD$3,0),AD$3+6)),"◆",""))</f>
      </c>
      <c r="AE287" s="26">
        <f>IF(OR($A287="",AE$3=""),"",IF(AND($J287&lt;&gt;"",$K287&lt;&gt;"",$J287=$K287,$J287&gt;=AE$3,$J287&lt;=IF(param_mode_affichage="mois",EOMONTH(AE$3,0),AE$3+6)),"◆",""))</f>
      </c>
      <c r="AF287" s="26">
        <f>IF(OR($A287="",AF$3=""),"",IF(AND($J287&lt;&gt;"",$K287&lt;&gt;"",$J287=$K287,$J287&gt;=AF$3,$J287&lt;=IF(param_mode_affichage="mois",EOMONTH(AF$3,0),AF$3+6)),"◆",""))</f>
      </c>
      <c r="AG287" s="26">
        <f>IF(OR($A287="",AG$3=""),"",IF(AND($J287&lt;&gt;"",$K287&lt;&gt;"",$J287=$K287,$J287&gt;=AG$3,$J287&lt;=IF(param_mode_affichage="mois",EOMONTH(AG$3,0),AG$3+6)),"◆",""))</f>
      </c>
      <c r="AH287" s="26">
        <f>IF(OR($A287="",AH$3=""),"",IF(AND($J287&lt;&gt;"",$K287&lt;&gt;"",$J287=$K287,$J287&gt;=AH$3,$J287&lt;=IF(param_mode_affichage="mois",EOMONTH(AH$3,0),AH$3+6)),"◆",""))</f>
      </c>
      <c r="AI287" s="26">
        <f>IF(OR($A287="",AI$3=""),"",IF(AND($J287&lt;&gt;"",$K287&lt;&gt;"",$J287=$K287,$J287&gt;=AI$3,$J287&lt;=IF(param_mode_affichage="mois",EOMONTH(AI$3,0),AI$3+6)),"◆",""))</f>
      </c>
      <c r="AJ287" s="26">
        <f>IF(OR($A287="",AJ$3=""),"",IF(AND($J287&lt;&gt;"",$K287&lt;&gt;"",$J287=$K287,$J287&gt;=AJ$3,$J287&lt;=IF(param_mode_affichage="mois",EOMONTH(AJ$3,0),AJ$3+6)),"◆",""))</f>
      </c>
      <c r="AK287" s="26">
        <f>IF(OR($A287="",AK$3=""),"",IF(AND($J287&lt;&gt;"",$K287&lt;&gt;"",$J287=$K287,$J287&gt;=AK$3,$J287&lt;=IF(param_mode_affichage="mois",EOMONTH(AK$3,0),AK$3+6)),"◆",""))</f>
      </c>
      <c r="AL287" s="26">
        <f>IF(OR($A287="",AL$3=""),"",IF(AND($J287&lt;&gt;"",$K287&lt;&gt;"",$J287=$K287,$J287&gt;=AL$3,$J287&lt;=IF(param_mode_affichage="mois",EOMONTH(AL$3,0),AL$3+6)),"◆",""))</f>
      </c>
      <c r="AM287" s="26">
        <f>IF(OR($A287="",AM$3=""),"",IF(AND($J287&lt;&gt;"",$K287&lt;&gt;"",$J287=$K287,$J287&gt;=AM$3,$J287&lt;=IF(param_mode_affichage="mois",EOMONTH(AM$3,0),AM$3+6)),"◆",""))</f>
      </c>
      <c r="AN287" s="26">
        <f>IF(OR($A287="",AN$3=""),"",IF(AND($J287&lt;&gt;"",$K287&lt;&gt;"",$J287=$K287,$J287&gt;=AN$3,$J287&lt;=IF(param_mode_affichage="mois",EOMONTH(AN$3,0),AN$3+6)),"◆",""))</f>
      </c>
      <c r="AO287" s="26">
        <f>IF(OR($A287="",AO$3=""),"",IF(AND($J287&lt;&gt;"",$K287&lt;&gt;"",$J287=$K287,$J287&gt;=AO$3,$J287&lt;=IF(param_mode_affichage="mois",EOMONTH(AO$3,0),AO$3+6)),"◆",""))</f>
      </c>
      <c r="AP287" s="26">
        <f>IF(OR($A287="",AP$3=""),"",IF(AND($J287&lt;&gt;"",$K287&lt;&gt;"",$J287=$K287,$J287&gt;=AP$3,$J287&lt;=IF(param_mode_affichage="mois",EOMONTH(AP$3,0),AP$3+6)),"◆",""))</f>
      </c>
      <c r="AQ287" s="26">
        <f>IF(OR($A287="",AQ$3=""),"",IF(AND($J287&lt;&gt;"",$K287&lt;&gt;"",$J287=$K287,$J287&gt;=AQ$3,$J287&lt;=IF(param_mode_affichage="mois",EOMONTH(AQ$3,0),AQ$3+6)),"◆",""))</f>
      </c>
      <c r="AR287" s="26">
        <f>IF(OR($A287="",AR$3=""),"",IF(AND($J287&lt;&gt;"",$K287&lt;&gt;"",$J287=$K287,$J287&gt;=AR$3,$J287&lt;=IF(param_mode_affichage="mois",EOMONTH(AR$3,0),AR$3+6)),"◆",""))</f>
      </c>
      <c r="AS287" s="26">
        <f>IF(OR($A287="",AS$3=""),"",IF(AND($J287&lt;&gt;"",$K287&lt;&gt;"",$J287=$K287,$J287&gt;=AS$3,$J287&lt;=IF(param_mode_affichage="mois",EOMONTH(AS$3,0),AS$3+6)),"◆",""))</f>
      </c>
      <c r="AT287" s="26">
        <f>IF(OR($A287="",AT$3=""),"",IF(AND($J287&lt;&gt;"",$K287&lt;&gt;"",$J287=$K287,$J287&gt;=AT$3,$J287&lt;=IF(param_mode_affichage="mois",EOMONTH(AT$3,0),AT$3+6)),"◆",""))</f>
      </c>
      <c r="AU287" s="26">
        <f>IF(OR($A287="",AU$3=""),"",IF(AND($J287&lt;&gt;"",$K287&lt;&gt;"",$J287=$K287,$J287&gt;=AU$3,$J287&lt;=IF(param_mode_affichage="mois",EOMONTH(AU$3,0),AU$3+6)),"◆",""))</f>
      </c>
      <c r="AV287" s="26">
        <f>IF(OR($A287="",AV$3=""),"",IF(AND($J287&lt;&gt;"",$K287&lt;&gt;"",$J287=$K287,$J287&gt;=AV$3,$J287&lt;=IF(param_mode_affichage="mois",EOMONTH(AV$3,0),AV$3+6)),"◆",""))</f>
      </c>
      <c r="AW287" s="26">
        <f>IF(OR($A287="",AW$3=""),"",IF(AND($J287&lt;&gt;"",$K287&lt;&gt;"",$J287=$K287,$J287&gt;=AW$3,$J287&lt;=IF(param_mode_affichage="mois",EOMONTH(AW$3,0),AW$3+6)),"◆",""))</f>
      </c>
      <c r="AX287" s="26">
        <f>IF(OR($A287="",AX$3=""),"",IF(AND($J287&lt;&gt;"",$K287&lt;&gt;"",$J287=$K287,$J287&gt;=AX$3,$J287&lt;=IF(param_mode_affichage="mois",EOMONTH(AX$3,0),AX$3+6)),"◆",""))</f>
      </c>
      <c r="AY287" s="26">
        <f>IF(OR($A287="",AY$3=""),"",IF(AND($J287&lt;&gt;"",$K287&lt;&gt;"",$J287=$K287,$J287&gt;=AY$3,$J287&lt;=IF(param_mode_affichage="mois",EOMONTH(AY$3,0),AY$3+6)),"◆",""))</f>
      </c>
      <c r="AZ287" s="26">
        <f>IF(OR($A287="",AZ$3=""),"",IF(AND($J287&lt;&gt;"",$K287&lt;&gt;"",$J287=$K287,$J287&gt;=AZ$3,$J287&lt;=IF(param_mode_affichage="mois",EOMONTH(AZ$3,0),AZ$3+6)),"◆",""))</f>
      </c>
      <c r="BA287" s="26">
        <f>IF(OR($A287="",BA$3=""),"",IF(AND($J287&lt;&gt;"",$K287&lt;&gt;"",$J287=$K287,$J287&gt;=BA$3,$J287&lt;=IF(param_mode_affichage="mois",EOMONTH(BA$3,0),BA$3+6)),"◆",""))</f>
      </c>
      <c r="BB287" s="26">
        <f>IF(OR($A287="",BB$3=""),"",IF(AND($J287&lt;&gt;"",$K287&lt;&gt;"",$J287=$K287,$J287&gt;=BB$3,$J287&lt;=IF(param_mode_affichage="mois",EOMONTH(BB$3,0),BB$3+6)),"◆",""))</f>
      </c>
      <c r="BC287" s="26">
        <f>IF(OR($A287="",BC$3=""),"",IF(AND($J287&lt;&gt;"",$K287&lt;&gt;"",$J287=$K287,$J287&gt;=BC$3,$J287&lt;=IF(param_mode_affichage="mois",EOMONTH(BC$3,0),BC$3+6)),"◆",""))</f>
      </c>
      <c r="BD287" s="26">
        <f>IF(OR($A287="",BD$3=""),"",IF(AND($J287&lt;&gt;"",$K287&lt;&gt;"",$J287=$K287,$J287&gt;=BD$3,$J287&lt;=IF(param_mode_affichage="mois",EOMONTH(BD$3,0),BD$3+6)),"◆",""))</f>
      </c>
      <c r="BE287" s="26">
        <f>IF(OR($A287="",BE$3=""),"",IF(AND($J287&lt;&gt;"",$K287&lt;&gt;"",$J287=$K287,$J287&gt;=BE$3,$J287&lt;=IF(param_mode_affichage="mois",EOMONTH(BE$3,0),BE$3+6)),"◆",""))</f>
      </c>
      <c r="BF287" s="26">
        <f>IF(OR($A287="",BF$3=""),"",IF(AND($J287&lt;&gt;"",$K287&lt;&gt;"",$J287=$K287,$J287&gt;=BF$3,$J287&lt;=IF(param_mode_affichage="mois",EOMONTH(BF$3,0),BF$3+6)),"◆",""))</f>
      </c>
      <c r="BG287" s="26">
        <f>IF(OR($A287="",BG$3=""),"",IF(AND($J287&lt;&gt;"",$K287&lt;&gt;"",$J287=$K287,$J287&gt;=BG$3,$J287&lt;=IF(param_mode_affichage="mois",EOMONTH(BG$3,0),BG$3+6)),"◆",""))</f>
      </c>
      <c r="BH287" s="26">
        <f>IF(OR($A287="",BH$3=""),"",IF(AND($J287&lt;&gt;"",$K287&lt;&gt;"",$J287=$K287,$J287&gt;=BH$3,$J287&lt;=IF(param_mode_affichage="mois",EOMONTH(BH$3,0),BH$3+6)),"◆",""))</f>
      </c>
      <c r="BI287" s="26">
        <f>IF(OR($A287="",BI$3=""),"",IF(AND($J287&lt;&gt;"",$K287&lt;&gt;"",$J287=$K287,$J287&gt;=BI$3,$J287&lt;=IF(param_mode_affichage="mois",EOMONTH(BI$3,0),BI$3+6)),"◆",""))</f>
      </c>
      <c r="BJ287" s="26">
        <f>IF(OR($A287="",BJ$3=""),"",IF(AND($J287&lt;&gt;"",$K287&lt;&gt;"",$J287=$K287,$J287&gt;=BJ$3,$J287&lt;=IF(param_mode_affichage="mois",EOMONTH(BJ$3,0),BJ$3+6)),"◆",""))</f>
      </c>
      <c r="BK287" s="26">
        <f>IF(OR($A287="",BK$3=""),"",IF(AND($J287&lt;&gt;"",$K287&lt;&gt;"",$J287=$K287,$J287&gt;=BK$3,$J287&lt;=IF(param_mode_affichage="mois",EOMONTH(BK$3,0),BK$3+6)),"◆",""))</f>
      </c>
      <c r="BL287" s="26">
        <f>IF(OR($A287="",BL$3=""),"",IF(AND($J287&lt;&gt;"",$K287&lt;&gt;"",$J287=$K287,$J287&gt;=BL$3,$J287&lt;=IF(param_mode_affichage="mois",EOMONTH(BL$3,0),BL$3+6)),"◆",""))</f>
      </c>
    </row>
    <row r="288" spans="1:64" x14ac:dyDescent="0.25">
      <c r="A288" s="23">
        <f>IFERROR(INDEX(tblTasks[ID],ROW()-4),"")</f>
      </c>
      <c r="B288" s="24">
        <f>IF($A288="","",INDEX(tblTasks[Sujet],ROW()-4))</f>
      </c>
      <c r="C288" s="23">
        <f>IF($A288="","",INDEX(tblTasks[Responsable],ROW()-4))</f>
      </c>
      <c r="D288" s="23">
        <f>IF($A288="","",INDEX(tblTasks[Statut],ROW()-4))</f>
      </c>
      <c r="E288" s="23">
        <f>IF($A288="","",INDEX(tblTasks[Depend_de],ROW()-4))</f>
      </c>
      <c r="F288" s="23">
        <f>IF($A288="","",INDEX(tblTasks[Blocage],ROW()-4))</f>
      </c>
      <c r="G288" s="23">
        <f>IF($A288="","",INDEX(tblTasks[Niveau_criticite],ROW()-4))</f>
      </c>
      <c r="H288" s="23">
        <f>IF($A288="","",INDEX(tblTasks[Goulot],ROW()-4))</f>
      </c>
      <c r="I288" s="23">
        <f>IF($A288="","",IF(LOWER($F288)="oui","non",IF($E288="","oui",IFERROR(IF(LOWER(INDEX(tblTasks[Statut],MATCH($E288,tblTasks[ID],0)))="clos","oui","non"),"non"))))</f>
      </c>
      <c r="J288" s="25">
        <f>IF($A288="","",INDEX(tblTasks[Date_debut_prevue],ROW()-4))</f>
      </c>
      <c r="K288" s="25">
        <f>IF($A288="","",INDEX(tblTasks[Date_fin_prevue],ROW()-4))</f>
      </c>
      <c r="L288" s="23">
        <f>IF($A288="","",INDEX(tblTasks[Irreversibilite],ROW()-4))</f>
      </c>
      <c r="M288" s="26">
        <f>IF(OR($A288="",M$3=""),"",IF(AND($J288&lt;&gt;"",$K288&lt;&gt;"",$J288=$K288,$J288&gt;=M$3,$J288&lt;=IF(param_mode_affichage="mois",EOMONTH(M$3,0),M$3+6)),"◆",""))</f>
      </c>
      <c r="N288" s="26">
        <f>IF(OR($A288="",N$3=""),"",IF(AND($J288&lt;&gt;"",$K288&lt;&gt;"",$J288=$K288,$J288&gt;=N$3,$J288&lt;=IF(param_mode_affichage="mois",EOMONTH(N$3,0),N$3+6)),"◆",""))</f>
      </c>
      <c r="O288" s="26">
        <f>IF(OR($A288="",O$3=""),"",IF(AND($J288&lt;&gt;"",$K288&lt;&gt;"",$J288=$K288,$J288&gt;=O$3,$J288&lt;=IF(param_mode_affichage="mois",EOMONTH(O$3,0),O$3+6)),"◆",""))</f>
      </c>
      <c r="P288" s="26">
        <f>IF(OR($A288="",P$3=""),"",IF(AND($J288&lt;&gt;"",$K288&lt;&gt;"",$J288=$K288,$J288&gt;=P$3,$J288&lt;=IF(param_mode_affichage="mois",EOMONTH(P$3,0),P$3+6)),"◆",""))</f>
      </c>
      <c r="Q288" s="26">
        <f>IF(OR($A288="",Q$3=""),"",IF(AND($J288&lt;&gt;"",$K288&lt;&gt;"",$J288=$K288,$J288&gt;=Q$3,$J288&lt;=IF(param_mode_affichage="mois",EOMONTH(Q$3,0),Q$3+6)),"◆",""))</f>
      </c>
      <c r="R288" s="26">
        <f>IF(OR($A288="",R$3=""),"",IF(AND($J288&lt;&gt;"",$K288&lt;&gt;"",$J288=$K288,$J288&gt;=R$3,$J288&lt;=IF(param_mode_affichage="mois",EOMONTH(R$3,0),R$3+6)),"◆",""))</f>
      </c>
      <c r="S288" s="26">
        <f>IF(OR($A288="",S$3=""),"",IF(AND($J288&lt;&gt;"",$K288&lt;&gt;"",$J288=$K288,$J288&gt;=S$3,$J288&lt;=IF(param_mode_affichage="mois",EOMONTH(S$3,0),S$3+6)),"◆",""))</f>
      </c>
      <c r="T288" s="26">
        <f>IF(OR($A288="",T$3=""),"",IF(AND($J288&lt;&gt;"",$K288&lt;&gt;"",$J288=$K288,$J288&gt;=T$3,$J288&lt;=IF(param_mode_affichage="mois",EOMONTH(T$3,0),T$3+6)),"◆",""))</f>
      </c>
      <c r="U288" s="26">
        <f>IF(OR($A288="",U$3=""),"",IF(AND($J288&lt;&gt;"",$K288&lt;&gt;"",$J288=$K288,$J288&gt;=U$3,$J288&lt;=IF(param_mode_affichage="mois",EOMONTH(U$3,0),U$3+6)),"◆",""))</f>
      </c>
      <c r="V288" s="26">
        <f>IF(OR($A288="",V$3=""),"",IF(AND($J288&lt;&gt;"",$K288&lt;&gt;"",$J288=$K288,$J288&gt;=V$3,$J288&lt;=IF(param_mode_affichage="mois",EOMONTH(V$3,0),V$3+6)),"◆",""))</f>
      </c>
      <c r="W288" s="26">
        <f>IF(OR($A288="",W$3=""),"",IF(AND($J288&lt;&gt;"",$K288&lt;&gt;"",$J288=$K288,$J288&gt;=W$3,$J288&lt;=IF(param_mode_affichage="mois",EOMONTH(W$3,0),W$3+6)),"◆",""))</f>
      </c>
      <c r="X288" s="26">
        <f>IF(OR($A288="",X$3=""),"",IF(AND($J288&lt;&gt;"",$K288&lt;&gt;"",$J288=$K288,$J288&gt;=X$3,$J288&lt;=IF(param_mode_affichage="mois",EOMONTH(X$3,0),X$3+6)),"◆",""))</f>
      </c>
      <c r="Y288" s="26">
        <f>IF(OR($A288="",Y$3=""),"",IF(AND($J288&lt;&gt;"",$K288&lt;&gt;"",$J288=$K288,$J288&gt;=Y$3,$J288&lt;=IF(param_mode_affichage="mois",EOMONTH(Y$3,0),Y$3+6)),"◆",""))</f>
      </c>
      <c r="Z288" s="26">
        <f>IF(OR($A288="",Z$3=""),"",IF(AND($J288&lt;&gt;"",$K288&lt;&gt;"",$J288=$K288,$J288&gt;=Z$3,$J288&lt;=IF(param_mode_affichage="mois",EOMONTH(Z$3,0),Z$3+6)),"◆",""))</f>
      </c>
      <c r="AA288" s="26">
        <f>IF(OR($A288="",AA$3=""),"",IF(AND($J288&lt;&gt;"",$K288&lt;&gt;"",$J288=$K288,$J288&gt;=AA$3,$J288&lt;=IF(param_mode_affichage="mois",EOMONTH(AA$3,0),AA$3+6)),"◆",""))</f>
      </c>
      <c r="AB288" s="26">
        <f>IF(OR($A288="",AB$3=""),"",IF(AND($J288&lt;&gt;"",$K288&lt;&gt;"",$J288=$K288,$J288&gt;=AB$3,$J288&lt;=IF(param_mode_affichage="mois",EOMONTH(AB$3,0),AB$3+6)),"◆",""))</f>
      </c>
      <c r="AC288" s="26">
        <f>IF(OR($A288="",AC$3=""),"",IF(AND($J288&lt;&gt;"",$K288&lt;&gt;"",$J288=$K288,$J288&gt;=AC$3,$J288&lt;=IF(param_mode_affichage="mois",EOMONTH(AC$3,0),AC$3+6)),"◆",""))</f>
      </c>
      <c r="AD288" s="26">
        <f>IF(OR($A288="",AD$3=""),"",IF(AND($J288&lt;&gt;"",$K288&lt;&gt;"",$J288=$K288,$J288&gt;=AD$3,$J288&lt;=IF(param_mode_affichage="mois",EOMONTH(AD$3,0),AD$3+6)),"◆",""))</f>
      </c>
      <c r="AE288" s="26">
        <f>IF(OR($A288="",AE$3=""),"",IF(AND($J288&lt;&gt;"",$K288&lt;&gt;"",$J288=$K288,$J288&gt;=AE$3,$J288&lt;=IF(param_mode_affichage="mois",EOMONTH(AE$3,0),AE$3+6)),"◆",""))</f>
      </c>
      <c r="AF288" s="26">
        <f>IF(OR($A288="",AF$3=""),"",IF(AND($J288&lt;&gt;"",$K288&lt;&gt;"",$J288=$K288,$J288&gt;=AF$3,$J288&lt;=IF(param_mode_affichage="mois",EOMONTH(AF$3,0),AF$3+6)),"◆",""))</f>
      </c>
      <c r="AG288" s="26">
        <f>IF(OR($A288="",AG$3=""),"",IF(AND($J288&lt;&gt;"",$K288&lt;&gt;"",$J288=$K288,$J288&gt;=AG$3,$J288&lt;=IF(param_mode_affichage="mois",EOMONTH(AG$3,0),AG$3+6)),"◆",""))</f>
      </c>
      <c r="AH288" s="26">
        <f>IF(OR($A288="",AH$3=""),"",IF(AND($J288&lt;&gt;"",$K288&lt;&gt;"",$J288=$K288,$J288&gt;=AH$3,$J288&lt;=IF(param_mode_affichage="mois",EOMONTH(AH$3,0),AH$3+6)),"◆",""))</f>
      </c>
      <c r="AI288" s="26">
        <f>IF(OR($A288="",AI$3=""),"",IF(AND($J288&lt;&gt;"",$K288&lt;&gt;"",$J288=$K288,$J288&gt;=AI$3,$J288&lt;=IF(param_mode_affichage="mois",EOMONTH(AI$3,0),AI$3+6)),"◆",""))</f>
      </c>
      <c r="AJ288" s="26">
        <f>IF(OR($A288="",AJ$3=""),"",IF(AND($J288&lt;&gt;"",$K288&lt;&gt;"",$J288=$K288,$J288&gt;=AJ$3,$J288&lt;=IF(param_mode_affichage="mois",EOMONTH(AJ$3,0),AJ$3+6)),"◆",""))</f>
      </c>
      <c r="AK288" s="26">
        <f>IF(OR($A288="",AK$3=""),"",IF(AND($J288&lt;&gt;"",$K288&lt;&gt;"",$J288=$K288,$J288&gt;=AK$3,$J288&lt;=IF(param_mode_affichage="mois",EOMONTH(AK$3,0),AK$3+6)),"◆",""))</f>
      </c>
      <c r="AL288" s="26">
        <f>IF(OR($A288="",AL$3=""),"",IF(AND($J288&lt;&gt;"",$K288&lt;&gt;"",$J288=$K288,$J288&gt;=AL$3,$J288&lt;=IF(param_mode_affichage="mois",EOMONTH(AL$3,0),AL$3+6)),"◆",""))</f>
      </c>
      <c r="AM288" s="26">
        <f>IF(OR($A288="",AM$3=""),"",IF(AND($J288&lt;&gt;"",$K288&lt;&gt;"",$J288=$K288,$J288&gt;=AM$3,$J288&lt;=IF(param_mode_affichage="mois",EOMONTH(AM$3,0),AM$3+6)),"◆",""))</f>
      </c>
      <c r="AN288" s="26">
        <f>IF(OR($A288="",AN$3=""),"",IF(AND($J288&lt;&gt;"",$K288&lt;&gt;"",$J288=$K288,$J288&gt;=AN$3,$J288&lt;=IF(param_mode_affichage="mois",EOMONTH(AN$3,0),AN$3+6)),"◆",""))</f>
      </c>
      <c r="AO288" s="26">
        <f>IF(OR($A288="",AO$3=""),"",IF(AND($J288&lt;&gt;"",$K288&lt;&gt;"",$J288=$K288,$J288&gt;=AO$3,$J288&lt;=IF(param_mode_affichage="mois",EOMONTH(AO$3,0),AO$3+6)),"◆",""))</f>
      </c>
      <c r="AP288" s="26">
        <f>IF(OR($A288="",AP$3=""),"",IF(AND($J288&lt;&gt;"",$K288&lt;&gt;"",$J288=$K288,$J288&gt;=AP$3,$J288&lt;=IF(param_mode_affichage="mois",EOMONTH(AP$3,0),AP$3+6)),"◆",""))</f>
      </c>
      <c r="AQ288" s="26">
        <f>IF(OR($A288="",AQ$3=""),"",IF(AND($J288&lt;&gt;"",$K288&lt;&gt;"",$J288=$K288,$J288&gt;=AQ$3,$J288&lt;=IF(param_mode_affichage="mois",EOMONTH(AQ$3,0),AQ$3+6)),"◆",""))</f>
      </c>
      <c r="AR288" s="26">
        <f>IF(OR($A288="",AR$3=""),"",IF(AND($J288&lt;&gt;"",$K288&lt;&gt;"",$J288=$K288,$J288&gt;=AR$3,$J288&lt;=IF(param_mode_affichage="mois",EOMONTH(AR$3,0),AR$3+6)),"◆",""))</f>
      </c>
      <c r="AS288" s="26">
        <f>IF(OR($A288="",AS$3=""),"",IF(AND($J288&lt;&gt;"",$K288&lt;&gt;"",$J288=$K288,$J288&gt;=AS$3,$J288&lt;=IF(param_mode_affichage="mois",EOMONTH(AS$3,0),AS$3+6)),"◆",""))</f>
      </c>
      <c r="AT288" s="26">
        <f>IF(OR($A288="",AT$3=""),"",IF(AND($J288&lt;&gt;"",$K288&lt;&gt;"",$J288=$K288,$J288&gt;=AT$3,$J288&lt;=IF(param_mode_affichage="mois",EOMONTH(AT$3,0),AT$3+6)),"◆",""))</f>
      </c>
      <c r="AU288" s="26">
        <f>IF(OR($A288="",AU$3=""),"",IF(AND($J288&lt;&gt;"",$K288&lt;&gt;"",$J288=$K288,$J288&gt;=AU$3,$J288&lt;=IF(param_mode_affichage="mois",EOMONTH(AU$3,0),AU$3+6)),"◆",""))</f>
      </c>
      <c r="AV288" s="26">
        <f>IF(OR($A288="",AV$3=""),"",IF(AND($J288&lt;&gt;"",$K288&lt;&gt;"",$J288=$K288,$J288&gt;=AV$3,$J288&lt;=IF(param_mode_affichage="mois",EOMONTH(AV$3,0),AV$3+6)),"◆",""))</f>
      </c>
      <c r="AW288" s="26">
        <f>IF(OR($A288="",AW$3=""),"",IF(AND($J288&lt;&gt;"",$K288&lt;&gt;"",$J288=$K288,$J288&gt;=AW$3,$J288&lt;=IF(param_mode_affichage="mois",EOMONTH(AW$3,0),AW$3+6)),"◆",""))</f>
      </c>
      <c r="AX288" s="26">
        <f>IF(OR($A288="",AX$3=""),"",IF(AND($J288&lt;&gt;"",$K288&lt;&gt;"",$J288=$K288,$J288&gt;=AX$3,$J288&lt;=IF(param_mode_affichage="mois",EOMONTH(AX$3,0),AX$3+6)),"◆",""))</f>
      </c>
      <c r="AY288" s="26">
        <f>IF(OR($A288="",AY$3=""),"",IF(AND($J288&lt;&gt;"",$K288&lt;&gt;"",$J288=$K288,$J288&gt;=AY$3,$J288&lt;=IF(param_mode_affichage="mois",EOMONTH(AY$3,0),AY$3+6)),"◆",""))</f>
      </c>
      <c r="AZ288" s="26">
        <f>IF(OR($A288="",AZ$3=""),"",IF(AND($J288&lt;&gt;"",$K288&lt;&gt;"",$J288=$K288,$J288&gt;=AZ$3,$J288&lt;=IF(param_mode_affichage="mois",EOMONTH(AZ$3,0),AZ$3+6)),"◆",""))</f>
      </c>
      <c r="BA288" s="26">
        <f>IF(OR($A288="",BA$3=""),"",IF(AND($J288&lt;&gt;"",$K288&lt;&gt;"",$J288=$K288,$J288&gt;=BA$3,$J288&lt;=IF(param_mode_affichage="mois",EOMONTH(BA$3,0),BA$3+6)),"◆",""))</f>
      </c>
      <c r="BB288" s="26">
        <f>IF(OR($A288="",BB$3=""),"",IF(AND($J288&lt;&gt;"",$K288&lt;&gt;"",$J288=$K288,$J288&gt;=BB$3,$J288&lt;=IF(param_mode_affichage="mois",EOMONTH(BB$3,0),BB$3+6)),"◆",""))</f>
      </c>
      <c r="BC288" s="26">
        <f>IF(OR($A288="",BC$3=""),"",IF(AND($J288&lt;&gt;"",$K288&lt;&gt;"",$J288=$K288,$J288&gt;=BC$3,$J288&lt;=IF(param_mode_affichage="mois",EOMONTH(BC$3,0),BC$3+6)),"◆",""))</f>
      </c>
      <c r="BD288" s="26">
        <f>IF(OR($A288="",BD$3=""),"",IF(AND($J288&lt;&gt;"",$K288&lt;&gt;"",$J288=$K288,$J288&gt;=BD$3,$J288&lt;=IF(param_mode_affichage="mois",EOMONTH(BD$3,0),BD$3+6)),"◆",""))</f>
      </c>
      <c r="BE288" s="26">
        <f>IF(OR($A288="",BE$3=""),"",IF(AND($J288&lt;&gt;"",$K288&lt;&gt;"",$J288=$K288,$J288&gt;=BE$3,$J288&lt;=IF(param_mode_affichage="mois",EOMONTH(BE$3,0),BE$3+6)),"◆",""))</f>
      </c>
      <c r="BF288" s="26">
        <f>IF(OR($A288="",BF$3=""),"",IF(AND($J288&lt;&gt;"",$K288&lt;&gt;"",$J288=$K288,$J288&gt;=BF$3,$J288&lt;=IF(param_mode_affichage="mois",EOMONTH(BF$3,0),BF$3+6)),"◆",""))</f>
      </c>
      <c r="BG288" s="26">
        <f>IF(OR($A288="",BG$3=""),"",IF(AND($J288&lt;&gt;"",$K288&lt;&gt;"",$J288=$K288,$J288&gt;=BG$3,$J288&lt;=IF(param_mode_affichage="mois",EOMONTH(BG$3,0),BG$3+6)),"◆",""))</f>
      </c>
      <c r="BH288" s="26">
        <f>IF(OR($A288="",BH$3=""),"",IF(AND($J288&lt;&gt;"",$K288&lt;&gt;"",$J288=$K288,$J288&gt;=BH$3,$J288&lt;=IF(param_mode_affichage="mois",EOMONTH(BH$3,0),BH$3+6)),"◆",""))</f>
      </c>
      <c r="BI288" s="26">
        <f>IF(OR($A288="",BI$3=""),"",IF(AND($J288&lt;&gt;"",$K288&lt;&gt;"",$J288=$K288,$J288&gt;=BI$3,$J288&lt;=IF(param_mode_affichage="mois",EOMONTH(BI$3,0),BI$3+6)),"◆",""))</f>
      </c>
      <c r="BJ288" s="26">
        <f>IF(OR($A288="",BJ$3=""),"",IF(AND($J288&lt;&gt;"",$K288&lt;&gt;"",$J288=$K288,$J288&gt;=BJ$3,$J288&lt;=IF(param_mode_affichage="mois",EOMONTH(BJ$3,0),BJ$3+6)),"◆",""))</f>
      </c>
      <c r="BK288" s="26">
        <f>IF(OR($A288="",BK$3=""),"",IF(AND($J288&lt;&gt;"",$K288&lt;&gt;"",$J288=$K288,$J288&gt;=BK$3,$J288&lt;=IF(param_mode_affichage="mois",EOMONTH(BK$3,0),BK$3+6)),"◆",""))</f>
      </c>
      <c r="BL288" s="26">
        <f>IF(OR($A288="",BL$3=""),"",IF(AND($J288&lt;&gt;"",$K288&lt;&gt;"",$J288=$K288,$J288&gt;=BL$3,$J288&lt;=IF(param_mode_affichage="mois",EOMONTH(BL$3,0),BL$3+6)),"◆",""))</f>
      </c>
    </row>
    <row r="289" spans="1:64" x14ac:dyDescent="0.25">
      <c r="A289" s="23">
        <f>IFERROR(INDEX(tblTasks[ID],ROW()-4),"")</f>
      </c>
      <c r="B289" s="24">
        <f>IF($A289="","",INDEX(tblTasks[Sujet],ROW()-4))</f>
      </c>
      <c r="C289" s="23">
        <f>IF($A289="","",INDEX(tblTasks[Responsable],ROW()-4))</f>
      </c>
      <c r="D289" s="23">
        <f>IF($A289="","",INDEX(tblTasks[Statut],ROW()-4))</f>
      </c>
      <c r="E289" s="23">
        <f>IF($A289="","",INDEX(tblTasks[Depend_de],ROW()-4))</f>
      </c>
      <c r="F289" s="23">
        <f>IF($A289="","",INDEX(tblTasks[Blocage],ROW()-4))</f>
      </c>
      <c r="G289" s="23">
        <f>IF($A289="","",INDEX(tblTasks[Niveau_criticite],ROW()-4))</f>
      </c>
      <c r="H289" s="23">
        <f>IF($A289="","",INDEX(tblTasks[Goulot],ROW()-4))</f>
      </c>
      <c r="I289" s="23">
        <f>IF($A289="","",IF(LOWER($F289)="oui","non",IF($E289="","oui",IFERROR(IF(LOWER(INDEX(tblTasks[Statut],MATCH($E289,tblTasks[ID],0)))="clos","oui","non"),"non"))))</f>
      </c>
      <c r="J289" s="25">
        <f>IF($A289="","",INDEX(tblTasks[Date_debut_prevue],ROW()-4))</f>
      </c>
      <c r="K289" s="25">
        <f>IF($A289="","",INDEX(tblTasks[Date_fin_prevue],ROW()-4))</f>
      </c>
      <c r="L289" s="23">
        <f>IF($A289="","",INDEX(tblTasks[Irreversibilite],ROW()-4))</f>
      </c>
      <c r="M289" s="26">
        <f>IF(OR($A289="",M$3=""),"",IF(AND($J289&lt;&gt;"",$K289&lt;&gt;"",$J289=$K289,$J289&gt;=M$3,$J289&lt;=IF(param_mode_affichage="mois",EOMONTH(M$3,0),M$3+6)),"◆",""))</f>
      </c>
      <c r="N289" s="26">
        <f>IF(OR($A289="",N$3=""),"",IF(AND($J289&lt;&gt;"",$K289&lt;&gt;"",$J289=$K289,$J289&gt;=N$3,$J289&lt;=IF(param_mode_affichage="mois",EOMONTH(N$3,0),N$3+6)),"◆",""))</f>
      </c>
      <c r="O289" s="26">
        <f>IF(OR($A289="",O$3=""),"",IF(AND($J289&lt;&gt;"",$K289&lt;&gt;"",$J289=$K289,$J289&gt;=O$3,$J289&lt;=IF(param_mode_affichage="mois",EOMONTH(O$3,0),O$3+6)),"◆",""))</f>
      </c>
      <c r="P289" s="26">
        <f>IF(OR($A289="",P$3=""),"",IF(AND($J289&lt;&gt;"",$K289&lt;&gt;"",$J289=$K289,$J289&gt;=P$3,$J289&lt;=IF(param_mode_affichage="mois",EOMONTH(P$3,0),P$3+6)),"◆",""))</f>
      </c>
      <c r="Q289" s="26">
        <f>IF(OR($A289="",Q$3=""),"",IF(AND($J289&lt;&gt;"",$K289&lt;&gt;"",$J289=$K289,$J289&gt;=Q$3,$J289&lt;=IF(param_mode_affichage="mois",EOMONTH(Q$3,0),Q$3+6)),"◆",""))</f>
      </c>
      <c r="R289" s="26">
        <f>IF(OR($A289="",R$3=""),"",IF(AND($J289&lt;&gt;"",$K289&lt;&gt;"",$J289=$K289,$J289&gt;=R$3,$J289&lt;=IF(param_mode_affichage="mois",EOMONTH(R$3,0),R$3+6)),"◆",""))</f>
      </c>
      <c r="S289" s="26">
        <f>IF(OR($A289="",S$3=""),"",IF(AND($J289&lt;&gt;"",$K289&lt;&gt;"",$J289=$K289,$J289&gt;=S$3,$J289&lt;=IF(param_mode_affichage="mois",EOMONTH(S$3,0),S$3+6)),"◆",""))</f>
      </c>
      <c r="T289" s="26">
        <f>IF(OR($A289="",T$3=""),"",IF(AND($J289&lt;&gt;"",$K289&lt;&gt;"",$J289=$K289,$J289&gt;=T$3,$J289&lt;=IF(param_mode_affichage="mois",EOMONTH(T$3,0),T$3+6)),"◆",""))</f>
      </c>
      <c r="U289" s="26">
        <f>IF(OR($A289="",U$3=""),"",IF(AND($J289&lt;&gt;"",$K289&lt;&gt;"",$J289=$K289,$J289&gt;=U$3,$J289&lt;=IF(param_mode_affichage="mois",EOMONTH(U$3,0),U$3+6)),"◆",""))</f>
      </c>
      <c r="V289" s="26">
        <f>IF(OR($A289="",V$3=""),"",IF(AND($J289&lt;&gt;"",$K289&lt;&gt;"",$J289=$K289,$J289&gt;=V$3,$J289&lt;=IF(param_mode_affichage="mois",EOMONTH(V$3,0),V$3+6)),"◆",""))</f>
      </c>
      <c r="W289" s="26">
        <f>IF(OR($A289="",W$3=""),"",IF(AND($J289&lt;&gt;"",$K289&lt;&gt;"",$J289=$K289,$J289&gt;=W$3,$J289&lt;=IF(param_mode_affichage="mois",EOMONTH(W$3,0),W$3+6)),"◆",""))</f>
      </c>
      <c r="X289" s="26">
        <f>IF(OR($A289="",X$3=""),"",IF(AND($J289&lt;&gt;"",$K289&lt;&gt;"",$J289=$K289,$J289&gt;=X$3,$J289&lt;=IF(param_mode_affichage="mois",EOMONTH(X$3,0),X$3+6)),"◆",""))</f>
      </c>
      <c r="Y289" s="26">
        <f>IF(OR($A289="",Y$3=""),"",IF(AND($J289&lt;&gt;"",$K289&lt;&gt;"",$J289=$K289,$J289&gt;=Y$3,$J289&lt;=IF(param_mode_affichage="mois",EOMONTH(Y$3,0),Y$3+6)),"◆",""))</f>
      </c>
      <c r="Z289" s="26">
        <f>IF(OR($A289="",Z$3=""),"",IF(AND($J289&lt;&gt;"",$K289&lt;&gt;"",$J289=$K289,$J289&gt;=Z$3,$J289&lt;=IF(param_mode_affichage="mois",EOMONTH(Z$3,0),Z$3+6)),"◆",""))</f>
      </c>
      <c r="AA289" s="26">
        <f>IF(OR($A289="",AA$3=""),"",IF(AND($J289&lt;&gt;"",$K289&lt;&gt;"",$J289=$K289,$J289&gt;=AA$3,$J289&lt;=IF(param_mode_affichage="mois",EOMONTH(AA$3,0),AA$3+6)),"◆",""))</f>
      </c>
      <c r="AB289" s="26">
        <f>IF(OR($A289="",AB$3=""),"",IF(AND($J289&lt;&gt;"",$K289&lt;&gt;"",$J289=$K289,$J289&gt;=AB$3,$J289&lt;=IF(param_mode_affichage="mois",EOMONTH(AB$3,0),AB$3+6)),"◆",""))</f>
      </c>
      <c r="AC289" s="26">
        <f>IF(OR($A289="",AC$3=""),"",IF(AND($J289&lt;&gt;"",$K289&lt;&gt;"",$J289=$K289,$J289&gt;=AC$3,$J289&lt;=IF(param_mode_affichage="mois",EOMONTH(AC$3,0),AC$3+6)),"◆",""))</f>
      </c>
      <c r="AD289" s="26">
        <f>IF(OR($A289="",AD$3=""),"",IF(AND($J289&lt;&gt;"",$K289&lt;&gt;"",$J289=$K289,$J289&gt;=AD$3,$J289&lt;=IF(param_mode_affichage="mois",EOMONTH(AD$3,0),AD$3+6)),"◆",""))</f>
      </c>
      <c r="AE289" s="26">
        <f>IF(OR($A289="",AE$3=""),"",IF(AND($J289&lt;&gt;"",$K289&lt;&gt;"",$J289=$K289,$J289&gt;=AE$3,$J289&lt;=IF(param_mode_affichage="mois",EOMONTH(AE$3,0),AE$3+6)),"◆",""))</f>
      </c>
      <c r="AF289" s="26">
        <f>IF(OR($A289="",AF$3=""),"",IF(AND($J289&lt;&gt;"",$K289&lt;&gt;"",$J289=$K289,$J289&gt;=AF$3,$J289&lt;=IF(param_mode_affichage="mois",EOMONTH(AF$3,0),AF$3+6)),"◆",""))</f>
      </c>
      <c r="AG289" s="26">
        <f>IF(OR($A289="",AG$3=""),"",IF(AND($J289&lt;&gt;"",$K289&lt;&gt;"",$J289=$K289,$J289&gt;=AG$3,$J289&lt;=IF(param_mode_affichage="mois",EOMONTH(AG$3,0),AG$3+6)),"◆",""))</f>
      </c>
      <c r="AH289" s="26">
        <f>IF(OR($A289="",AH$3=""),"",IF(AND($J289&lt;&gt;"",$K289&lt;&gt;"",$J289=$K289,$J289&gt;=AH$3,$J289&lt;=IF(param_mode_affichage="mois",EOMONTH(AH$3,0),AH$3+6)),"◆",""))</f>
      </c>
      <c r="AI289" s="26">
        <f>IF(OR($A289="",AI$3=""),"",IF(AND($J289&lt;&gt;"",$K289&lt;&gt;"",$J289=$K289,$J289&gt;=AI$3,$J289&lt;=IF(param_mode_affichage="mois",EOMONTH(AI$3,0),AI$3+6)),"◆",""))</f>
      </c>
      <c r="AJ289" s="26">
        <f>IF(OR($A289="",AJ$3=""),"",IF(AND($J289&lt;&gt;"",$K289&lt;&gt;"",$J289=$K289,$J289&gt;=AJ$3,$J289&lt;=IF(param_mode_affichage="mois",EOMONTH(AJ$3,0),AJ$3+6)),"◆",""))</f>
      </c>
      <c r="AK289" s="26">
        <f>IF(OR($A289="",AK$3=""),"",IF(AND($J289&lt;&gt;"",$K289&lt;&gt;"",$J289=$K289,$J289&gt;=AK$3,$J289&lt;=IF(param_mode_affichage="mois",EOMONTH(AK$3,0),AK$3+6)),"◆",""))</f>
      </c>
      <c r="AL289" s="26">
        <f>IF(OR($A289="",AL$3=""),"",IF(AND($J289&lt;&gt;"",$K289&lt;&gt;"",$J289=$K289,$J289&gt;=AL$3,$J289&lt;=IF(param_mode_affichage="mois",EOMONTH(AL$3,0),AL$3+6)),"◆",""))</f>
      </c>
      <c r="AM289" s="26">
        <f>IF(OR($A289="",AM$3=""),"",IF(AND($J289&lt;&gt;"",$K289&lt;&gt;"",$J289=$K289,$J289&gt;=AM$3,$J289&lt;=IF(param_mode_affichage="mois",EOMONTH(AM$3,0),AM$3+6)),"◆",""))</f>
      </c>
      <c r="AN289" s="26">
        <f>IF(OR($A289="",AN$3=""),"",IF(AND($J289&lt;&gt;"",$K289&lt;&gt;"",$J289=$K289,$J289&gt;=AN$3,$J289&lt;=IF(param_mode_affichage="mois",EOMONTH(AN$3,0),AN$3+6)),"◆",""))</f>
      </c>
      <c r="AO289" s="26">
        <f>IF(OR($A289="",AO$3=""),"",IF(AND($J289&lt;&gt;"",$K289&lt;&gt;"",$J289=$K289,$J289&gt;=AO$3,$J289&lt;=IF(param_mode_affichage="mois",EOMONTH(AO$3,0),AO$3+6)),"◆",""))</f>
      </c>
      <c r="AP289" s="26">
        <f>IF(OR($A289="",AP$3=""),"",IF(AND($J289&lt;&gt;"",$K289&lt;&gt;"",$J289=$K289,$J289&gt;=AP$3,$J289&lt;=IF(param_mode_affichage="mois",EOMONTH(AP$3,0),AP$3+6)),"◆",""))</f>
      </c>
      <c r="AQ289" s="26">
        <f>IF(OR($A289="",AQ$3=""),"",IF(AND($J289&lt;&gt;"",$K289&lt;&gt;"",$J289=$K289,$J289&gt;=AQ$3,$J289&lt;=IF(param_mode_affichage="mois",EOMONTH(AQ$3,0),AQ$3+6)),"◆",""))</f>
      </c>
      <c r="AR289" s="26">
        <f>IF(OR($A289="",AR$3=""),"",IF(AND($J289&lt;&gt;"",$K289&lt;&gt;"",$J289=$K289,$J289&gt;=AR$3,$J289&lt;=IF(param_mode_affichage="mois",EOMONTH(AR$3,0),AR$3+6)),"◆",""))</f>
      </c>
      <c r="AS289" s="26">
        <f>IF(OR($A289="",AS$3=""),"",IF(AND($J289&lt;&gt;"",$K289&lt;&gt;"",$J289=$K289,$J289&gt;=AS$3,$J289&lt;=IF(param_mode_affichage="mois",EOMONTH(AS$3,0),AS$3+6)),"◆",""))</f>
      </c>
      <c r="AT289" s="26">
        <f>IF(OR($A289="",AT$3=""),"",IF(AND($J289&lt;&gt;"",$K289&lt;&gt;"",$J289=$K289,$J289&gt;=AT$3,$J289&lt;=IF(param_mode_affichage="mois",EOMONTH(AT$3,0),AT$3+6)),"◆",""))</f>
      </c>
      <c r="AU289" s="26">
        <f>IF(OR($A289="",AU$3=""),"",IF(AND($J289&lt;&gt;"",$K289&lt;&gt;"",$J289=$K289,$J289&gt;=AU$3,$J289&lt;=IF(param_mode_affichage="mois",EOMONTH(AU$3,0),AU$3+6)),"◆",""))</f>
      </c>
      <c r="AV289" s="26">
        <f>IF(OR($A289="",AV$3=""),"",IF(AND($J289&lt;&gt;"",$K289&lt;&gt;"",$J289=$K289,$J289&gt;=AV$3,$J289&lt;=IF(param_mode_affichage="mois",EOMONTH(AV$3,0),AV$3+6)),"◆",""))</f>
      </c>
      <c r="AW289" s="26">
        <f>IF(OR($A289="",AW$3=""),"",IF(AND($J289&lt;&gt;"",$K289&lt;&gt;"",$J289=$K289,$J289&gt;=AW$3,$J289&lt;=IF(param_mode_affichage="mois",EOMONTH(AW$3,0),AW$3+6)),"◆",""))</f>
      </c>
      <c r="AX289" s="26">
        <f>IF(OR($A289="",AX$3=""),"",IF(AND($J289&lt;&gt;"",$K289&lt;&gt;"",$J289=$K289,$J289&gt;=AX$3,$J289&lt;=IF(param_mode_affichage="mois",EOMONTH(AX$3,0),AX$3+6)),"◆",""))</f>
      </c>
      <c r="AY289" s="26">
        <f>IF(OR($A289="",AY$3=""),"",IF(AND($J289&lt;&gt;"",$K289&lt;&gt;"",$J289=$K289,$J289&gt;=AY$3,$J289&lt;=IF(param_mode_affichage="mois",EOMONTH(AY$3,0),AY$3+6)),"◆",""))</f>
      </c>
      <c r="AZ289" s="26">
        <f>IF(OR($A289="",AZ$3=""),"",IF(AND($J289&lt;&gt;"",$K289&lt;&gt;"",$J289=$K289,$J289&gt;=AZ$3,$J289&lt;=IF(param_mode_affichage="mois",EOMONTH(AZ$3,0),AZ$3+6)),"◆",""))</f>
      </c>
      <c r="BA289" s="26">
        <f>IF(OR($A289="",BA$3=""),"",IF(AND($J289&lt;&gt;"",$K289&lt;&gt;"",$J289=$K289,$J289&gt;=BA$3,$J289&lt;=IF(param_mode_affichage="mois",EOMONTH(BA$3,0),BA$3+6)),"◆",""))</f>
      </c>
      <c r="BB289" s="26">
        <f>IF(OR($A289="",BB$3=""),"",IF(AND($J289&lt;&gt;"",$K289&lt;&gt;"",$J289=$K289,$J289&gt;=BB$3,$J289&lt;=IF(param_mode_affichage="mois",EOMONTH(BB$3,0),BB$3+6)),"◆",""))</f>
      </c>
      <c r="BC289" s="26">
        <f>IF(OR($A289="",BC$3=""),"",IF(AND($J289&lt;&gt;"",$K289&lt;&gt;"",$J289=$K289,$J289&gt;=BC$3,$J289&lt;=IF(param_mode_affichage="mois",EOMONTH(BC$3,0),BC$3+6)),"◆",""))</f>
      </c>
      <c r="BD289" s="26">
        <f>IF(OR($A289="",BD$3=""),"",IF(AND($J289&lt;&gt;"",$K289&lt;&gt;"",$J289=$K289,$J289&gt;=BD$3,$J289&lt;=IF(param_mode_affichage="mois",EOMONTH(BD$3,0),BD$3+6)),"◆",""))</f>
      </c>
      <c r="BE289" s="26">
        <f>IF(OR($A289="",BE$3=""),"",IF(AND($J289&lt;&gt;"",$K289&lt;&gt;"",$J289=$K289,$J289&gt;=BE$3,$J289&lt;=IF(param_mode_affichage="mois",EOMONTH(BE$3,0),BE$3+6)),"◆",""))</f>
      </c>
      <c r="BF289" s="26">
        <f>IF(OR($A289="",BF$3=""),"",IF(AND($J289&lt;&gt;"",$K289&lt;&gt;"",$J289=$K289,$J289&gt;=BF$3,$J289&lt;=IF(param_mode_affichage="mois",EOMONTH(BF$3,0),BF$3+6)),"◆",""))</f>
      </c>
      <c r="BG289" s="26">
        <f>IF(OR($A289="",BG$3=""),"",IF(AND($J289&lt;&gt;"",$K289&lt;&gt;"",$J289=$K289,$J289&gt;=BG$3,$J289&lt;=IF(param_mode_affichage="mois",EOMONTH(BG$3,0),BG$3+6)),"◆",""))</f>
      </c>
      <c r="BH289" s="26">
        <f>IF(OR($A289="",BH$3=""),"",IF(AND($J289&lt;&gt;"",$K289&lt;&gt;"",$J289=$K289,$J289&gt;=BH$3,$J289&lt;=IF(param_mode_affichage="mois",EOMONTH(BH$3,0),BH$3+6)),"◆",""))</f>
      </c>
      <c r="BI289" s="26">
        <f>IF(OR($A289="",BI$3=""),"",IF(AND($J289&lt;&gt;"",$K289&lt;&gt;"",$J289=$K289,$J289&gt;=BI$3,$J289&lt;=IF(param_mode_affichage="mois",EOMONTH(BI$3,0),BI$3+6)),"◆",""))</f>
      </c>
      <c r="BJ289" s="26">
        <f>IF(OR($A289="",BJ$3=""),"",IF(AND($J289&lt;&gt;"",$K289&lt;&gt;"",$J289=$K289,$J289&gt;=BJ$3,$J289&lt;=IF(param_mode_affichage="mois",EOMONTH(BJ$3,0),BJ$3+6)),"◆",""))</f>
      </c>
      <c r="BK289" s="26">
        <f>IF(OR($A289="",BK$3=""),"",IF(AND($J289&lt;&gt;"",$K289&lt;&gt;"",$J289=$K289,$J289&gt;=BK$3,$J289&lt;=IF(param_mode_affichage="mois",EOMONTH(BK$3,0),BK$3+6)),"◆",""))</f>
      </c>
      <c r="BL289" s="26">
        <f>IF(OR($A289="",BL$3=""),"",IF(AND($J289&lt;&gt;"",$K289&lt;&gt;"",$J289=$K289,$J289&gt;=BL$3,$J289&lt;=IF(param_mode_affichage="mois",EOMONTH(BL$3,0),BL$3+6)),"◆",""))</f>
      </c>
    </row>
    <row r="290" spans="1:64" x14ac:dyDescent="0.25">
      <c r="A290" s="23">
        <f>IFERROR(INDEX(tblTasks[ID],ROW()-4),"")</f>
      </c>
      <c r="B290" s="24">
        <f>IF($A290="","",INDEX(tblTasks[Sujet],ROW()-4))</f>
      </c>
      <c r="C290" s="23">
        <f>IF($A290="","",INDEX(tblTasks[Responsable],ROW()-4))</f>
      </c>
      <c r="D290" s="23">
        <f>IF($A290="","",INDEX(tblTasks[Statut],ROW()-4))</f>
      </c>
      <c r="E290" s="23">
        <f>IF($A290="","",INDEX(tblTasks[Depend_de],ROW()-4))</f>
      </c>
      <c r="F290" s="23">
        <f>IF($A290="","",INDEX(tblTasks[Blocage],ROW()-4))</f>
      </c>
      <c r="G290" s="23">
        <f>IF($A290="","",INDEX(tblTasks[Niveau_criticite],ROW()-4))</f>
      </c>
      <c r="H290" s="23">
        <f>IF($A290="","",INDEX(tblTasks[Goulot],ROW()-4))</f>
      </c>
      <c r="I290" s="23">
        <f>IF($A290="","",IF(LOWER($F290)="oui","non",IF($E290="","oui",IFERROR(IF(LOWER(INDEX(tblTasks[Statut],MATCH($E290,tblTasks[ID],0)))="clos","oui","non"),"non"))))</f>
      </c>
      <c r="J290" s="25">
        <f>IF($A290="","",INDEX(tblTasks[Date_debut_prevue],ROW()-4))</f>
      </c>
      <c r="K290" s="25">
        <f>IF($A290="","",INDEX(tblTasks[Date_fin_prevue],ROW()-4))</f>
      </c>
      <c r="L290" s="23">
        <f>IF($A290="","",INDEX(tblTasks[Irreversibilite],ROW()-4))</f>
      </c>
      <c r="M290" s="26">
        <f>IF(OR($A290="",M$3=""),"",IF(AND($J290&lt;&gt;"",$K290&lt;&gt;"",$J290=$K290,$J290&gt;=M$3,$J290&lt;=IF(param_mode_affichage="mois",EOMONTH(M$3,0),M$3+6)),"◆",""))</f>
      </c>
      <c r="N290" s="26">
        <f>IF(OR($A290="",N$3=""),"",IF(AND($J290&lt;&gt;"",$K290&lt;&gt;"",$J290=$K290,$J290&gt;=N$3,$J290&lt;=IF(param_mode_affichage="mois",EOMONTH(N$3,0),N$3+6)),"◆",""))</f>
      </c>
      <c r="O290" s="26">
        <f>IF(OR($A290="",O$3=""),"",IF(AND($J290&lt;&gt;"",$K290&lt;&gt;"",$J290=$K290,$J290&gt;=O$3,$J290&lt;=IF(param_mode_affichage="mois",EOMONTH(O$3,0),O$3+6)),"◆",""))</f>
      </c>
      <c r="P290" s="26">
        <f>IF(OR($A290="",P$3=""),"",IF(AND($J290&lt;&gt;"",$K290&lt;&gt;"",$J290=$K290,$J290&gt;=P$3,$J290&lt;=IF(param_mode_affichage="mois",EOMONTH(P$3,0),P$3+6)),"◆",""))</f>
      </c>
      <c r="Q290" s="26">
        <f>IF(OR($A290="",Q$3=""),"",IF(AND($J290&lt;&gt;"",$K290&lt;&gt;"",$J290=$K290,$J290&gt;=Q$3,$J290&lt;=IF(param_mode_affichage="mois",EOMONTH(Q$3,0),Q$3+6)),"◆",""))</f>
      </c>
      <c r="R290" s="26">
        <f>IF(OR($A290="",R$3=""),"",IF(AND($J290&lt;&gt;"",$K290&lt;&gt;"",$J290=$K290,$J290&gt;=R$3,$J290&lt;=IF(param_mode_affichage="mois",EOMONTH(R$3,0),R$3+6)),"◆",""))</f>
      </c>
      <c r="S290" s="26">
        <f>IF(OR($A290="",S$3=""),"",IF(AND($J290&lt;&gt;"",$K290&lt;&gt;"",$J290=$K290,$J290&gt;=S$3,$J290&lt;=IF(param_mode_affichage="mois",EOMONTH(S$3,0),S$3+6)),"◆",""))</f>
      </c>
      <c r="T290" s="26">
        <f>IF(OR($A290="",T$3=""),"",IF(AND($J290&lt;&gt;"",$K290&lt;&gt;"",$J290=$K290,$J290&gt;=T$3,$J290&lt;=IF(param_mode_affichage="mois",EOMONTH(T$3,0),T$3+6)),"◆",""))</f>
      </c>
      <c r="U290" s="26">
        <f>IF(OR($A290="",U$3=""),"",IF(AND($J290&lt;&gt;"",$K290&lt;&gt;"",$J290=$K290,$J290&gt;=U$3,$J290&lt;=IF(param_mode_affichage="mois",EOMONTH(U$3,0),U$3+6)),"◆",""))</f>
      </c>
      <c r="V290" s="26">
        <f>IF(OR($A290="",V$3=""),"",IF(AND($J290&lt;&gt;"",$K290&lt;&gt;"",$J290=$K290,$J290&gt;=V$3,$J290&lt;=IF(param_mode_affichage="mois",EOMONTH(V$3,0),V$3+6)),"◆",""))</f>
      </c>
      <c r="W290" s="26">
        <f>IF(OR($A290="",W$3=""),"",IF(AND($J290&lt;&gt;"",$K290&lt;&gt;"",$J290=$K290,$J290&gt;=W$3,$J290&lt;=IF(param_mode_affichage="mois",EOMONTH(W$3,0),W$3+6)),"◆",""))</f>
      </c>
      <c r="X290" s="26">
        <f>IF(OR($A290="",X$3=""),"",IF(AND($J290&lt;&gt;"",$K290&lt;&gt;"",$J290=$K290,$J290&gt;=X$3,$J290&lt;=IF(param_mode_affichage="mois",EOMONTH(X$3,0),X$3+6)),"◆",""))</f>
      </c>
      <c r="Y290" s="26">
        <f>IF(OR($A290="",Y$3=""),"",IF(AND($J290&lt;&gt;"",$K290&lt;&gt;"",$J290=$K290,$J290&gt;=Y$3,$J290&lt;=IF(param_mode_affichage="mois",EOMONTH(Y$3,0),Y$3+6)),"◆",""))</f>
      </c>
      <c r="Z290" s="26">
        <f>IF(OR($A290="",Z$3=""),"",IF(AND($J290&lt;&gt;"",$K290&lt;&gt;"",$J290=$K290,$J290&gt;=Z$3,$J290&lt;=IF(param_mode_affichage="mois",EOMONTH(Z$3,0),Z$3+6)),"◆",""))</f>
      </c>
      <c r="AA290" s="26">
        <f>IF(OR($A290="",AA$3=""),"",IF(AND($J290&lt;&gt;"",$K290&lt;&gt;"",$J290=$K290,$J290&gt;=AA$3,$J290&lt;=IF(param_mode_affichage="mois",EOMONTH(AA$3,0),AA$3+6)),"◆",""))</f>
      </c>
      <c r="AB290" s="26">
        <f>IF(OR($A290="",AB$3=""),"",IF(AND($J290&lt;&gt;"",$K290&lt;&gt;"",$J290=$K290,$J290&gt;=AB$3,$J290&lt;=IF(param_mode_affichage="mois",EOMONTH(AB$3,0),AB$3+6)),"◆",""))</f>
      </c>
      <c r="AC290" s="26">
        <f>IF(OR($A290="",AC$3=""),"",IF(AND($J290&lt;&gt;"",$K290&lt;&gt;"",$J290=$K290,$J290&gt;=AC$3,$J290&lt;=IF(param_mode_affichage="mois",EOMONTH(AC$3,0),AC$3+6)),"◆",""))</f>
      </c>
      <c r="AD290" s="26">
        <f>IF(OR($A290="",AD$3=""),"",IF(AND($J290&lt;&gt;"",$K290&lt;&gt;"",$J290=$K290,$J290&gt;=AD$3,$J290&lt;=IF(param_mode_affichage="mois",EOMONTH(AD$3,0),AD$3+6)),"◆",""))</f>
      </c>
      <c r="AE290" s="26">
        <f>IF(OR($A290="",AE$3=""),"",IF(AND($J290&lt;&gt;"",$K290&lt;&gt;"",$J290=$K290,$J290&gt;=AE$3,$J290&lt;=IF(param_mode_affichage="mois",EOMONTH(AE$3,0),AE$3+6)),"◆",""))</f>
      </c>
      <c r="AF290" s="26">
        <f>IF(OR($A290="",AF$3=""),"",IF(AND($J290&lt;&gt;"",$K290&lt;&gt;"",$J290=$K290,$J290&gt;=AF$3,$J290&lt;=IF(param_mode_affichage="mois",EOMONTH(AF$3,0),AF$3+6)),"◆",""))</f>
      </c>
      <c r="AG290" s="26">
        <f>IF(OR($A290="",AG$3=""),"",IF(AND($J290&lt;&gt;"",$K290&lt;&gt;"",$J290=$K290,$J290&gt;=AG$3,$J290&lt;=IF(param_mode_affichage="mois",EOMONTH(AG$3,0),AG$3+6)),"◆",""))</f>
      </c>
      <c r="AH290" s="26">
        <f>IF(OR($A290="",AH$3=""),"",IF(AND($J290&lt;&gt;"",$K290&lt;&gt;"",$J290=$K290,$J290&gt;=AH$3,$J290&lt;=IF(param_mode_affichage="mois",EOMONTH(AH$3,0),AH$3+6)),"◆",""))</f>
      </c>
      <c r="AI290" s="26">
        <f>IF(OR($A290="",AI$3=""),"",IF(AND($J290&lt;&gt;"",$K290&lt;&gt;"",$J290=$K290,$J290&gt;=AI$3,$J290&lt;=IF(param_mode_affichage="mois",EOMONTH(AI$3,0),AI$3+6)),"◆",""))</f>
      </c>
      <c r="AJ290" s="26">
        <f>IF(OR($A290="",AJ$3=""),"",IF(AND($J290&lt;&gt;"",$K290&lt;&gt;"",$J290=$K290,$J290&gt;=AJ$3,$J290&lt;=IF(param_mode_affichage="mois",EOMONTH(AJ$3,0),AJ$3+6)),"◆",""))</f>
      </c>
      <c r="AK290" s="26">
        <f>IF(OR($A290="",AK$3=""),"",IF(AND($J290&lt;&gt;"",$K290&lt;&gt;"",$J290=$K290,$J290&gt;=AK$3,$J290&lt;=IF(param_mode_affichage="mois",EOMONTH(AK$3,0),AK$3+6)),"◆",""))</f>
      </c>
      <c r="AL290" s="26">
        <f>IF(OR($A290="",AL$3=""),"",IF(AND($J290&lt;&gt;"",$K290&lt;&gt;"",$J290=$K290,$J290&gt;=AL$3,$J290&lt;=IF(param_mode_affichage="mois",EOMONTH(AL$3,0),AL$3+6)),"◆",""))</f>
      </c>
      <c r="AM290" s="26">
        <f>IF(OR($A290="",AM$3=""),"",IF(AND($J290&lt;&gt;"",$K290&lt;&gt;"",$J290=$K290,$J290&gt;=AM$3,$J290&lt;=IF(param_mode_affichage="mois",EOMONTH(AM$3,0),AM$3+6)),"◆",""))</f>
      </c>
      <c r="AN290" s="26">
        <f>IF(OR($A290="",AN$3=""),"",IF(AND($J290&lt;&gt;"",$K290&lt;&gt;"",$J290=$K290,$J290&gt;=AN$3,$J290&lt;=IF(param_mode_affichage="mois",EOMONTH(AN$3,0),AN$3+6)),"◆",""))</f>
      </c>
      <c r="AO290" s="26">
        <f>IF(OR($A290="",AO$3=""),"",IF(AND($J290&lt;&gt;"",$K290&lt;&gt;"",$J290=$K290,$J290&gt;=AO$3,$J290&lt;=IF(param_mode_affichage="mois",EOMONTH(AO$3,0),AO$3+6)),"◆",""))</f>
      </c>
      <c r="AP290" s="26">
        <f>IF(OR($A290="",AP$3=""),"",IF(AND($J290&lt;&gt;"",$K290&lt;&gt;"",$J290=$K290,$J290&gt;=AP$3,$J290&lt;=IF(param_mode_affichage="mois",EOMONTH(AP$3,0),AP$3+6)),"◆",""))</f>
      </c>
      <c r="AQ290" s="26">
        <f>IF(OR($A290="",AQ$3=""),"",IF(AND($J290&lt;&gt;"",$K290&lt;&gt;"",$J290=$K290,$J290&gt;=AQ$3,$J290&lt;=IF(param_mode_affichage="mois",EOMONTH(AQ$3,0),AQ$3+6)),"◆",""))</f>
      </c>
      <c r="AR290" s="26">
        <f>IF(OR($A290="",AR$3=""),"",IF(AND($J290&lt;&gt;"",$K290&lt;&gt;"",$J290=$K290,$J290&gt;=AR$3,$J290&lt;=IF(param_mode_affichage="mois",EOMONTH(AR$3,0),AR$3+6)),"◆",""))</f>
      </c>
      <c r="AS290" s="26">
        <f>IF(OR($A290="",AS$3=""),"",IF(AND($J290&lt;&gt;"",$K290&lt;&gt;"",$J290=$K290,$J290&gt;=AS$3,$J290&lt;=IF(param_mode_affichage="mois",EOMONTH(AS$3,0),AS$3+6)),"◆",""))</f>
      </c>
      <c r="AT290" s="26">
        <f>IF(OR($A290="",AT$3=""),"",IF(AND($J290&lt;&gt;"",$K290&lt;&gt;"",$J290=$K290,$J290&gt;=AT$3,$J290&lt;=IF(param_mode_affichage="mois",EOMONTH(AT$3,0),AT$3+6)),"◆",""))</f>
      </c>
      <c r="AU290" s="26">
        <f>IF(OR($A290="",AU$3=""),"",IF(AND($J290&lt;&gt;"",$K290&lt;&gt;"",$J290=$K290,$J290&gt;=AU$3,$J290&lt;=IF(param_mode_affichage="mois",EOMONTH(AU$3,0),AU$3+6)),"◆",""))</f>
      </c>
      <c r="AV290" s="26">
        <f>IF(OR($A290="",AV$3=""),"",IF(AND($J290&lt;&gt;"",$K290&lt;&gt;"",$J290=$K290,$J290&gt;=AV$3,$J290&lt;=IF(param_mode_affichage="mois",EOMONTH(AV$3,0),AV$3+6)),"◆",""))</f>
      </c>
      <c r="AW290" s="26">
        <f>IF(OR($A290="",AW$3=""),"",IF(AND($J290&lt;&gt;"",$K290&lt;&gt;"",$J290=$K290,$J290&gt;=AW$3,$J290&lt;=IF(param_mode_affichage="mois",EOMONTH(AW$3,0),AW$3+6)),"◆",""))</f>
      </c>
      <c r="AX290" s="26">
        <f>IF(OR($A290="",AX$3=""),"",IF(AND($J290&lt;&gt;"",$K290&lt;&gt;"",$J290=$K290,$J290&gt;=AX$3,$J290&lt;=IF(param_mode_affichage="mois",EOMONTH(AX$3,0),AX$3+6)),"◆",""))</f>
      </c>
      <c r="AY290" s="26">
        <f>IF(OR($A290="",AY$3=""),"",IF(AND($J290&lt;&gt;"",$K290&lt;&gt;"",$J290=$K290,$J290&gt;=AY$3,$J290&lt;=IF(param_mode_affichage="mois",EOMONTH(AY$3,0),AY$3+6)),"◆",""))</f>
      </c>
      <c r="AZ290" s="26">
        <f>IF(OR($A290="",AZ$3=""),"",IF(AND($J290&lt;&gt;"",$K290&lt;&gt;"",$J290=$K290,$J290&gt;=AZ$3,$J290&lt;=IF(param_mode_affichage="mois",EOMONTH(AZ$3,0),AZ$3+6)),"◆",""))</f>
      </c>
      <c r="BA290" s="26">
        <f>IF(OR($A290="",BA$3=""),"",IF(AND($J290&lt;&gt;"",$K290&lt;&gt;"",$J290=$K290,$J290&gt;=BA$3,$J290&lt;=IF(param_mode_affichage="mois",EOMONTH(BA$3,0),BA$3+6)),"◆",""))</f>
      </c>
      <c r="BB290" s="26">
        <f>IF(OR($A290="",BB$3=""),"",IF(AND($J290&lt;&gt;"",$K290&lt;&gt;"",$J290=$K290,$J290&gt;=BB$3,$J290&lt;=IF(param_mode_affichage="mois",EOMONTH(BB$3,0),BB$3+6)),"◆",""))</f>
      </c>
      <c r="BC290" s="26">
        <f>IF(OR($A290="",BC$3=""),"",IF(AND($J290&lt;&gt;"",$K290&lt;&gt;"",$J290=$K290,$J290&gt;=BC$3,$J290&lt;=IF(param_mode_affichage="mois",EOMONTH(BC$3,0),BC$3+6)),"◆",""))</f>
      </c>
      <c r="BD290" s="26">
        <f>IF(OR($A290="",BD$3=""),"",IF(AND($J290&lt;&gt;"",$K290&lt;&gt;"",$J290=$K290,$J290&gt;=BD$3,$J290&lt;=IF(param_mode_affichage="mois",EOMONTH(BD$3,0),BD$3+6)),"◆",""))</f>
      </c>
      <c r="BE290" s="26">
        <f>IF(OR($A290="",BE$3=""),"",IF(AND($J290&lt;&gt;"",$K290&lt;&gt;"",$J290=$K290,$J290&gt;=BE$3,$J290&lt;=IF(param_mode_affichage="mois",EOMONTH(BE$3,0),BE$3+6)),"◆",""))</f>
      </c>
      <c r="BF290" s="26">
        <f>IF(OR($A290="",BF$3=""),"",IF(AND($J290&lt;&gt;"",$K290&lt;&gt;"",$J290=$K290,$J290&gt;=BF$3,$J290&lt;=IF(param_mode_affichage="mois",EOMONTH(BF$3,0),BF$3+6)),"◆",""))</f>
      </c>
      <c r="BG290" s="26">
        <f>IF(OR($A290="",BG$3=""),"",IF(AND($J290&lt;&gt;"",$K290&lt;&gt;"",$J290=$K290,$J290&gt;=BG$3,$J290&lt;=IF(param_mode_affichage="mois",EOMONTH(BG$3,0),BG$3+6)),"◆",""))</f>
      </c>
      <c r="BH290" s="26">
        <f>IF(OR($A290="",BH$3=""),"",IF(AND($J290&lt;&gt;"",$K290&lt;&gt;"",$J290=$K290,$J290&gt;=BH$3,$J290&lt;=IF(param_mode_affichage="mois",EOMONTH(BH$3,0),BH$3+6)),"◆",""))</f>
      </c>
      <c r="BI290" s="26">
        <f>IF(OR($A290="",BI$3=""),"",IF(AND($J290&lt;&gt;"",$K290&lt;&gt;"",$J290=$K290,$J290&gt;=BI$3,$J290&lt;=IF(param_mode_affichage="mois",EOMONTH(BI$3,0),BI$3+6)),"◆",""))</f>
      </c>
      <c r="BJ290" s="26">
        <f>IF(OR($A290="",BJ$3=""),"",IF(AND($J290&lt;&gt;"",$K290&lt;&gt;"",$J290=$K290,$J290&gt;=BJ$3,$J290&lt;=IF(param_mode_affichage="mois",EOMONTH(BJ$3,0),BJ$3+6)),"◆",""))</f>
      </c>
      <c r="BK290" s="26">
        <f>IF(OR($A290="",BK$3=""),"",IF(AND($J290&lt;&gt;"",$K290&lt;&gt;"",$J290=$K290,$J290&gt;=BK$3,$J290&lt;=IF(param_mode_affichage="mois",EOMONTH(BK$3,0),BK$3+6)),"◆",""))</f>
      </c>
      <c r="BL290" s="26">
        <f>IF(OR($A290="",BL$3=""),"",IF(AND($J290&lt;&gt;"",$K290&lt;&gt;"",$J290=$K290,$J290&gt;=BL$3,$J290&lt;=IF(param_mode_affichage="mois",EOMONTH(BL$3,0),BL$3+6)),"◆",""))</f>
      </c>
    </row>
    <row r="291" spans="1:64" x14ac:dyDescent="0.25">
      <c r="A291" s="23">
        <f>IFERROR(INDEX(tblTasks[ID],ROW()-4),"")</f>
      </c>
      <c r="B291" s="24">
        <f>IF($A291="","",INDEX(tblTasks[Sujet],ROW()-4))</f>
      </c>
      <c r="C291" s="23">
        <f>IF($A291="","",INDEX(tblTasks[Responsable],ROW()-4))</f>
      </c>
      <c r="D291" s="23">
        <f>IF($A291="","",INDEX(tblTasks[Statut],ROW()-4))</f>
      </c>
      <c r="E291" s="23">
        <f>IF($A291="","",INDEX(tblTasks[Depend_de],ROW()-4))</f>
      </c>
      <c r="F291" s="23">
        <f>IF($A291="","",INDEX(tblTasks[Blocage],ROW()-4))</f>
      </c>
      <c r="G291" s="23">
        <f>IF($A291="","",INDEX(tblTasks[Niveau_criticite],ROW()-4))</f>
      </c>
      <c r="H291" s="23">
        <f>IF($A291="","",INDEX(tblTasks[Goulot],ROW()-4))</f>
      </c>
      <c r="I291" s="23">
        <f>IF($A291="","",IF(LOWER($F291)="oui","non",IF($E291="","oui",IFERROR(IF(LOWER(INDEX(tblTasks[Statut],MATCH($E291,tblTasks[ID],0)))="clos","oui","non"),"non"))))</f>
      </c>
      <c r="J291" s="25">
        <f>IF($A291="","",INDEX(tblTasks[Date_debut_prevue],ROW()-4))</f>
      </c>
      <c r="K291" s="25">
        <f>IF($A291="","",INDEX(tblTasks[Date_fin_prevue],ROW()-4))</f>
      </c>
      <c r="L291" s="23">
        <f>IF($A291="","",INDEX(tblTasks[Irreversibilite],ROW()-4))</f>
      </c>
      <c r="M291" s="26">
        <f>IF(OR($A291="",M$3=""),"",IF(AND($J291&lt;&gt;"",$K291&lt;&gt;"",$J291=$K291,$J291&gt;=M$3,$J291&lt;=IF(param_mode_affichage="mois",EOMONTH(M$3,0),M$3+6)),"◆",""))</f>
      </c>
      <c r="N291" s="26">
        <f>IF(OR($A291="",N$3=""),"",IF(AND($J291&lt;&gt;"",$K291&lt;&gt;"",$J291=$K291,$J291&gt;=N$3,$J291&lt;=IF(param_mode_affichage="mois",EOMONTH(N$3,0),N$3+6)),"◆",""))</f>
      </c>
      <c r="O291" s="26">
        <f>IF(OR($A291="",O$3=""),"",IF(AND($J291&lt;&gt;"",$K291&lt;&gt;"",$J291=$K291,$J291&gt;=O$3,$J291&lt;=IF(param_mode_affichage="mois",EOMONTH(O$3,0),O$3+6)),"◆",""))</f>
      </c>
      <c r="P291" s="26">
        <f>IF(OR($A291="",P$3=""),"",IF(AND($J291&lt;&gt;"",$K291&lt;&gt;"",$J291=$K291,$J291&gt;=P$3,$J291&lt;=IF(param_mode_affichage="mois",EOMONTH(P$3,0),P$3+6)),"◆",""))</f>
      </c>
      <c r="Q291" s="26">
        <f>IF(OR($A291="",Q$3=""),"",IF(AND($J291&lt;&gt;"",$K291&lt;&gt;"",$J291=$K291,$J291&gt;=Q$3,$J291&lt;=IF(param_mode_affichage="mois",EOMONTH(Q$3,0),Q$3+6)),"◆",""))</f>
      </c>
      <c r="R291" s="26">
        <f>IF(OR($A291="",R$3=""),"",IF(AND($J291&lt;&gt;"",$K291&lt;&gt;"",$J291=$K291,$J291&gt;=R$3,$J291&lt;=IF(param_mode_affichage="mois",EOMONTH(R$3,0),R$3+6)),"◆",""))</f>
      </c>
      <c r="S291" s="26">
        <f>IF(OR($A291="",S$3=""),"",IF(AND($J291&lt;&gt;"",$K291&lt;&gt;"",$J291=$K291,$J291&gt;=S$3,$J291&lt;=IF(param_mode_affichage="mois",EOMONTH(S$3,0),S$3+6)),"◆",""))</f>
      </c>
      <c r="T291" s="26">
        <f>IF(OR($A291="",T$3=""),"",IF(AND($J291&lt;&gt;"",$K291&lt;&gt;"",$J291=$K291,$J291&gt;=T$3,$J291&lt;=IF(param_mode_affichage="mois",EOMONTH(T$3,0),T$3+6)),"◆",""))</f>
      </c>
      <c r="U291" s="26">
        <f>IF(OR($A291="",U$3=""),"",IF(AND($J291&lt;&gt;"",$K291&lt;&gt;"",$J291=$K291,$J291&gt;=U$3,$J291&lt;=IF(param_mode_affichage="mois",EOMONTH(U$3,0),U$3+6)),"◆",""))</f>
      </c>
      <c r="V291" s="26">
        <f>IF(OR($A291="",V$3=""),"",IF(AND($J291&lt;&gt;"",$K291&lt;&gt;"",$J291=$K291,$J291&gt;=V$3,$J291&lt;=IF(param_mode_affichage="mois",EOMONTH(V$3,0),V$3+6)),"◆",""))</f>
      </c>
      <c r="W291" s="26">
        <f>IF(OR($A291="",W$3=""),"",IF(AND($J291&lt;&gt;"",$K291&lt;&gt;"",$J291=$K291,$J291&gt;=W$3,$J291&lt;=IF(param_mode_affichage="mois",EOMONTH(W$3,0),W$3+6)),"◆",""))</f>
      </c>
      <c r="X291" s="26">
        <f>IF(OR($A291="",X$3=""),"",IF(AND($J291&lt;&gt;"",$K291&lt;&gt;"",$J291=$K291,$J291&gt;=X$3,$J291&lt;=IF(param_mode_affichage="mois",EOMONTH(X$3,0),X$3+6)),"◆",""))</f>
      </c>
      <c r="Y291" s="26">
        <f>IF(OR($A291="",Y$3=""),"",IF(AND($J291&lt;&gt;"",$K291&lt;&gt;"",$J291=$K291,$J291&gt;=Y$3,$J291&lt;=IF(param_mode_affichage="mois",EOMONTH(Y$3,0),Y$3+6)),"◆",""))</f>
      </c>
      <c r="Z291" s="26">
        <f>IF(OR($A291="",Z$3=""),"",IF(AND($J291&lt;&gt;"",$K291&lt;&gt;"",$J291=$K291,$J291&gt;=Z$3,$J291&lt;=IF(param_mode_affichage="mois",EOMONTH(Z$3,0),Z$3+6)),"◆",""))</f>
      </c>
      <c r="AA291" s="26">
        <f>IF(OR($A291="",AA$3=""),"",IF(AND($J291&lt;&gt;"",$K291&lt;&gt;"",$J291=$K291,$J291&gt;=AA$3,$J291&lt;=IF(param_mode_affichage="mois",EOMONTH(AA$3,0),AA$3+6)),"◆",""))</f>
      </c>
      <c r="AB291" s="26">
        <f>IF(OR($A291="",AB$3=""),"",IF(AND($J291&lt;&gt;"",$K291&lt;&gt;"",$J291=$K291,$J291&gt;=AB$3,$J291&lt;=IF(param_mode_affichage="mois",EOMONTH(AB$3,0),AB$3+6)),"◆",""))</f>
      </c>
      <c r="AC291" s="26">
        <f>IF(OR($A291="",AC$3=""),"",IF(AND($J291&lt;&gt;"",$K291&lt;&gt;"",$J291=$K291,$J291&gt;=AC$3,$J291&lt;=IF(param_mode_affichage="mois",EOMONTH(AC$3,0),AC$3+6)),"◆",""))</f>
      </c>
      <c r="AD291" s="26">
        <f>IF(OR($A291="",AD$3=""),"",IF(AND($J291&lt;&gt;"",$K291&lt;&gt;"",$J291=$K291,$J291&gt;=AD$3,$J291&lt;=IF(param_mode_affichage="mois",EOMONTH(AD$3,0),AD$3+6)),"◆",""))</f>
      </c>
      <c r="AE291" s="26">
        <f>IF(OR($A291="",AE$3=""),"",IF(AND($J291&lt;&gt;"",$K291&lt;&gt;"",$J291=$K291,$J291&gt;=AE$3,$J291&lt;=IF(param_mode_affichage="mois",EOMONTH(AE$3,0),AE$3+6)),"◆",""))</f>
      </c>
      <c r="AF291" s="26">
        <f>IF(OR($A291="",AF$3=""),"",IF(AND($J291&lt;&gt;"",$K291&lt;&gt;"",$J291=$K291,$J291&gt;=AF$3,$J291&lt;=IF(param_mode_affichage="mois",EOMONTH(AF$3,0),AF$3+6)),"◆",""))</f>
      </c>
      <c r="AG291" s="26">
        <f>IF(OR($A291="",AG$3=""),"",IF(AND($J291&lt;&gt;"",$K291&lt;&gt;"",$J291=$K291,$J291&gt;=AG$3,$J291&lt;=IF(param_mode_affichage="mois",EOMONTH(AG$3,0),AG$3+6)),"◆",""))</f>
      </c>
      <c r="AH291" s="26">
        <f>IF(OR($A291="",AH$3=""),"",IF(AND($J291&lt;&gt;"",$K291&lt;&gt;"",$J291=$K291,$J291&gt;=AH$3,$J291&lt;=IF(param_mode_affichage="mois",EOMONTH(AH$3,0),AH$3+6)),"◆",""))</f>
      </c>
      <c r="AI291" s="26">
        <f>IF(OR($A291="",AI$3=""),"",IF(AND($J291&lt;&gt;"",$K291&lt;&gt;"",$J291=$K291,$J291&gt;=AI$3,$J291&lt;=IF(param_mode_affichage="mois",EOMONTH(AI$3,0),AI$3+6)),"◆",""))</f>
      </c>
      <c r="AJ291" s="26">
        <f>IF(OR($A291="",AJ$3=""),"",IF(AND($J291&lt;&gt;"",$K291&lt;&gt;"",$J291=$K291,$J291&gt;=AJ$3,$J291&lt;=IF(param_mode_affichage="mois",EOMONTH(AJ$3,0),AJ$3+6)),"◆",""))</f>
      </c>
      <c r="AK291" s="26">
        <f>IF(OR($A291="",AK$3=""),"",IF(AND($J291&lt;&gt;"",$K291&lt;&gt;"",$J291=$K291,$J291&gt;=AK$3,$J291&lt;=IF(param_mode_affichage="mois",EOMONTH(AK$3,0),AK$3+6)),"◆",""))</f>
      </c>
      <c r="AL291" s="26">
        <f>IF(OR($A291="",AL$3=""),"",IF(AND($J291&lt;&gt;"",$K291&lt;&gt;"",$J291=$K291,$J291&gt;=AL$3,$J291&lt;=IF(param_mode_affichage="mois",EOMONTH(AL$3,0),AL$3+6)),"◆",""))</f>
      </c>
      <c r="AM291" s="26">
        <f>IF(OR($A291="",AM$3=""),"",IF(AND($J291&lt;&gt;"",$K291&lt;&gt;"",$J291=$K291,$J291&gt;=AM$3,$J291&lt;=IF(param_mode_affichage="mois",EOMONTH(AM$3,0),AM$3+6)),"◆",""))</f>
      </c>
      <c r="AN291" s="26">
        <f>IF(OR($A291="",AN$3=""),"",IF(AND($J291&lt;&gt;"",$K291&lt;&gt;"",$J291=$K291,$J291&gt;=AN$3,$J291&lt;=IF(param_mode_affichage="mois",EOMONTH(AN$3,0),AN$3+6)),"◆",""))</f>
      </c>
      <c r="AO291" s="26">
        <f>IF(OR($A291="",AO$3=""),"",IF(AND($J291&lt;&gt;"",$K291&lt;&gt;"",$J291=$K291,$J291&gt;=AO$3,$J291&lt;=IF(param_mode_affichage="mois",EOMONTH(AO$3,0),AO$3+6)),"◆",""))</f>
      </c>
      <c r="AP291" s="26">
        <f>IF(OR($A291="",AP$3=""),"",IF(AND($J291&lt;&gt;"",$K291&lt;&gt;"",$J291=$K291,$J291&gt;=AP$3,$J291&lt;=IF(param_mode_affichage="mois",EOMONTH(AP$3,0),AP$3+6)),"◆",""))</f>
      </c>
      <c r="AQ291" s="26">
        <f>IF(OR($A291="",AQ$3=""),"",IF(AND($J291&lt;&gt;"",$K291&lt;&gt;"",$J291=$K291,$J291&gt;=AQ$3,$J291&lt;=IF(param_mode_affichage="mois",EOMONTH(AQ$3,0),AQ$3+6)),"◆",""))</f>
      </c>
      <c r="AR291" s="26">
        <f>IF(OR($A291="",AR$3=""),"",IF(AND($J291&lt;&gt;"",$K291&lt;&gt;"",$J291=$K291,$J291&gt;=AR$3,$J291&lt;=IF(param_mode_affichage="mois",EOMONTH(AR$3,0),AR$3+6)),"◆",""))</f>
      </c>
      <c r="AS291" s="26">
        <f>IF(OR($A291="",AS$3=""),"",IF(AND($J291&lt;&gt;"",$K291&lt;&gt;"",$J291=$K291,$J291&gt;=AS$3,$J291&lt;=IF(param_mode_affichage="mois",EOMONTH(AS$3,0),AS$3+6)),"◆",""))</f>
      </c>
      <c r="AT291" s="26">
        <f>IF(OR($A291="",AT$3=""),"",IF(AND($J291&lt;&gt;"",$K291&lt;&gt;"",$J291=$K291,$J291&gt;=AT$3,$J291&lt;=IF(param_mode_affichage="mois",EOMONTH(AT$3,0),AT$3+6)),"◆",""))</f>
      </c>
      <c r="AU291" s="26">
        <f>IF(OR($A291="",AU$3=""),"",IF(AND($J291&lt;&gt;"",$K291&lt;&gt;"",$J291=$K291,$J291&gt;=AU$3,$J291&lt;=IF(param_mode_affichage="mois",EOMONTH(AU$3,0),AU$3+6)),"◆",""))</f>
      </c>
      <c r="AV291" s="26">
        <f>IF(OR($A291="",AV$3=""),"",IF(AND($J291&lt;&gt;"",$K291&lt;&gt;"",$J291=$K291,$J291&gt;=AV$3,$J291&lt;=IF(param_mode_affichage="mois",EOMONTH(AV$3,0),AV$3+6)),"◆",""))</f>
      </c>
      <c r="AW291" s="26">
        <f>IF(OR($A291="",AW$3=""),"",IF(AND($J291&lt;&gt;"",$K291&lt;&gt;"",$J291=$K291,$J291&gt;=AW$3,$J291&lt;=IF(param_mode_affichage="mois",EOMONTH(AW$3,0),AW$3+6)),"◆",""))</f>
      </c>
      <c r="AX291" s="26">
        <f>IF(OR($A291="",AX$3=""),"",IF(AND($J291&lt;&gt;"",$K291&lt;&gt;"",$J291=$K291,$J291&gt;=AX$3,$J291&lt;=IF(param_mode_affichage="mois",EOMONTH(AX$3,0),AX$3+6)),"◆",""))</f>
      </c>
      <c r="AY291" s="26">
        <f>IF(OR($A291="",AY$3=""),"",IF(AND($J291&lt;&gt;"",$K291&lt;&gt;"",$J291=$K291,$J291&gt;=AY$3,$J291&lt;=IF(param_mode_affichage="mois",EOMONTH(AY$3,0),AY$3+6)),"◆",""))</f>
      </c>
      <c r="AZ291" s="26">
        <f>IF(OR($A291="",AZ$3=""),"",IF(AND($J291&lt;&gt;"",$K291&lt;&gt;"",$J291=$K291,$J291&gt;=AZ$3,$J291&lt;=IF(param_mode_affichage="mois",EOMONTH(AZ$3,0),AZ$3+6)),"◆",""))</f>
      </c>
      <c r="BA291" s="26">
        <f>IF(OR($A291="",BA$3=""),"",IF(AND($J291&lt;&gt;"",$K291&lt;&gt;"",$J291=$K291,$J291&gt;=BA$3,$J291&lt;=IF(param_mode_affichage="mois",EOMONTH(BA$3,0),BA$3+6)),"◆",""))</f>
      </c>
      <c r="BB291" s="26">
        <f>IF(OR($A291="",BB$3=""),"",IF(AND($J291&lt;&gt;"",$K291&lt;&gt;"",$J291=$K291,$J291&gt;=BB$3,$J291&lt;=IF(param_mode_affichage="mois",EOMONTH(BB$3,0),BB$3+6)),"◆",""))</f>
      </c>
      <c r="BC291" s="26">
        <f>IF(OR($A291="",BC$3=""),"",IF(AND($J291&lt;&gt;"",$K291&lt;&gt;"",$J291=$K291,$J291&gt;=BC$3,$J291&lt;=IF(param_mode_affichage="mois",EOMONTH(BC$3,0),BC$3+6)),"◆",""))</f>
      </c>
      <c r="BD291" s="26">
        <f>IF(OR($A291="",BD$3=""),"",IF(AND($J291&lt;&gt;"",$K291&lt;&gt;"",$J291=$K291,$J291&gt;=BD$3,$J291&lt;=IF(param_mode_affichage="mois",EOMONTH(BD$3,0),BD$3+6)),"◆",""))</f>
      </c>
      <c r="BE291" s="26">
        <f>IF(OR($A291="",BE$3=""),"",IF(AND($J291&lt;&gt;"",$K291&lt;&gt;"",$J291=$K291,$J291&gt;=BE$3,$J291&lt;=IF(param_mode_affichage="mois",EOMONTH(BE$3,0),BE$3+6)),"◆",""))</f>
      </c>
      <c r="BF291" s="26">
        <f>IF(OR($A291="",BF$3=""),"",IF(AND($J291&lt;&gt;"",$K291&lt;&gt;"",$J291=$K291,$J291&gt;=BF$3,$J291&lt;=IF(param_mode_affichage="mois",EOMONTH(BF$3,0),BF$3+6)),"◆",""))</f>
      </c>
      <c r="BG291" s="26">
        <f>IF(OR($A291="",BG$3=""),"",IF(AND($J291&lt;&gt;"",$K291&lt;&gt;"",$J291=$K291,$J291&gt;=BG$3,$J291&lt;=IF(param_mode_affichage="mois",EOMONTH(BG$3,0),BG$3+6)),"◆",""))</f>
      </c>
      <c r="BH291" s="26">
        <f>IF(OR($A291="",BH$3=""),"",IF(AND($J291&lt;&gt;"",$K291&lt;&gt;"",$J291=$K291,$J291&gt;=BH$3,$J291&lt;=IF(param_mode_affichage="mois",EOMONTH(BH$3,0),BH$3+6)),"◆",""))</f>
      </c>
      <c r="BI291" s="26">
        <f>IF(OR($A291="",BI$3=""),"",IF(AND($J291&lt;&gt;"",$K291&lt;&gt;"",$J291=$K291,$J291&gt;=BI$3,$J291&lt;=IF(param_mode_affichage="mois",EOMONTH(BI$3,0),BI$3+6)),"◆",""))</f>
      </c>
      <c r="BJ291" s="26">
        <f>IF(OR($A291="",BJ$3=""),"",IF(AND($J291&lt;&gt;"",$K291&lt;&gt;"",$J291=$K291,$J291&gt;=BJ$3,$J291&lt;=IF(param_mode_affichage="mois",EOMONTH(BJ$3,0),BJ$3+6)),"◆",""))</f>
      </c>
      <c r="BK291" s="26">
        <f>IF(OR($A291="",BK$3=""),"",IF(AND($J291&lt;&gt;"",$K291&lt;&gt;"",$J291=$K291,$J291&gt;=BK$3,$J291&lt;=IF(param_mode_affichage="mois",EOMONTH(BK$3,0),BK$3+6)),"◆",""))</f>
      </c>
      <c r="BL291" s="26">
        <f>IF(OR($A291="",BL$3=""),"",IF(AND($J291&lt;&gt;"",$K291&lt;&gt;"",$J291=$K291,$J291&gt;=BL$3,$J291&lt;=IF(param_mode_affichage="mois",EOMONTH(BL$3,0),BL$3+6)),"◆",""))</f>
      </c>
    </row>
    <row r="292" spans="1:64" x14ac:dyDescent="0.25">
      <c r="A292" s="23">
        <f>IFERROR(INDEX(tblTasks[ID],ROW()-4),"")</f>
      </c>
      <c r="B292" s="24">
        <f>IF($A292="","",INDEX(tblTasks[Sujet],ROW()-4))</f>
      </c>
      <c r="C292" s="23">
        <f>IF($A292="","",INDEX(tblTasks[Responsable],ROW()-4))</f>
      </c>
      <c r="D292" s="23">
        <f>IF($A292="","",INDEX(tblTasks[Statut],ROW()-4))</f>
      </c>
      <c r="E292" s="23">
        <f>IF($A292="","",INDEX(tblTasks[Depend_de],ROW()-4))</f>
      </c>
      <c r="F292" s="23">
        <f>IF($A292="","",INDEX(tblTasks[Blocage],ROW()-4))</f>
      </c>
      <c r="G292" s="23">
        <f>IF($A292="","",INDEX(tblTasks[Niveau_criticite],ROW()-4))</f>
      </c>
      <c r="H292" s="23">
        <f>IF($A292="","",INDEX(tblTasks[Goulot],ROW()-4))</f>
      </c>
      <c r="I292" s="23">
        <f>IF($A292="","",IF(LOWER($F292)="oui","non",IF($E292="","oui",IFERROR(IF(LOWER(INDEX(tblTasks[Statut],MATCH($E292,tblTasks[ID],0)))="clos","oui","non"),"non"))))</f>
      </c>
      <c r="J292" s="25">
        <f>IF($A292="","",INDEX(tblTasks[Date_debut_prevue],ROW()-4))</f>
      </c>
      <c r="K292" s="25">
        <f>IF($A292="","",INDEX(tblTasks[Date_fin_prevue],ROW()-4))</f>
      </c>
      <c r="L292" s="23">
        <f>IF($A292="","",INDEX(tblTasks[Irreversibilite],ROW()-4))</f>
      </c>
      <c r="M292" s="26">
        <f>IF(OR($A292="",M$3=""),"",IF(AND($J292&lt;&gt;"",$K292&lt;&gt;"",$J292=$K292,$J292&gt;=M$3,$J292&lt;=IF(param_mode_affichage="mois",EOMONTH(M$3,0),M$3+6)),"◆",""))</f>
      </c>
      <c r="N292" s="26">
        <f>IF(OR($A292="",N$3=""),"",IF(AND($J292&lt;&gt;"",$K292&lt;&gt;"",$J292=$K292,$J292&gt;=N$3,$J292&lt;=IF(param_mode_affichage="mois",EOMONTH(N$3,0),N$3+6)),"◆",""))</f>
      </c>
      <c r="O292" s="26">
        <f>IF(OR($A292="",O$3=""),"",IF(AND($J292&lt;&gt;"",$K292&lt;&gt;"",$J292=$K292,$J292&gt;=O$3,$J292&lt;=IF(param_mode_affichage="mois",EOMONTH(O$3,0),O$3+6)),"◆",""))</f>
      </c>
      <c r="P292" s="26">
        <f>IF(OR($A292="",P$3=""),"",IF(AND($J292&lt;&gt;"",$K292&lt;&gt;"",$J292=$K292,$J292&gt;=P$3,$J292&lt;=IF(param_mode_affichage="mois",EOMONTH(P$3,0),P$3+6)),"◆",""))</f>
      </c>
      <c r="Q292" s="26">
        <f>IF(OR($A292="",Q$3=""),"",IF(AND($J292&lt;&gt;"",$K292&lt;&gt;"",$J292=$K292,$J292&gt;=Q$3,$J292&lt;=IF(param_mode_affichage="mois",EOMONTH(Q$3,0),Q$3+6)),"◆",""))</f>
      </c>
      <c r="R292" s="26">
        <f>IF(OR($A292="",R$3=""),"",IF(AND($J292&lt;&gt;"",$K292&lt;&gt;"",$J292=$K292,$J292&gt;=R$3,$J292&lt;=IF(param_mode_affichage="mois",EOMONTH(R$3,0),R$3+6)),"◆",""))</f>
      </c>
      <c r="S292" s="26">
        <f>IF(OR($A292="",S$3=""),"",IF(AND($J292&lt;&gt;"",$K292&lt;&gt;"",$J292=$K292,$J292&gt;=S$3,$J292&lt;=IF(param_mode_affichage="mois",EOMONTH(S$3,0),S$3+6)),"◆",""))</f>
      </c>
      <c r="T292" s="26">
        <f>IF(OR($A292="",T$3=""),"",IF(AND($J292&lt;&gt;"",$K292&lt;&gt;"",$J292=$K292,$J292&gt;=T$3,$J292&lt;=IF(param_mode_affichage="mois",EOMONTH(T$3,0),T$3+6)),"◆",""))</f>
      </c>
      <c r="U292" s="26">
        <f>IF(OR($A292="",U$3=""),"",IF(AND($J292&lt;&gt;"",$K292&lt;&gt;"",$J292=$K292,$J292&gt;=U$3,$J292&lt;=IF(param_mode_affichage="mois",EOMONTH(U$3,0),U$3+6)),"◆",""))</f>
      </c>
      <c r="V292" s="26">
        <f>IF(OR($A292="",V$3=""),"",IF(AND($J292&lt;&gt;"",$K292&lt;&gt;"",$J292=$K292,$J292&gt;=V$3,$J292&lt;=IF(param_mode_affichage="mois",EOMONTH(V$3,0),V$3+6)),"◆",""))</f>
      </c>
      <c r="W292" s="26">
        <f>IF(OR($A292="",W$3=""),"",IF(AND($J292&lt;&gt;"",$K292&lt;&gt;"",$J292=$K292,$J292&gt;=W$3,$J292&lt;=IF(param_mode_affichage="mois",EOMONTH(W$3,0),W$3+6)),"◆",""))</f>
      </c>
      <c r="X292" s="26">
        <f>IF(OR($A292="",X$3=""),"",IF(AND($J292&lt;&gt;"",$K292&lt;&gt;"",$J292=$K292,$J292&gt;=X$3,$J292&lt;=IF(param_mode_affichage="mois",EOMONTH(X$3,0),X$3+6)),"◆",""))</f>
      </c>
      <c r="Y292" s="26">
        <f>IF(OR($A292="",Y$3=""),"",IF(AND($J292&lt;&gt;"",$K292&lt;&gt;"",$J292=$K292,$J292&gt;=Y$3,$J292&lt;=IF(param_mode_affichage="mois",EOMONTH(Y$3,0),Y$3+6)),"◆",""))</f>
      </c>
      <c r="Z292" s="26">
        <f>IF(OR($A292="",Z$3=""),"",IF(AND($J292&lt;&gt;"",$K292&lt;&gt;"",$J292=$K292,$J292&gt;=Z$3,$J292&lt;=IF(param_mode_affichage="mois",EOMONTH(Z$3,0),Z$3+6)),"◆",""))</f>
      </c>
      <c r="AA292" s="26">
        <f>IF(OR($A292="",AA$3=""),"",IF(AND($J292&lt;&gt;"",$K292&lt;&gt;"",$J292=$K292,$J292&gt;=AA$3,$J292&lt;=IF(param_mode_affichage="mois",EOMONTH(AA$3,0),AA$3+6)),"◆",""))</f>
      </c>
      <c r="AB292" s="26">
        <f>IF(OR($A292="",AB$3=""),"",IF(AND($J292&lt;&gt;"",$K292&lt;&gt;"",$J292=$K292,$J292&gt;=AB$3,$J292&lt;=IF(param_mode_affichage="mois",EOMONTH(AB$3,0),AB$3+6)),"◆",""))</f>
      </c>
      <c r="AC292" s="26">
        <f>IF(OR($A292="",AC$3=""),"",IF(AND($J292&lt;&gt;"",$K292&lt;&gt;"",$J292=$K292,$J292&gt;=AC$3,$J292&lt;=IF(param_mode_affichage="mois",EOMONTH(AC$3,0),AC$3+6)),"◆",""))</f>
      </c>
      <c r="AD292" s="26">
        <f>IF(OR($A292="",AD$3=""),"",IF(AND($J292&lt;&gt;"",$K292&lt;&gt;"",$J292=$K292,$J292&gt;=AD$3,$J292&lt;=IF(param_mode_affichage="mois",EOMONTH(AD$3,0),AD$3+6)),"◆",""))</f>
      </c>
      <c r="AE292" s="26">
        <f>IF(OR($A292="",AE$3=""),"",IF(AND($J292&lt;&gt;"",$K292&lt;&gt;"",$J292=$K292,$J292&gt;=AE$3,$J292&lt;=IF(param_mode_affichage="mois",EOMONTH(AE$3,0),AE$3+6)),"◆",""))</f>
      </c>
      <c r="AF292" s="26">
        <f>IF(OR($A292="",AF$3=""),"",IF(AND($J292&lt;&gt;"",$K292&lt;&gt;"",$J292=$K292,$J292&gt;=AF$3,$J292&lt;=IF(param_mode_affichage="mois",EOMONTH(AF$3,0),AF$3+6)),"◆",""))</f>
      </c>
      <c r="AG292" s="26">
        <f>IF(OR($A292="",AG$3=""),"",IF(AND($J292&lt;&gt;"",$K292&lt;&gt;"",$J292=$K292,$J292&gt;=AG$3,$J292&lt;=IF(param_mode_affichage="mois",EOMONTH(AG$3,0),AG$3+6)),"◆",""))</f>
      </c>
      <c r="AH292" s="26">
        <f>IF(OR($A292="",AH$3=""),"",IF(AND($J292&lt;&gt;"",$K292&lt;&gt;"",$J292=$K292,$J292&gt;=AH$3,$J292&lt;=IF(param_mode_affichage="mois",EOMONTH(AH$3,0),AH$3+6)),"◆",""))</f>
      </c>
      <c r="AI292" s="26">
        <f>IF(OR($A292="",AI$3=""),"",IF(AND($J292&lt;&gt;"",$K292&lt;&gt;"",$J292=$K292,$J292&gt;=AI$3,$J292&lt;=IF(param_mode_affichage="mois",EOMONTH(AI$3,0),AI$3+6)),"◆",""))</f>
      </c>
      <c r="AJ292" s="26">
        <f>IF(OR($A292="",AJ$3=""),"",IF(AND($J292&lt;&gt;"",$K292&lt;&gt;"",$J292=$K292,$J292&gt;=AJ$3,$J292&lt;=IF(param_mode_affichage="mois",EOMONTH(AJ$3,0),AJ$3+6)),"◆",""))</f>
      </c>
      <c r="AK292" s="26">
        <f>IF(OR($A292="",AK$3=""),"",IF(AND($J292&lt;&gt;"",$K292&lt;&gt;"",$J292=$K292,$J292&gt;=AK$3,$J292&lt;=IF(param_mode_affichage="mois",EOMONTH(AK$3,0),AK$3+6)),"◆",""))</f>
      </c>
      <c r="AL292" s="26">
        <f>IF(OR($A292="",AL$3=""),"",IF(AND($J292&lt;&gt;"",$K292&lt;&gt;"",$J292=$K292,$J292&gt;=AL$3,$J292&lt;=IF(param_mode_affichage="mois",EOMONTH(AL$3,0),AL$3+6)),"◆",""))</f>
      </c>
      <c r="AM292" s="26">
        <f>IF(OR($A292="",AM$3=""),"",IF(AND($J292&lt;&gt;"",$K292&lt;&gt;"",$J292=$K292,$J292&gt;=AM$3,$J292&lt;=IF(param_mode_affichage="mois",EOMONTH(AM$3,0),AM$3+6)),"◆",""))</f>
      </c>
      <c r="AN292" s="26">
        <f>IF(OR($A292="",AN$3=""),"",IF(AND($J292&lt;&gt;"",$K292&lt;&gt;"",$J292=$K292,$J292&gt;=AN$3,$J292&lt;=IF(param_mode_affichage="mois",EOMONTH(AN$3,0),AN$3+6)),"◆",""))</f>
      </c>
      <c r="AO292" s="26">
        <f>IF(OR($A292="",AO$3=""),"",IF(AND($J292&lt;&gt;"",$K292&lt;&gt;"",$J292=$K292,$J292&gt;=AO$3,$J292&lt;=IF(param_mode_affichage="mois",EOMONTH(AO$3,0),AO$3+6)),"◆",""))</f>
      </c>
      <c r="AP292" s="26">
        <f>IF(OR($A292="",AP$3=""),"",IF(AND($J292&lt;&gt;"",$K292&lt;&gt;"",$J292=$K292,$J292&gt;=AP$3,$J292&lt;=IF(param_mode_affichage="mois",EOMONTH(AP$3,0),AP$3+6)),"◆",""))</f>
      </c>
      <c r="AQ292" s="26">
        <f>IF(OR($A292="",AQ$3=""),"",IF(AND($J292&lt;&gt;"",$K292&lt;&gt;"",$J292=$K292,$J292&gt;=AQ$3,$J292&lt;=IF(param_mode_affichage="mois",EOMONTH(AQ$3,0),AQ$3+6)),"◆",""))</f>
      </c>
      <c r="AR292" s="26">
        <f>IF(OR($A292="",AR$3=""),"",IF(AND($J292&lt;&gt;"",$K292&lt;&gt;"",$J292=$K292,$J292&gt;=AR$3,$J292&lt;=IF(param_mode_affichage="mois",EOMONTH(AR$3,0),AR$3+6)),"◆",""))</f>
      </c>
      <c r="AS292" s="26">
        <f>IF(OR($A292="",AS$3=""),"",IF(AND($J292&lt;&gt;"",$K292&lt;&gt;"",$J292=$K292,$J292&gt;=AS$3,$J292&lt;=IF(param_mode_affichage="mois",EOMONTH(AS$3,0),AS$3+6)),"◆",""))</f>
      </c>
      <c r="AT292" s="26">
        <f>IF(OR($A292="",AT$3=""),"",IF(AND($J292&lt;&gt;"",$K292&lt;&gt;"",$J292=$K292,$J292&gt;=AT$3,$J292&lt;=IF(param_mode_affichage="mois",EOMONTH(AT$3,0),AT$3+6)),"◆",""))</f>
      </c>
      <c r="AU292" s="26">
        <f>IF(OR($A292="",AU$3=""),"",IF(AND($J292&lt;&gt;"",$K292&lt;&gt;"",$J292=$K292,$J292&gt;=AU$3,$J292&lt;=IF(param_mode_affichage="mois",EOMONTH(AU$3,0),AU$3+6)),"◆",""))</f>
      </c>
      <c r="AV292" s="26">
        <f>IF(OR($A292="",AV$3=""),"",IF(AND($J292&lt;&gt;"",$K292&lt;&gt;"",$J292=$K292,$J292&gt;=AV$3,$J292&lt;=IF(param_mode_affichage="mois",EOMONTH(AV$3,0),AV$3+6)),"◆",""))</f>
      </c>
      <c r="AW292" s="26">
        <f>IF(OR($A292="",AW$3=""),"",IF(AND($J292&lt;&gt;"",$K292&lt;&gt;"",$J292=$K292,$J292&gt;=AW$3,$J292&lt;=IF(param_mode_affichage="mois",EOMONTH(AW$3,0),AW$3+6)),"◆",""))</f>
      </c>
      <c r="AX292" s="26">
        <f>IF(OR($A292="",AX$3=""),"",IF(AND($J292&lt;&gt;"",$K292&lt;&gt;"",$J292=$K292,$J292&gt;=AX$3,$J292&lt;=IF(param_mode_affichage="mois",EOMONTH(AX$3,0),AX$3+6)),"◆",""))</f>
      </c>
      <c r="AY292" s="26">
        <f>IF(OR($A292="",AY$3=""),"",IF(AND($J292&lt;&gt;"",$K292&lt;&gt;"",$J292=$K292,$J292&gt;=AY$3,$J292&lt;=IF(param_mode_affichage="mois",EOMONTH(AY$3,0),AY$3+6)),"◆",""))</f>
      </c>
      <c r="AZ292" s="26">
        <f>IF(OR($A292="",AZ$3=""),"",IF(AND($J292&lt;&gt;"",$K292&lt;&gt;"",$J292=$K292,$J292&gt;=AZ$3,$J292&lt;=IF(param_mode_affichage="mois",EOMONTH(AZ$3,0),AZ$3+6)),"◆",""))</f>
      </c>
      <c r="BA292" s="26">
        <f>IF(OR($A292="",BA$3=""),"",IF(AND($J292&lt;&gt;"",$K292&lt;&gt;"",$J292=$K292,$J292&gt;=BA$3,$J292&lt;=IF(param_mode_affichage="mois",EOMONTH(BA$3,0),BA$3+6)),"◆",""))</f>
      </c>
      <c r="BB292" s="26">
        <f>IF(OR($A292="",BB$3=""),"",IF(AND($J292&lt;&gt;"",$K292&lt;&gt;"",$J292=$K292,$J292&gt;=BB$3,$J292&lt;=IF(param_mode_affichage="mois",EOMONTH(BB$3,0),BB$3+6)),"◆",""))</f>
      </c>
      <c r="BC292" s="26">
        <f>IF(OR($A292="",BC$3=""),"",IF(AND($J292&lt;&gt;"",$K292&lt;&gt;"",$J292=$K292,$J292&gt;=BC$3,$J292&lt;=IF(param_mode_affichage="mois",EOMONTH(BC$3,0),BC$3+6)),"◆",""))</f>
      </c>
      <c r="BD292" s="26">
        <f>IF(OR($A292="",BD$3=""),"",IF(AND($J292&lt;&gt;"",$K292&lt;&gt;"",$J292=$K292,$J292&gt;=BD$3,$J292&lt;=IF(param_mode_affichage="mois",EOMONTH(BD$3,0),BD$3+6)),"◆",""))</f>
      </c>
      <c r="BE292" s="26">
        <f>IF(OR($A292="",BE$3=""),"",IF(AND($J292&lt;&gt;"",$K292&lt;&gt;"",$J292=$K292,$J292&gt;=BE$3,$J292&lt;=IF(param_mode_affichage="mois",EOMONTH(BE$3,0),BE$3+6)),"◆",""))</f>
      </c>
      <c r="BF292" s="26">
        <f>IF(OR($A292="",BF$3=""),"",IF(AND($J292&lt;&gt;"",$K292&lt;&gt;"",$J292=$K292,$J292&gt;=BF$3,$J292&lt;=IF(param_mode_affichage="mois",EOMONTH(BF$3,0),BF$3+6)),"◆",""))</f>
      </c>
      <c r="BG292" s="26">
        <f>IF(OR($A292="",BG$3=""),"",IF(AND($J292&lt;&gt;"",$K292&lt;&gt;"",$J292=$K292,$J292&gt;=BG$3,$J292&lt;=IF(param_mode_affichage="mois",EOMONTH(BG$3,0),BG$3+6)),"◆",""))</f>
      </c>
      <c r="BH292" s="26">
        <f>IF(OR($A292="",BH$3=""),"",IF(AND($J292&lt;&gt;"",$K292&lt;&gt;"",$J292=$K292,$J292&gt;=BH$3,$J292&lt;=IF(param_mode_affichage="mois",EOMONTH(BH$3,0),BH$3+6)),"◆",""))</f>
      </c>
      <c r="BI292" s="26">
        <f>IF(OR($A292="",BI$3=""),"",IF(AND($J292&lt;&gt;"",$K292&lt;&gt;"",$J292=$K292,$J292&gt;=BI$3,$J292&lt;=IF(param_mode_affichage="mois",EOMONTH(BI$3,0),BI$3+6)),"◆",""))</f>
      </c>
      <c r="BJ292" s="26">
        <f>IF(OR($A292="",BJ$3=""),"",IF(AND($J292&lt;&gt;"",$K292&lt;&gt;"",$J292=$K292,$J292&gt;=BJ$3,$J292&lt;=IF(param_mode_affichage="mois",EOMONTH(BJ$3,0),BJ$3+6)),"◆",""))</f>
      </c>
      <c r="BK292" s="26">
        <f>IF(OR($A292="",BK$3=""),"",IF(AND($J292&lt;&gt;"",$K292&lt;&gt;"",$J292=$K292,$J292&gt;=BK$3,$J292&lt;=IF(param_mode_affichage="mois",EOMONTH(BK$3,0),BK$3+6)),"◆",""))</f>
      </c>
      <c r="BL292" s="26">
        <f>IF(OR($A292="",BL$3=""),"",IF(AND($J292&lt;&gt;"",$K292&lt;&gt;"",$J292=$K292,$J292&gt;=BL$3,$J292&lt;=IF(param_mode_affichage="mois",EOMONTH(BL$3,0),BL$3+6)),"◆",""))</f>
      </c>
    </row>
    <row r="293" spans="1:64" x14ac:dyDescent="0.25">
      <c r="A293" s="23">
        <f>IFERROR(INDEX(tblTasks[ID],ROW()-4),"")</f>
      </c>
      <c r="B293" s="24">
        <f>IF($A293="","",INDEX(tblTasks[Sujet],ROW()-4))</f>
      </c>
      <c r="C293" s="23">
        <f>IF($A293="","",INDEX(tblTasks[Responsable],ROW()-4))</f>
      </c>
      <c r="D293" s="23">
        <f>IF($A293="","",INDEX(tblTasks[Statut],ROW()-4))</f>
      </c>
      <c r="E293" s="23">
        <f>IF($A293="","",INDEX(tblTasks[Depend_de],ROW()-4))</f>
      </c>
      <c r="F293" s="23">
        <f>IF($A293="","",INDEX(tblTasks[Blocage],ROW()-4))</f>
      </c>
      <c r="G293" s="23">
        <f>IF($A293="","",INDEX(tblTasks[Niveau_criticite],ROW()-4))</f>
      </c>
      <c r="H293" s="23">
        <f>IF($A293="","",INDEX(tblTasks[Goulot],ROW()-4))</f>
      </c>
      <c r="I293" s="23">
        <f>IF($A293="","",IF(LOWER($F293)="oui","non",IF($E293="","oui",IFERROR(IF(LOWER(INDEX(tblTasks[Statut],MATCH($E293,tblTasks[ID],0)))="clos","oui","non"),"non"))))</f>
      </c>
      <c r="J293" s="25">
        <f>IF($A293="","",INDEX(tblTasks[Date_debut_prevue],ROW()-4))</f>
      </c>
      <c r="K293" s="25">
        <f>IF($A293="","",INDEX(tblTasks[Date_fin_prevue],ROW()-4))</f>
      </c>
      <c r="L293" s="23">
        <f>IF($A293="","",INDEX(tblTasks[Irreversibilite],ROW()-4))</f>
      </c>
      <c r="M293" s="26">
        <f>IF(OR($A293="",M$3=""),"",IF(AND($J293&lt;&gt;"",$K293&lt;&gt;"",$J293=$K293,$J293&gt;=M$3,$J293&lt;=IF(param_mode_affichage="mois",EOMONTH(M$3,0),M$3+6)),"◆",""))</f>
      </c>
      <c r="N293" s="26">
        <f>IF(OR($A293="",N$3=""),"",IF(AND($J293&lt;&gt;"",$K293&lt;&gt;"",$J293=$K293,$J293&gt;=N$3,$J293&lt;=IF(param_mode_affichage="mois",EOMONTH(N$3,0),N$3+6)),"◆",""))</f>
      </c>
      <c r="O293" s="26">
        <f>IF(OR($A293="",O$3=""),"",IF(AND($J293&lt;&gt;"",$K293&lt;&gt;"",$J293=$K293,$J293&gt;=O$3,$J293&lt;=IF(param_mode_affichage="mois",EOMONTH(O$3,0),O$3+6)),"◆",""))</f>
      </c>
      <c r="P293" s="26">
        <f>IF(OR($A293="",P$3=""),"",IF(AND($J293&lt;&gt;"",$K293&lt;&gt;"",$J293=$K293,$J293&gt;=P$3,$J293&lt;=IF(param_mode_affichage="mois",EOMONTH(P$3,0),P$3+6)),"◆",""))</f>
      </c>
      <c r="Q293" s="26">
        <f>IF(OR($A293="",Q$3=""),"",IF(AND($J293&lt;&gt;"",$K293&lt;&gt;"",$J293=$K293,$J293&gt;=Q$3,$J293&lt;=IF(param_mode_affichage="mois",EOMONTH(Q$3,0),Q$3+6)),"◆",""))</f>
      </c>
      <c r="R293" s="26">
        <f>IF(OR($A293="",R$3=""),"",IF(AND($J293&lt;&gt;"",$K293&lt;&gt;"",$J293=$K293,$J293&gt;=R$3,$J293&lt;=IF(param_mode_affichage="mois",EOMONTH(R$3,0),R$3+6)),"◆",""))</f>
      </c>
      <c r="S293" s="26">
        <f>IF(OR($A293="",S$3=""),"",IF(AND($J293&lt;&gt;"",$K293&lt;&gt;"",$J293=$K293,$J293&gt;=S$3,$J293&lt;=IF(param_mode_affichage="mois",EOMONTH(S$3,0),S$3+6)),"◆",""))</f>
      </c>
      <c r="T293" s="26">
        <f>IF(OR($A293="",T$3=""),"",IF(AND($J293&lt;&gt;"",$K293&lt;&gt;"",$J293=$K293,$J293&gt;=T$3,$J293&lt;=IF(param_mode_affichage="mois",EOMONTH(T$3,0),T$3+6)),"◆",""))</f>
      </c>
      <c r="U293" s="26">
        <f>IF(OR($A293="",U$3=""),"",IF(AND($J293&lt;&gt;"",$K293&lt;&gt;"",$J293=$K293,$J293&gt;=U$3,$J293&lt;=IF(param_mode_affichage="mois",EOMONTH(U$3,0),U$3+6)),"◆",""))</f>
      </c>
      <c r="V293" s="26">
        <f>IF(OR($A293="",V$3=""),"",IF(AND($J293&lt;&gt;"",$K293&lt;&gt;"",$J293=$K293,$J293&gt;=V$3,$J293&lt;=IF(param_mode_affichage="mois",EOMONTH(V$3,0),V$3+6)),"◆",""))</f>
      </c>
      <c r="W293" s="26">
        <f>IF(OR($A293="",W$3=""),"",IF(AND($J293&lt;&gt;"",$K293&lt;&gt;"",$J293=$K293,$J293&gt;=W$3,$J293&lt;=IF(param_mode_affichage="mois",EOMONTH(W$3,0),W$3+6)),"◆",""))</f>
      </c>
      <c r="X293" s="26">
        <f>IF(OR($A293="",X$3=""),"",IF(AND($J293&lt;&gt;"",$K293&lt;&gt;"",$J293=$K293,$J293&gt;=X$3,$J293&lt;=IF(param_mode_affichage="mois",EOMONTH(X$3,0),X$3+6)),"◆",""))</f>
      </c>
      <c r="Y293" s="26">
        <f>IF(OR($A293="",Y$3=""),"",IF(AND($J293&lt;&gt;"",$K293&lt;&gt;"",$J293=$K293,$J293&gt;=Y$3,$J293&lt;=IF(param_mode_affichage="mois",EOMONTH(Y$3,0),Y$3+6)),"◆",""))</f>
      </c>
      <c r="Z293" s="26">
        <f>IF(OR($A293="",Z$3=""),"",IF(AND($J293&lt;&gt;"",$K293&lt;&gt;"",$J293=$K293,$J293&gt;=Z$3,$J293&lt;=IF(param_mode_affichage="mois",EOMONTH(Z$3,0),Z$3+6)),"◆",""))</f>
      </c>
      <c r="AA293" s="26">
        <f>IF(OR($A293="",AA$3=""),"",IF(AND($J293&lt;&gt;"",$K293&lt;&gt;"",$J293=$K293,$J293&gt;=AA$3,$J293&lt;=IF(param_mode_affichage="mois",EOMONTH(AA$3,0),AA$3+6)),"◆",""))</f>
      </c>
      <c r="AB293" s="26">
        <f>IF(OR($A293="",AB$3=""),"",IF(AND($J293&lt;&gt;"",$K293&lt;&gt;"",$J293=$K293,$J293&gt;=AB$3,$J293&lt;=IF(param_mode_affichage="mois",EOMONTH(AB$3,0),AB$3+6)),"◆",""))</f>
      </c>
      <c r="AC293" s="26">
        <f>IF(OR($A293="",AC$3=""),"",IF(AND($J293&lt;&gt;"",$K293&lt;&gt;"",$J293=$K293,$J293&gt;=AC$3,$J293&lt;=IF(param_mode_affichage="mois",EOMONTH(AC$3,0),AC$3+6)),"◆",""))</f>
      </c>
      <c r="AD293" s="26">
        <f>IF(OR($A293="",AD$3=""),"",IF(AND($J293&lt;&gt;"",$K293&lt;&gt;"",$J293=$K293,$J293&gt;=AD$3,$J293&lt;=IF(param_mode_affichage="mois",EOMONTH(AD$3,0),AD$3+6)),"◆",""))</f>
      </c>
      <c r="AE293" s="26">
        <f>IF(OR($A293="",AE$3=""),"",IF(AND($J293&lt;&gt;"",$K293&lt;&gt;"",$J293=$K293,$J293&gt;=AE$3,$J293&lt;=IF(param_mode_affichage="mois",EOMONTH(AE$3,0),AE$3+6)),"◆",""))</f>
      </c>
      <c r="AF293" s="26">
        <f>IF(OR($A293="",AF$3=""),"",IF(AND($J293&lt;&gt;"",$K293&lt;&gt;"",$J293=$K293,$J293&gt;=AF$3,$J293&lt;=IF(param_mode_affichage="mois",EOMONTH(AF$3,0),AF$3+6)),"◆",""))</f>
      </c>
      <c r="AG293" s="26">
        <f>IF(OR($A293="",AG$3=""),"",IF(AND($J293&lt;&gt;"",$K293&lt;&gt;"",$J293=$K293,$J293&gt;=AG$3,$J293&lt;=IF(param_mode_affichage="mois",EOMONTH(AG$3,0),AG$3+6)),"◆",""))</f>
      </c>
      <c r="AH293" s="26">
        <f>IF(OR($A293="",AH$3=""),"",IF(AND($J293&lt;&gt;"",$K293&lt;&gt;"",$J293=$K293,$J293&gt;=AH$3,$J293&lt;=IF(param_mode_affichage="mois",EOMONTH(AH$3,0),AH$3+6)),"◆",""))</f>
      </c>
      <c r="AI293" s="26">
        <f>IF(OR($A293="",AI$3=""),"",IF(AND($J293&lt;&gt;"",$K293&lt;&gt;"",$J293=$K293,$J293&gt;=AI$3,$J293&lt;=IF(param_mode_affichage="mois",EOMONTH(AI$3,0),AI$3+6)),"◆",""))</f>
      </c>
      <c r="AJ293" s="26">
        <f>IF(OR($A293="",AJ$3=""),"",IF(AND($J293&lt;&gt;"",$K293&lt;&gt;"",$J293=$K293,$J293&gt;=AJ$3,$J293&lt;=IF(param_mode_affichage="mois",EOMONTH(AJ$3,0),AJ$3+6)),"◆",""))</f>
      </c>
      <c r="AK293" s="26">
        <f>IF(OR($A293="",AK$3=""),"",IF(AND($J293&lt;&gt;"",$K293&lt;&gt;"",$J293=$K293,$J293&gt;=AK$3,$J293&lt;=IF(param_mode_affichage="mois",EOMONTH(AK$3,0),AK$3+6)),"◆",""))</f>
      </c>
      <c r="AL293" s="26">
        <f>IF(OR($A293="",AL$3=""),"",IF(AND($J293&lt;&gt;"",$K293&lt;&gt;"",$J293=$K293,$J293&gt;=AL$3,$J293&lt;=IF(param_mode_affichage="mois",EOMONTH(AL$3,0),AL$3+6)),"◆",""))</f>
      </c>
      <c r="AM293" s="26">
        <f>IF(OR($A293="",AM$3=""),"",IF(AND($J293&lt;&gt;"",$K293&lt;&gt;"",$J293=$K293,$J293&gt;=AM$3,$J293&lt;=IF(param_mode_affichage="mois",EOMONTH(AM$3,0),AM$3+6)),"◆",""))</f>
      </c>
      <c r="AN293" s="26">
        <f>IF(OR($A293="",AN$3=""),"",IF(AND($J293&lt;&gt;"",$K293&lt;&gt;"",$J293=$K293,$J293&gt;=AN$3,$J293&lt;=IF(param_mode_affichage="mois",EOMONTH(AN$3,0),AN$3+6)),"◆",""))</f>
      </c>
      <c r="AO293" s="26">
        <f>IF(OR($A293="",AO$3=""),"",IF(AND($J293&lt;&gt;"",$K293&lt;&gt;"",$J293=$K293,$J293&gt;=AO$3,$J293&lt;=IF(param_mode_affichage="mois",EOMONTH(AO$3,0),AO$3+6)),"◆",""))</f>
      </c>
      <c r="AP293" s="26">
        <f>IF(OR($A293="",AP$3=""),"",IF(AND($J293&lt;&gt;"",$K293&lt;&gt;"",$J293=$K293,$J293&gt;=AP$3,$J293&lt;=IF(param_mode_affichage="mois",EOMONTH(AP$3,0),AP$3+6)),"◆",""))</f>
      </c>
      <c r="AQ293" s="26">
        <f>IF(OR($A293="",AQ$3=""),"",IF(AND($J293&lt;&gt;"",$K293&lt;&gt;"",$J293=$K293,$J293&gt;=AQ$3,$J293&lt;=IF(param_mode_affichage="mois",EOMONTH(AQ$3,0),AQ$3+6)),"◆",""))</f>
      </c>
      <c r="AR293" s="26">
        <f>IF(OR($A293="",AR$3=""),"",IF(AND($J293&lt;&gt;"",$K293&lt;&gt;"",$J293=$K293,$J293&gt;=AR$3,$J293&lt;=IF(param_mode_affichage="mois",EOMONTH(AR$3,0),AR$3+6)),"◆",""))</f>
      </c>
      <c r="AS293" s="26">
        <f>IF(OR($A293="",AS$3=""),"",IF(AND($J293&lt;&gt;"",$K293&lt;&gt;"",$J293=$K293,$J293&gt;=AS$3,$J293&lt;=IF(param_mode_affichage="mois",EOMONTH(AS$3,0),AS$3+6)),"◆",""))</f>
      </c>
      <c r="AT293" s="26">
        <f>IF(OR($A293="",AT$3=""),"",IF(AND($J293&lt;&gt;"",$K293&lt;&gt;"",$J293=$K293,$J293&gt;=AT$3,$J293&lt;=IF(param_mode_affichage="mois",EOMONTH(AT$3,0),AT$3+6)),"◆",""))</f>
      </c>
      <c r="AU293" s="26">
        <f>IF(OR($A293="",AU$3=""),"",IF(AND($J293&lt;&gt;"",$K293&lt;&gt;"",$J293=$K293,$J293&gt;=AU$3,$J293&lt;=IF(param_mode_affichage="mois",EOMONTH(AU$3,0),AU$3+6)),"◆",""))</f>
      </c>
      <c r="AV293" s="26">
        <f>IF(OR($A293="",AV$3=""),"",IF(AND($J293&lt;&gt;"",$K293&lt;&gt;"",$J293=$K293,$J293&gt;=AV$3,$J293&lt;=IF(param_mode_affichage="mois",EOMONTH(AV$3,0),AV$3+6)),"◆",""))</f>
      </c>
      <c r="AW293" s="26">
        <f>IF(OR($A293="",AW$3=""),"",IF(AND($J293&lt;&gt;"",$K293&lt;&gt;"",$J293=$K293,$J293&gt;=AW$3,$J293&lt;=IF(param_mode_affichage="mois",EOMONTH(AW$3,0),AW$3+6)),"◆",""))</f>
      </c>
      <c r="AX293" s="26">
        <f>IF(OR($A293="",AX$3=""),"",IF(AND($J293&lt;&gt;"",$K293&lt;&gt;"",$J293=$K293,$J293&gt;=AX$3,$J293&lt;=IF(param_mode_affichage="mois",EOMONTH(AX$3,0),AX$3+6)),"◆",""))</f>
      </c>
      <c r="AY293" s="26">
        <f>IF(OR($A293="",AY$3=""),"",IF(AND($J293&lt;&gt;"",$K293&lt;&gt;"",$J293=$K293,$J293&gt;=AY$3,$J293&lt;=IF(param_mode_affichage="mois",EOMONTH(AY$3,0),AY$3+6)),"◆",""))</f>
      </c>
      <c r="AZ293" s="26">
        <f>IF(OR($A293="",AZ$3=""),"",IF(AND($J293&lt;&gt;"",$K293&lt;&gt;"",$J293=$K293,$J293&gt;=AZ$3,$J293&lt;=IF(param_mode_affichage="mois",EOMONTH(AZ$3,0),AZ$3+6)),"◆",""))</f>
      </c>
      <c r="BA293" s="26">
        <f>IF(OR($A293="",BA$3=""),"",IF(AND($J293&lt;&gt;"",$K293&lt;&gt;"",$J293=$K293,$J293&gt;=BA$3,$J293&lt;=IF(param_mode_affichage="mois",EOMONTH(BA$3,0),BA$3+6)),"◆",""))</f>
      </c>
      <c r="BB293" s="26">
        <f>IF(OR($A293="",BB$3=""),"",IF(AND($J293&lt;&gt;"",$K293&lt;&gt;"",$J293=$K293,$J293&gt;=BB$3,$J293&lt;=IF(param_mode_affichage="mois",EOMONTH(BB$3,0),BB$3+6)),"◆",""))</f>
      </c>
      <c r="BC293" s="26">
        <f>IF(OR($A293="",BC$3=""),"",IF(AND($J293&lt;&gt;"",$K293&lt;&gt;"",$J293=$K293,$J293&gt;=BC$3,$J293&lt;=IF(param_mode_affichage="mois",EOMONTH(BC$3,0),BC$3+6)),"◆",""))</f>
      </c>
      <c r="BD293" s="26">
        <f>IF(OR($A293="",BD$3=""),"",IF(AND($J293&lt;&gt;"",$K293&lt;&gt;"",$J293=$K293,$J293&gt;=BD$3,$J293&lt;=IF(param_mode_affichage="mois",EOMONTH(BD$3,0),BD$3+6)),"◆",""))</f>
      </c>
      <c r="BE293" s="26">
        <f>IF(OR($A293="",BE$3=""),"",IF(AND($J293&lt;&gt;"",$K293&lt;&gt;"",$J293=$K293,$J293&gt;=BE$3,$J293&lt;=IF(param_mode_affichage="mois",EOMONTH(BE$3,0),BE$3+6)),"◆",""))</f>
      </c>
      <c r="BF293" s="26">
        <f>IF(OR($A293="",BF$3=""),"",IF(AND($J293&lt;&gt;"",$K293&lt;&gt;"",$J293=$K293,$J293&gt;=BF$3,$J293&lt;=IF(param_mode_affichage="mois",EOMONTH(BF$3,0),BF$3+6)),"◆",""))</f>
      </c>
      <c r="BG293" s="26">
        <f>IF(OR($A293="",BG$3=""),"",IF(AND($J293&lt;&gt;"",$K293&lt;&gt;"",$J293=$K293,$J293&gt;=BG$3,$J293&lt;=IF(param_mode_affichage="mois",EOMONTH(BG$3,0),BG$3+6)),"◆",""))</f>
      </c>
      <c r="BH293" s="26">
        <f>IF(OR($A293="",BH$3=""),"",IF(AND($J293&lt;&gt;"",$K293&lt;&gt;"",$J293=$K293,$J293&gt;=BH$3,$J293&lt;=IF(param_mode_affichage="mois",EOMONTH(BH$3,0),BH$3+6)),"◆",""))</f>
      </c>
      <c r="BI293" s="26">
        <f>IF(OR($A293="",BI$3=""),"",IF(AND($J293&lt;&gt;"",$K293&lt;&gt;"",$J293=$K293,$J293&gt;=BI$3,$J293&lt;=IF(param_mode_affichage="mois",EOMONTH(BI$3,0),BI$3+6)),"◆",""))</f>
      </c>
      <c r="BJ293" s="26">
        <f>IF(OR($A293="",BJ$3=""),"",IF(AND($J293&lt;&gt;"",$K293&lt;&gt;"",$J293=$K293,$J293&gt;=BJ$3,$J293&lt;=IF(param_mode_affichage="mois",EOMONTH(BJ$3,0),BJ$3+6)),"◆",""))</f>
      </c>
      <c r="BK293" s="26">
        <f>IF(OR($A293="",BK$3=""),"",IF(AND($J293&lt;&gt;"",$K293&lt;&gt;"",$J293=$K293,$J293&gt;=BK$3,$J293&lt;=IF(param_mode_affichage="mois",EOMONTH(BK$3,0),BK$3+6)),"◆",""))</f>
      </c>
      <c r="BL293" s="26">
        <f>IF(OR($A293="",BL$3=""),"",IF(AND($J293&lt;&gt;"",$K293&lt;&gt;"",$J293=$K293,$J293&gt;=BL$3,$J293&lt;=IF(param_mode_affichage="mois",EOMONTH(BL$3,0),BL$3+6)),"◆",""))</f>
      </c>
    </row>
    <row r="294" spans="1:64" x14ac:dyDescent="0.25">
      <c r="A294" s="23">
        <f>IFERROR(INDEX(tblTasks[ID],ROW()-4),"")</f>
      </c>
      <c r="B294" s="24">
        <f>IF($A294="","",INDEX(tblTasks[Sujet],ROW()-4))</f>
      </c>
      <c r="C294" s="23">
        <f>IF($A294="","",INDEX(tblTasks[Responsable],ROW()-4))</f>
      </c>
      <c r="D294" s="23">
        <f>IF($A294="","",INDEX(tblTasks[Statut],ROW()-4))</f>
      </c>
      <c r="E294" s="23">
        <f>IF($A294="","",INDEX(tblTasks[Depend_de],ROW()-4))</f>
      </c>
      <c r="F294" s="23">
        <f>IF($A294="","",INDEX(tblTasks[Blocage],ROW()-4))</f>
      </c>
      <c r="G294" s="23">
        <f>IF($A294="","",INDEX(tblTasks[Niveau_criticite],ROW()-4))</f>
      </c>
      <c r="H294" s="23">
        <f>IF($A294="","",INDEX(tblTasks[Goulot],ROW()-4))</f>
      </c>
      <c r="I294" s="23">
        <f>IF($A294="","",IF(LOWER($F294)="oui","non",IF($E294="","oui",IFERROR(IF(LOWER(INDEX(tblTasks[Statut],MATCH($E294,tblTasks[ID],0)))="clos","oui","non"),"non"))))</f>
      </c>
      <c r="J294" s="25">
        <f>IF($A294="","",INDEX(tblTasks[Date_debut_prevue],ROW()-4))</f>
      </c>
      <c r="K294" s="25">
        <f>IF($A294="","",INDEX(tblTasks[Date_fin_prevue],ROW()-4))</f>
      </c>
      <c r="L294" s="23">
        <f>IF($A294="","",INDEX(tblTasks[Irreversibilite],ROW()-4))</f>
      </c>
      <c r="M294" s="26">
        <f>IF(OR($A294="",M$3=""),"",IF(AND($J294&lt;&gt;"",$K294&lt;&gt;"",$J294=$K294,$J294&gt;=M$3,$J294&lt;=IF(param_mode_affichage="mois",EOMONTH(M$3,0),M$3+6)),"◆",""))</f>
      </c>
      <c r="N294" s="26">
        <f>IF(OR($A294="",N$3=""),"",IF(AND($J294&lt;&gt;"",$K294&lt;&gt;"",$J294=$K294,$J294&gt;=N$3,$J294&lt;=IF(param_mode_affichage="mois",EOMONTH(N$3,0),N$3+6)),"◆",""))</f>
      </c>
      <c r="O294" s="26">
        <f>IF(OR($A294="",O$3=""),"",IF(AND($J294&lt;&gt;"",$K294&lt;&gt;"",$J294=$K294,$J294&gt;=O$3,$J294&lt;=IF(param_mode_affichage="mois",EOMONTH(O$3,0),O$3+6)),"◆",""))</f>
      </c>
      <c r="P294" s="26">
        <f>IF(OR($A294="",P$3=""),"",IF(AND($J294&lt;&gt;"",$K294&lt;&gt;"",$J294=$K294,$J294&gt;=P$3,$J294&lt;=IF(param_mode_affichage="mois",EOMONTH(P$3,0),P$3+6)),"◆",""))</f>
      </c>
      <c r="Q294" s="26">
        <f>IF(OR($A294="",Q$3=""),"",IF(AND($J294&lt;&gt;"",$K294&lt;&gt;"",$J294=$K294,$J294&gt;=Q$3,$J294&lt;=IF(param_mode_affichage="mois",EOMONTH(Q$3,0),Q$3+6)),"◆",""))</f>
      </c>
      <c r="R294" s="26">
        <f>IF(OR($A294="",R$3=""),"",IF(AND($J294&lt;&gt;"",$K294&lt;&gt;"",$J294=$K294,$J294&gt;=R$3,$J294&lt;=IF(param_mode_affichage="mois",EOMONTH(R$3,0),R$3+6)),"◆",""))</f>
      </c>
      <c r="S294" s="26">
        <f>IF(OR($A294="",S$3=""),"",IF(AND($J294&lt;&gt;"",$K294&lt;&gt;"",$J294=$K294,$J294&gt;=S$3,$J294&lt;=IF(param_mode_affichage="mois",EOMONTH(S$3,0),S$3+6)),"◆",""))</f>
      </c>
      <c r="T294" s="26">
        <f>IF(OR($A294="",T$3=""),"",IF(AND($J294&lt;&gt;"",$K294&lt;&gt;"",$J294=$K294,$J294&gt;=T$3,$J294&lt;=IF(param_mode_affichage="mois",EOMONTH(T$3,0),T$3+6)),"◆",""))</f>
      </c>
      <c r="U294" s="26">
        <f>IF(OR($A294="",U$3=""),"",IF(AND($J294&lt;&gt;"",$K294&lt;&gt;"",$J294=$K294,$J294&gt;=U$3,$J294&lt;=IF(param_mode_affichage="mois",EOMONTH(U$3,0),U$3+6)),"◆",""))</f>
      </c>
      <c r="V294" s="26">
        <f>IF(OR($A294="",V$3=""),"",IF(AND($J294&lt;&gt;"",$K294&lt;&gt;"",$J294=$K294,$J294&gt;=V$3,$J294&lt;=IF(param_mode_affichage="mois",EOMONTH(V$3,0),V$3+6)),"◆",""))</f>
      </c>
      <c r="W294" s="26">
        <f>IF(OR($A294="",W$3=""),"",IF(AND($J294&lt;&gt;"",$K294&lt;&gt;"",$J294=$K294,$J294&gt;=W$3,$J294&lt;=IF(param_mode_affichage="mois",EOMONTH(W$3,0),W$3+6)),"◆",""))</f>
      </c>
      <c r="X294" s="26">
        <f>IF(OR($A294="",X$3=""),"",IF(AND($J294&lt;&gt;"",$K294&lt;&gt;"",$J294=$K294,$J294&gt;=X$3,$J294&lt;=IF(param_mode_affichage="mois",EOMONTH(X$3,0),X$3+6)),"◆",""))</f>
      </c>
      <c r="Y294" s="26">
        <f>IF(OR($A294="",Y$3=""),"",IF(AND($J294&lt;&gt;"",$K294&lt;&gt;"",$J294=$K294,$J294&gt;=Y$3,$J294&lt;=IF(param_mode_affichage="mois",EOMONTH(Y$3,0),Y$3+6)),"◆",""))</f>
      </c>
      <c r="Z294" s="26">
        <f>IF(OR($A294="",Z$3=""),"",IF(AND($J294&lt;&gt;"",$K294&lt;&gt;"",$J294=$K294,$J294&gt;=Z$3,$J294&lt;=IF(param_mode_affichage="mois",EOMONTH(Z$3,0),Z$3+6)),"◆",""))</f>
      </c>
      <c r="AA294" s="26">
        <f>IF(OR($A294="",AA$3=""),"",IF(AND($J294&lt;&gt;"",$K294&lt;&gt;"",$J294=$K294,$J294&gt;=AA$3,$J294&lt;=IF(param_mode_affichage="mois",EOMONTH(AA$3,0),AA$3+6)),"◆",""))</f>
      </c>
      <c r="AB294" s="26">
        <f>IF(OR($A294="",AB$3=""),"",IF(AND($J294&lt;&gt;"",$K294&lt;&gt;"",$J294=$K294,$J294&gt;=AB$3,$J294&lt;=IF(param_mode_affichage="mois",EOMONTH(AB$3,0),AB$3+6)),"◆",""))</f>
      </c>
      <c r="AC294" s="26">
        <f>IF(OR($A294="",AC$3=""),"",IF(AND($J294&lt;&gt;"",$K294&lt;&gt;"",$J294=$K294,$J294&gt;=AC$3,$J294&lt;=IF(param_mode_affichage="mois",EOMONTH(AC$3,0),AC$3+6)),"◆",""))</f>
      </c>
      <c r="AD294" s="26">
        <f>IF(OR($A294="",AD$3=""),"",IF(AND($J294&lt;&gt;"",$K294&lt;&gt;"",$J294=$K294,$J294&gt;=AD$3,$J294&lt;=IF(param_mode_affichage="mois",EOMONTH(AD$3,0),AD$3+6)),"◆",""))</f>
      </c>
      <c r="AE294" s="26">
        <f>IF(OR($A294="",AE$3=""),"",IF(AND($J294&lt;&gt;"",$K294&lt;&gt;"",$J294=$K294,$J294&gt;=AE$3,$J294&lt;=IF(param_mode_affichage="mois",EOMONTH(AE$3,0),AE$3+6)),"◆",""))</f>
      </c>
      <c r="AF294" s="26">
        <f>IF(OR($A294="",AF$3=""),"",IF(AND($J294&lt;&gt;"",$K294&lt;&gt;"",$J294=$K294,$J294&gt;=AF$3,$J294&lt;=IF(param_mode_affichage="mois",EOMONTH(AF$3,0),AF$3+6)),"◆",""))</f>
      </c>
      <c r="AG294" s="26">
        <f>IF(OR($A294="",AG$3=""),"",IF(AND($J294&lt;&gt;"",$K294&lt;&gt;"",$J294=$K294,$J294&gt;=AG$3,$J294&lt;=IF(param_mode_affichage="mois",EOMONTH(AG$3,0),AG$3+6)),"◆",""))</f>
      </c>
      <c r="AH294" s="26">
        <f>IF(OR($A294="",AH$3=""),"",IF(AND($J294&lt;&gt;"",$K294&lt;&gt;"",$J294=$K294,$J294&gt;=AH$3,$J294&lt;=IF(param_mode_affichage="mois",EOMONTH(AH$3,0),AH$3+6)),"◆",""))</f>
      </c>
      <c r="AI294" s="26">
        <f>IF(OR($A294="",AI$3=""),"",IF(AND($J294&lt;&gt;"",$K294&lt;&gt;"",$J294=$K294,$J294&gt;=AI$3,$J294&lt;=IF(param_mode_affichage="mois",EOMONTH(AI$3,0),AI$3+6)),"◆",""))</f>
      </c>
      <c r="AJ294" s="26">
        <f>IF(OR($A294="",AJ$3=""),"",IF(AND($J294&lt;&gt;"",$K294&lt;&gt;"",$J294=$K294,$J294&gt;=AJ$3,$J294&lt;=IF(param_mode_affichage="mois",EOMONTH(AJ$3,0),AJ$3+6)),"◆",""))</f>
      </c>
      <c r="AK294" s="26">
        <f>IF(OR($A294="",AK$3=""),"",IF(AND($J294&lt;&gt;"",$K294&lt;&gt;"",$J294=$K294,$J294&gt;=AK$3,$J294&lt;=IF(param_mode_affichage="mois",EOMONTH(AK$3,0),AK$3+6)),"◆",""))</f>
      </c>
      <c r="AL294" s="26">
        <f>IF(OR($A294="",AL$3=""),"",IF(AND($J294&lt;&gt;"",$K294&lt;&gt;"",$J294=$K294,$J294&gt;=AL$3,$J294&lt;=IF(param_mode_affichage="mois",EOMONTH(AL$3,0),AL$3+6)),"◆",""))</f>
      </c>
      <c r="AM294" s="26">
        <f>IF(OR($A294="",AM$3=""),"",IF(AND($J294&lt;&gt;"",$K294&lt;&gt;"",$J294=$K294,$J294&gt;=AM$3,$J294&lt;=IF(param_mode_affichage="mois",EOMONTH(AM$3,0),AM$3+6)),"◆",""))</f>
      </c>
      <c r="AN294" s="26">
        <f>IF(OR($A294="",AN$3=""),"",IF(AND($J294&lt;&gt;"",$K294&lt;&gt;"",$J294=$K294,$J294&gt;=AN$3,$J294&lt;=IF(param_mode_affichage="mois",EOMONTH(AN$3,0),AN$3+6)),"◆",""))</f>
      </c>
      <c r="AO294" s="26">
        <f>IF(OR($A294="",AO$3=""),"",IF(AND($J294&lt;&gt;"",$K294&lt;&gt;"",$J294=$K294,$J294&gt;=AO$3,$J294&lt;=IF(param_mode_affichage="mois",EOMONTH(AO$3,0),AO$3+6)),"◆",""))</f>
      </c>
      <c r="AP294" s="26">
        <f>IF(OR($A294="",AP$3=""),"",IF(AND($J294&lt;&gt;"",$K294&lt;&gt;"",$J294=$K294,$J294&gt;=AP$3,$J294&lt;=IF(param_mode_affichage="mois",EOMONTH(AP$3,0),AP$3+6)),"◆",""))</f>
      </c>
      <c r="AQ294" s="26">
        <f>IF(OR($A294="",AQ$3=""),"",IF(AND($J294&lt;&gt;"",$K294&lt;&gt;"",$J294=$K294,$J294&gt;=AQ$3,$J294&lt;=IF(param_mode_affichage="mois",EOMONTH(AQ$3,0),AQ$3+6)),"◆",""))</f>
      </c>
      <c r="AR294" s="26">
        <f>IF(OR($A294="",AR$3=""),"",IF(AND($J294&lt;&gt;"",$K294&lt;&gt;"",$J294=$K294,$J294&gt;=AR$3,$J294&lt;=IF(param_mode_affichage="mois",EOMONTH(AR$3,0),AR$3+6)),"◆",""))</f>
      </c>
      <c r="AS294" s="26">
        <f>IF(OR($A294="",AS$3=""),"",IF(AND($J294&lt;&gt;"",$K294&lt;&gt;"",$J294=$K294,$J294&gt;=AS$3,$J294&lt;=IF(param_mode_affichage="mois",EOMONTH(AS$3,0),AS$3+6)),"◆",""))</f>
      </c>
      <c r="AT294" s="26">
        <f>IF(OR($A294="",AT$3=""),"",IF(AND($J294&lt;&gt;"",$K294&lt;&gt;"",$J294=$K294,$J294&gt;=AT$3,$J294&lt;=IF(param_mode_affichage="mois",EOMONTH(AT$3,0),AT$3+6)),"◆",""))</f>
      </c>
      <c r="AU294" s="26">
        <f>IF(OR($A294="",AU$3=""),"",IF(AND($J294&lt;&gt;"",$K294&lt;&gt;"",$J294=$K294,$J294&gt;=AU$3,$J294&lt;=IF(param_mode_affichage="mois",EOMONTH(AU$3,0),AU$3+6)),"◆",""))</f>
      </c>
      <c r="AV294" s="26">
        <f>IF(OR($A294="",AV$3=""),"",IF(AND($J294&lt;&gt;"",$K294&lt;&gt;"",$J294=$K294,$J294&gt;=AV$3,$J294&lt;=IF(param_mode_affichage="mois",EOMONTH(AV$3,0),AV$3+6)),"◆",""))</f>
      </c>
      <c r="AW294" s="26">
        <f>IF(OR($A294="",AW$3=""),"",IF(AND($J294&lt;&gt;"",$K294&lt;&gt;"",$J294=$K294,$J294&gt;=AW$3,$J294&lt;=IF(param_mode_affichage="mois",EOMONTH(AW$3,0),AW$3+6)),"◆",""))</f>
      </c>
      <c r="AX294" s="26">
        <f>IF(OR($A294="",AX$3=""),"",IF(AND($J294&lt;&gt;"",$K294&lt;&gt;"",$J294=$K294,$J294&gt;=AX$3,$J294&lt;=IF(param_mode_affichage="mois",EOMONTH(AX$3,0),AX$3+6)),"◆",""))</f>
      </c>
      <c r="AY294" s="26">
        <f>IF(OR($A294="",AY$3=""),"",IF(AND($J294&lt;&gt;"",$K294&lt;&gt;"",$J294=$K294,$J294&gt;=AY$3,$J294&lt;=IF(param_mode_affichage="mois",EOMONTH(AY$3,0),AY$3+6)),"◆",""))</f>
      </c>
      <c r="AZ294" s="26">
        <f>IF(OR($A294="",AZ$3=""),"",IF(AND($J294&lt;&gt;"",$K294&lt;&gt;"",$J294=$K294,$J294&gt;=AZ$3,$J294&lt;=IF(param_mode_affichage="mois",EOMONTH(AZ$3,0),AZ$3+6)),"◆",""))</f>
      </c>
      <c r="BA294" s="26">
        <f>IF(OR($A294="",BA$3=""),"",IF(AND($J294&lt;&gt;"",$K294&lt;&gt;"",$J294=$K294,$J294&gt;=BA$3,$J294&lt;=IF(param_mode_affichage="mois",EOMONTH(BA$3,0),BA$3+6)),"◆",""))</f>
      </c>
      <c r="BB294" s="26">
        <f>IF(OR($A294="",BB$3=""),"",IF(AND($J294&lt;&gt;"",$K294&lt;&gt;"",$J294=$K294,$J294&gt;=BB$3,$J294&lt;=IF(param_mode_affichage="mois",EOMONTH(BB$3,0),BB$3+6)),"◆",""))</f>
      </c>
      <c r="BC294" s="26">
        <f>IF(OR($A294="",BC$3=""),"",IF(AND($J294&lt;&gt;"",$K294&lt;&gt;"",$J294=$K294,$J294&gt;=BC$3,$J294&lt;=IF(param_mode_affichage="mois",EOMONTH(BC$3,0),BC$3+6)),"◆",""))</f>
      </c>
      <c r="BD294" s="26">
        <f>IF(OR($A294="",BD$3=""),"",IF(AND($J294&lt;&gt;"",$K294&lt;&gt;"",$J294=$K294,$J294&gt;=BD$3,$J294&lt;=IF(param_mode_affichage="mois",EOMONTH(BD$3,0),BD$3+6)),"◆",""))</f>
      </c>
      <c r="BE294" s="26">
        <f>IF(OR($A294="",BE$3=""),"",IF(AND($J294&lt;&gt;"",$K294&lt;&gt;"",$J294=$K294,$J294&gt;=BE$3,$J294&lt;=IF(param_mode_affichage="mois",EOMONTH(BE$3,0),BE$3+6)),"◆",""))</f>
      </c>
      <c r="BF294" s="26">
        <f>IF(OR($A294="",BF$3=""),"",IF(AND($J294&lt;&gt;"",$K294&lt;&gt;"",$J294=$K294,$J294&gt;=BF$3,$J294&lt;=IF(param_mode_affichage="mois",EOMONTH(BF$3,0),BF$3+6)),"◆",""))</f>
      </c>
      <c r="BG294" s="26">
        <f>IF(OR($A294="",BG$3=""),"",IF(AND($J294&lt;&gt;"",$K294&lt;&gt;"",$J294=$K294,$J294&gt;=BG$3,$J294&lt;=IF(param_mode_affichage="mois",EOMONTH(BG$3,0),BG$3+6)),"◆",""))</f>
      </c>
      <c r="BH294" s="26">
        <f>IF(OR($A294="",BH$3=""),"",IF(AND($J294&lt;&gt;"",$K294&lt;&gt;"",$J294=$K294,$J294&gt;=BH$3,$J294&lt;=IF(param_mode_affichage="mois",EOMONTH(BH$3,0),BH$3+6)),"◆",""))</f>
      </c>
      <c r="BI294" s="26">
        <f>IF(OR($A294="",BI$3=""),"",IF(AND($J294&lt;&gt;"",$K294&lt;&gt;"",$J294=$K294,$J294&gt;=BI$3,$J294&lt;=IF(param_mode_affichage="mois",EOMONTH(BI$3,0),BI$3+6)),"◆",""))</f>
      </c>
      <c r="BJ294" s="26">
        <f>IF(OR($A294="",BJ$3=""),"",IF(AND($J294&lt;&gt;"",$K294&lt;&gt;"",$J294=$K294,$J294&gt;=BJ$3,$J294&lt;=IF(param_mode_affichage="mois",EOMONTH(BJ$3,0),BJ$3+6)),"◆",""))</f>
      </c>
      <c r="BK294" s="26">
        <f>IF(OR($A294="",BK$3=""),"",IF(AND($J294&lt;&gt;"",$K294&lt;&gt;"",$J294=$K294,$J294&gt;=BK$3,$J294&lt;=IF(param_mode_affichage="mois",EOMONTH(BK$3,0),BK$3+6)),"◆",""))</f>
      </c>
      <c r="BL294" s="26">
        <f>IF(OR($A294="",BL$3=""),"",IF(AND($J294&lt;&gt;"",$K294&lt;&gt;"",$J294=$K294,$J294&gt;=BL$3,$J294&lt;=IF(param_mode_affichage="mois",EOMONTH(BL$3,0),BL$3+6)),"◆",""))</f>
      </c>
    </row>
    <row r="295" spans="1:64" x14ac:dyDescent="0.25">
      <c r="A295" s="23">
        <f>IFERROR(INDEX(tblTasks[ID],ROW()-4),"")</f>
      </c>
      <c r="B295" s="24">
        <f>IF($A295="","",INDEX(tblTasks[Sujet],ROW()-4))</f>
      </c>
      <c r="C295" s="23">
        <f>IF($A295="","",INDEX(tblTasks[Responsable],ROW()-4))</f>
      </c>
      <c r="D295" s="23">
        <f>IF($A295="","",INDEX(tblTasks[Statut],ROW()-4))</f>
      </c>
      <c r="E295" s="23">
        <f>IF($A295="","",INDEX(tblTasks[Depend_de],ROW()-4))</f>
      </c>
      <c r="F295" s="23">
        <f>IF($A295="","",INDEX(tblTasks[Blocage],ROW()-4))</f>
      </c>
      <c r="G295" s="23">
        <f>IF($A295="","",INDEX(tblTasks[Niveau_criticite],ROW()-4))</f>
      </c>
      <c r="H295" s="23">
        <f>IF($A295="","",INDEX(tblTasks[Goulot],ROW()-4))</f>
      </c>
      <c r="I295" s="23">
        <f>IF($A295="","",IF(LOWER($F295)="oui","non",IF($E295="","oui",IFERROR(IF(LOWER(INDEX(tblTasks[Statut],MATCH($E295,tblTasks[ID],0)))="clos","oui","non"),"non"))))</f>
      </c>
      <c r="J295" s="25">
        <f>IF($A295="","",INDEX(tblTasks[Date_debut_prevue],ROW()-4))</f>
      </c>
      <c r="K295" s="25">
        <f>IF($A295="","",INDEX(tblTasks[Date_fin_prevue],ROW()-4))</f>
      </c>
      <c r="L295" s="23">
        <f>IF($A295="","",INDEX(tblTasks[Irreversibilite],ROW()-4))</f>
      </c>
      <c r="M295" s="26">
        <f>IF(OR($A295="",M$3=""),"",IF(AND($J295&lt;&gt;"",$K295&lt;&gt;"",$J295=$K295,$J295&gt;=M$3,$J295&lt;=IF(param_mode_affichage="mois",EOMONTH(M$3,0),M$3+6)),"◆",""))</f>
      </c>
      <c r="N295" s="26">
        <f>IF(OR($A295="",N$3=""),"",IF(AND($J295&lt;&gt;"",$K295&lt;&gt;"",$J295=$K295,$J295&gt;=N$3,$J295&lt;=IF(param_mode_affichage="mois",EOMONTH(N$3,0),N$3+6)),"◆",""))</f>
      </c>
      <c r="O295" s="26">
        <f>IF(OR($A295="",O$3=""),"",IF(AND($J295&lt;&gt;"",$K295&lt;&gt;"",$J295=$K295,$J295&gt;=O$3,$J295&lt;=IF(param_mode_affichage="mois",EOMONTH(O$3,0),O$3+6)),"◆",""))</f>
      </c>
      <c r="P295" s="26">
        <f>IF(OR($A295="",P$3=""),"",IF(AND($J295&lt;&gt;"",$K295&lt;&gt;"",$J295=$K295,$J295&gt;=P$3,$J295&lt;=IF(param_mode_affichage="mois",EOMONTH(P$3,0),P$3+6)),"◆",""))</f>
      </c>
      <c r="Q295" s="26">
        <f>IF(OR($A295="",Q$3=""),"",IF(AND($J295&lt;&gt;"",$K295&lt;&gt;"",$J295=$K295,$J295&gt;=Q$3,$J295&lt;=IF(param_mode_affichage="mois",EOMONTH(Q$3,0),Q$3+6)),"◆",""))</f>
      </c>
      <c r="R295" s="26">
        <f>IF(OR($A295="",R$3=""),"",IF(AND($J295&lt;&gt;"",$K295&lt;&gt;"",$J295=$K295,$J295&gt;=R$3,$J295&lt;=IF(param_mode_affichage="mois",EOMONTH(R$3,0),R$3+6)),"◆",""))</f>
      </c>
      <c r="S295" s="26">
        <f>IF(OR($A295="",S$3=""),"",IF(AND($J295&lt;&gt;"",$K295&lt;&gt;"",$J295=$K295,$J295&gt;=S$3,$J295&lt;=IF(param_mode_affichage="mois",EOMONTH(S$3,0),S$3+6)),"◆",""))</f>
      </c>
      <c r="T295" s="26">
        <f>IF(OR($A295="",T$3=""),"",IF(AND($J295&lt;&gt;"",$K295&lt;&gt;"",$J295=$K295,$J295&gt;=T$3,$J295&lt;=IF(param_mode_affichage="mois",EOMONTH(T$3,0),T$3+6)),"◆",""))</f>
      </c>
      <c r="U295" s="26">
        <f>IF(OR($A295="",U$3=""),"",IF(AND($J295&lt;&gt;"",$K295&lt;&gt;"",$J295=$K295,$J295&gt;=U$3,$J295&lt;=IF(param_mode_affichage="mois",EOMONTH(U$3,0),U$3+6)),"◆",""))</f>
      </c>
      <c r="V295" s="26">
        <f>IF(OR($A295="",V$3=""),"",IF(AND($J295&lt;&gt;"",$K295&lt;&gt;"",$J295=$K295,$J295&gt;=V$3,$J295&lt;=IF(param_mode_affichage="mois",EOMONTH(V$3,0),V$3+6)),"◆",""))</f>
      </c>
      <c r="W295" s="26">
        <f>IF(OR($A295="",W$3=""),"",IF(AND($J295&lt;&gt;"",$K295&lt;&gt;"",$J295=$K295,$J295&gt;=W$3,$J295&lt;=IF(param_mode_affichage="mois",EOMONTH(W$3,0),W$3+6)),"◆",""))</f>
      </c>
      <c r="X295" s="26">
        <f>IF(OR($A295="",X$3=""),"",IF(AND($J295&lt;&gt;"",$K295&lt;&gt;"",$J295=$K295,$J295&gt;=X$3,$J295&lt;=IF(param_mode_affichage="mois",EOMONTH(X$3,0),X$3+6)),"◆",""))</f>
      </c>
      <c r="Y295" s="26">
        <f>IF(OR($A295="",Y$3=""),"",IF(AND($J295&lt;&gt;"",$K295&lt;&gt;"",$J295=$K295,$J295&gt;=Y$3,$J295&lt;=IF(param_mode_affichage="mois",EOMONTH(Y$3,0),Y$3+6)),"◆",""))</f>
      </c>
      <c r="Z295" s="26">
        <f>IF(OR($A295="",Z$3=""),"",IF(AND($J295&lt;&gt;"",$K295&lt;&gt;"",$J295=$K295,$J295&gt;=Z$3,$J295&lt;=IF(param_mode_affichage="mois",EOMONTH(Z$3,0),Z$3+6)),"◆",""))</f>
      </c>
      <c r="AA295" s="26">
        <f>IF(OR($A295="",AA$3=""),"",IF(AND($J295&lt;&gt;"",$K295&lt;&gt;"",$J295=$K295,$J295&gt;=AA$3,$J295&lt;=IF(param_mode_affichage="mois",EOMONTH(AA$3,0),AA$3+6)),"◆",""))</f>
      </c>
      <c r="AB295" s="26">
        <f>IF(OR($A295="",AB$3=""),"",IF(AND($J295&lt;&gt;"",$K295&lt;&gt;"",$J295=$K295,$J295&gt;=AB$3,$J295&lt;=IF(param_mode_affichage="mois",EOMONTH(AB$3,0),AB$3+6)),"◆",""))</f>
      </c>
      <c r="AC295" s="26">
        <f>IF(OR($A295="",AC$3=""),"",IF(AND($J295&lt;&gt;"",$K295&lt;&gt;"",$J295=$K295,$J295&gt;=AC$3,$J295&lt;=IF(param_mode_affichage="mois",EOMONTH(AC$3,0),AC$3+6)),"◆",""))</f>
      </c>
      <c r="AD295" s="26">
        <f>IF(OR($A295="",AD$3=""),"",IF(AND($J295&lt;&gt;"",$K295&lt;&gt;"",$J295=$K295,$J295&gt;=AD$3,$J295&lt;=IF(param_mode_affichage="mois",EOMONTH(AD$3,0),AD$3+6)),"◆",""))</f>
      </c>
      <c r="AE295" s="26">
        <f>IF(OR($A295="",AE$3=""),"",IF(AND($J295&lt;&gt;"",$K295&lt;&gt;"",$J295=$K295,$J295&gt;=AE$3,$J295&lt;=IF(param_mode_affichage="mois",EOMONTH(AE$3,0),AE$3+6)),"◆",""))</f>
      </c>
      <c r="AF295" s="26">
        <f>IF(OR($A295="",AF$3=""),"",IF(AND($J295&lt;&gt;"",$K295&lt;&gt;"",$J295=$K295,$J295&gt;=AF$3,$J295&lt;=IF(param_mode_affichage="mois",EOMONTH(AF$3,0),AF$3+6)),"◆",""))</f>
      </c>
      <c r="AG295" s="26">
        <f>IF(OR($A295="",AG$3=""),"",IF(AND($J295&lt;&gt;"",$K295&lt;&gt;"",$J295=$K295,$J295&gt;=AG$3,$J295&lt;=IF(param_mode_affichage="mois",EOMONTH(AG$3,0),AG$3+6)),"◆",""))</f>
      </c>
      <c r="AH295" s="26">
        <f>IF(OR($A295="",AH$3=""),"",IF(AND($J295&lt;&gt;"",$K295&lt;&gt;"",$J295=$K295,$J295&gt;=AH$3,$J295&lt;=IF(param_mode_affichage="mois",EOMONTH(AH$3,0),AH$3+6)),"◆",""))</f>
      </c>
      <c r="AI295" s="26">
        <f>IF(OR($A295="",AI$3=""),"",IF(AND($J295&lt;&gt;"",$K295&lt;&gt;"",$J295=$K295,$J295&gt;=AI$3,$J295&lt;=IF(param_mode_affichage="mois",EOMONTH(AI$3,0),AI$3+6)),"◆",""))</f>
      </c>
      <c r="AJ295" s="26">
        <f>IF(OR($A295="",AJ$3=""),"",IF(AND($J295&lt;&gt;"",$K295&lt;&gt;"",$J295=$K295,$J295&gt;=AJ$3,$J295&lt;=IF(param_mode_affichage="mois",EOMONTH(AJ$3,0),AJ$3+6)),"◆",""))</f>
      </c>
      <c r="AK295" s="26">
        <f>IF(OR($A295="",AK$3=""),"",IF(AND($J295&lt;&gt;"",$K295&lt;&gt;"",$J295=$K295,$J295&gt;=AK$3,$J295&lt;=IF(param_mode_affichage="mois",EOMONTH(AK$3,0),AK$3+6)),"◆",""))</f>
      </c>
      <c r="AL295" s="26">
        <f>IF(OR($A295="",AL$3=""),"",IF(AND($J295&lt;&gt;"",$K295&lt;&gt;"",$J295=$K295,$J295&gt;=AL$3,$J295&lt;=IF(param_mode_affichage="mois",EOMONTH(AL$3,0),AL$3+6)),"◆",""))</f>
      </c>
      <c r="AM295" s="26">
        <f>IF(OR($A295="",AM$3=""),"",IF(AND($J295&lt;&gt;"",$K295&lt;&gt;"",$J295=$K295,$J295&gt;=AM$3,$J295&lt;=IF(param_mode_affichage="mois",EOMONTH(AM$3,0),AM$3+6)),"◆",""))</f>
      </c>
      <c r="AN295" s="26">
        <f>IF(OR($A295="",AN$3=""),"",IF(AND($J295&lt;&gt;"",$K295&lt;&gt;"",$J295=$K295,$J295&gt;=AN$3,$J295&lt;=IF(param_mode_affichage="mois",EOMONTH(AN$3,0),AN$3+6)),"◆",""))</f>
      </c>
      <c r="AO295" s="26">
        <f>IF(OR($A295="",AO$3=""),"",IF(AND($J295&lt;&gt;"",$K295&lt;&gt;"",$J295=$K295,$J295&gt;=AO$3,$J295&lt;=IF(param_mode_affichage="mois",EOMONTH(AO$3,0),AO$3+6)),"◆",""))</f>
      </c>
      <c r="AP295" s="26">
        <f>IF(OR($A295="",AP$3=""),"",IF(AND($J295&lt;&gt;"",$K295&lt;&gt;"",$J295=$K295,$J295&gt;=AP$3,$J295&lt;=IF(param_mode_affichage="mois",EOMONTH(AP$3,0),AP$3+6)),"◆",""))</f>
      </c>
      <c r="AQ295" s="26">
        <f>IF(OR($A295="",AQ$3=""),"",IF(AND($J295&lt;&gt;"",$K295&lt;&gt;"",$J295=$K295,$J295&gt;=AQ$3,$J295&lt;=IF(param_mode_affichage="mois",EOMONTH(AQ$3,0),AQ$3+6)),"◆",""))</f>
      </c>
      <c r="AR295" s="26">
        <f>IF(OR($A295="",AR$3=""),"",IF(AND($J295&lt;&gt;"",$K295&lt;&gt;"",$J295=$K295,$J295&gt;=AR$3,$J295&lt;=IF(param_mode_affichage="mois",EOMONTH(AR$3,0),AR$3+6)),"◆",""))</f>
      </c>
      <c r="AS295" s="26">
        <f>IF(OR($A295="",AS$3=""),"",IF(AND($J295&lt;&gt;"",$K295&lt;&gt;"",$J295=$K295,$J295&gt;=AS$3,$J295&lt;=IF(param_mode_affichage="mois",EOMONTH(AS$3,0),AS$3+6)),"◆",""))</f>
      </c>
      <c r="AT295" s="26">
        <f>IF(OR($A295="",AT$3=""),"",IF(AND($J295&lt;&gt;"",$K295&lt;&gt;"",$J295=$K295,$J295&gt;=AT$3,$J295&lt;=IF(param_mode_affichage="mois",EOMONTH(AT$3,0),AT$3+6)),"◆",""))</f>
      </c>
      <c r="AU295" s="26">
        <f>IF(OR($A295="",AU$3=""),"",IF(AND($J295&lt;&gt;"",$K295&lt;&gt;"",$J295=$K295,$J295&gt;=AU$3,$J295&lt;=IF(param_mode_affichage="mois",EOMONTH(AU$3,0),AU$3+6)),"◆",""))</f>
      </c>
      <c r="AV295" s="26">
        <f>IF(OR($A295="",AV$3=""),"",IF(AND($J295&lt;&gt;"",$K295&lt;&gt;"",$J295=$K295,$J295&gt;=AV$3,$J295&lt;=IF(param_mode_affichage="mois",EOMONTH(AV$3,0),AV$3+6)),"◆",""))</f>
      </c>
      <c r="AW295" s="26">
        <f>IF(OR($A295="",AW$3=""),"",IF(AND($J295&lt;&gt;"",$K295&lt;&gt;"",$J295=$K295,$J295&gt;=AW$3,$J295&lt;=IF(param_mode_affichage="mois",EOMONTH(AW$3,0),AW$3+6)),"◆",""))</f>
      </c>
      <c r="AX295" s="26">
        <f>IF(OR($A295="",AX$3=""),"",IF(AND($J295&lt;&gt;"",$K295&lt;&gt;"",$J295=$K295,$J295&gt;=AX$3,$J295&lt;=IF(param_mode_affichage="mois",EOMONTH(AX$3,0),AX$3+6)),"◆",""))</f>
      </c>
      <c r="AY295" s="26">
        <f>IF(OR($A295="",AY$3=""),"",IF(AND($J295&lt;&gt;"",$K295&lt;&gt;"",$J295=$K295,$J295&gt;=AY$3,$J295&lt;=IF(param_mode_affichage="mois",EOMONTH(AY$3,0),AY$3+6)),"◆",""))</f>
      </c>
      <c r="AZ295" s="26">
        <f>IF(OR($A295="",AZ$3=""),"",IF(AND($J295&lt;&gt;"",$K295&lt;&gt;"",$J295=$K295,$J295&gt;=AZ$3,$J295&lt;=IF(param_mode_affichage="mois",EOMONTH(AZ$3,0),AZ$3+6)),"◆",""))</f>
      </c>
      <c r="BA295" s="26">
        <f>IF(OR($A295="",BA$3=""),"",IF(AND($J295&lt;&gt;"",$K295&lt;&gt;"",$J295=$K295,$J295&gt;=BA$3,$J295&lt;=IF(param_mode_affichage="mois",EOMONTH(BA$3,0),BA$3+6)),"◆",""))</f>
      </c>
      <c r="BB295" s="26">
        <f>IF(OR($A295="",BB$3=""),"",IF(AND($J295&lt;&gt;"",$K295&lt;&gt;"",$J295=$K295,$J295&gt;=BB$3,$J295&lt;=IF(param_mode_affichage="mois",EOMONTH(BB$3,0),BB$3+6)),"◆",""))</f>
      </c>
      <c r="BC295" s="26">
        <f>IF(OR($A295="",BC$3=""),"",IF(AND($J295&lt;&gt;"",$K295&lt;&gt;"",$J295=$K295,$J295&gt;=BC$3,$J295&lt;=IF(param_mode_affichage="mois",EOMONTH(BC$3,0),BC$3+6)),"◆",""))</f>
      </c>
      <c r="BD295" s="26">
        <f>IF(OR($A295="",BD$3=""),"",IF(AND($J295&lt;&gt;"",$K295&lt;&gt;"",$J295=$K295,$J295&gt;=BD$3,$J295&lt;=IF(param_mode_affichage="mois",EOMONTH(BD$3,0),BD$3+6)),"◆",""))</f>
      </c>
      <c r="BE295" s="26">
        <f>IF(OR($A295="",BE$3=""),"",IF(AND($J295&lt;&gt;"",$K295&lt;&gt;"",$J295=$K295,$J295&gt;=BE$3,$J295&lt;=IF(param_mode_affichage="mois",EOMONTH(BE$3,0),BE$3+6)),"◆",""))</f>
      </c>
      <c r="BF295" s="26">
        <f>IF(OR($A295="",BF$3=""),"",IF(AND($J295&lt;&gt;"",$K295&lt;&gt;"",$J295=$K295,$J295&gt;=BF$3,$J295&lt;=IF(param_mode_affichage="mois",EOMONTH(BF$3,0),BF$3+6)),"◆",""))</f>
      </c>
      <c r="BG295" s="26">
        <f>IF(OR($A295="",BG$3=""),"",IF(AND($J295&lt;&gt;"",$K295&lt;&gt;"",$J295=$K295,$J295&gt;=BG$3,$J295&lt;=IF(param_mode_affichage="mois",EOMONTH(BG$3,0),BG$3+6)),"◆",""))</f>
      </c>
      <c r="BH295" s="26">
        <f>IF(OR($A295="",BH$3=""),"",IF(AND($J295&lt;&gt;"",$K295&lt;&gt;"",$J295=$K295,$J295&gt;=BH$3,$J295&lt;=IF(param_mode_affichage="mois",EOMONTH(BH$3,0),BH$3+6)),"◆",""))</f>
      </c>
      <c r="BI295" s="26">
        <f>IF(OR($A295="",BI$3=""),"",IF(AND($J295&lt;&gt;"",$K295&lt;&gt;"",$J295=$K295,$J295&gt;=BI$3,$J295&lt;=IF(param_mode_affichage="mois",EOMONTH(BI$3,0),BI$3+6)),"◆",""))</f>
      </c>
      <c r="BJ295" s="26">
        <f>IF(OR($A295="",BJ$3=""),"",IF(AND($J295&lt;&gt;"",$K295&lt;&gt;"",$J295=$K295,$J295&gt;=BJ$3,$J295&lt;=IF(param_mode_affichage="mois",EOMONTH(BJ$3,0),BJ$3+6)),"◆",""))</f>
      </c>
      <c r="BK295" s="26">
        <f>IF(OR($A295="",BK$3=""),"",IF(AND($J295&lt;&gt;"",$K295&lt;&gt;"",$J295=$K295,$J295&gt;=BK$3,$J295&lt;=IF(param_mode_affichage="mois",EOMONTH(BK$3,0),BK$3+6)),"◆",""))</f>
      </c>
      <c r="BL295" s="26">
        <f>IF(OR($A295="",BL$3=""),"",IF(AND($J295&lt;&gt;"",$K295&lt;&gt;"",$J295=$K295,$J295&gt;=BL$3,$J295&lt;=IF(param_mode_affichage="mois",EOMONTH(BL$3,0),BL$3+6)),"◆",""))</f>
      </c>
    </row>
    <row r="296" spans="1:64" x14ac:dyDescent="0.25">
      <c r="A296" s="23">
        <f>IFERROR(INDEX(tblTasks[ID],ROW()-4),"")</f>
      </c>
      <c r="B296" s="24">
        <f>IF($A296="","",INDEX(tblTasks[Sujet],ROW()-4))</f>
      </c>
      <c r="C296" s="23">
        <f>IF($A296="","",INDEX(tblTasks[Responsable],ROW()-4))</f>
      </c>
      <c r="D296" s="23">
        <f>IF($A296="","",INDEX(tblTasks[Statut],ROW()-4))</f>
      </c>
      <c r="E296" s="23">
        <f>IF($A296="","",INDEX(tblTasks[Depend_de],ROW()-4))</f>
      </c>
      <c r="F296" s="23">
        <f>IF($A296="","",INDEX(tblTasks[Blocage],ROW()-4))</f>
      </c>
      <c r="G296" s="23">
        <f>IF($A296="","",INDEX(tblTasks[Niveau_criticite],ROW()-4))</f>
      </c>
      <c r="H296" s="23">
        <f>IF($A296="","",INDEX(tblTasks[Goulot],ROW()-4))</f>
      </c>
      <c r="I296" s="23">
        <f>IF($A296="","",IF(LOWER($F296)="oui","non",IF($E296="","oui",IFERROR(IF(LOWER(INDEX(tblTasks[Statut],MATCH($E296,tblTasks[ID],0)))="clos","oui","non"),"non"))))</f>
      </c>
      <c r="J296" s="25">
        <f>IF($A296="","",INDEX(tblTasks[Date_debut_prevue],ROW()-4))</f>
      </c>
      <c r="K296" s="25">
        <f>IF($A296="","",INDEX(tblTasks[Date_fin_prevue],ROW()-4))</f>
      </c>
      <c r="L296" s="23">
        <f>IF($A296="","",INDEX(tblTasks[Irreversibilite],ROW()-4))</f>
      </c>
      <c r="M296" s="26">
        <f>IF(OR($A296="",M$3=""),"",IF(AND($J296&lt;&gt;"",$K296&lt;&gt;"",$J296=$K296,$J296&gt;=M$3,$J296&lt;=IF(param_mode_affichage="mois",EOMONTH(M$3,0),M$3+6)),"◆",""))</f>
      </c>
      <c r="N296" s="26">
        <f>IF(OR($A296="",N$3=""),"",IF(AND($J296&lt;&gt;"",$K296&lt;&gt;"",$J296=$K296,$J296&gt;=N$3,$J296&lt;=IF(param_mode_affichage="mois",EOMONTH(N$3,0),N$3+6)),"◆",""))</f>
      </c>
      <c r="O296" s="26">
        <f>IF(OR($A296="",O$3=""),"",IF(AND($J296&lt;&gt;"",$K296&lt;&gt;"",$J296=$K296,$J296&gt;=O$3,$J296&lt;=IF(param_mode_affichage="mois",EOMONTH(O$3,0),O$3+6)),"◆",""))</f>
      </c>
      <c r="P296" s="26">
        <f>IF(OR($A296="",P$3=""),"",IF(AND($J296&lt;&gt;"",$K296&lt;&gt;"",$J296=$K296,$J296&gt;=P$3,$J296&lt;=IF(param_mode_affichage="mois",EOMONTH(P$3,0),P$3+6)),"◆",""))</f>
      </c>
      <c r="Q296" s="26">
        <f>IF(OR($A296="",Q$3=""),"",IF(AND($J296&lt;&gt;"",$K296&lt;&gt;"",$J296=$K296,$J296&gt;=Q$3,$J296&lt;=IF(param_mode_affichage="mois",EOMONTH(Q$3,0),Q$3+6)),"◆",""))</f>
      </c>
      <c r="R296" s="26">
        <f>IF(OR($A296="",R$3=""),"",IF(AND($J296&lt;&gt;"",$K296&lt;&gt;"",$J296=$K296,$J296&gt;=R$3,$J296&lt;=IF(param_mode_affichage="mois",EOMONTH(R$3,0),R$3+6)),"◆",""))</f>
      </c>
      <c r="S296" s="26">
        <f>IF(OR($A296="",S$3=""),"",IF(AND($J296&lt;&gt;"",$K296&lt;&gt;"",$J296=$K296,$J296&gt;=S$3,$J296&lt;=IF(param_mode_affichage="mois",EOMONTH(S$3,0),S$3+6)),"◆",""))</f>
      </c>
      <c r="T296" s="26">
        <f>IF(OR($A296="",T$3=""),"",IF(AND($J296&lt;&gt;"",$K296&lt;&gt;"",$J296=$K296,$J296&gt;=T$3,$J296&lt;=IF(param_mode_affichage="mois",EOMONTH(T$3,0),T$3+6)),"◆",""))</f>
      </c>
      <c r="U296" s="26">
        <f>IF(OR($A296="",U$3=""),"",IF(AND($J296&lt;&gt;"",$K296&lt;&gt;"",$J296=$K296,$J296&gt;=U$3,$J296&lt;=IF(param_mode_affichage="mois",EOMONTH(U$3,0),U$3+6)),"◆",""))</f>
      </c>
      <c r="V296" s="26">
        <f>IF(OR($A296="",V$3=""),"",IF(AND($J296&lt;&gt;"",$K296&lt;&gt;"",$J296=$K296,$J296&gt;=V$3,$J296&lt;=IF(param_mode_affichage="mois",EOMONTH(V$3,0),V$3+6)),"◆",""))</f>
      </c>
      <c r="W296" s="26">
        <f>IF(OR($A296="",W$3=""),"",IF(AND($J296&lt;&gt;"",$K296&lt;&gt;"",$J296=$K296,$J296&gt;=W$3,$J296&lt;=IF(param_mode_affichage="mois",EOMONTH(W$3,0),W$3+6)),"◆",""))</f>
      </c>
      <c r="X296" s="26">
        <f>IF(OR($A296="",X$3=""),"",IF(AND($J296&lt;&gt;"",$K296&lt;&gt;"",$J296=$K296,$J296&gt;=X$3,$J296&lt;=IF(param_mode_affichage="mois",EOMONTH(X$3,0),X$3+6)),"◆",""))</f>
      </c>
      <c r="Y296" s="26">
        <f>IF(OR($A296="",Y$3=""),"",IF(AND($J296&lt;&gt;"",$K296&lt;&gt;"",$J296=$K296,$J296&gt;=Y$3,$J296&lt;=IF(param_mode_affichage="mois",EOMONTH(Y$3,0),Y$3+6)),"◆",""))</f>
      </c>
      <c r="Z296" s="26">
        <f>IF(OR($A296="",Z$3=""),"",IF(AND($J296&lt;&gt;"",$K296&lt;&gt;"",$J296=$K296,$J296&gt;=Z$3,$J296&lt;=IF(param_mode_affichage="mois",EOMONTH(Z$3,0),Z$3+6)),"◆",""))</f>
      </c>
      <c r="AA296" s="26">
        <f>IF(OR($A296="",AA$3=""),"",IF(AND($J296&lt;&gt;"",$K296&lt;&gt;"",$J296=$K296,$J296&gt;=AA$3,$J296&lt;=IF(param_mode_affichage="mois",EOMONTH(AA$3,0),AA$3+6)),"◆",""))</f>
      </c>
      <c r="AB296" s="26">
        <f>IF(OR($A296="",AB$3=""),"",IF(AND($J296&lt;&gt;"",$K296&lt;&gt;"",$J296=$K296,$J296&gt;=AB$3,$J296&lt;=IF(param_mode_affichage="mois",EOMONTH(AB$3,0),AB$3+6)),"◆",""))</f>
      </c>
      <c r="AC296" s="26">
        <f>IF(OR($A296="",AC$3=""),"",IF(AND($J296&lt;&gt;"",$K296&lt;&gt;"",$J296=$K296,$J296&gt;=AC$3,$J296&lt;=IF(param_mode_affichage="mois",EOMONTH(AC$3,0),AC$3+6)),"◆",""))</f>
      </c>
      <c r="AD296" s="26">
        <f>IF(OR($A296="",AD$3=""),"",IF(AND($J296&lt;&gt;"",$K296&lt;&gt;"",$J296=$K296,$J296&gt;=AD$3,$J296&lt;=IF(param_mode_affichage="mois",EOMONTH(AD$3,0),AD$3+6)),"◆",""))</f>
      </c>
      <c r="AE296" s="26">
        <f>IF(OR($A296="",AE$3=""),"",IF(AND($J296&lt;&gt;"",$K296&lt;&gt;"",$J296=$K296,$J296&gt;=AE$3,$J296&lt;=IF(param_mode_affichage="mois",EOMONTH(AE$3,0),AE$3+6)),"◆",""))</f>
      </c>
      <c r="AF296" s="26">
        <f>IF(OR($A296="",AF$3=""),"",IF(AND($J296&lt;&gt;"",$K296&lt;&gt;"",$J296=$K296,$J296&gt;=AF$3,$J296&lt;=IF(param_mode_affichage="mois",EOMONTH(AF$3,0),AF$3+6)),"◆",""))</f>
      </c>
      <c r="AG296" s="26">
        <f>IF(OR($A296="",AG$3=""),"",IF(AND($J296&lt;&gt;"",$K296&lt;&gt;"",$J296=$K296,$J296&gt;=AG$3,$J296&lt;=IF(param_mode_affichage="mois",EOMONTH(AG$3,0),AG$3+6)),"◆",""))</f>
      </c>
      <c r="AH296" s="26">
        <f>IF(OR($A296="",AH$3=""),"",IF(AND($J296&lt;&gt;"",$K296&lt;&gt;"",$J296=$K296,$J296&gt;=AH$3,$J296&lt;=IF(param_mode_affichage="mois",EOMONTH(AH$3,0),AH$3+6)),"◆",""))</f>
      </c>
      <c r="AI296" s="26">
        <f>IF(OR($A296="",AI$3=""),"",IF(AND($J296&lt;&gt;"",$K296&lt;&gt;"",$J296=$K296,$J296&gt;=AI$3,$J296&lt;=IF(param_mode_affichage="mois",EOMONTH(AI$3,0),AI$3+6)),"◆",""))</f>
      </c>
      <c r="AJ296" s="26">
        <f>IF(OR($A296="",AJ$3=""),"",IF(AND($J296&lt;&gt;"",$K296&lt;&gt;"",$J296=$K296,$J296&gt;=AJ$3,$J296&lt;=IF(param_mode_affichage="mois",EOMONTH(AJ$3,0),AJ$3+6)),"◆",""))</f>
      </c>
      <c r="AK296" s="26">
        <f>IF(OR($A296="",AK$3=""),"",IF(AND($J296&lt;&gt;"",$K296&lt;&gt;"",$J296=$K296,$J296&gt;=AK$3,$J296&lt;=IF(param_mode_affichage="mois",EOMONTH(AK$3,0),AK$3+6)),"◆",""))</f>
      </c>
      <c r="AL296" s="26">
        <f>IF(OR($A296="",AL$3=""),"",IF(AND($J296&lt;&gt;"",$K296&lt;&gt;"",$J296=$K296,$J296&gt;=AL$3,$J296&lt;=IF(param_mode_affichage="mois",EOMONTH(AL$3,0),AL$3+6)),"◆",""))</f>
      </c>
      <c r="AM296" s="26">
        <f>IF(OR($A296="",AM$3=""),"",IF(AND($J296&lt;&gt;"",$K296&lt;&gt;"",$J296=$K296,$J296&gt;=AM$3,$J296&lt;=IF(param_mode_affichage="mois",EOMONTH(AM$3,0),AM$3+6)),"◆",""))</f>
      </c>
      <c r="AN296" s="26">
        <f>IF(OR($A296="",AN$3=""),"",IF(AND($J296&lt;&gt;"",$K296&lt;&gt;"",$J296=$K296,$J296&gt;=AN$3,$J296&lt;=IF(param_mode_affichage="mois",EOMONTH(AN$3,0),AN$3+6)),"◆",""))</f>
      </c>
      <c r="AO296" s="26">
        <f>IF(OR($A296="",AO$3=""),"",IF(AND($J296&lt;&gt;"",$K296&lt;&gt;"",$J296=$K296,$J296&gt;=AO$3,$J296&lt;=IF(param_mode_affichage="mois",EOMONTH(AO$3,0),AO$3+6)),"◆",""))</f>
      </c>
      <c r="AP296" s="26">
        <f>IF(OR($A296="",AP$3=""),"",IF(AND($J296&lt;&gt;"",$K296&lt;&gt;"",$J296=$K296,$J296&gt;=AP$3,$J296&lt;=IF(param_mode_affichage="mois",EOMONTH(AP$3,0),AP$3+6)),"◆",""))</f>
      </c>
      <c r="AQ296" s="26">
        <f>IF(OR($A296="",AQ$3=""),"",IF(AND($J296&lt;&gt;"",$K296&lt;&gt;"",$J296=$K296,$J296&gt;=AQ$3,$J296&lt;=IF(param_mode_affichage="mois",EOMONTH(AQ$3,0),AQ$3+6)),"◆",""))</f>
      </c>
      <c r="AR296" s="26">
        <f>IF(OR($A296="",AR$3=""),"",IF(AND($J296&lt;&gt;"",$K296&lt;&gt;"",$J296=$K296,$J296&gt;=AR$3,$J296&lt;=IF(param_mode_affichage="mois",EOMONTH(AR$3,0),AR$3+6)),"◆",""))</f>
      </c>
      <c r="AS296" s="26">
        <f>IF(OR($A296="",AS$3=""),"",IF(AND($J296&lt;&gt;"",$K296&lt;&gt;"",$J296=$K296,$J296&gt;=AS$3,$J296&lt;=IF(param_mode_affichage="mois",EOMONTH(AS$3,0),AS$3+6)),"◆",""))</f>
      </c>
      <c r="AT296" s="26">
        <f>IF(OR($A296="",AT$3=""),"",IF(AND($J296&lt;&gt;"",$K296&lt;&gt;"",$J296=$K296,$J296&gt;=AT$3,$J296&lt;=IF(param_mode_affichage="mois",EOMONTH(AT$3,0),AT$3+6)),"◆",""))</f>
      </c>
      <c r="AU296" s="26">
        <f>IF(OR($A296="",AU$3=""),"",IF(AND($J296&lt;&gt;"",$K296&lt;&gt;"",$J296=$K296,$J296&gt;=AU$3,$J296&lt;=IF(param_mode_affichage="mois",EOMONTH(AU$3,0),AU$3+6)),"◆",""))</f>
      </c>
      <c r="AV296" s="26">
        <f>IF(OR($A296="",AV$3=""),"",IF(AND($J296&lt;&gt;"",$K296&lt;&gt;"",$J296=$K296,$J296&gt;=AV$3,$J296&lt;=IF(param_mode_affichage="mois",EOMONTH(AV$3,0),AV$3+6)),"◆",""))</f>
      </c>
      <c r="AW296" s="26">
        <f>IF(OR($A296="",AW$3=""),"",IF(AND($J296&lt;&gt;"",$K296&lt;&gt;"",$J296=$K296,$J296&gt;=AW$3,$J296&lt;=IF(param_mode_affichage="mois",EOMONTH(AW$3,0),AW$3+6)),"◆",""))</f>
      </c>
      <c r="AX296" s="26">
        <f>IF(OR($A296="",AX$3=""),"",IF(AND($J296&lt;&gt;"",$K296&lt;&gt;"",$J296=$K296,$J296&gt;=AX$3,$J296&lt;=IF(param_mode_affichage="mois",EOMONTH(AX$3,0),AX$3+6)),"◆",""))</f>
      </c>
      <c r="AY296" s="26">
        <f>IF(OR($A296="",AY$3=""),"",IF(AND($J296&lt;&gt;"",$K296&lt;&gt;"",$J296=$K296,$J296&gt;=AY$3,$J296&lt;=IF(param_mode_affichage="mois",EOMONTH(AY$3,0),AY$3+6)),"◆",""))</f>
      </c>
      <c r="AZ296" s="26">
        <f>IF(OR($A296="",AZ$3=""),"",IF(AND($J296&lt;&gt;"",$K296&lt;&gt;"",$J296=$K296,$J296&gt;=AZ$3,$J296&lt;=IF(param_mode_affichage="mois",EOMONTH(AZ$3,0),AZ$3+6)),"◆",""))</f>
      </c>
      <c r="BA296" s="26">
        <f>IF(OR($A296="",BA$3=""),"",IF(AND($J296&lt;&gt;"",$K296&lt;&gt;"",$J296=$K296,$J296&gt;=BA$3,$J296&lt;=IF(param_mode_affichage="mois",EOMONTH(BA$3,0),BA$3+6)),"◆",""))</f>
      </c>
      <c r="BB296" s="26">
        <f>IF(OR($A296="",BB$3=""),"",IF(AND($J296&lt;&gt;"",$K296&lt;&gt;"",$J296=$K296,$J296&gt;=BB$3,$J296&lt;=IF(param_mode_affichage="mois",EOMONTH(BB$3,0),BB$3+6)),"◆",""))</f>
      </c>
      <c r="BC296" s="26">
        <f>IF(OR($A296="",BC$3=""),"",IF(AND($J296&lt;&gt;"",$K296&lt;&gt;"",$J296=$K296,$J296&gt;=BC$3,$J296&lt;=IF(param_mode_affichage="mois",EOMONTH(BC$3,0),BC$3+6)),"◆",""))</f>
      </c>
      <c r="BD296" s="26">
        <f>IF(OR($A296="",BD$3=""),"",IF(AND($J296&lt;&gt;"",$K296&lt;&gt;"",$J296=$K296,$J296&gt;=BD$3,$J296&lt;=IF(param_mode_affichage="mois",EOMONTH(BD$3,0),BD$3+6)),"◆",""))</f>
      </c>
      <c r="BE296" s="26">
        <f>IF(OR($A296="",BE$3=""),"",IF(AND($J296&lt;&gt;"",$K296&lt;&gt;"",$J296=$K296,$J296&gt;=BE$3,$J296&lt;=IF(param_mode_affichage="mois",EOMONTH(BE$3,0),BE$3+6)),"◆",""))</f>
      </c>
      <c r="BF296" s="26">
        <f>IF(OR($A296="",BF$3=""),"",IF(AND($J296&lt;&gt;"",$K296&lt;&gt;"",$J296=$K296,$J296&gt;=BF$3,$J296&lt;=IF(param_mode_affichage="mois",EOMONTH(BF$3,0),BF$3+6)),"◆",""))</f>
      </c>
      <c r="BG296" s="26">
        <f>IF(OR($A296="",BG$3=""),"",IF(AND($J296&lt;&gt;"",$K296&lt;&gt;"",$J296=$K296,$J296&gt;=BG$3,$J296&lt;=IF(param_mode_affichage="mois",EOMONTH(BG$3,0),BG$3+6)),"◆",""))</f>
      </c>
      <c r="BH296" s="26">
        <f>IF(OR($A296="",BH$3=""),"",IF(AND($J296&lt;&gt;"",$K296&lt;&gt;"",$J296=$K296,$J296&gt;=BH$3,$J296&lt;=IF(param_mode_affichage="mois",EOMONTH(BH$3,0),BH$3+6)),"◆",""))</f>
      </c>
      <c r="BI296" s="26">
        <f>IF(OR($A296="",BI$3=""),"",IF(AND($J296&lt;&gt;"",$K296&lt;&gt;"",$J296=$K296,$J296&gt;=BI$3,$J296&lt;=IF(param_mode_affichage="mois",EOMONTH(BI$3,0),BI$3+6)),"◆",""))</f>
      </c>
      <c r="BJ296" s="26">
        <f>IF(OR($A296="",BJ$3=""),"",IF(AND($J296&lt;&gt;"",$K296&lt;&gt;"",$J296=$K296,$J296&gt;=BJ$3,$J296&lt;=IF(param_mode_affichage="mois",EOMONTH(BJ$3,0),BJ$3+6)),"◆",""))</f>
      </c>
      <c r="BK296" s="26">
        <f>IF(OR($A296="",BK$3=""),"",IF(AND($J296&lt;&gt;"",$K296&lt;&gt;"",$J296=$K296,$J296&gt;=BK$3,$J296&lt;=IF(param_mode_affichage="mois",EOMONTH(BK$3,0),BK$3+6)),"◆",""))</f>
      </c>
      <c r="BL296" s="26">
        <f>IF(OR($A296="",BL$3=""),"",IF(AND($J296&lt;&gt;"",$K296&lt;&gt;"",$J296=$K296,$J296&gt;=BL$3,$J296&lt;=IF(param_mode_affichage="mois",EOMONTH(BL$3,0),BL$3+6)),"◆",""))</f>
      </c>
    </row>
    <row r="297" spans="1:64" x14ac:dyDescent="0.25">
      <c r="A297" s="23">
        <f>IFERROR(INDEX(tblTasks[ID],ROW()-4),"")</f>
      </c>
      <c r="B297" s="24">
        <f>IF($A297="","",INDEX(tblTasks[Sujet],ROW()-4))</f>
      </c>
      <c r="C297" s="23">
        <f>IF($A297="","",INDEX(tblTasks[Responsable],ROW()-4))</f>
      </c>
      <c r="D297" s="23">
        <f>IF($A297="","",INDEX(tblTasks[Statut],ROW()-4))</f>
      </c>
      <c r="E297" s="23">
        <f>IF($A297="","",INDEX(tblTasks[Depend_de],ROW()-4))</f>
      </c>
      <c r="F297" s="23">
        <f>IF($A297="","",INDEX(tblTasks[Blocage],ROW()-4))</f>
      </c>
      <c r="G297" s="23">
        <f>IF($A297="","",INDEX(tblTasks[Niveau_criticite],ROW()-4))</f>
      </c>
      <c r="H297" s="23">
        <f>IF($A297="","",INDEX(tblTasks[Goulot],ROW()-4))</f>
      </c>
      <c r="I297" s="23">
        <f>IF($A297="","",IF(LOWER($F297)="oui","non",IF($E297="","oui",IFERROR(IF(LOWER(INDEX(tblTasks[Statut],MATCH($E297,tblTasks[ID],0)))="clos","oui","non"),"non"))))</f>
      </c>
      <c r="J297" s="25">
        <f>IF($A297="","",INDEX(tblTasks[Date_debut_prevue],ROW()-4))</f>
      </c>
      <c r="K297" s="25">
        <f>IF($A297="","",INDEX(tblTasks[Date_fin_prevue],ROW()-4))</f>
      </c>
      <c r="L297" s="23">
        <f>IF($A297="","",INDEX(tblTasks[Irreversibilite],ROW()-4))</f>
      </c>
      <c r="M297" s="26">
        <f>IF(OR($A297="",M$3=""),"",IF(AND($J297&lt;&gt;"",$K297&lt;&gt;"",$J297=$K297,$J297&gt;=M$3,$J297&lt;=IF(param_mode_affichage="mois",EOMONTH(M$3,0),M$3+6)),"◆",""))</f>
      </c>
      <c r="N297" s="26">
        <f>IF(OR($A297="",N$3=""),"",IF(AND($J297&lt;&gt;"",$K297&lt;&gt;"",$J297=$K297,$J297&gt;=N$3,$J297&lt;=IF(param_mode_affichage="mois",EOMONTH(N$3,0),N$3+6)),"◆",""))</f>
      </c>
      <c r="O297" s="26">
        <f>IF(OR($A297="",O$3=""),"",IF(AND($J297&lt;&gt;"",$K297&lt;&gt;"",$J297=$K297,$J297&gt;=O$3,$J297&lt;=IF(param_mode_affichage="mois",EOMONTH(O$3,0),O$3+6)),"◆",""))</f>
      </c>
      <c r="P297" s="26">
        <f>IF(OR($A297="",P$3=""),"",IF(AND($J297&lt;&gt;"",$K297&lt;&gt;"",$J297=$K297,$J297&gt;=P$3,$J297&lt;=IF(param_mode_affichage="mois",EOMONTH(P$3,0),P$3+6)),"◆",""))</f>
      </c>
      <c r="Q297" s="26">
        <f>IF(OR($A297="",Q$3=""),"",IF(AND($J297&lt;&gt;"",$K297&lt;&gt;"",$J297=$K297,$J297&gt;=Q$3,$J297&lt;=IF(param_mode_affichage="mois",EOMONTH(Q$3,0),Q$3+6)),"◆",""))</f>
      </c>
      <c r="R297" s="26">
        <f>IF(OR($A297="",R$3=""),"",IF(AND($J297&lt;&gt;"",$K297&lt;&gt;"",$J297=$K297,$J297&gt;=R$3,$J297&lt;=IF(param_mode_affichage="mois",EOMONTH(R$3,0),R$3+6)),"◆",""))</f>
      </c>
      <c r="S297" s="26">
        <f>IF(OR($A297="",S$3=""),"",IF(AND($J297&lt;&gt;"",$K297&lt;&gt;"",$J297=$K297,$J297&gt;=S$3,$J297&lt;=IF(param_mode_affichage="mois",EOMONTH(S$3,0),S$3+6)),"◆",""))</f>
      </c>
      <c r="T297" s="26">
        <f>IF(OR($A297="",T$3=""),"",IF(AND($J297&lt;&gt;"",$K297&lt;&gt;"",$J297=$K297,$J297&gt;=T$3,$J297&lt;=IF(param_mode_affichage="mois",EOMONTH(T$3,0),T$3+6)),"◆",""))</f>
      </c>
      <c r="U297" s="26">
        <f>IF(OR($A297="",U$3=""),"",IF(AND($J297&lt;&gt;"",$K297&lt;&gt;"",$J297=$K297,$J297&gt;=U$3,$J297&lt;=IF(param_mode_affichage="mois",EOMONTH(U$3,0),U$3+6)),"◆",""))</f>
      </c>
      <c r="V297" s="26">
        <f>IF(OR($A297="",V$3=""),"",IF(AND($J297&lt;&gt;"",$K297&lt;&gt;"",$J297=$K297,$J297&gt;=V$3,$J297&lt;=IF(param_mode_affichage="mois",EOMONTH(V$3,0),V$3+6)),"◆",""))</f>
      </c>
      <c r="W297" s="26">
        <f>IF(OR($A297="",W$3=""),"",IF(AND($J297&lt;&gt;"",$K297&lt;&gt;"",$J297=$K297,$J297&gt;=W$3,$J297&lt;=IF(param_mode_affichage="mois",EOMONTH(W$3,0),W$3+6)),"◆",""))</f>
      </c>
      <c r="X297" s="26">
        <f>IF(OR($A297="",X$3=""),"",IF(AND($J297&lt;&gt;"",$K297&lt;&gt;"",$J297=$K297,$J297&gt;=X$3,$J297&lt;=IF(param_mode_affichage="mois",EOMONTH(X$3,0),X$3+6)),"◆",""))</f>
      </c>
      <c r="Y297" s="26">
        <f>IF(OR($A297="",Y$3=""),"",IF(AND($J297&lt;&gt;"",$K297&lt;&gt;"",$J297=$K297,$J297&gt;=Y$3,$J297&lt;=IF(param_mode_affichage="mois",EOMONTH(Y$3,0),Y$3+6)),"◆",""))</f>
      </c>
      <c r="Z297" s="26">
        <f>IF(OR($A297="",Z$3=""),"",IF(AND($J297&lt;&gt;"",$K297&lt;&gt;"",$J297=$K297,$J297&gt;=Z$3,$J297&lt;=IF(param_mode_affichage="mois",EOMONTH(Z$3,0),Z$3+6)),"◆",""))</f>
      </c>
      <c r="AA297" s="26">
        <f>IF(OR($A297="",AA$3=""),"",IF(AND($J297&lt;&gt;"",$K297&lt;&gt;"",$J297=$K297,$J297&gt;=AA$3,$J297&lt;=IF(param_mode_affichage="mois",EOMONTH(AA$3,0),AA$3+6)),"◆",""))</f>
      </c>
      <c r="AB297" s="26">
        <f>IF(OR($A297="",AB$3=""),"",IF(AND($J297&lt;&gt;"",$K297&lt;&gt;"",$J297=$K297,$J297&gt;=AB$3,$J297&lt;=IF(param_mode_affichage="mois",EOMONTH(AB$3,0),AB$3+6)),"◆",""))</f>
      </c>
      <c r="AC297" s="26">
        <f>IF(OR($A297="",AC$3=""),"",IF(AND($J297&lt;&gt;"",$K297&lt;&gt;"",$J297=$K297,$J297&gt;=AC$3,$J297&lt;=IF(param_mode_affichage="mois",EOMONTH(AC$3,0),AC$3+6)),"◆",""))</f>
      </c>
      <c r="AD297" s="26">
        <f>IF(OR($A297="",AD$3=""),"",IF(AND($J297&lt;&gt;"",$K297&lt;&gt;"",$J297=$K297,$J297&gt;=AD$3,$J297&lt;=IF(param_mode_affichage="mois",EOMONTH(AD$3,0),AD$3+6)),"◆",""))</f>
      </c>
      <c r="AE297" s="26">
        <f>IF(OR($A297="",AE$3=""),"",IF(AND($J297&lt;&gt;"",$K297&lt;&gt;"",$J297=$K297,$J297&gt;=AE$3,$J297&lt;=IF(param_mode_affichage="mois",EOMONTH(AE$3,0),AE$3+6)),"◆",""))</f>
      </c>
      <c r="AF297" s="26">
        <f>IF(OR($A297="",AF$3=""),"",IF(AND($J297&lt;&gt;"",$K297&lt;&gt;"",$J297=$K297,$J297&gt;=AF$3,$J297&lt;=IF(param_mode_affichage="mois",EOMONTH(AF$3,0),AF$3+6)),"◆",""))</f>
      </c>
      <c r="AG297" s="26">
        <f>IF(OR($A297="",AG$3=""),"",IF(AND($J297&lt;&gt;"",$K297&lt;&gt;"",$J297=$K297,$J297&gt;=AG$3,$J297&lt;=IF(param_mode_affichage="mois",EOMONTH(AG$3,0),AG$3+6)),"◆",""))</f>
      </c>
      <c r="AH297" s="26">
        <f>IF(OR($A297="",AH$3=""),"",IF(AND($J297&lt;&gt;"",$K297&lt;&gt;"",$J297=$K297,$J297&gt;=AH$3,$J297&lt;=IF(param_mode_affichage="mois",EOMONTH(AH$3,0),AH$3+6)),"◆",""))</f>
      </c>
      <c r="AI297" s="26">
        <f>IF(OR($A297="",AI$3=""),"",IF(AND($J297&lt;&gt;"",$K297&lt;&gt;"",$J297=$K297,$J297&gt;=AI$3,$J297&lt;=IF(param_mode_affichage="mois",EOMONTH(AI$3,0),AI$3+6)),"◆",""))</f>
      </c>
      <c r="AJ297" s="26">
        <f>IF(OR($A297="",AJ$3=""),"",IF(AND($J297&lt;&gt;"",$K297&lt;&gt;"",$J297=$K297,$J297&gt;=AJ$3,$J297&lt;=IF(param_mode_affichage="mois",EOMONTH(AJ$3,0),AJ$3+6)),"◆",""))</f>
      </c>
      <c r="AK297" s="26">
        <f>IF(OR($A297="",AK$3=""),"",IF(AND($J297&lt;&gt;"",$K297&lt;&gt;"",$J297=$K297,$J297&gt;=AK$3,$J297&lt;=IF(param_mode_affichage="mois",EOMONTH(AK$3,0),AK$3+6)),"◆",""))</f>
      </c>
      <c r="AL297" s="26">
        <f>IF(OR($A297="",AL$3=""),"",IF(AND($J297&lt;&gt;"",$K297&lt;&gt;"",$J297=$K297,$J297&gt;=AL$3,$J297&lt;=IF(param_mode_affichage="mois",EOMONTH(AL$3,0),AL$3+6)),"◆",""))</f>
      </c>
      <c r="AM297" s="26">
        <f>IF(OR($A297="",AM$3=""),"",IF(AND($J297&lt;&gt;"",$K297&lt;&gt;"",$J297=$K297,$J297&gt;=AM$3,$J297&lt;=IF(param_mode_affichage="mois",EOMONTH(AM$3,0),AM$3+6)),"◆",""))</f>
      </c>
      <c r="AN297" s="26">
        <f>IF(OR($A297="",AN$3=""),"",IF(AND($J297&lt;&gt;"",$K297&lt;&gt;"",$J297=$K297,$J297&gt;=AN$3,$J297&lt;=IF(param_mode_affichage="mois",EOMONTH(AN$3,0),AN$3+6)),"◆",""))</f>
      </c>
      <c r="AO297" s="26">
        <f>IF(OR($A297="",AO$3=""),"",IF(AND($J297&lt;&gt;"",$K297&lt;&gt;"",$J297=$K297,$J297&gt;=AO$3,$J297&lt;=IF(param_mode_affichage="mois",EOMONTH(AO$3,0),AO$3+6)),"◆",""))</f>
      </c>
      <c r="AP297" s="26">
        <f>IF(OR($A297="",AP$3=""),"",IF(AND($J297&lt;&gt;"",$K297&lt;&gt;"",$J297=$K297,$J297&gt;=AP$3,$J297&lt;=IF(param_mode_affichage="mois",EOMONTH(AP$3,0),AP$3+6)),"◆",""))</f>
      </c>
      <c r="AQ297" s="26">
        <f>IF(OR($A297="",AQ$3=""),"",IF(AND($J297&lt;&gt;"",$K297&lt;&gt;"",$J297=$K297,$J297&gt;=AQ$3,$J297&lt;=IF(param_mode_affichage="mois",EOMONTH(AQ$3,0),AQ$3+6)),"◆",""))</f>
      </c>
      <c r="AR297" s="26">
        <f>IF(OR($A297="",AR$3=""),"",IF(AND($J297&lt;&gt;"",$K297&lt;&gt;"",$J297=$K297,$J297&gt;=AR$3,$J297&lt;=IF(param_mode_affichage="mois",EOMONTH(AR$3,0),AR$3+6)),"◆",""))</f>
      </c>
      <c r="AS297" s="26">
        <f>IF(OR($A297="",AS$3=""),"",IF(AND($J297&lt;&gt;"",$K297&lt;&gt;"",$J297=$K297,$J297&gt;=AS$3,$J297&lt;=IF(param_mode_affichage="mois",EOMONTH(AS$3,0),AS$3+6)),"◆",""))</f>
      </c>
      <c r="AT297" s="26">
        <f>IF(OR($A297="",AT$3=""),"",IF(AND($J297&lt;&gt;"",$K297&lt;&gt;"",$J297=$K297,$J297&gt;=AT$3,$J297&lt;=IF(param_mode_affichage="mois",EOMONTH(AT$3,0),AT$3+6)),"◆",""))</f>
      </c>
      <c r="AU297" s="26">
        <f>IF(OR($A297="",AU$3=""),"",IF(AND($J297&lt;&gt;"",$K297&lt;&gt;"",$J297=$K297,$J297&gt;=AU$3,$J297&lt;=IF(param_mode_affichage="mois",EOMONTH(AU$3,0),AU$3+6)),"◆",""))</f>
      </c>
      <c r="AV297" s="26">
        <f>IF(OR($A297="",AV$3=""),"",IF(AND($J297&lt;&gt;"",$K297&lt;&gt;"",$J297=$K297,$J297&gt;=AV$3,$J297&lt;=IF(param_mode_affichage="mois",EOMONTH(AV$3,0),AV$3+6)),"◆",""))</f>
      </c>
      <c r="AW297" s="26">
        <f>IF(OR($A297="",AW$3=""),"",IF(AND($J297&lt;&gt;"",$K297&lt;&gt;"",$J297=$K297,$J297&gt;=AW$3,$J297&lt;=IF(param_mode_affichage="mois",EOMONTH(AW$3,0),AW$3+6)),"◆",""))</f>
      </c>
      <c r="AX297" s="26">
        <f>IF(OR($A297="",AX$3=""),"",IF(AND($J297&lt;&gt;"",$K297&lt;&gt;"",$J297=$K297,$J297&gt;=AX$3,$J297&lt;=IF(param_mode_affichage="mois",EOMONTH(AX$3,0),AX$3+6)),"◆",""))</f>
      </c>
      <c r="AY297" s="26">
        <f>IF(OR($A297="",AY$3=""),"",IF(AND($J297&lt;&gt;"",$K297&lt;&gt;"",$J297=$K297,$J297&gt;=AY$3,$J297&lt;=IF(param_mode_affichage="mois",EOMONTH(AY$3,0),AY$3+6)),"◆",""))</f>
      </c>
      <c r="AZ297" s="26">
        <f>IF(OR($A297="",AZ$3=""),"",IF(AND($J297&lt;&gt;"",$K297&lt;&gt;"",$J297=$K297,$J297&gt;=AZ$3,$J297&lt;=IF(param_mode_affichage="mois",EOMONTH(AZ$3,0),AZ$3+6)),"◆",""))</f>
      </c>
      <c r="BA297" s="26">
        <f>IF(OR($A297="",BA$3=""),"",IF(AND($J297&lt;&gt;"",$K297&lt;&gt;"",$J297=$K297,$J297&gt;=BA$3,$J297&lt;=IF(param_mode_affichage="mois",EOMONTH(BA$3,0),BA$3+6)),"◆",""))</f>
      </c>
      <c r="BB297" s="26">
        <f>IF(OR($A297="",BB$3=""),"",IF(AND($J297&lt;&gt;"",$K297&lt;&gt;"",$J297=$K297,$J297&gt;=BB$3,$J297&lt;=IF(param_mode_affichage="mois",EOMONTH(BB$3,0),BB$3+6)),"◆",""))</f>
      </c>
      <c r="BC297" s="26">
        <f>IF(OR($A297="",BC$3=""),"",IF(AND($J297&lt;&gt;"",$K297&lt;&gt;"",$J297=$K297,$J297&gt;=BC$3,$J297&lt;=IF(param_mode_affichage="mois",EOMONTH(BC$3,0),BC$3+6)),"◆",""))</f>
      </c>
      <c r="BD297" s="26">
        <f>IF(OR($A297="",BD$3=""),"",IF(AND($J297&lt;&gt;"",$K297&lt;&gt;"",$J297=$K297,$J297&gt;=BD$3,$J297&lt;=IF(param_mode_affichage="mois",EOMONTH(BD$3,0),BD$3+6)),"◆",""))</f>
      </c>
      <c r="BE297" s="26">
        <f>IF(OR($A297="",BE$3=""),"",IF(AND($J297&lt;&gt;"",$K297&lt;&gt;"",$J297=$K297,$J297&gt;=BE$3,$J297&lt;=IF(param_mode_affichage="mois",EOMONTH(BE$3,0),BE$3+6)),"◆",""))</f>
      </c>
      <c r="BF297" s="26">
        <f>IF(OR($A297="",BF$3=""),"",IF(AND($J297&lt;&gt;"",$K297&lt;&gt;"",$J297=$K297,$J297&gt;=BF$3,$J297&lt;=IF(param_mode_affichage="mois",EOMONTH(BF$3,0),BF$3+6)),"◆",""))</f>
      </c>
      <c r="BG297" s="26">
        <f>IF(OR($A297="",BG$3=""),"",IF(AND($J297&lt;&gt;"",$K297&lt;&gt;"",$J297=$K297,$J297&gt;=BG$3,$J297&lt;=IF(param_mode_affichage="mois",EOMONTH(BG$3,0),BG$3+6)),"◆",""))</f>
      </c>
      <c r="BH297" s="26">
        <f>IF(OR($A297="",BH$3=""),"",IF(AND($J297&lt;&gt;"",$K297&lt;&gt;"",$J297=$K297,$J297&gt;=BH$3,$J297&lt;=IF(param_mode_affichage="mois",EOMONTH(BH$3,0),BH$3+6)),"◆",""))</f>
      </c>
      <c r="BI297" s="26">
        <f>IF(OR($A297="",BI$3=""),"",IF(AND($J297&lt;&gt;"",$K297&lt;&gt;"",$J297=$K297,$J297&gt;=BI$3,$J297&lt;=IF(param_mode_affichage="mois",EOMONTH(BI$3,0),BI$3+6)),"◆",""))</f>
      </c>
      <c r="BJ297" s="26">
        <f>IF(OR($A297="",BJ$3=""),"",IF(AND($J297&lt;&gt;"",$K297&lt;&gt;"",$J297=$K297,$J297&gt;=BJ$3,$J297&lt;=IF(param_mode_affichage="mois",EOMONTH(BJ$3,0),BJ$3+6)),"◆",""))</f>
      </c>
      <c r="BK297" s="26">
        <f>IF(OR($A297="",BK$3=""),"",IF(AND($J297&lt;&gt;"",$K297&lt;&gt;"",$J297=$K297,$J297&gt;=BK$3,$J297&lt;=IF(param_mode_affichage="mois",EOMONTH(BK$3,0),BK$3+6)),"◆",""))</f>
      </c>
      <c r="BL297" s="26">
        <f>IF(OR($A297="",BL$3=""),"",IF(AND($J297&lt;&gt;"",$K297&lt;&gt;"",$J297=$K297,$J297&gt;=BL$3,$J297&lt;=IF(param_mode_affichage="mois",EOMONTH(BL$3,0),BL$3+6)),"◆",""))</f>
      </c>
    </row>
    <row r="298" spans="1:64" x14ac:dyDescent="0.25">
      <c r="A298" s="23">
        <f>IFERROR(INDEX(tblTasks[ID],ROW()-4),"")</f>
      </c>
      <c r="B298" s="24">
        <f>IF($A298="","",INDEX(tblTasks[Sujet],ROW()-4))</f>
      </c>
      <c r="C298" s="23">
        <f>IF($A298="","",INDEX(tblTasks[Responsable],ROW()-4))</f>
      </c>
      <c r="D298" s="23">
        <f>IF($A298="","",INDEX(tblTasks[Statut],ROW()-4))</f>
      </c>
      <c r="E298" s="23">
        <f>IF($A298="","",INDEX(tblTasks[Depend_de],ROW()-4))</f>
      </c>
      <c r="F298" s="23">
        <f>IF($A298="","",INDEX(tblTasks[Blocage],ROW()-4))</f>
      </c>
      <c r="G298" s="23">
        <f>IF($A298="","",INDEX(tblTasks[Niveau_criticite],ROW()-4))</f>
      </c>
      <c r="H298" s="23">
        <f>IF($A298="","",INDEX(tblTasks[Goulot],ROW()-4))</f>
      </c>
      <c r="I298" s="23">
        <f>IF($A298="","",IF(LOWER($F298)="oui","non",IF($E298="","oui",IFERROR(IF(LOWER(INDEX(tblTasks[Statut],MATCH($E298,tblTasks[ID],0)))="clos","oui","non"),"non"))))</f>
      </c>
      <c r="J298" s="25">
        <f>IF($A298="","",INDEX(tblTasks[Date_debut_prevue],ROW()-4))</f>
      </c>
      <c r="K298" s="25">
        <f>IF($A298="","",INDEX(tblTasks[Date_fin_prevue],ROW()-4))</f>
      </c>
      <c r="L298" s="23">
        <f>IF($A298="","",INDEX(tblTasks[Irreversibilite],ROW()-4))</f>
      </c>
      <c r="M298" s="26">
        <f>IF(OR($A298="",M$3=""),"",IF(AND($J298&lt;&gt;"",$K298&lt;&gt;"",$J298=$K298,$J298&gt;=M$3,$J298&lt;=IF(param_mode_affichage="mois",EOMONTH(M$3,0),M$3+6)),"◆",""))</f>
      </c>
      <c r="N298" s="26">
        <f>IF(OR($A298="",N$3=""),"",IF(AND($J298&lt;&gt;"",$K298&lt;&gt;"",$J298=$K298,$J298&gt;=N$3,$J298&lt;=IF(param_mode_affichage="mois",EOMONTH(N$3,0),N$3+6)),"◆",""))</f>
      </c>
      <c r="O298" s="26">
        <f>IF(OR($A298="",O$3=""),"",IF(AND($J298&lt;&gt;"",$K298&lt;&gt;"",$J298=$K298,$J298&gt;=O$3,$J298&lt;=IF(param_mode_affichage="mois",EOMONTH(O$3,0),O$3+6)),"◆",""))</f>
      </c>
      <c r="P298" s="26">
        <f>IF(OR($A298="",P$3=""),"",IF(AND($J298&lt;&gt;"",$K298&lt;&gt;"",$J298=$K298,$J298&gt;=P$3,$J298&lt;=IF(param_mode_affichage="mois",EOMONTH(P$3,0),P$3+6)),"◆",""))</f>
      </c>
      <c r="Q298" s="26">
        <f>IF(OR($A298="",Q$3=""),"",IF(AND($J298&lt;&gt;"",$K298&lt;&gt;"",$J298=$K298,$J298&gt;=Q$3,$J298&lt;=IF(param_mode_affichage="mois",EOMONTH(Q$3,0),Q$3+6)),"◆",""))</f>
      </c>
      <c r="R298" s="26">
        <f>IF(OR($A298="",R$3=""),"",IF(AND($J298&lt;&gt;"",$K298&lt;&gt;"",$J298=$K298,$J298&gt;=R$3,$J298&lt;=IF(param_mode_affichage="mois",EOMONTH(R$3,0),R$3+6)),"◆",""))</f>
      </c>
      <c r="S298" s="26">
        <f>IF(OR($A298="",S$3=""),"",IF(AND($J298&lt;&gt;"",$K298&lt;&gt;"",$J298=$K298,$J298&gt;=S$3,$J298&lt;=IF(param_mode_affichage="mois",EOMONTH(S$3,0),S$3+6)),"◆",""))</f>
      </c>
      <c r="T298" s="26">
        <f>IF(OR($A298="",T$3=""),"",IF(AND($J298&lt;&gt;"",$K298&lt;&gt;"",$J298=$K298,$J298&gt;=T$3,$J298&lt;=IF(param_mode_affichage="mois",EOMONTH(T$3,0),T$3+6)),"◆",""))</f>
      </c>
      <c r="U298" s="26">
        <f>IF(OR($A298="",U$3=""),"",IF(AND($J298&lt;&gt;"",$K298&lt;&gt;"",$J298=$K298,$J298&gt;=U$3,$J298&lt;=IF(param_mode_affichage="mois",EOMONTH(U$3,0),U$3+6)),"◆",""))</f>
      </c>
      <c r="V298" s="26">
        <f>IF(OR($A298="",V$3=""),"",IF(AND($J298&lt;&gt;"",$K298&lt;&gt;"",$J298=$K298,$J298&gt;=V$3,$J298&lt;=IF(param_mode_affichage="mois",EOMONTH(V$3,0),V$3+6)),"◆",""))</f>
      </c>
      <c r="W298" s="26">
        <f>IF(OR($A298="",W$3=""),"",IF(AND($J298&lt;&gt;"",$K298&lt;&gt;"",$J298=$K298,$J298&gt;=W$3,$J298&lt;=IF(param_mode_affichage="mois",EOMONTH(W$3,0),W$3+6)),"◆",""))</f>
      </c>
      <c r="X298" s="26">
        <f>IF(OR($A298="",X$3=""),"",IF(AND($J298&lt;&gt;"",$K298&lt;&gt;"",$J298=$K298,$J298&gt;=X$3,$J298&lt;=IF(param_mode_affichage="mois",EOMONTH(X$3,0),X$3+6)),"◆",""))</f>
      </c>
      <c r="Y298" s="26">
        <f>IF(OR($A298="",Y$3=""),"",IF(AND($J298&lt;&gt;"",$K298&lt;&gt;"",$J298=$K298,$J298&gt;=Y$3,$J298&lt;=IF(param_mode_affichage="mois",EOMONTH(Y$3,0),Y$3+6)),"◆",""))</f>
      </c>
      <c r="Z298" s="26">
        <f>IF(OR($A298="",Z$3=""),"",IF(AND($J298&lt;&gt;"",$K298&lt;&gt;"",$J298=$K298,$J298&gt;=Z$3,$J298&lt;=IF(param_mode_affichage="mois",EOMONTH(Z$3,0),Z$3+6)),"◆",""))</f>
      </c>
      <c r="AA298" s="26">
        <f>IF(OR($A298="",AA$3=""),"",IF(AND($J298&lt;&gt;"",$K298&lt;&gt;"",$J298=$K298,$J298&gt;=AA$3,$J298&lt;=IF(param_mode_affichage="mois",EOMONTH(AA$3,0),AA$3+6)),"◆",""))</f>
      </c>
      <c r="AB298" s="26">
        <f>IF(OR($A298="",AB$3=""),"",IF(AND($J298&lt;&gt;"",$K298&lt;&gt;"",$J298=$K298,$J298&gt;=AB$3,$J298&lt;=IF(param_mode_affichage="mois",EOMONTH(AB$3,0),AB$3+6)),"◆",""))</f>
      </c>
      <c r="AC298" s="26">
        <f>IF(OR($A298="",AC$3=""),"",IF(AND($J298&lt;&gt;"",$K298&lt;&gt;"",$J298=$K298,$J298&gt;=AC$3,$J298&lt;=IF(param_mode_affichage="mois",EOMONTH(AC$3,0),AC$3+6)),"◆",""))</f>
      </c>
      <c r="AD298" s="26">
        <f>IF(OR($A298="",AD$3=""),"",IF(AND($J298&lt;&gt;"",$K298&lt;&gt;"",$J298=$K298,$J298&gt;=AD$3,$J298&lt;=IF(param_mode_affichage="mois",EOMONTH(AD$3,0),AD$3+6)),"◆",""))</f>
      </c>
      <c r="AE298" s="26">
        <f>IF(OR($A298="",AE$3=""),"",IF(AND($J298&lt;&gt;"",$K298&lt;&gt;"",$J298=$K298,$J298&gt;=AE$3,$J298&lt;=IF(param_mode_affichage="mois",EOMONTH(AE$3,0),AE$3+6)),"◆",""))</f>
      </c>
      <c r="AF298" s="26">
        <f>IF(OR($A298="",AF$3=""),"",IF(AND($J298&lt;&gt;"",$K298&lt;&gt;"",$J298=$K298,$J298&gt;=AF$3,$J298&lt;=IF(param_mode_affichage="mois",EOMONTH(AF$3,0),AF$3+6)),"◆",""))</f>
      </c>
      <c r="AG298" s="26">
        <f>IF(OR($A298="",AG$3=""),"",IF(AND($J298&lt;&gt;"",$K298&lt;&gt;"",$J298=$K298,$J298&gt;=AG$3,$J298&lt;=IF(param_mode_affichage="mois",EOMONTH(AG$3,0),AG$3+6)),"◆",""))</f>
      </c>
      <c r="AH298" s="26">
        <f>IF(OR($A298="",AH$3=""),"",IF(AND($J298&lt;&gt;"",$K298&lt;&gt;"",$J298=$K298,$J298&gt;=AH$3,$J298&lt;=IF(param_mode_affichage="mois",EOMONTH(AH$3,0),AH$3+6)),"◆",""))</f>
      </c>
      <c r="AI298" s="26">
        <f>IF(OR($A298="",AI$3=""),"",IF(AND($J298&lt;&gt;"",$K298&lt;&gt;"",$J298=$K298,$J298&gt;=AI$3,$J298&lt;=IF(param_mode_affichage="mois",EOMONTH(AI$3,0),AI$3+6)),"◆",""))</f>
      </c>
      <c r="AJ298" s="26">
        <f>IF(OR($A298="",AJ$3=""),"",IF(AND($J298&lt;&gt;"",$K298&lt;&gt;"",$J298=$K298,$J298&gt;=AJ$3,$J298&lt;=IF(param_mode_affichage="mois",EOMONTH(AJ$3,0),AJ$3+6)),"◆",""))</f>
      </c>
      <c r="AK298" s="26">
        <f>IF(OR($A298="",AK$3=""),"",IF(AND($J298&lt;&gt;"",$K298&lt;&gt;"",$J298=$K298,$J298&gt;=AK$3,$J298&lt;=IF(param_mode_affichage="mois",EOMONTH(AK$3,0),AK$3+6)),"◆",""))</f>
      </c>
      <c r="AL298" s="26">
        <f>IF(OR($A298="",AL$3=""),"",IF(AND($J298&lt;&gt;"",$K298&lt;&gt;"",$J298=$K298,$J298&gt;=AL$3,$J298&lt;=IF(param_mode_affichage="mois",EOMONTH(AL$3,0),AL$3+6)),"◆",""))</f>
      </c>
      <c r="AM298" s="26">
        <f>IF(OR($A298="",AM$3=""),"",IF(AND($J298&lt;&gt;"",$K298&lt;&gt;"",$J298=$K298,$J298&gt;=AM$3,$J298&lt;=IF(param_mode_affichage="mois",EOMONTH(AM$3,0),AM$3+6)),"◆",""))</f>
      </c>
      <c r="AN298" s="26">
        <f>IF(OR($A298="",AN$3=""),"",IF(AND($J298&lt;&gt;"",$K298&lt;&gt;"",$J298=$K298,$J298&gt;=AN$3,$J298&lt;=IF(param_mode_affichage="mois",EOMONTH(AN$3,0),AN$3+6)),"◆",""))</f>
      </c>
      <c r="AO298" s="26">
        <f>IF(OR($A298="",AO$3=""),"",IF(AND($J298&lt;&gt;"",$K298&lt;&gt;"",$J298=$K298,$J298&gt;=AO$3,$J298&lt;=IF(param_mode_affichage="mois",EOMONTH(AO$3,0),AO$3+6)),"◆",""))</f>
      </c>
      <c r="AP298" s="26">
        <f>IF(OR($A298="",AP$3=""),"",IF(AND($J298&lt;&gt;"",$K298&lt;&gt;"",$J298=$K298,$J298&gt;=AP$3,$J298&lt;=IF(param_mode_affichage="mois",EOMONTH(AP$3,0),AP$3+6)),"◆",""))</f>
      </c>
      <c r="AQ298" s="26">
        <f>IF(OR($A298="",AQ$3=""),"",IF(AND($J298&lt;&gt;"",$K298&lt;&gt;"",$J298=$K298,$J298&gt;=AQ$3,$J298&lt;=IF(param_mode_affichage="mois",EOMONTH(AQ$3,0),AQ$3+6)),"◆",""))</f>
      </c>
      <c r="AR298" s="26">
        <f>IF(OR($A298="",AR$3=""),"",IF(AND($J298&lt;&gt;"",$K298&lt;&gt;"",$J298=$K298,$J298&gt;=AR$3,$J298&lt;=IF(param_mode_affichage="mois",EOMONTH(AR$3,0),AR$3+6)),"◆",""))</f>
      </c>
      <c r="AS298" s="26">
        <f>IF(OR($A298="",AS$3=""),"",IF(AND($J298&lt;&gt;"",$K298&lt;&gt;"",$J298=$K298,$J298&gt;=AS$3,$J298&lt;=IF(param_mode_affichage="mois",EOMONTH(AS$3,0),AS$3+6)),"◆",""))</f>
      </c>
      <c r="AT298" s="26">
        <f>IF(OR($A298="",AT$3=""),"",IF(AND($J298&lt;&gt;"",$K298&lt;&gt;"",$J298=$K298,$J298&gt;=AT$3,$J298&lt;=IF(param_mode_affichage="mois",EOMONTH(AT$3,0),AT$3+6)),"◆",""))</f>
      </c>
      <c r="AU298" s="26">
        <f>IF(OR($A298="",AU$3=""),"",IF(AND($J298&lt;&gt;"",$K298&lt;&gt;"",$J298=$K298,$J298&gt;=AU$3,$J298&lt;=IF(param_mode_affichage="mois",EOMONTH(AU$3,0),AU$3+6)),"◆",""))</f>
      </c>
      <c r="AV298" s="26">
        <f>IF(OR($A298="",AV$3=""),"",IF(AND($J298&lt;&gt;"",$K298&lt;&gt;"",$J298=$K298,$J298&gt;=AV$3,$J298&lt;=IF(param_mode_affichage="mois",EOMONTH(AV$3,0),AV$3+6)),"◆",""))</f>
      </c>
      <c r="AW298" s="26">
        <f>IF(OR($A298="",AW$3=""),"",IF(AND($J298&lt;&gt;"",$K298&lt;&gt;"",$J298=$K298,$J298&gt;=AW$3,$J298&lt;=IF(param_mode_affichage="mois",EOMONTH(AW$3,0),AW$3+6)),"◆",""))</f>
      </c>
      <c r="AX298" s="26">
        <f>IF(OR($A298="",AX$3=""),"",IF(AND($J298&lt;&gt;"",$K298&lt;&gt;"",$J298=$K298,$J298&gt;=AX$3,$J298&lt;=IF(param_mode_affichage="mois",EOMONTH(AX$3,0),AX$3+6)),"◆",""))</f>
      </c>
      <c r="AY298" s="26">
        <f>IF(OR($A298="",AY$3=""),"",IF(AND($J298&lt;&gt;"",$K298&lt;&gt;"",$J298=$K298,$J298&gt;=AY$3,$J298&lt;=IF(param_mode_affichage="mois",EOMONTH(AY$3,0),AY$3+6)),"◆",""))</f>
      </c>
      <c r="AZ298" s="26">
        <f>IF(OR($A298="",AZ$3=""),"",IF(AND($J298&lt;&gt;"",$K298&lt;&gt;"",$J298=$K298,$J298&gt;=AZ$3,$J298&lt;=IF(param_mode_affichage="mois",EOMONTH(AZ$3,0),AZ$3+6)),"◆",""))</f>
      </c>
      <c r="BA298" s="26">
        <f>IF(OR($A298="",BA$3=""),"",IF(AND($J298&lt;&gt;"",$K298&lt;&gt;"",$J298=$K298,$J298&gt;=BA$3,$J298&lt;=IF(param_mode_affichage="mois",EOMONTH(BA$3,0),BA$3+6)),"◆",""))</f>
      </c>
      <c r="BB298" s="26">
        <f>IF(OR($A298="",BB$3=""),"",IF(AND($J298&lt;&gt;"",$K298&lt;&gt;"",$J298=$K298,$J298&gt;=BB$3,$J298&lt;=IF(param_mode_affichage="mois",EOMONTH(BB$3,0),BB$3+6)),"◆",""))</f>
      </c>
      <c r="BC298" s="26">
        <f>IF(OR($A298="",BC$3=""),"",IF(AND($J298&lt;&gt;"",$K298&lt;&gt;"",$J298=$K298,$J298&gt;=BC$3,$J298&lt;=IF(param_mode_affichage="mois",EOMONTH(BC$3,0),BC$3+6)),"◆",""))</f>
      </c>
      <c r="BD298" s="26">
        <f>IF(OR($A298="",BD$3=""),"",IF(AND($J298&lt;&gt;"",$K298&lt;&gt;"",$J298=$K298,$J298&gt;=BD$3,$J298&lt;=IF(param_mode_affichage="mois",EOMONTH(BD$3,0),BD$3+6)),"◆",""))</f>
      </c>
      <c r="BE298" s="26">
        <f>IF(OR($A298="",BE$3=""),"",IF(AND($J298&lt;&gt;"",$K298&lt;&gt;"",$J298=$K298,$J298&gt;=BE$3,$J298&lt;=IF(param_mode_affichage="mois",EOMONTH(BE$3,0),BE$3+6)),"◆",""))</f>
      </c>
      <c r="BF298" s="26">
        <f>IF(OR($A298="",BF$3=""),"",IF(AND($J298&lt;&gt;"",$K298&lt;&gt;"",$J298=$K298,$J298&gt;=BF$3,$J298&lt;=IF(param_mode_affichage="mois",EOMONTH(BF$3,0),BF$3+6)),"◆",""))</f>
      </c>
      <c r="BG298" s="26">
        <f>IF(OR($A298="",BG$3=""),"",IF(AND($J298&lt;&gt;"",$K298&lt;&gt;"",$J298=$K298,$J298&gt;=BG$3,$J298&lt;=IF(param_mode_affichage="mois",EOMONTH(BG$3,0),BG$3+6)),"◆",""))</f>
      </c>
      <c r="BH298" s="26">
        <f>IF(OR($A298="",BH$3=""),"",IF(AND($J298&lt;&gt;"",$K298&lt;&gt;"",$J298=$K298,$J298&gt;=BH$3,$J298&lt;=IF(param_mode_affichage="mois",EOMONTH(BH$3,0),BH$3+6)),"◆",""))</f>
      </c>
      <c r="BI298" s="26">
        <f>IF(OR($A298="",BI$3=""),"",IF(AND($J298&lt;&gt;"",$K298&lt;&gt;"",$J298=$K298,$J298&gt;=BI$3,$J298&lt;=IF(param_mode_affichage="mois",EOMONTH(BI$3,0),BI$3+6)),"◆",""))</f>
      </c>
      <c r="BJ298" s="26">
        <f>IF(OR($A298="",BJ$3=""),"",IF(AND($J298&lt;&gt;"",$K298&lt;&gt;"",$J298=$K298,$J298&gt;=BJ$3,$J298&lt;=IF(param_mode_affichage="mois",EOMONTH(BJ$3,0),BJ$3+6)),"◆",""))</f>
      </c>
      <c r="BK298" s="26">
        <f>IF(OR($A298="",BK$3=""),"",IF(AND($J298&lt;&gt;"",$K298&lt;&gt;"",$J298=$K298,$J298&gt;=BK$3,$J298&lt;=IF(param_mode_affichage="mois",EOMONTH(BK$3,0),BK$3+6)),"◆",""))</f>
      </c>
      <c r="BL298" s="26">
        <f>IF(OR($A298="",BL$3=""),"",IF(AND($J298&lt;&gt;"",$K298&lt;&gt;"",$J298=$K298,$J298&gt;=BL$3,$J298&lt;=IF(param_mode_affichage="mois",EOMONTH(BL$3,0),BL$3+6)),"◆",""))</f>
      </c>
    </row>
    <row r="299" spans="1:64" x14ac:dyDescent="0.25">
      <c r="A299" s="23">
        <f>IFERROR(INDEX(tblTasks[ID],ROW()-4),"")</f>
      </c>
      <c r="B299" s="24">
        <f>IF($A299="","",INDEX(tblTasks[Sujet],ROW()-4))</f>
      </c>
      <c r="C299" s="23">
        <f>IF($A299="","",INDEX(tblTasks[Responsable],ROW()-4))</f>
      </c>
      <c r="D299" s="23">
        <f>IF($A299="","",INDEX(tblTasks[Statut],ROW()-4))</f>
      </c>
      <c r="E299" s="23">
        <f>IF($A299="","",INDEX(tblTasks[Depend_de],ROW()-4))</f>
      </c>
      <c r="F299" s="23">
        <f>IF($A299="","",INDEX(tblTasks[Blocage],ROW()-4))</f>
      </c>
      <c r="G299" s="23">
        <f>IF($A299="","",INDEX(tblTasks[Niveau_criticite],ROW()-4))</f>
      </c>
      <c r="H299" s="23">
        <f>IF($A299="","",INDEX(tblTasks[Goulot],ROW()-4))</f>
      </c>
      <c r="I299" s="23">
        <f>IF($A299="","",IF(LOWER($F299)="oui","non",IF($E299="","oui",IFERROR(IF(LOWER(INDEX(tblTasks[Statut],MATCH($E299,tblTasks[ID],0)))="clos","oui","non"),"non"))))</f>
      </c>
      <c r="J299" s="25">
        <f>IF($A299="","",INDEX(tblTasks[Date_debut_prevue],ROW()-4))</f>
      </c>
      <c r="K299" s="25">
        <f>IF($A299="","",INDEX(tblTasks[Date_fin_prevue],ROW()-4))</f>
      </c>
      <c r="L299" s="23">
        <f>IF($A299="","",INDEX(tblTasks[Irreversibilite],ROW()-4))</f>
      </c>
      <c r="M299" s="26">
        <f>IF(OR($A299="",M$3=""),"",IF(AND($J299&lt;&gt;"",$K299&lt;&gt;"",$J299=$K299,$J299&gt;=M$3,$J299&lt;=IF(param_mode_affichage="mois",EOMONTH(M$3,0),M$3+6)),"◆",""))</f>
      </c>
      <c r="N299" s="26">
        <f>IF(OR($A299="",N$3=""),"",IF(AND($J299&lt;&gt;"",$K299&lt;&gt;"",$J299=$K299,$J299&gt;=N$3,$J299&lt;=IF(param_mode_affichage="mois",EOMONTH(N$3,0),N$3+6)),"◆",""))</f>
      </c>
      <c r="O299" s="26">
        <f>IF(OR($A299="",O$3=""),"",IF(AND($J299&lt;&gt;"",$K299&lt;&gt;"",$J299=$K299,$J299&gt;=O$3,$J299&lt;=IF(param_mode_affichage="mois",EOMONTH(O$3,0),O$3+6)),"◆",""))</f>
      </c>
      <c r="P299" s="26">
        <f>IF(OR($A299="",P$3=""),"",IF(AND($J299&lt;&gt;"",$K299&lt;&gt;"",$J299=$K299,$J299&gt;=P$3,$J299&lt;=IF(param_mode_affichage="mois",EOMONTH(P$3,0),P$3+6)),"◆",""))</f>
      </c>
      <c r="Q299" s="26">
        <f>IF(OR($A299="",Q$3=""),"",IF(AND($J299&lt;&gt;"",$K299&lt;&gt;"",$J299=$K299,$J299&gt;=Q$3,$J299&lt;=IF(param_mode_affichage="mois",EOMONTH(Q$3,0),Q$3+6)),"◆",""))</f>
      </c>
      <c r="R299" s="26">
        <f>IF(OR($A299="",R$3=""),"",IF(AND($J299&lt;&gt;"",$K299&lt;&gt;"",$J299=$K299,$J299&gt;=R$3,$J299&lt;=IF(param_mode_affichage="mois",EOMONTH(R$3,0),R$3+6)),"◆",""))</f>
      </c>
      <c r="S299" s="26">
        <f>IF(OR($A299="",S$3=""),"",IF(AND($J299&lt;&gt;"",$K299&lt;&gt;"",$J299=$K299,$J299&gt;=S$3,$J299&lt;=IF(param_mode_affichage="mois",EOMONTH(S$3,0),S$3+6)),"◆",""))</f>
      </c>
      <c r="T299" s="26">
        <f>IF(OR($A299="",T$3=""),"",IF(AND($J299&lt;&gt;"",$K299&lt;&gt;"",$J299=$K299,$J299&gt;=T$3,$J299&lt;=IF(param_mode_affichage="mois",EOMONTH(T$3,0),T$3+6)),"◆",""))</f>
      </c>
      <c r="U299" s="26">
        <f>IF(OR($A299="",U$3=""),"",IF(AND($J299&lt;&gt;"",$K299&lt;&gt;"",$J299=$K299,$J299&gt;=U$3,$J299&lt;=IF(param_mode_affichage="mois",EOMONTH(U$3,0),U$3+6)),"◆",""))</f>
      </c>
      <c r="V299" s="26">
        <f>IF(OR($A299="",V$3=""),"",IF(AND($J299&lt;&gt;"",$K299&lt;&gt;"",$J299=$K299,$J299&gt;=V$3,$J299&lt;=IF(param_mode_affichage="mois",EOMONTH(V$3,0),V$3+6)),"◆",""))</f>
      </c>
      <c r="W299" s="26">
        <f>IF(OR($A299="",W$3=""),"",IF(AND($J299&lt;&gt;"",$K299&lt;&gt;"",$J299=$K299,$J299&gt;=W$3,$J299&lt;=IF(param_mode_affichage="mois",EOMONTH(W$3,0),W$3+6)),"◆",""))</f>
      </c>
      <c r="X299" s="26">
        <f>IF(OR($A299="",X$3=""),"",IF(AND($J299&lt;&gt;"",$K299&lt;&gt;"",$J299=$K299,$J299&gt;=X$3,$J299&lt;=IF(param_mode_affichage="mois",EOMONTH(X$3,0),X$3+6)),"◆",""))</f>
      </c>
      <c r="Y299" s="26">
        <f>IF(OR($A299="",Y$3=""),"",IF(AND($J299&lt;&gt;"",$K299&lt;&gt;"",$J299=$K299,$J299&gt;=Y$3,$J299&lt;=IF(param_mode_affichage="mois",EOMONTH(Y$3,0),Y$3+6)),"◆",""))</f>
      </c>
      <c r="Z299" s="26">
        <f>IF(OR($A299="",Z$3=""),"",IF(AND($J299&lt;&gt;"",$K299&lt;&gt;"",$J299=$K299,$J299&gt;=Z$3,$J299&lt;=IF(param_mode_affichage="mois",EOMONTH(Z$3,0),Z$3+6)),"◆",""))</f>
      </c>
      <c r="AA299" s="26">
        <f>IF(OR($A299="",AA$3=""),"",IF(AND($J299&lt;&gt;"",$K299&lt;&gt;"",$J299=$K299,$J299&gt;=AA$3,$J299&lt;=IF(param_mode_affichage="mois",EOMONTH(AA$3,0),AA$3+6)),"◆",""))</f>
      </c>
      <c r="AB299" s="26">
        <f>IF(OR($A299="",AB$3=""),"",IF(AND($J299&lt;&gt;"",$K299&lt;&gt;"",$J299=$K299,$J299&gt;=AB$3,$J299&lt;=IF(param_mode_affichage="mois",EOMONTH(AB$3,0),AB$3+6)),"◆",""))</f>
      </c>
      <c r="AC299" s="26">
        <f>IF(OR($A299="",AC$3=""),"",IF(AND($J299&lt;&gt;"",$K299&lt;&gt;"",$J299=$K299,$J299&gt;=AC$3,$J299&lt;=IF(param_mode_affichage="mois",EOMONTH(AC$3,0),AC$3+6)),"◆",""))</f>
      </c>
      <c r="AD299" s="26">
        <f>IF(OR($A299="",AD$3=""),"",IF(AND($J299&lt;&gt;"",$K299&lt;&gt;"",$J299=$K299,$J299&gt;=AD$3,$J299&lt;=IF(param_mode_affichage="mois",EOMONTH(AD$3,0),AD$3+6)),"◆",""))</f>
      </c>
      <c r="AE299" s="26">
        <f>IF(OR($A299="",AE$3=""),"",IF(AND($J299&lt;&gt;"",$K299&lt;&gt;"",$J299=$K299,$J299&gt;=AE$3,$J299&lt;=IF(param_mode_affichage="mois",EOMONTH(AE$3,0),AE$3+6)),"◆",""))</f>
      </c>
      <c r="AF299" s="26">
        <f>IF(OR($A299="",AF$3=""),"",IF(AND($J299&lt;&gt;"",$K299&lt;&gt;"",$J299=$K299,$J299&gt;=AF$3,$J299&lt;=IF(param_mode_affichage="mois",EOMONTH(AF$3,0),AF$3+6)),"◆",""))</f>
      </c>
      <c r="AG299" s="26">
        <f>IF(OR($A299="",AG$3=""),"",IF(AND($J299&lt;&gt;"",$K299&lt;&gt;"",$J299=$K299,$J299&gt;=AG$3,$J299&lt;=IF(param_mode_affichage="mois",EOMONTH(AG$3,0),AG$3+6)),"◆",""))</f>
      </c>
      <c r="AH299" s="26">
        <f>IF(OR($A299="",AH$3=""),"",IF(AND($J299&lt;&gt;"",$K299&lt;&gt;"",$J299=$K299,$J299&gt;=AH$3,$J299&lt;=IF(param_mode_affichage="mois",EOMONTH(AH$3,0),AH$3+6)),"◆",""))</f>
      </c>
      <c r="AI299" s="26">
        <f>IF(OR($A299="",AI$3=""),"",IF(AND($J299&lt;&gt;"",$K299&lt;&gt;"",$J299=$K299,$J299&gt;=AI$3,$J299&lt;=IF(param_mode_affichage="mois",EOMONTH(AI$3,0),AI$3+6)),"◆",""))</f>
      </c>
      <c r="AJ299" s="26">
        <f>IF(OR($A299="",AJ$3=""),"",IF(AND($J299&lt;&gt;"",$K299&lt;&gt;"",$J299=$K299,$J299&gt;=AJ$3,$J299&lt;=IF(param_mode_affichage="mois",EOMONTH(AJ$3,0),AJ$3+6)),"◆",""))</f>
      </c>
      <c r="AK299" s="26">
        <f>IF(OR($A299="",AK$3=""),"",IF(AND($J299&lt;&gt;"",$K299&lt;&gt;"",$J299=$K299,$J299&gt;=AK$3,$J299&lt;=IF(param_mode_affichage="mois",EOMONTH(AK$3,0),AK$3+6)),"◆",""))</f>
      </c>
      <c r="AL299" s="26">
        <f>IF(OR($A299="",AL$3=""),"",IF(AND($J299&lt;&gt;"",$K299&lt;&gt;"",$J299=$K299,$J299&gt;=AL$3,$J299&lt;=IF(param_mode_affichage="mois",EOMONTH(AL$3,0),AL$3+6)),"◆",""))</f>
      </c>
      <c r="AM299" s="26">
        <f>IF(OR($A299="",AM$3=""),"",IF(AND($J299&lt;&gt;"",$K299&lt;&gt;"",$J299=$K299,$J299&gt;=AM$3,$J299&lt;=IF(param_mode_affichage="mois",EOMONTH(AM$3,0),AM$3+6)),"◆",""))</f>
      </c>
      <c r="AN299" s="26">
        <f>IF(OR($A299="",AN$3=""),"",IF(AND($J299&lt;&gt;"",$K299&lt;&gt;"",$J299=$K299,$J299&gt;=AN$3,$J299&lt;=IF(param_mode_affichage="mois",EOMONTH(AN$3,0),AN$3+6)),"◆",""))</f>
      </c>
      <c r="AO299" s="26">
        <f>IF(OR($A299="",AO$3=""),"",IF(AND($J299&lt;&gt;"",$K299&lt;&gt;"",$J299=$K299,$J299&gt;=AO$3,$J299&lt;=IF(param_mode_affichage="mois",EOMONTH(AO$3,0),AO$3+6)),"◆",""))</f>
      </c>
      <c r="AP299" s="26">
        <f>IF(OR($A299="",AP$3=""),"",IF(AND($J299&lt;&gt;"",$K299&lt;&gt;"",$J299=$K299,$J299&gt;=AP$3,$J299&lt;=IF(param_mode_affichage="mois",EOMONTH(AP$3,0),AP$3+6)),"◆",""))</f>
      </c>
      <c r="AQ299" s="26">
        <f>IF(OR($A299="",AQ$3=""),"",IF(AND($J299&lt;&gt;"",$K299&lt;&gt;"",$J299=$K299,$J299&gt;=AQ$3,$J299&lt;=IF(param_mode_affichage="mois",EOMONTH(AQ$3,0),AQ$3+6)),"◆",""))</f>
      </c>
      <c r="AR299" s="26">
        <f>IF(OR($A299="",AR$3=""),"",IF(AND($J299&lt;&gt;"",$K299&lt;&gt;"",$J299=$K299,$J299&gt;=AR$3,$J299&lt;=IF(param_mode_affichage="mois",EOMONTH(AR$3,0),AR$3+6)),"◆",""))</f>
      </c>
      <c r="AS299" s="26">
        <f>IF(OR($A299="",AS$3=""),"",IF(AND($J299&lt;&gt;"",$K299&lt;&gt;"",$J299=$K299,$J299&gt;=AS$3,$J299&lt;=IF(param_mode_affichage="mois",EOMONTH(AS$3,0),AS$3+6)),"◆",""))</f>
      </c>
      <c r="AT299" s="26">
        <f>IF(OR($A299="",AT$3=""),"",IF(AND($J299&lt;&gt;"",$K299&lt;&gt;"",$J299=$K299,$J299&gt;=AT$3,$J299&lt;=IF(param_mode_affichage="mois",EOMONTH(AT$3,0),AT$3+6)),"◆",""))</f>
      </c>
      <c r="AU299" s="26">
        <f>IF(OR($A299="",AU$3=""),"",IF(AND($J299&lt;&gt;"",$K299&lt;&gt;"",$J299=$K299,$J299&gt;=AU$3,$J299&lt;=IF(param_mode_affichage="mois",EOMONTH(AU$3,0),AU$3+6)),"◆",""))</f>
      </c>
      <c r="AV299" s="26">
        <f>IF(OR($A299="",AV$3=""),"",IF(AND($J299&lt;&gt;"",$K299&lt;&gt;"",$J299=$K299,$J299&gt;=AV$3,$J299&lt;=IF(param_mode_affichage="mois",EOMONTH(AV$3,0),AV$3+6)),"◆",""))</f>
      </c>
      <c r="AW299" s="26">
        <f>IF(OR($A299="",AW$3=""),"",IF(AND($J299&lt;&gt;"",$K299&lt;&gt;"",$J299=$K299,$J299&gt;=AW$3,$J299&lt;=IF(param_mode_affichage="mois",EOMONTH(AW$3,0),AW$3+6)),"◆",""))</f>
      </c>
      <c r="AX299" s="26">
        <f>IF(OR($A299="",AX$3=""),"",IF(AND($J299&lt;&gt;"",$K299&lt;&gt;"",$J299=$K299,$J299&gt;=AX$3,$J299&lt;=IF(param_mode_affichage="mois",EOMONTH(AX$3,0),AX$3+6)),"◆",""))</f>
      </c>
      <c r="AY299" s="26">
        <f>IF(OR($A299="",AY$3=""),"",IF(AND($J299&lt;&gt;"",$K299&lt;&gt;"",$J299=$K299,$J299&gt;=AY$3,$J299&lt;=IF(param_mode_affichage="mois",EOMONTH(AY$3,0),AY$3+6)),"◆",""))</f>
      </c>
      <c r="AZ299" s="26">
        <f>IF(OR($A299="",AZ$3=""),"",IF(AND($J299&lt;&gt;"",$K299&lt;&gt;"",$J299=$K299,$J299&gt;=AZ$3,$J299&lt;=IF(param_mode_affichage="mois",EOMONTH(AZ$3,0),AZ$3+6)),"◆",""))</f>
      </c>
      <c r="BA299" s="26">
        <f>IF(OR($A299="",BA$3=""),"",IF(AND($J299&lt;&gt;"",$K299&lt;&gt;"",$J299=$K299,$J299&gt;=BA$3,$J299&lt;=IF(param_mode_affichage="mois",EOMONTH(BA$3,0),BA$3+6)),"◆",""))</f>
      </c>
      <c r="BB299" s="26">
        <f>IF(OR($A299="",BB$3=""),"",IF(AND($J299&lt;&gt;"",$K299&lt;&gt;"",$J299=$K299,$J299&gt;=BB$3,$J299&lt;=IF(param_mode_affichage="mois",EOMONTH(BB$3,0),BB$3+6)),"◆",""))</f>
      </c>
      <c r="BC299" s="26">
        <f>IF(OR($A299="",BC$3=""),"",IF(AND($J299&lt;&gt;"",$K299&lt;&gt;"",$J299=$K299,$J299&gt;=BC$3,$J299&lt;=IF(param_mode_affichage="mois",EOMONTH(BC$3,0),BC$3+6)),"◆",""))</f>
      </c>
      <c r="BD299" s="26">
        <f>IF(OR($A299="",BD$3=""),"",IF(AND($J299&lt;&gt;"",$K299&lt;&gt;"",$J299=$K299,$J299&gt;=BD$3,$J299&lt;=IF(param_mode_affichage="mois",EOMONTH(BD$3,0),BD$3+6)),"◆",""))</f>
      </c>
      <c r="BE299" s="26">
        <f>IF(OR($A299="",BE$3=""),"",IF(AND($J299&lt;&gt;"",$K299&lt;&gt;"",$J299=$K299,$J299&gt;=BE$3,$J299&lt;=IF(param_mode_affichage="mois",EOMONTH(BE$3,0),BE$3+6)),"◆",""))</f>
      </c>
      <c r="BF299" s="26">
        <f>IF(OR($A299="",BF$3=""),"",IF(AND($J299&lt;&gt;"",$K299&lt;&gt;"",$J299=$K299,$J299&gt;=BF$3,$J299&lt;=IF(param_mode_affichage="mois",EOMONTH(BF$3,0),BF$3+6)),"◆",""))</f>
      </c>
      <c r="BG299" s="26">
        <f>IF(OR($A299="",BG$3=""),"",IF(AND($J299&lt;&gt;"",$K299&lt;&gt;"",$J299=$K299,$J299&gt;=BG$3,$J299&lt;=IF(param_mode_affichage="mois",EOMONTH(BG$3,0),BG$3+6)),"◆",""))</f>
      </c>
      <c r="BH299" s="26">
        <f>IF(OR($A299="",BH$3=""),"",IF(AND($J299&lt;&gt;"",$K299&lt;&gt;"",$J299=$K299,$J299&gt;=BH$3,$J299&lt;=IF(param_mode_affichage="mois",EOMONTH(BH$3,0),BH$3+6)),"◆",""))</f>
      </c>
      <c r="BI299" s="26">
        <f>IF(OR($A299="",BI$3=""),"",IF(AND($J299&lt;&gt;"",$K299&lt;&gt;"",$J299=$K299,$J299&gt;=BI$3,$J299&lt;=IF(param_mode_affichage="mois",EOMONTH(BI$3,0),BI$3+6)),"◆",""))</f>
      </c>
      <c r="BJ299" s="26">
        <f>IF(OR($A299="",BJ$3=""),"",IF(AND($J299&lt;&gt;"",$K299&lt;&gt;"",$J299=$K299,$J299&gt;=BJ$3,$J299&lt;=IF(param_mode_affichage="mois",EOMONTH(BJ$3,0),BJ$3+6)),"◆",""))</f>
      </c>
      <c r="BK299" s="26">
        <f>IF(OR($A299="",BK$3=""),"",IF(AND($J299&lt;&gt;"",$K299&lt;&gt;"",$J299=$K299,$J299&gt;=BK$3,$J299&lt;=IF(param_mode_affichage="mois",EOMONTH(BK$3,0),BK$3+6)),"◆",""))</f>
      </c>
      <c r="BL299" s="26">
        <f>IF(OR($A299="",BL$3=""),"",IF(AND($J299&lt;&gt;"",$K299&lt;&gt;"",$J299=$K299,$J299&gt;=BL$3,$J299&lt;=IF(param_mode_affichage="mois",EOMONTH(BL$3,0),BL$3+6)),"◆",""))</f>
      </c>
    </row>
    <row r="300" spans="1:64" x14ac:dyDescent="0.25">
      <c r="A300" s="23">
        <f>IFERROR(INDEX(tblTasks[ID],ROW()-4),"")</f>
      </c>
      <c r="B300" s="24">
        <f>IF($A300="","",INDEX(tblTasks[Sujet],ROW()-4))</f>
      </c>
      <c r="C300" s="23">
        <f>IF($A300="","",INDEX(tblTasks[Responsable],ROW()-4))</f>
      </c>
      <c r="D300" s="23">
        <f>IF($A300="","",INDEX(tblTasks[Statut],ROW()-4))</f>
      </c>
      <c r="E300" s="23">
        <f>IF($A300="","",INDEX(tblTasks[Depend_de],ROW()-4))</f>
      </c>
      <c r="F300" s="23">
        <f>IF($A300="","",INDEX(tblTasks[Blocage],ROW()-4))</f>
      </c>
      <c r="G300" s="23">
        <f>IF($A300="","",INDEX(tblTasks[Niveau_criticite],ROW()-4))</f>
      </c>
      <c r="H300" s="23">
        <f>IF($A300="","",INDEX(tblTasks[Goulot],ROW()-4))</f>
      </c>
      <c r="I300" s="23">
        <f>IF($A300="","",IF(LOWER($F300)="oui","non",IF($E300="","oui",IFERROR(IF(LOWER(INDEX(tblTasks[Statut],MATCH($E300,tblTasks[ID],0)))="clos","oui","non"),"non"))))</f>
      </c>
      <c r="J300" s="25">
        <f>IF($A300="","",INDEX(tblTasks[Date_debut_prevue],ROW()-4))</f>
      </c>
      <c r="K300" s="25">
        <f>IF($A300="","",INDEX(tblTasks[Date_fin_prevue],ROW()-4))</f>
      </c>
      <c r="L300" s="23">
        <f>IF($A300="","",INDEX(tblTasks[Irreversibilite],ROW()-4))</f>
      </c>
      <c r="M300" s="26">
        <f>IF(OR($A300="",M$3=""),"",IF(AND($J300&lt;&gt;"",$K300&lt;&gt;"",$J300=$K300,$J300&gt;=M$3,$J300&lt;=IF(param_mode_affichage="mois",EOMONTH(M$3,0),M$3+6)),"◆",""))</f>
      </c>
      <c r="N300" s="26">
        <f>IF(OR($A300="",N$3=""),"",IF(AND($J300&lt;&gt;"",$K300&lt;&gt;"",$J300=$K300,$J300&gt;=N$3,$J300&lt;=IF(param_mode_affichage="mois",EOMONTH(N$3,0),N$3+6)),"◆",""))</f>
      </c>
      <c r="O300" s="26">
        <f>IF(OR($A300="",O$3=""),"",IF(AND($J300&lt;&gt;"",$K300&lt;&gt;"",$J300=$K300,$J300&gt;=O$3,$J300&lt;=IF(param_mode_affichage="mois",EOMONTH(O$3,0),O$3+6)),"◆",""))</f>
      </c>
      <c r="P300" s="26">
        <f>IF(OR($A300="",P$3=""),"",IF(AND($J300&lt;&gt;"",$K300&lt;&gt;"",$J300=$K300,$J300&gt;=P$3,$J300&lt;=IF(param_mode_affichage="mois",EOMONTH(P$3,0),P$3+6)),"◆",""))</f>
      </c>
      <c r="Q300" s="26">
        <f>IF(OR($A300="",Q$3=""),"",IF(AND($J300&lt;&gt;"",$K300&lt;&gt;"",$J300=$K300,$J300&gt;=Q$3,$J300&lt;=IF(param_mode_affichage="mois",EOMONTH(Q$3,0),Q$3+6)),"◆",""))</f>
      </c>
      <c r="R300" s="26">
        <f>IF(OR($A300="",R$3=""),"",IF(AND($J300&lt;&gt;"",$K300&lt;&gt;"",$J300=$K300,$J300&gt;=R$3,$J300&lt;=IF(param_mode_affichage="mois",EOMONTH(R$3,0),R$3+6)),"◆",""))</f>
      </c>
      <c r="S300" s="26">
        <f>IF(OR($A300="",S$3=""),"",IF(AND($J300&lt;&gt;"",$K300&lt;&gt;"",$J300=$K300,$J300&gt;=S$3,$J300&lt;=IF(param_mode_affichage="mois",EOMONTH(S$3,0),S$3+6)),"◆",""))</f>
      </c>
      <c r="T300" s="26">
        <f>IF(OR($A300="",T$3=""),"",IF(AND($J300&lt;&gt;"",$K300&lt;&gt;"",$J300=$K300,$J300&gt;=T$3,$J300&lt;=IF(param_mode_affichage="mois",EOMONTH(T$3,0),T$3+6)),"◆",""))</f>
      </c>
      <c r="U300" s="26">
        <f>IF(OR($A300="",U$3=""),"",IF(AND($J300&lt;&gt;"",$K300&lt;&gt;"",$J300=$K300,$J300&gt;=U$3,$J300&lt;=IF(param_mode_affichage="mois",EOMONTH(U$3,0),U$3+6)),"◆",""))</f>
      </c>
      <c r="V300" s="26">
        <f>IF(OR($A300="",V$3=""),"",IF(AND($J300&lt;&gt;"",$K300&lt;&gt;"",$J300=$K300,$J300&gt;=V$3,$J300&lt;=IF(param_mode_affichage="mois",EOMONTH(V$3,0),V$3+6)),"◆",""))</f>
      </c>
      <c r="W300" s="26">
        <f>IF(OR($A300="",W$3=""),"",IF(AND($J300&lt;&gt;"",$K300&lt;&gt;"",$J300=$K300,$J300&gt;=W$3,$J300&lt;=IF(param_mode_affichage="mois",EOMONTH(W$3,0),W$3+6)),"◆",""))</f>
      </c>
      <c r="X300" s="26">
        <f>IF(OR($A300="",X$3=""),"",IF(AND($J300&lt;&gt;"",$K300&lt;&gt;"",$J300=$K300,$J300&gt;=X$3,$J300&lt;=IF(param_mode_affichage="mois",EOMONTH(X$3,0),X$3+6)),"◆",""))</f>
      </c>
      <c r="Y300" s="26">
        <f>IF(OR($A300="",Y$3=""),"",IF(AND($J300&lt;&gt;"",$K300&lt;&gt;"",$J300=$K300,$J300&gt;=Y$3,$J300&lt;=IF(param_mode_affichage="mois",EOMONTH(Y$3,0),Y$3+6)),"◆",""))</f>
      </c>
      <c r="Z300" s="26">
        <f>IF(OR($A300="",Z$3=""),"",IF(AND($J300&lt;&gt;"",$K300&lt;&gt;"",$J300=$K300,$J300&gt;=Z$3,$J300&lt;=IF(param_mode_affichage="mois",EOMONTH(Z$3,0),Z$3+6)),"◆",""))</f>
      </c>
      <c r="AA300" s="26">
        <f>IF(OR($A300="",AA$3=""),"",IF(AND($J300&lt;&gt;"",$K300&lt;&gt;"",$J300=$K300,$J300&gt;=AA$3,$J300&lt;=IF(param_mode_affichage="mois",EOMONTH(AA$3,0),AA$3+6)),"◆",""))</f>
      </c>
      <c r="AB300" s="26">
        <f>IF(OR($A300="",AB$3=""),"",IF(AND($J300&lt;&gt;"",$K300&lt;&gt;"",$J300=$K300,$J300&gt;=AB$3,$J300&lt;=IF(param_mode_affichage="mois",EOMONTH(AB$3,0),AB$3+6)),"◆",""))</f>
      </c>
      <c r="AC300" s="26">
        <f>IF(OR($A300="",AC$3=""),"",IF(AND($J300&lt;&gt;"",$K300&lt;&gt;"",$J300=$K300,$J300&gt;=AC$3,$J300&lt;=IF(param_mode_affichage="mois",EOMONTH(AC$3,0),AC$3+6)),"◆",""))</f>
      </c>
      <c r="AD300" s="26">
        <f>IF(OR($A300="",AD$3=""),"",IF(AND($J300&lt;&gt;"",$K300&lt;&gt;"",$J300=$K300,$J300&gt;=AD$3,$J300&lt;=IF(param_mode_affichage="mois",EOMONTH(AD$3,0),AD$3+6)),"◆",""))</f>
      </c>
      <c r="AE300" s="26">
        <f>IF(OR($A300="",AE$3=""),"",IF(AND($J300&lt;&gt;"",$K300&lt;&gt;"",$J300=$K300,$J300&gt;=AE$3,$J300&lt;=IF(param_mode_affichage="mois",EOMONTH(AE$3,0),AE$3+6)),"◆",""))</f>
      </c>
      <c r="AF300" s="26">
        <f>IF(OR($A300="",AF$3=""),"",IF(AND($J300&lt;&gt;"",$K300&lt;&gt;"",$J300=$K300,$J300&gt;=AF$3,$J300&lt;=IF(param_mode_affichage="mois",EOMONTH(AF$3,0),AF$3+6)),"◆",""))</f>
      </c>
      <c r="AG300" s="26">
        <f>IF(OR($A300="",AG$3=""),"",IF(AND($J300&lt;&gt;"",$K300&lt;&gt;"",$J300=$K300,$J300&gt;=AG$3,$J300&lt;=IF(param_mode_affichage="mois",EOMONTH(AG$3,0),AG$3+6)),"◆",""))</f>
      </c>
      <c r="AH300" s="26">
        <f>IF(OR($A300="",AH$3=""),"",IF(AND($J300&lt;&gt;"",$K300&lt;&gt;"",$J300=$K300,$J300&gt;=AH$3,$J300&lt;=IF(param_mode_affichage="mois",EOMONTH(AH$3,0),AH$3+6)),"◆",""))</f>
      </c>
      <c r="AI300" s="26">
        <f>IF(OR($A300="",AI$3=""),"",IF(AND($J300&lt;&gt;"",$K300&lt;&gt;"",$J300=$K300,$J300&gt;=AI$3,$J300&lt;=IF(param_mode_affichage="mois",EOMONTH(AI$3,0),AI$3+6)),"◆",""))</f>
      </c>
      <c r="AJ300" s="26">
        <f>IF(OR($A300="",AJ$3=""),"",IF(AND($J300&lt;&gt;"",$K300&lt;&gt;"",$J300=$K300,$J300&gt;=AJ$3,$J300&lt;=IF(param_mode_affichage="mois",EOMONTH(AJ$3,0),AJ$3+6)),"◆",""))</f>
      </c>
      <c r="AK300" s="26">
        <f>IF(OR($A300="",AK$3=""),"",IF(AND($J300&lt;&gt;"",$K300&lt;&gt;"",$J300=$K300,$J300&gt;=AK$3,$J300&lt;=IF(param_mode_affichage="mois",EOMONTH(AK$3,0),AK$3+6)),"◆",""))</f>
      </c>
      <c r="AL300" s="26">
        <f>IF(OR($A300="",AL$3=""),"",IF(AND($J300&lt;&gt;"",$K300&lt;&gt;"",$J300=$K300,$J300&gt;=AL$3,$J300&lt;=IF(param_mode_affichage="mois",EOMONTH(AL$3,0),AL$3+6)),"◆",""))</f>
      </c>
      <c r="AM300" s="26">
        <f>IF(OR($A300="",AM$3=""),"",IF(AND($J300&lt;&gt;"",$K300&lt;&gt;"",$J300=$K300,$J300&gt;=AM$3,$J300&lt;=IF(param_mode_affichage="mois",EOMONTH(AM$3,0),AM$3+6)),"◆",""))</f>
      </c>
      <c r="AN300" s="26">
        <f>IF(OR($A300="",AN$3=""),"",IF(AND($J300&lt;&gt;"",$K300&lt;&gt;"",$J300=$K300,$J300&gt;=AN$3,$J300&lt;=IF(param_mode_affichage="mois",EOMONTH(AN$3,0),AN$3+6)),"◆",""))</f>
      </c>
      <c r="AO300" s="26">
        <f>IF(OR($A300="",AO$3=""),"",IF(AND($J300&lt;&gt;"",$K300&lt;&gt;"",$J300=$K300,$J300&gt;=AO$3,$J300&lt;=IF(param_mode_affichage="mois",EOMONTH(AO$3,0),AO$3+6)),"◆",""))</f>
      </c>
      <c r="AP300" s="26">
        <f>IF(OR($A300="",AP$3=""),"",IF(AND($J300&lt;&gt;"",$K300&lt;&gt;"",$J300=$K300,$J300&gt;=AP$3,$J300&lt;=IF(param_mode_affichage="mois",EOMONTH(AP$3,0),AP$3+6)),"◆",""))</f>
      </c>
      <c r="AQ300" s="26">
        <f>IF(OR($A300="",AQ$3=""),"",IF(AND($J300&lt;&gt;"",$K300&lt;&gt;"",$J300=$K300,$J300&gt;=AQ$3,$J300&lt;=IF(param_mode_affichage="mois",EOMONTH(AQ$3,0),AQ$3+6)),"◆",""))</f>
      </c>
      <c r="AR300" s="26">
        <f>IF(OR($A300="",AR$3=""),"",IF(AND($J300&lt;&gt;"",$K300&lt;&gt;"",$J300=$K300,$J300&gt;=AR$3,$J300&lt;=IF(param_mode_affichage="mois",EOMONTH(AR$3,0),AR$3+6)),"◆",""))</f>
      </c>
      <c r="AS300" s="26">
        <f>IF(OR($A300="",AS$3=""),"",IF(AND($J300&lt;&gt;"",$K300&lt;&gt;"",$J300=$K300,$J300&gt;=AS$3,$J300&lt;=IF(param_mode_affichage="mois",EOMONTH(AS$3,0),AS$3+6)),"◆",""))</f>
      </c>
      <c r="AT300" s="26">
        <f>IF(OR($A300="",AT$3=""),"",IF(AND($J300&lt;&gt;"",$K300&lt;&gt;"",$J300=$K300,$J300&gt;=AT$3,$J300&lt;=IF(param_mode_affichage="mois",EOMONTH(AT$3,0),AT$3+6)),"◆",""))</f>
      </c>
      <c r="AU300" s="26">
        <f>IF(OR($A300="",AU$3=""),"",IF(AND($J300&lt;&gt;"",$K300&lt;&gt;"",$J300=$K300,$J300&gt;=AU$3,$J300&lt;=IF(param_mode_affichage="mois",EOMONTH(AU$3,0),AU$3+6)),"◆",""))</f>
      </c>
      <c r="AV300" s="26">
        <f>IF(OR($A300="",AV$3=""),"",IF(AND($J300&lt;&gt;"",$K300&lt;&gt;"",$J300=$K300,$J300&gt;=AV$3,$J300&lt;=IF(param_mode_affichage="mois",EOMONTH(AV$3,0),AV$3+6)),"◆",""))</f>
      </c>
      <c r="AW300" s="26">
        <f>IF(OR($A300="",AW$3=""),"",IF(AND($J300&lt;&gt;"",$K300&lt;&gt;"",$J300=$K300,$J300&gt;=AW$3,$J300&lt;=IF(param_mode_affichage="mois",EOMONTH(AW$3,0),AW$3+6)),"◆",""))</f>
      </c>
      <c r="AX300" s="26">
        <f>IF(OR($A300="",AX$3=""),"",IF(AND($J300&lt;&gt;"",$K300&lt;&gt;"",$J300=$K300,$J300&gt;=AX$3,$J300&lt;=IF(param_mode_affichage="mois",EOMONTH(AX$3,0),AX$3+6)),"◆",""))</f>
      </c>
      <c r="AY300" s="26">
        <f>IF(OR($A300="",AY$3=""),"",IF(AND($J300&lt;&gt;"",$K300&lt;&gt;"",$J300=$K300,$J300&gt;=AY$3,$J300&lt;=IF(param_mode_affichage="mois",EOMONTH(AY$3,0),AY$3+6)),"◆",""))</f>
      </c>
      <c r="AZ300" s="26">
        <f>IF(OR($A300="",AZ$3=""),"",IF(AND($J300&lt;&gt;"",$K300&lt;&gt;"",$J300=$K300,$J300&gt;=AZ$3,$J300&lt;=IF(param_mode_affichage="mois",EOMONTH(AZ$3,0),AZ$3+6)),"◆",""))</f>
      </c>
      <c r="BA300" s="26">
        <f>IF(OR($A300="",BA$3=""),"",IF(AND($J300&lt;&gt;"",$K300&lt;&gt;"",$J300=$K300,$J300&gt;=BA$3,$J300&lt;=IF(param_mode_affichage="mois",EOMONTH(BA$3,0),BA$3+6)),"◆",""))</f>
      </c>
      <c r="BB300" s="26">
        <f>IF(OR($A300="",BB$3=""),"",IF(AND($J300&lt;&gt;"",$K300&lt;&gt;"",$J300=$K300,$J300&gt;=BB$3,$J300&lt;=IF(param_mode_affichage="mois",EOMONTH(BB$3,0),BB$3+6)),"◆",""))</f>
      </c>
      <c r="BC300" s="26">
        <f>IF(OR($A300="",BC$3=""),"",IF(AND($J300&lt;&gt;"",$K300&lt;&gt;"",$J300=$K300,$J300&gt;=BC$3,$J300&lt;=IF(param_mode_affichage="mois",EOMONTH(BC$3,0),BC$3+6)),"◆",""))</f>
      </c>
      <c r="BD300" s="26">
        <f>IF(OR($A300="",BD$3=""),"",IF(AND($J300&lt;&gt;"",$K300&lt;&gt;"",$J300=$K300,$J300&gt;=BD$3,$J300&lt;=IF(param_mode_affichage="mois",EOMONTH(BD$3,0),BD$3+6)),"◆",""))</f>
      </c>
      <c r="BE300" s="26">
        <f>IF(OR($A300="",BE$3=""),"",IF(AND($J300&lt;&gt;"",$K300&lt;&gt;"",$J300=$K300,$J300&gt;=BE$3,$J300&lt;=IF(param_mode_affichage="mois",EOMONTH(BE$3,0),BE$3+6)),"◆",""))</f>
      </c>
      <c r="BF300" s="26">
        <f>IF(OR($A300="",BF$3=""),"",IF(AND($J300&lt;&gt;"",$K300&lt;&gt;"",$J300=$K300,$J300&gt;=BF$3,$J300&lt;=IF(param_mode_affichage="mois",EOMONTH(BF$3,0),BF$3+6)),"◆",""))</f>
      </c>
      <c r="BG300" s="26">
        <f>IF(OR($A300="",BG$3=""),"",IF(AND($J300&lt;&gt;"",$K300&lt;&gt;"",$J300=$K300,$J300&gt;=BG$3,$J300&lt;=IF(param_mode_affichage="mois",EOMONTH(BG$3,0),BG$3+6)),"◆",""))</f>
      </c>
      <c r="BH300" s="26">
        <f>IF(OR($A300="",BH$3=""),"",IF(AND($J300&lt;&gt;"",$K300&lt;&gt;"",$J300=$K300,$J300&gt;=BH$3,$J300&lt;=IF(param_mode_affichage="mois",EOMONTH(BH$3,0),BH$3+6)),"◆",""))</f>
      </c>
      <c r="BI300" s="26">
        <f>IF(OR($A300="",BI$3=""),"",IF(AND($J300&lt;&gt;"",$K300&lt;&gt;"",$J300=$K300,$J300&gt;=BI$3,$J300&lt;=IF(param_mode_affichage="mois",EOMONTH(BI$3,0),BI$3+6)),"◆",""))</f>
      </c>
      <c r="BJ300" s="26">
        <f>IF(OR($A300="",BJ$3=""),"",IF(AND($J300&lt;&gt;"",$K300&lt;&gt;"",$J300=$K300,$J300&gt;=BJ$3,$J300&lt;=IF(param_mode_affichage="mois",EOMONTH(BJ$3,0),BJ$3+6)),"◆",""))</f>
      </c>
      <c r="BK300" s="26">
        <f>IF(OR($A300="",BK$3=""),"",IF(AND($J300&lt;&gt;"",$K300&lt;&gt;"",$J300=$K300,$J300&gt;=BK$3,$J300&lt;=IF(param_mode_affichage="mois",EOMONTH(BK$3,0),BK$3+6)),"◆",""))</f>
      </c>
      <c r="BL300" s="26">
        <f>IF(OR($A300="",BL$3=""),"",IF(AND($J300&lt;&gt;"",$K300&lt;&gt;"",$J300=$K300,$J300&gt;=BL$3,$J300&lt;=IF(param_mode_affichage="mois",EOMONTH(BL$3,0),BL$3+6)),"◆",""))</f>
      </c>
    </row>
    <row r="301" spans="1:64" x14ac:dyDescent="0.25">
      <c r="A301" s="23">
        <f>IFERROR(INDEX(tblTasks[ID],ROW()-4),"")</f>
      </c>
      <c r="B301" s="24">
        <f>IF($A301="","",INDEX(tblTasks[Sujet],ROW()-4))</f>
      </c>
      <c r="C301" s="23">
        <f>IF($A301="","",INDEX(tblTasks[Responsable],ROW()-4))</f>
      </c>
      <c r="D301" s="23">
        <f>IF($A301="","",INDEX(tblTasks[Statut],ROW()-4))</f>
      </c>
      <c r="E301" s="23">
        <f>IF($A301="","",INDEX(tblTasks[Depend_de],ROW()-4))</f>
      </c>
      <c r="F301" s="23">
        <f>IF($A301="","",INDEX(tblTasks[Blocage],ROW()-4))</f>
      </c>
      <c r="G301" s="23">
        <f>IF($A301="","",INDEX(tblTasks[Niveau_criticite],ROW()-4))</f>
      </c>
      <c r="H301" s="23">
        <f>IF($A301="","",INDEX(tblTasks[Goulot],ROW()-4))</f>
      </c>
      <c r="I301" s="23">
        <f>IF($A301="","",IF(LOWER($F301)="oui","non",IF($E301="","oui",IFERROR(IF(LOWER(INDEX(tblTasks[Statut],MATCH($E301,tblTasks[ID],0)))="clos","oui","non"),"non"))))</f>
      </c>
      <c r="J301" s="25">
        <f>IF($A301="","",INDEX(tblTasks[Date_debut_prevue],ROW()-4))</f>
      </c>
      <c r="K301" s="25">
        <f>IF($A301="","",INDEX(tblTasks[Date_fin_prevue],ROW()-4))</f>
      </c>
      <c r="L301" s="23">
        <f>IF($A301="","",INDEX(tblTasks[Irreversibilite],ROW()-4))</f>
      </c>
      <c r="M301" s="26">
        <f>IF(OR($A301="",M$3=""),"",IF(AND($J301&lt;&gt;"",$K301&lt;&gt;"",$J301=$K301,$J301&gt;=M$3,$J301&lt;=IF(param_mode_affichage="mois",EOMONTH(M$3,0),M$3+6)),"◆",""))</f>
      </c>
      <c r="N301" s="26">
        <f>IF(OR($A301="",N$3=""),"",IF(AND($J301&lt;&gt;"",$K301&lt;&gt;"",$J301=$K301,$J301&gt;=N$3,$J301&lt;=IF(param_mode_affichage="mois",EOMONTH(N$3,0),N$3+6)),"◆",""))</f>
      </c>
      <c r="O301" s="26">
        <f>IF(OR($A301="",O$3=""),"",IF(AND($J301&lt;&gt;"",$K301&lt;&gt;"",$J301=$K301,$J301&gt;=O$3,$J301&lt;=IF(param_mode_affichage="mois",EOMONTH(O$3,0),O$3+6)),"◆",""))</f>
      </c>
      <c r="P301" s="26">
        <f>IF(OR($A301="",P$3=""),"",IF(AND($J301&lt;&gt;"",$K301&lt;&gt;"",$J301=$K301,$J301&gt;=P$3,$J301&lt;=IF(param_mode_affichage="mois",EOMONTH(P$3,0),P$3+6)),"◆",""))</f>
      </c>
      <c r="Q301" s="26">
        <f>IF(OR($A301="",Q$3=""),"",IF(AND($J301&lt;&gt;"",$K301&lt;&gt;"",$J301=$K301,$J301&gt;=Q$3,$J301&lt;=IF(param_mode_affichage="mois",EOMONTH(Q$3,0),Q$3+6)),"◆",""))</f>
      </c>
      <c r="R301" s="26">
        <f>IF(OR($A301="",R$3=""),"",IF(AND($J301&lt;&gt;"",$K301&lt;&gt;"",$J301=$K301,$J301&gt;=R$3,$J301&lt;=IF(param_mode_affichage="mois",EOMONTH(R$3,0),R$3+6)),"◆",""))</f>
      </c>
      <c r="S301" s="26">
        <f>IF(OR($A301="",S$3=""),"",IF(AND($J301&lt;&gt;"",$K301&lt;&gt;"",$J301=$K301,$J301&gt;=S$3,$J301&lt;=IF(param_mode_affichage="mois",EOMONTH(S$3,0),S$3+6)),"◆",""))</f>
      </c>
      <c r="T301" s="26">
        <f>IF(OR($A301="",T$3=""),"",IF(AND($J301&lt;&gt;"",$K301&lt;&gt;"",$J301=$K301,$J301&gt;=T$3,$J301&lt;=IF(param_mode_affichage="mois",EOMONTH(T$3,0),T$3+6)),"◆",""))</f>
      </c>
      <c r="U301" s="26">
        <f>IF(OR($A301="",U$3=""),"",IF(AND($J301&lt;&gt;"",$K301&lt;&gt;"",$J301=$K301,$J301&gt;=U$3,$J301&lt;=IF(param_mode_affichage="mois",EOMONTH(U$3,0),U$3+6)),"◆",""))</f>
      </c>
      <c r="V301" s="26">
        <f>IF(OR($A301="",V$3=""),"",IF(AND($J301&lt;&gt;"",$K301&lt;&gt;"",$J301=$K301,$J301&gt;=V$3,$J301&lt;=IF(param_mode_affichage="mois",EOMONTH(V$3,0),V$3+6)),"◆",""))</f>
      </c>
      <c r="W301" s="26">
        <f>IF(OR($A301="",W$3=""),"",IF(AND($J301&lt;&gt;"",$K301&lt;&gt;"",$J301=$K301,$J301&gt;=W$3,$J301&lt;=IF(param_mode_affichage="mois",EOMONTH(W$3,0),W$3+6)),"◆",""))</f>
      </c>
      <c r="X301" s="26">
        <f>IF(OR($A301="",X$3=""),"",IF(AND($J301&lt;&gt;"",$K301&lt;&gt;"",$J301=$K301,$J301&gt;=X$3,$J301&lt;=IF(param_mode_affichage="mois",EOMONTH(X$3,0),X$3+6)),"◆",""))</f>
      </c>
      <c r="Y301" s="26">
        <f>IF(OR($A301="",Y$3=""),"",IF(AND($J301&lt;&gt;"",$K301&lt;&gt;"",$J301=$K301,$J301&gt;=Y$3,$J301&lt;=IF(param_mode_affichage="mois",EOMONTH(Y$3,0),Y$3+6)),"◆",""))</f>
      </c>
      <c r="Z301" s="26">
        <f>IF(OR($A301="",Z$3=""),"",IF(AND($J301&lt;&gt;"",$K301&lt;&gt;"",$J301=$K301,$J301&gt;=Z$3,$J301&lt;=IF(param_mode_affichage="mois",EOMONTH(Z$3,0),Z$3+6)),"◆",""))</f>
      </c>
      <c r="AA301" s="26">
        <f>IF(OR($A301="",AA$3=""),"",IF(AND($J301&lt;&gt;"",$K301&lt;&gt;"",$J301=$K301,$J301&gt;=AA$3,$J301&lt;=IF(param_mode_affichage="mois",EOMONTH(AA$3,0),AA$3+6)),"◆",""))</f>
      </c>
      <c r="AB301" s="26">
        <f>IF(OR($A301="",AB$3=""),"",IF(AND($J301&lt;&gt;"",$K301&lt;&gt;"",$J301=$K301,$J301&gt;=AB$3,$J301&lt;=IF(param_mode_affichage="mois",EOMONTH(AB$3,0),AB$3+6)),"◆",""))</f>
      </c>
      <c r="AC301" s="26">
        <f>IF(OR($A301="",AC$3=""),"",IF(AND($J301&lt;&gt;"",$K301&lt;&gt;"",$J301=$K301,$J301&gt;=AC$3,$J301&lt;=IF(param_mode_affichage="mois",EOMONTH(AC$3,0),AC$3+6)),"◆",""))</f>
      </c>
      <c r="AD301" s="26">
        <f>IF(OR($A301="",AD$3=""),"",IF(AND($J301&lt;&gt;"",$K301&lt;&gt;"",$J301=$K301,$J301&gt;=AD$3,$J301&lt;=IF(param_mode_affichage="mois",EOMONTH(AD$3,0),AD$3+6)),"◆",""))</f>
      </c>
      <c r="AE301" s="26">
        <f>IF(OR($A301="",AE$3=""),"",IF(AND($J301&lt;&gt;"",$K301&lt;&gt;"",$J301=$K301,$J301&gt;=AE$3,$J301&lt;=IF(param_mode_affichage="mois",EOMONTH(AE$3,0),AE$3+6)),"◆",""))</f>
      </c>
      <c r="AF301" s="26">
        <f>IF(OR($A301="",AF$3=""),"",IF(AND($J301&lt;&gt;"",$K301&lt;&gt;"",$J301=$K301,$J301&gt;=AF$3,$J301&lt;=IF(param_mode_affichage="mois",EOMONTH(AF$3,0),AF$3+6)),"◆",""))</f>
      </c>
      <c r="AG301" s="26">
        <f>IF(OR($A301="",AG$3=""),"",IF(AND($J301&lt;&gt;"",$K301&lt;&gt;"",$J301=$K301,$J301&gt;=AG$3,$J301&lt;=IF(param_mode_affichage="mois",EOMONTH(AG$3,0),AG$3+6)),"◆",""))</f>
      </c>
      <c r="AH301" s="26">
        <f>IF(OR($A301="",AH$3=""),"",IF(AND($J301&lt;&gt;"",$K301&lt;&gt;"",$J301=$K301,$J301&gt;=AH$3,$J301&lt;=IF(param_mode_affichage="mois",EOMONTH(AH$3,0),AH$3+6)),"◆",""))</f>
      </c>
      <c r="AI301" s="26">
        <f>IF(OR($A301="",AI$3=""),"",IF(AND($J301&lt;&gt;"",$K301&lt;&gt;"",$J301=$K301,$J301&gt;=AI$3,$J301&lt;=IF(param_mode_affichage="mois",EOMONTH(AI$3,0),AI$3+6)),"◆",""))</f>
      </c>
      <c r="AJ301" s="26">
        <f>IF(OR($A301="",AJ$3=""),"",IF(AND($J301&lt;&gt;"",$K301&lt;&gt;"",$J301=$K301,$J301&gt;=AJ$3,$J301&lt;=IF(param_mode_affichage="mois",EOMONTH(AJ$3,0),AJ$3+6)),"◆",""))</f>
      </c>
      <c r="AK301" s="26">
        <f>IF(OR($A301="",AK$3=""),"",IF(AND($J301&lt;&gt;"",$K301&lt;&gt;"",$J301=$K301,$J301&gt;=AK$3,$J301&lt;=IF(param_mode_affichage="mois",EOMONTH(AK$3,0),AK$3+6)),"◆",""))</f>
      </c>
      <c r="AL301" s="26">
        <f>IF(OR($A301="",AL$3=""),"",IF(AND($J301&lt;&gt;"",$K301&lt;&gt;"",$J301=$K301,$J301&gt;=AL$3,$J301&lt;=IF(param_mode_affichage="mois",EOMONTH(AL$3,0),AL$3+6)),"◆",""))</f>
      </c>
      <c r="AM301" s="26">
        <f>IF(OR($A301="",AM$3=""),"",IF(AND($J301&lt;&gt;"",$K301&lt;&gt;"",$J301=$K301,$J301&gt;=AM$3,$J301&lt;=IF(param_mode_affichage="mois",EOMONTH(AM$3,0),AM$3+6)),"◆",""))</f>
      </c>
      <c r="AN301" s="26">
        <f>IF(OR($A301="",AN$3=""),"",IF(AND($J301&lt;&gt;"",$K301&lt;&gt;"",$J301=$K301,$J301&gt;=AN$3,$J301&lt;=IF(param_mode_affichage="mois",EOMONTH(AN$3,0),AN$3+6)),"◆",""))</f>
      </c>
      <c r="AO301" s="26">
        <f>IF(OR($A301="",AO$3=""),"",IF(AND($J301&lt;&gt;"",$K301&lt;&gt;"",$J301=$K301,$J301&gt;=AO$3,$J301&lt;=IF(param_mode_affichage="mois",EOMONTH(AO$3,0),AO$3+6)),"◆",""))</f>
      </c>
      <c r="AP301" s="26">
        <f>IF(OR($A301="",AP$3=""),"",IF(AND($J301&lt;&gt;"",$K301&lt;&gt;"",$J301=$K301,$J301&gt;=AP$3,$J301&lt;=IF(param_mode_affichage="mois",EOMONTH(AP$3,0),AP$3+6)),"◆",""))</f>
      </c>
      <c r="AQ301" s="26">
        <f>IF(OR($A301="",AQ$3=""),"",IF(AND($J301&lt;&gt;"",$K301&lt;&gt;"",$J301=$K301,$J301&gt;=AQ$3,$J301&lt;=IF(param_mode_affichage="mois",EOMONTH(AQ$3,0),AQ$3+6)),"◆",""))</f>
      </c>
      <c r="AR301" s="26">
        <f>IF(OR($A301="",AR$3=""),"",IF(AND($J301&lt;&gt;"",$K301&lt;&gt;"",$J301=$K301,$J301&gt;=AR$3,$J301&lt;=IF(param_mode_affichage="mois",EOMONTH(AR$3,0),AR$3+6)),"◆",""))</f>
      </c>
      <c r="AS301" s="26">
        <f>IF(OR($A301="",AS$3=""),"",IF(AND($J301&lt;&gt;"",$K301&lt;&gt;"",$J301=$K301,$J301&gt;=AS$3,$J301&lt;=IF(param_mode_affichage="mois",EOMONTH(AS$3,0),AS$3+6)),"◆",""))</f>
      </c>
      <c r="AT301" s="26">
        <f>IF(OR($A301="",AT$3=""),"",IF(AND($J301&lt;&gt;"",$K301&lt;&gt;"",$J301=$K301,$J301&gt;=AT$3,$J301&lt;=IF(param_mode_affichage="mois",EOMONTH(AT$3,0),AT$3+6)),"◆",""))</f>
      </c>
      <c r="AU301" s="26">
        <f>IF(OR($A301="",AU$3=""),"",IF(AND($J301&lt;&gt;"",$K301&lt;&gt;"",$J301=$K301,$J301&gt;=AU$3,$J301&lt;=IF(param_mode_affichage="mois",EOMONTH(AU$3,0),AU$3+6)),"◆",""))</f>
      </c>
      <c r="AV301" s="26">
        <f>IF(OR($A301="",AV$3=""),"",IF(AND($J301&lt;&gt;"",$K301&lt;&gt;"",$J301=$K301,$J301&gt;=AV$3,$J301&lt;=IF(param_mode_affichage="mois",EOMONTH(AV$3,0),AV$3+6)),"◆",""))</f>
      </c>
      <c r="AW301" s="26">
        <f>IF(OR($A301="",AW$3=""),"",IF(AND($J301&lt;&gt;"",$K301&lt;&gt;"",$J301=$K301,$J301&gt;=AW$3,$J301&lt;=IF(param_mode_affichage="mois",EOMONTH(AW$3,0),AW$3+6)),"◆",""))</f>
      </c>
      <c r="AX301" s="26">
        <f>IF(OR($A301="",AX$3=""),"",IF(AND($J301&lt;&gt;"",$K301&lt;&gt;"",$J301=$K301,$J301&gt;=AX$3,$J301&lt;=IF(param_mode_affichage="mois",EOMONTH(AX$3,0),AX$3+6)),"◆",""))</f>
      </c>
      <c r="AY301" s="26">
        <f>IF(OR($A301="",AY$3=""),"",IF(AND($J301&lt;&gt;"",$K301&lt;&gt;"",$J301=$K301,$J301&gt;=AY$3,$J301&lt;=IF(param_mode_affichage="mois",EOMONTH(AY$3,0),AY$3+6)),"◆",""))</f>
      </c>
      <c r="AZ301" s="26">
        <f>IF(OR($A301="",AZ$3=""),"",IF(AND($J301&lt;&gt;"",$K301&lt;&gt;"",$J301=$K301,$J301&gt;=AZ$3,$J301&lt;=IF(param_mode_affichage="mois",EOMONTH(AZ$3,0),AZ$3+6)),"◆",""))</f>
      </c>
      <c r="BA301" s="26">
        <f>IF(OR($A301="",BA$3=""),"",IF(AND($J301&lt;&gt;"",$K301&lt;&gt;"",$J301=$K301,$J301&gt;=BA$3,$J301&lt;=IF(param_mode_affichage="mois",EOMONTH(BA$3,0),BA$3+6)),"◆",""))</f>
      </c>
      <c r="BB301" s="26">
        <f>IF(OR($A301="",BB$3=""),"",IF(AND($J301&lt;&gt;"",$K301&lt;&gt;"",$J301=$K301,$J301&gt;=BB$3,$J301&lt;=IF(param_mode_affichage="mois",EOMONTH(BB$3,0),BB$3+6)),"◆",""))</f>
      </c>
      <c r="BC301" s="26">
        <f>IF(OR($A301="",BC$3=""),"",IF(AND($J301&lt;&gt;"",$K301&lt;&gt;"",$J301=$K301,$J301&gt;=BC$3,$J301&lt;=IF(param_mode_affichage="mois",EOMONTH(BC$3,0),BC$3+6)),"◆",""))</f>
      </c>
      <c r="BD301" s="26">
        <f>IF(OR($A301="",BD$3=""),"",IF(AND($J301&lt;&gt;"",$K301&lt;&gt;"",$J301=$K301,$J301&gt;=BD$3,$J301&lt;=IF(param_mode_affichage="mois",EOMONTH(BD$3,0),BD$3+6)),"◆",""))</f>
      </c>
      <c r="BE301" s="26">
        <f>IF(OR($A301="",BE$3=""),"",IF(AND($J301&lt;&gt;"",$K301&lt;&gt;"",$J301=$K301,$J301&gt;=BE$3,$J301&lt;=IF(param_mode_affichage="mois",EOMONTH(BE$3,0),BE$3+6)),"◆",""))</f>
      </c>
      <c r="BF301" s="26">
        <f>IF(OR($A301="",BF$3=""),"",IF(AND($J301&lt;&gt;"",$K301&lt;&gt;"",$J301=$K301,$J301&gt;=BF$3,$J301&lt;=IF(param_mode_affichage="mois",EOMONTH(BF$3,0),BF$3+6)),"◆",""))</f>
      </c>
      <c r="BG301" s="26">
        <f>IF(OR($A301="",BG$3=""),"",IF(AND($J301&lt;&gt;"",$K301&lt;&gt;"",$J301=$K301,$J301&gt;=BG$3,$J301&lt;=IF(param_mode_affichage="mois",EOMONTH(BG$3,0),BG$3+6)),"◆",""))</f>
      </c>
      <c r="BH301" s="26">
        <f>IF(OR($A301="",BH$3=""),"",IF(AND($J301&lt;&gt;"",$K301&lt;&gt;"",$J301=$K301,$J301&gt;=BH$3,$J301&lt;=IF(param_mode_affichage="mois",EOMONTH(BH$3,0),BH$3+6)),"◆",""))</f>
      </c>
      <c r="BI301" s="26">
        <f>IF(OR($A301="",BI$3=""),"",IF(AND($J301&lt;&gt;"",$K301&lt;&gt;"",$J301=$K301,$J301&gt;=BI$3,$J301&lt;=IF(param_mode_affichage="mois",EOMONTH(BI$3,0),BI$3+6)),"◆",""))</f>
      </c>
      <c r="BJ301" s="26">
        <f>IF(OR($A301="",BJ$3=""),"",IF(AND($J301&lt;&gt;"",$K301&lt;&gt;"",$J301=$K301,$J301&gt;=BJ$3,$J301&lt;=IF(param_mode_affichage="mois",EOMONTH(BJ$3,0),BJ$3+6)),"◆",""))</f>
      </c>
      <c r="BK301" s="26">
        <f>IF(OR($A301="",BK$3=""),"",IF(AND($J301&lt;&gt;"",$K301&lt;&gt;"",$J301=$K301,$J301&gt;=BK$3,$J301&lt;=IF(param_mode_affichage="mois",EOMONTH(BK$3,0),BK$3+6)),"◆",""))</f>
      </c>
      <c r="BL301" s="26">
        <f>IF(OR($A301="",BL$3=""),"",IF(AND($J301&lt;&gt;"",$K301&lt;&gt;"",$J301=$K301,$J301&gt;=BL$3,$J301&lt;=IF(param_mode_affichage="mois",EOMONTH(BL$3,0),BL$3+6)),"◆",""))</f>
      </c>
    </row>
    <row r="302" spans="1:64" x14ac:dyDescent="0.25">
      <c r="A302" s="23">
        <f>IFERROR(INDEX(tblTasks[ID],ROW()-4),"")</f>
      </c>
      <c r="B302" s="24">
        <f>IF($A302="","",INDEX(tblTasks[Sujet],ROW()-4))</f>
      </c>
      <c r="C302" s="23">
        <f>IF($A302="","",INDEX(tblTasks[Responsable],ROW()-4))</f>
      </c>
      <c r="D302" s="23">
        <f>IF($A302="","",INDEX(tblTasks[Statut],ROW()-4))</f>
      </c>
      <c r="E302" s="23">
        <f>IF($A302="","",INDEX(tblTasks[Depend_de],ROW()-4))</f>
      </c>
      <c r="F302" s="23">
        <f>IF($A302="","",INDEX(tblTasks[Blocage],ROW()-4))</f>
      </c>
      <c r="G302" s="23">
        <f>IF($A302="","",INDEX(tblTasks[Niveau_criticite],ROW()-4))</f>
      </c>
      <c r="H302" s="23">
        <f>IF($A302="","",INDEX(tblTasks[Goulot],ROW()-4))</f>
      </c>
      <c r="I302" s="23">
        <f>IF($A302="","",IF(LOWER($F302)="oui","non",IF($E302="","oui",IFERROR(IF(LOWER(INDEX(tblTasks[Statut],MATCH($E302,tblTasks[ID],0)))="clos","oui","non"),"non"))))</f>
      </c>
      <c r="J302" s="25">
        <f>IF($A302="","",INDEX(tblTasks[Date_debut_prevue],ROW()-4))</f>
      </c>
      <c r="K302" s="25">
        <f>IF($A302="","",INDEX(tblTasks[Date_fin_prevue],ROW()-4))</f>
      </c>
      <c r="L302" s="23">
        <f>IF($A302="","",INDEX(tblTasks[Irreversibilite],ROW()-4))</f>
      </c>
      <c r="M302" s="26">
        <f>IF(OR($A302="",M$3=""),"",IF(AND($J302&lt;&gt;"",$K302&lt;&gt;"",$J302=$K302,$J302&gt;=M$3,$J302&lt;=IF(param_mode_affichage="mois",EOMONTH(M$3,0),M$3+6)),"◆",""))</f>
      </c>
      <c r="N302" s="26">
        <f>IF(OR($A302="",N$3=""),"",IF(AND($J302&lt;&gt;"",$K302&lt;&gt;"",$J302=$K302,$J302&gt;=N$3,$J302&lt;=IF(param_mode_affichage="mois",EOMONTH(N$3,0),N$3+6)),"◆",""))</f>
      </c>
      <c r="O302" s="26">
        <f>IF(OR($A302="",O$3=""),"",IF(AND($J302&lt;&gt;"",$K302&lt;&gt;"",$J302=$K302,$J302&gt;=O$3,$J302&lt;=IF(param_mode_affichage="mois",EOMONTH(O$3,0),O$3+6)),"◆",""))</f>
      </c>
      <c r="P302" s="26">
        <f>IF(OR($A302="",P$3=""),"",IF(AND($J302&lt;&gt;"",$K302&lt;&gt;"",$J302=$K302,$J302&gt;=P$3,$J302&lt;=IF(param_mode_affichage="mois",EOMONTH(P$3,0),P$3+6)),"◆",""))</f>
      </c>
      <c r="Q302" s="26">
        <f>IF(OR($A302="",Q$3=""),"",IF(AND($J302&lt;&gt;"",$K302&lt;&gt;"",$J302=$K302,$J302&gt;=Q$3,$J302&lt;=IF(param_mode_affichage="mois",EOMONTH(Q$3,0),Q$3+6)),"◆",""))</f>
      </c>
      <c r="R302" s="26">
        <f>IF(OR($A302="",R$3=""),"",IF(AND($J302&lt;&gt;"",$K302&lt;&gt;"",$J302=$K302,$J302&gt;=R$3,$J302&lt;=IF(param_mode_affichage="mois",EOMONTH(R$3,0),R$3+6)),"◆",""))</f>
      </c>
      <c r="S302" s="26">
        <f>IF(OR($A302="",S$3=""),"",IF(AND($J302&lt;&gt;"",$K302&lt;&gt;"",$J302=$K302,$J302&gt;=S$3,$J302&lt;=IF(param_mode_affichage="mois",EOMONTH(S$3,0),S$3+6)),"◆",""))</f>
      </c>
      <c r="T302" s="26">
        <f>IF(OR($A302="",T$3=""),"",IF(AND($J302&lt;&gt;"",$K302&lt;&gt;"",$J302=$K302,$J302&gt;=T$3,$J302&lt;=IF(param_mode_affichage="mois",EOMONTH(T$3,0),T$3+6)),"◆",""))</f>
      </c>
      <c r="U302" s="26">
        <f>IF(OR($A302="",U$3=""),"",IF(AND($J302&lt;&gt;"",$K302&lt;&gt;"",$J302=$K302,$J302&gt;=U$3,$J302&lt;=IF(param_mode_affichage="mois",EOMONTH(U$3,0),U$3+6)),"◆",""))</f>
      </c>
      <c r="V302" s="26">
        <f>IF(OR($A302="",V$3=""),"",IF(AND($J302&lt;&gt;"",$K302&lt;&gt;"",$J302=$K302,$J302&gt;=V$3,$J302&lt;=IF(param_mode_affichage="mois",EOMONTH(V$3,0),V$3+6)),"◆",""))</f>
      </c>
      <c r="W302" s="26">
        <f>IF(OR($A302="",W$3=""),"",IF(AND($J302&lt;&gt;"",$K302&lt;&gt;"",$J302=$K302,$J302&gt;=W$3,$J302&lt;=IF(param_mode_affichage="mois",EOMONTH(W$3,0),W$3+6)),"◆",""))</f>
      </c>
      <c r="X302" s="26">
        <f>IF(OR($A302="",X$3=""),"",IF(AND($J302&lt;&gt;"",$K302&lt;&gt;"",$J302=$K302,$J302&gt;=X$3,$J302&lt;=IF(param_mode_affichage="mois",EOMONTH(X$3,0),X$3+6)),"◆",""))</f>
      </c>
      <c r="Y302" s="26">
        <f>IF(OR($A302="",Y$3=""),"",IF(AND($J302&lt;&gt;"",$K302&lt;&gt;"",$J302=$K302,$J302&gt;=Y$3,$J302&lt;=IF(param_mode_affichage="mois",EOMONTH(Y$3,0),Y$3+6)),"◆",""))</f>
      </c>
      <c r="Z302" s="26">
        <f>IF(OR($A302="",Z$3=""),"",IF(AND($J302&lt;&gt;"",$K302&lt;&gt;"",$J302=$K302,$J302&gt;=Z$3,$J302&lt;=IF(param_mode_affichage="mois",EOMONTH(Z$3,0),Z$3+6)),"◆",""))</f>
      </c>
      <c r="AA302" s="26">
        <f>IF(OR($A302="",AA$3=""),"",IF(AND($J302&lt;&gt;"",$K302&lt;&gt;"",$J302=$K302,$J302&gt;=AA$3,$J302&lt;=IF(param_mode_affichage="mois",EOMONTH(AA$3,0),AA$3+6)),"◆",""))</f>
      </c>
      <c r="AB302" s="26">
        <f>IF(OR($A302="",AB$3=""),"",IF(AND($J302&lt;&gt;"",$K302&lt;&gt;"",$J302=$K302,$J302&gt;=AB$3,$J302&lt;=IF(param_mode_affichage="mois",EOMONTH(AB$3,0),AB$3+6)),"◆",""))</f>
      </c>
      <c r="AC302" s="26">
        <f>IF(OR($A302="",AC$3=""),"",IF(AND($J302&lt;&gt;"",$K302&lt;&gt;"",$J302=$K302,$J302&gt;=AC$3,$J302&lt;=IF(param_mode_affichage="mois",EOMONTH(AC$3,0),AC$3+6)),"◆",""))</f>
      </c>
      <c r="AD302" s="26">
        <f>IF(OR($A302="",AD$3=""),"",IF(AND($J302&lt;&gt;"",$K302&lt;&gt;"",$J302=$K302,$J302&gt;=AD$3,$J302&lt;=IF(param_mode_affichage="mois",EOMONTH(AD$3,0),AD$3+6)),"◆",""))</f>
      </c>
      <c r="AE302" s="26">
        <f>IF(OR($A302="",AE$3=""),"",IF(AND($J302&lt;&gt;"",$K302&lt;&gt;"",$J302=$K302,$J302&gt;=AE$3,$J302&lt;=IF(param_mode_affichage="mois",EOMONTH(AE$3,0),AE$3+6)),"◆",""))</f>
      </c>
      <c r="AF302" s="26">
        <f>IF(OR($A302="",AF$3=""),"",IF(AND($J302&lt;&gt;"",$K302&lt;&gt;"",$J302=$K302,$J302&gt;=AF$3,$J302&lt;=IF(param_mode_affichage="mois",EOMONTH(AF$3,0),AF$3+6)),"◆",""))</f>
      </c>
      <c r="AG302" s="26">
        <f>IF(OR($A302="",AG$3=""),"",IF(AND($J302&lt;&gt;"",$K302&lt;&gt;"",$J302=$K302,$J302&gt;=AG$3,$J302&lt;=IF(param_mode_affichage="mois",EOMONTH(AG$3,0),AG$3+6)),"◆",""))</f>
      </c>
      <c r="AH302" s="26">
        <f>IF(OR($A302="",AH$3=""),"",IF(AND($J302&lt;&gt;"",$K302&lt;&gt;"",$J302=$K302,$J302&gt;=AH$3,$J302&lt;=IF(param_mode_affichage="mois",EOMONTH(AH$3,0),AH$3+6)),"◆",""))</f>
      </c>
      <c r="AI302" s="26">
        <f>IF(OR($A302="",AI$3=""),"",IF(AND($J302&lt;&gt;"",$K302&lt;&gt;"",$J302=$K302,$J302&gt;=AI$3,$J302&lt;=IF(param_mode_affichage="mois",EOMONTH(AI$3,0),AI$3+6)),"◆",""))</f>
      </c>
      <c r="AJ302" s="26">
        <f>IF(OR($A302="",AJ$3=""),"",IF(AND($J302&lt;&gt;"",$K302&lt;&gt;"",$J302=$K302,$J302&gt;=AJ$3,$J302&lt;=IF(param_mode_affichage="mois",EOMONTH(AJ$3,0),AJ$3+6)),"◆",""))</f>
      </c>
      <c r="AK302" s="26">
        <f>IF(OR($A302="",AK$3=""),"",IF(AND($J302&lt;&gt;"",$K302&lt;&gt;"",$J302=$K302,$J302&gt;=AK$3,$J302&lt;=IF(param_mode_affichage="mois",EOMONTH(AK$3,0),AK$3+6)),"◆",""))</f>
      </c>
      <c r="AL302" s="26">
        <f>IF(OR($A302="",AL$3=""),"",IF(AND($J302&lt;&gt;"",$K302&lt;&gt;"",$J302=$K302,$J302&gt;=AL$3,$J302&lt;=IF(param_mode_affichage="mois",EOMONTH(AL$3,0),AL$3+6)),"◆",""))</f>
      </c>
      <c r="AM302" s="26">
        <f>IF(OR($A302="",AM$3=""),"",IF(AND($J302&lt;&gt;"",$K302&lt;&gt;"",$J302=$K302,$J302&gt;=AM$3,$J302&lt;=IF(param_mode_affichage="mois",EOMONTH(AM$3,0),AM$3+6)),"◆",""))</f>
      </c>
      <c r="AN302" s="26">
        <f>IF(OR($A302="",AN$3=""),"",IF(AND($J302&lt;&gt;"",$K302&lt;&gt;"",$J302=$K302,$J302&gt;=AN$3,$J302&lt;=IF(param_mode_affichage="mois",EOMONTH(AN$3,0),AN$3+6)),"◆",""))</f>
      </c>
      <c r="AO302" s="26">
        <f>IF(OR($A302="",AO$3=""),"",IF(AND($J302&lt;&gt;"",$K302&lt;&gt;"",$J302=$K302,$J302&gt;=AO$3,$J302&lt;=IF(param_mode_affichage="mois",EOMONTH(AO$3,0),AO$3+6)),"◆",""))</f>
      </c>
      <c r="AP302" s="26">
        <f>IF(OR($A302="",AP$3=""),"",IF(AND($J302&lt;&gt;"",$K302&lt;&gt;"",$J302=$K302,$J302&gt;=AP$3,$J302&lt;=IF(param_mode_affichage="mois",EOMONTH(AP$3,0),AP$3+6)),"◆",""))</f>
      </c>
      <c r="AQ302" s="26">
        <f>IF(OR($A302="",AQ$3=""),"",IF(AND($J302&lt;&gt;"",$K302&lt;&gt;"",$J302=$K302,$J302&gt;=AQ$3,$J302&lt;=IF(param_mode_affichage="mois",EOMONTH(AQ$3,0),AQ$3+6)),"◆",""))</f>
      </c>
      <c r="AR302" s="26">
        <f>IF(OR($A302="",AR$3=""),"",IF(AND($J302&lt;&gt;"",$K302&lt;&gt;"",$J302=$K302,$J302&gt;=AR$3,$J302&lt;=IF(param_mode_affichage="mois",EOMONTH(AR$3,0),AR$3+6)),"◆",""))</f>
      </c>
      <c r="AS302" s="26">
        <f>IF(OR($A302="",AS$3=""),"",IF(AND($J302&lt;&gt;"",$K302&lt;&gt;"",$J302=$K302,$J302&gt;=AS$3,$J302&lt;=IF(param_mode_affichage="mois",EOMONTH(AS$3,0),AS$3+6)),"◆",""))</f>
      </c>
      <c r="AT302" s="26">
        <f>IF(OR($A302="",AT$3=""),"",IF(AND($J302&lt;&gt;"",$K302&lt;&gt;"",$J302=$K302,$J302&gt;=AT$3,$J302&lt;=IF(param_mode_affichage="mois",EOMONTH(AT$3,0),AT$3+6)),"◆",""))</f>
      </c>
      <c r="AU302" s="26">
        <f>IF(OR($A302="",AU$3=""),"",IF(AND($J302&lt;&gt;"",$K302&lt;&gt;"",$J302=$K302,$J302&gt;=AU$3,$J302&lt;=IF(param_mode_affichage="mois",EOMONTH(AU$3,0),AU$3+6)),"◆",""))</f>
      </c>
      <c r="AV302" s="26">
        <f>IF(OR($A302="",AV$3=""),"",IF(AND($J302&lt;&gt;"",$K302&lt;&gt;"",$J302=$K302,$J302&gt;=AV$3,$J302&lt;=IF(param_mode_affichage="mois",EOMONTH(AV$3,0),AV$3+6)),"◆",""))</f>
      </c>
      <c r="AW302" s="26">
        <f>IF(OR($A302="",AW$3=""),"",IF(AND($J302&lt;&gt;"",$K302&lt;&gt;"",$J302=$K302,$J302&gt;=AW$3,$J302&lt;=IF(param_mode_affichage="mois",EOMONTH(AW$3,0),AW$3+6)),"◆",""))</f>
      </c>
      <c r="AX302" s="26">
        <f>IF(OR($A302="",AX$3=""),"",IF(AND($J302&lt;&gt;"",$K302&lt;&gt;"",$J302=$K302,$J302&gt;=AX$3,$J302&lt;=IF(param_mode_affichage="mois",EOMONTH(AX$3,0),AX$3+6)),"◆",""))</f>
      </c>
      <c r="AY302" s="26">
        <f>IF(OR($A302="",AY$3=""),"",IF(AND($J302&lt;&gt;"",$K302&lt;&gt;"",$J302=$K302,$J302&gt;=AY$3,$J302&lt;=IF(param_mode_affichage="mois",EOMONTH(AY$3,0),AY$3+6)),"◆",""))</f>
      </c>
      <c r="AZ302" s="26">
        <f>IF(OR($A302="",AZ$3=""),"",IF(AND($J302&lt;&gt;"",$K302&lt;&gt;"",$J302=$K302,$J302&gt;=AZ$3,$J302&lt;=IF(param_mode_affichage="mois",EOMONTH(AZ$3,0),AZ$3+6)),"◆",""))</f>
      </c>
      <c r="BA302" s="26">
        <f>IF(OR($A302="",BA$3=""),"",IF(AND($J302&lt;&gt;"",$K302&lt;&gt;"",$J302=$K302,$J302&gt;=BA$3,$J302&lt;=IF(param_mode_affichage="mois",EOMONTH(BA$3,0),BA$3+6)),"◆",""))</f>
      </c>
      <c r="BB302" s="26">
        <f>IF(OR($A302="",BB$3=""),"",IF(AND($J302&lt;&gt;"",$K302&lt;&gt;"",$J302=$K302,$J302&gt;=BB$3,$J302&lt;=IF(param_mode_affichage="mois",EOMONTH(BB$3,0),BB$3+6)),"◆",""))</f>
      </c>
      <c r="BC302" s="26">
        <f>IF(OR($A302="",BC$3=""),"",IF(AND($J302&lt;&gt;"",$K302&lt;&gt;"",$J302=$K302,$J302&gt;=BC$3,$J302&lt;=IF(param_mode_affichage="mois",EOMONTH(BC$3,0),BC$3+6)),"◆",""))</f>
      </c>
      <c r="BD302" s="26">
        <f>IF(OR($A302="",BD$3=""),"",IF(AND($J302&lt;&gt;"",$K302&lt;&gt;"",$J302=$K302,$J302&gt;=BD$3,$J302&lt;=IF(param_mode_affichage="mois",EOMONTH(BD$3,0),BD$3+6)),"◆",""))</f>
      </c>
      <c r="BE302" s="26">
        <f>IF(OR($A302="",BE$3=""),"",IF(AND($J302&lt;&gt;"",$K302&lt;&gt;"",$J302=$K302,$J302&gt;=BE$3,$J302&lt;=IF(param_mode_affichage="mois",EOMONTH(BE$3,0),BE$3+6)),"◆",""))</f>
      </c>
      <c r="BF302" s="26">
        <f>IF(OR($A302="",BF$3=""),"",IF(AND($J302&lt;&gt;"",$K302&lt;&gt;"",$J302=$K302,$J302&gt;=BF$3,$J302&lt;=IF(param_mode_affichage="mois",EOMONTH(BF$3,0),BF$3+6)),"◆",""))</f>
      </c>
      <c r="BG302" s="26">
        <f>IF(OR($A302="",BG$3=""),"",IF(AND($J302&lt;&gt;"",$K302&lt;&gt;"",$J302=$K302,$J302&gt;=BG$3,$J302&lt;=IF(param_mode_affichage="mois",EOMONTH(BG$3,0),BG$3+6)),"◆",""))</f>
      </c>
      <c r="BH302" s="26">
        <f>IF(OR($A302="",BH$3=""),"",IF(AND($J302&lt;&gt;"",$K302&lt;&gt;"",$J302=$K302,$J302&gt;=BH$3,$J302&lt;=IF(param_mode_affichage="mois",EOMONTH(BH$3,0),BH$3+6)),"◆",""))</f>
      </c>
      <c r="BI302" s="26">
        <f>IF(OR($A302="",BI$3=""),"",IF(AND($J302&lt;&gt;"",$K302&lt;&gt;"",$J302=$K302,$J302&gt;=BI$3,$J302&lt;=IF(param_mode_affichage="mois",EOMONTH(BI$3,0),BI$3+6)),"◆",""))</f>
      </c>
      <c r="BJ302" s="26">
        <f>IF(OR($A302="",BJ$3=""),"",IF(AND($J302&lt;&gt;"",$K302&lt;&gt;"",$J302=$K302,$J302&gt;=BJ$3,$J302&lt;=IF(param_mode_affichage="mois",EOMONTH(BJ$3,0),BJ$3+6)),"◆",""))</f>
      </c>
      <c r="BK302" s="26">
        <f>IF(OR($A302="",BK$3=""),"",IF(AND($J302&lt;&gt;"",$K302&lt;&gt;"",$J302=$K302,$J302&gt;=BK$3,$J302&lt;=IF(param_mode_affichage="mois",EOMONTH(BK$3,0),BK$3+6)),"◆",""))</f>
      </c>
      <c r="BL302" s="26">
        <f>IF(OR($A302="",BL$3=""),"",IF(AND($J302&lt;&gt;"",$K302&lt;&gt;"",$J302=$K302,$J302&gt;=BL$3,$J302&lt;=IF(param_mode_affichage="mois",EOMONTH(BL$3,0),BL$3+6)),"◆",""))</f>
      </c>
    </row>
    <row r="303" spans="1:64" x14ac:dyDescent="0.25">
      <c r="A303" s="23">
        <f>IFERROR(INDEX(tblTasks[ID],ROW()-4),"")</f>
      </c>
      <c r="B303" s="24">
        <f>IF($A303="","",INDEX(tblTasks[Sujet],ROW()-4))</f>
      </c>
      <c r="C303" s="23">
        <f>IF($A303="","",INDEX(tblTasks[Responsable],ROW()-4))</f>
      </c>
      <c r="D303" s="23">
        <f>IF($A303="","",INDEX(tblTasks[Statut],ROW()-4))</f>
      </c>
      <c r="E303" s="23">
        <f>IF($A303="","",INDEX(tblTasks[Depend_de],ROW()-4))</f>
      </c>
      <c r="F303" s="23">
        <f>IF($A303="","",INDEX(tblTasks[Blocage],ROW()-4))</f>
      </c>
      <c r="G303" s="23">
        <f>IF($A303="","",INDEX(tblTasks[Niveau_criticite],ROW()-4))</f>
      </c>
      <c r="H303" s="23">
        <f>IF($A303="","",INDEX(tblTasks[Goulot],ROW()-4))</f>
      </c>
      <c r="I303" s="23">
        <f>IF($A303="","",IF(LOWER($F303)="oui","non",IF($E303="","oui",IFERROR(IF(LOWER(INDEX(tblTasks[Statut],MATCH($E303,tblTasks[ID],0)))="clos","oui","non"),"non"))))</f>
      </c>
      <c r="J303" s="25">
        <f>IF($A303="","",INDEX(tblTasks[Date_debut_prevue],ROW()-4))</f>
      </c>
      <c r="K303" s="25">
        <f>IF($A303="","",INDEX(tblTasks[Date_fin_prevue],ROW()-4))</f>
      </c>
      <c r="L303" s="23">
        <f>IF($A303="","",INDEX(tblTasks[Irreversibilite],ROW()-4))</f>
      </c>
      <c r="M303" s="26">
        <f>IF(OR($A303="",M$3=""),"",IF(AND($J303&lt;&gt;"",$K303&lt;&gt;"",$J303=$K303,$J303&gt;=M$3,$J303&lt;=IF(param_mode_affichage="mois",EOMONTH(M$3,0),M$3+6)),"◆",""))</f>
      </c>
      <c r="N303" s="26">
        <f>IF(OR($A303="",N$3=""),"",IF(AND($J303&lt;&gt;"",$K303&lt;&gt;"",$J303=$K303,$J303&gt;=N$3,$J303&lt;=IF(param_mode_affichage="mois",EOMONTH(N$3,0),N$3+6)),"◆",""))</f>
      </c>
      <c r="O303" s="26">
        <f>IF(OR($A303="",O$3=""),"",IF(AND($J303&lt;&gt;"",$K303&lt;&gt;"",$J303=$K303,$J303&gt;=O$3,$J303&lt;=IF(param_mode_affichage="mois",EOMONTH(O$3,0),O$3+6)),"◆",""))</f>
      </c>
      <c r="P303" s="26">
        <f>IF(OR($A303="",P$3=""),"",IF(AND($J303&lt;&gt;"",$K303&lt;&gt;"",$J303=$K303,$J303&gt;=P$3,$J303&lt;=IF(param_mode_affichage="mois",EOMONTH(P$3,0),P$3+6)),"◆",""))</f>
      </c>
      <c r="Q303" s="26">
        <f>IF(OR($A303="",Q$3=""),"",IF(AND($J303&lt;&gt;"",$K303&lt;&gt;"",$J303=$K303,$J303&gt;=Q$3,$J303&lt;=IF(param_mode_affichage="mois",EOMONTH(Q$3,0),Q$3+6)),"◆",""))</f>
      </c>
      <c r="R303" s="26">
        <f>IF(OR($A303="",R$3=""),"",IF(AND($J303&lt;&gt;"",$K303&lt;&gt;"",$J303=$K303,$J303&gt;=R$3,$J303&lt;=IF(param_mode_affichage="mois",EOMONTH(R$3,0),R$3+6)),"◆",""))</f>
      </c>
      <c r="S303" s="26">
        <f>IF(OR($A303="",S$3=""),"",IF(AND($J303&lt;&gt;"",$K303&lt;&gt;"",$J303=$K303,$J303&gt;=S$3,$J303&lt;=IF(param_mode_affichage="mois",EOMONTH(S$3,0),S$3+6)),"◆",""))</f>
      </c>
      <c r="T303" s="26">
        <f>IF(OR($A303="",T$3=""),"",IF(AND($J303&lt;&gt;"",$K303&lt;&gt;"",$J303=$K303,$J303&gt;=T$3,$J303&lt;=IF(param_mode_affichage="mois",EOMONTH(T$3,0),T$3+6)),"◆",""))</f>
      </c>
      <c r="U303" s="26">
        <f>IF(OR($A303="",U$3=""),"",IF(AND($J303&lt;&gt;"",$K303&lt;&gt;"",$J303=$K303,$J303&gt;=U$3,$J303&lt;=IF(param_mode_affichage="mois",EOMONTH(U$3,0),U$3+6)),"◆",""))</f>
      </c>
      <c r="V303" s="26">
        <f>IF(OR($A303="",V$3=""),"",IF(AND($J303&lt;&gt;"",$K303&lt;&gt;"",$J303=$K303,$J303&gt;=V$3,$J303&lt;=IF(param_mode_affichage="mois",EOMONTH(V$3,0),V$3+6)),"◆",""))</f>
      </c>
      <c r="W303" s="26">
        <f>IF(OR($A303="",W$3=""),"",IF(AND($J303&lt;&gt;"",$K303&lt;&gt;"",$J303=$K303,$J303&gt;=W$3,$J303&lt;=IF(param_mode_affichage="mois",EOMONTH(W$3,0),W$3+6)),"◆",""))</f>
      </c>
      <c r="X303" s="26">
        <f>IF(OR($A303="",X$3=""),"",IF(AND($J303&lt;&gt;"",$K303&lt;&gt;"",$J303=$K303,$J303&gt;=X$3,$J303&lt;=IF(param_mode_affichage="mois",EOMONTH(X$3,0),X$3+6)),"◆",""))</f>
      </c>
      <c r="Y303" s="26">
        <f>IF(OR($A303="",Y$3=""),"",IF(AND($J303&lt;&gt;"",$K303&lt;&gt;"",$J303=$K303,$J303&gt;=Y$3,$J303&lt;=IF(param_mode_affichage="mois",EOMONTH(Y$3,0),Y$3+6)),"◆",""))</f>
      </c>
      <c r="Z303" s="26">
        <f>IF(OR($A303="",Z$3=""),"",IF(AND($J303&lt;&gt;"",$K303&lt;&gt;"",$J303=$K303,$J303&gt;=Z$3,$J303&lt;=IF(param_mode_affichage="mois",EOMONTH(Z$3,0),Z$3+6)),"◆",""))</f>
      </c>
      <c r="AA303" s="26">
        <f>IF(OR($A303="",AA$3=""),"",IF(AND($J303&lt;&gt;"",$K303&lt;&gt;"",$J303=$K303,$J303&gt;=AA$3,$J303&lt;=IF(param_mode_affichage="mois",EOMONTH(AA$3,0),AA$3+6)),"◆",""))</f>
      </c>
      <c r="AB303" s="26">
        <f>IF(OR($A303="",AB$3=""),"",IF(AND($J303&lt;&gt;"",$K303&lt;&gt;"",$J303=$K303,$J303&gt;=AB$3,$J303&lt;=IF(param_mode_affichage="mois",EOMONTH(AB$3,0),AB$3+6)),"◆",""))</f>
      </c>
      <c r="AC303" s="26">
        <f>IF(OR($A303="",AC$3=""),"",IF(AND($J303&lt;&gt;"",$K303&lt;&gt;"",$J303=$K303,$J303&gt;=AC$3,$J303&lt;=IF(param_mode_affichage="mois",EOMONTH(AC$3,0),AC$3+6)),"◆",""))</f>
      </c>
      <c r="AD303" s="26">
        <f>IF(OR($A303="",AD$3=""),"",IF(AND($J303&lt;&gt;"",$K303&lt;&gt;"",$J303=$K303,$J303&gt;=AD$3,$J303&lt;=IF(param_mode_affichage="mois",EOMONTH(AD$3,0),AD$3+6)),"◆",""))</f>
      </c>
      <c r="AE303" s="26">
        <f>IF(OR($A303="",AE$3=""),"",IF(AND($J303&lt;&gt;"",$K303&lt;&gt;"",$J303=$K303,$J303&gt;=AE$3,$J303&lt;=IF(param_mode_affichage="mois",EOMONTH(AE$3,0),AE$3+6)),"◆",""))</f>
      </c>
      <c r="AF303" s="26">
        <f>IF(OR($A303="",AF$3=""),"",IF(AND($J303&lt;&gt;"",$K303&lt;&gt;"",$J303=$K303,$J303&gt;=AF$3,$J303&lt;=IF(param_mode_affichage="mois",EOMONTH(AF$3,0),AF$3+6)),"◆",""))</f>
      </c>
      <c r="AG303" s="26">
        <f>IF(OR($A303="",AG$3=""),"",IF(AND($J303&lt;&gt;"",$K303&lt;&gt;"",$J303=$K303,$J303&gt;=AG$3,$J303&lt;=IF(param_mode_affichage="mois",EOMONTH(AG$3,0),AG$3+6)),"◆",""))</f>
      </c>
      <c r="AH303" s="26">
        <f>IF(OR($A303="",AH$3=""),"",IF(AND($J303&lt;&gt;"",$K303&lt;&gt;"",$J303=$K303,$J303&gt;=AH$3,$J303&lt;=IF(param_mode_affichage="mois",EOMONTH(AH$3,0),AH$3+6)),"◆",""))</f>
      </c>
      <c r="AI303" s="26">
        <f>IF(OR($A303="",AI$3=""),"",IF(AND($J303&lt;&gt;"",$K303&lt;&gt;"",$J303=$K303,$J303&gt;=AI$3,$J303&lt;=IF(param_mode_affichage="mois",EOMONTH(AI$3,0),AI$3+6)),"◆",""))</f>
      </c>
      <c r="AJ303" s="26">
        <f>IF(OR($A303="",AJ$3=""),"",IF(AND($J303&lt;&gt;"",$K303&lt;&gt;"",$J303=$K303,$J303&gt;=AJ$3,$J303&lt;=IF(param_mode_affichage="mois",EOMONTH(AJ$3,0),AJ$3+6)),"◆",""))</f>
      </c>
      <c r="AK303" s="26">
        <f>IF(OR($A303="",AK$3=""),"",IF(AND($J303&lt;&gt;"",$K303&lt;&gt;"",$J303=$K303,$J303&gt;=AK$3,$J303&lt;=IF(param_mode_affichage="mois",EOMONTH(AK$3,0),AK$3+6)),"◆",""))</f>
      </c>
      <c r="AL303" s="26">
        <f>IF(OR($A303="",AL$3=""),"",IF(AND($J303&lt;&gt;"",$K303&lt;&gt;"",$J303=$K303,$J303&gt;=AL$3,$J303&lt;=IF(param_mode_affichage="mois",EOMONTH(AL$3,0),AL$3+6)),"◆",""))</f>
      </c>
      <c r="AM303" s="26">
        <f>IF(OR($A303="",AM$3=""),"",IF(AND($J303&lt;&gt;"",$K303&lt;&gt;"",$J303=$K303,$J303&gt;=AM$3,$J303&lt;=IF(param_mode_affichage="mois",EOMONTH(AM$3,0),AM$3+6)),"◆",""))</f>
      </c>
      <c r="AN303" s="26">
        <f>IF(OR($A303="",AN$3=""),"",IF(AND($J303&lt;&gt;"",$K303&lt;&gt;"",$J303=$K303,$J303&gt;=AN$3,$J303&lt;=IF(param_mode_affichage="mois",EOMONTH(AN$3,0),AN$3+6)),"◆",""))</f>
      </c>
      <c r="AO303" s="26">
        <f>IF(OR($A303="",AO$3=""),"",IF(AND($J303&lt;&gt;"",$K303&lt;&gt;"",$J303=$K303,$J303&gt;=AO$3,$J303&lt;=IF(param_mode_affichage="mois",EOMONTH(AO$3,0),AO$3+6)),"◆",""))</f>
      </c>
      <c r="AP303" s="26">
        <f>IF(OR($A303="",AP$3=""),"",IF(AND($J303&lt;&gt;"",$K303&lt;&gt;"",$J303=$K303,$J303&gt;=AP$3,$J303&lt;=IF(param_mode_affichage="mois",EOMONTH(AP$3,0),AP$3+6)),"◆",""))</f>
      </c>
      <c r="AQ303" s="26">
        <f>IF(OR($A303="",AQ$3=""),"",IF(AND($J303&lt;&gt;"",$K303&lt;&gt;"",$J303=$K303,$J303&gt;=AQ$3,$J303&lt;=IF(param_mode_affichage="mois",EOMONTH(AQ$3,0),AQ$3+6)),"◆",""))</f>
      </c>
      <c r="AR303" s="26">
        <f>IF(OR($A303="",AR$3=""),"",IF(AND($J303&lt;&gt;"",$K303&lt;&gt;"",$J303=$K303,$J303&gt;=AR$3,$J303&lt;=IF(param_mode_affichage="mois",EOMONTH(AR$3,0),AR$3+6)),"◆",""))</f>
      </c>
      <c r="AS303" s="26">
        <f>IF(OR($A303="",AS$3=""),"",IF(AND($J303&lt;&gt;"",$K303&lt;&gt;"",$J303=$K303,$J303&gt;=AS$3,$J303&lt;=IF(param_mode_affichage="mois",EOMONTH(AS$3,0),AS$3+6)),"◆",""))</f>
      </c>
      <c r="AT303" s="26">
        <f>IF(OR($A303="",AT$3=""),"",IF(AND($J303&lt;&gt;"",$K303&lt;&gt;"",$J303=$K303,$J303&gt;=AT$3,$J303&lt;=IF(param_mode_affichage="mois",EOMONTH(AT$3,0),AT$3+6)),"◆",""))</f>
      </c>
      <c r="AU303" s="26">
        <f>IF(OR($A303="",AU$3=""),"",IF(AND($J303&lt;&gt;"",$K303&lt;&gt;"",$J303=$K303,$J303&gt;=AU$3,$J303&lt;=IF(param_mode_affichage="mois",EOMONTH(AU$3,0),AU$3+6)),"◆",""))</f>
      </c>
      <c r="AV303" s="26">
        <f>IF(OR($A303="",AV$3=""),"",IF(AND($J303&lt;&gt;"",$K303&lt;&gt;"",$J303=$K303,$J303&gt;=AV$3,$J303&lt;=IF(param_mode_affichage="mois",EOMONTH(AV$3,0),AV$3+6)),"◆",""))</f>
      </c>
      <c r="AW303" s="26">
        <f>IF(OR($A303="",AW$3=""),"",IF(AND($J303&lt;&gt;"",$K303&lt;&gt;"",$J303=$K303,$J303&gt;=AW$3,$J303&lt;=IF(param_mode_affichage="mois",EOMONTH(AW$3,0),AW$3+6)),"◆",""))</f>
      </c>
      <c r="AX303" s="26">
        <f>IF(OR($A303="",AX$3=""),"",IF(AND($J303&lt;&gt;"",$K303&lt;&gt;"",$J303=$K303,$J303&gt;=AX$3,$J303&lt;=IF(param_mode_affichage="mois",EOMONTH(AX$3,0),AX$3+6)),"◆",""))</f>
      </c>
      <c r="AY303" s="26">
        <f>IF(OR($A303="",AY$3=""),"",IF(AND($J303&lt;&gt;"",$K303&lt;&gt;"",$J303=$K303,$J303&gt;=AY$3,$J303&lt;=IF(param_mode_affichage="mois",EOMONTH(AY$3,0),AY$3+6)),"◆",""))</f>
      </c>
      <c r="AZ303" s="26">
        <f>IF(OR($A303="",AZ$3=""),"",IF(AND($J303&lt;&gt;"",$K303&lt;&gt;"",$J303=$K303,$J303&gt;=AZ$3,$J303&lt;=IF(param_mode_affichage="mois",EOMONTH(AZ$3,0),AZ$3+6)),"◆",""))</f>
      </c>
      <c r="BA303" s="26">
        <f>IF(OR($A303="",BA$3=""),"",IF(AND($J303&lt;&gt;"",$K303&lt;&gt;"",$J303=$K303,$J303&gt;=BA$3,$J303&lt;=IF(param_mode_affichage="mois",EOMONTH(BA$3,0),BA$3+6)),"◆",""))</f>
      </c>
      <c r="BB303" s="26">
        <f>IF(OR($A303="",BB$3=""),"",IF(AND($J303&lt;&gt;"",$K303&lt;&gt;"",$J303=$K303,$J303&gt;=BB$3,$J303&lt;=IF(param_mode_affichage="mois",EOMONTH(BB$3,0),BB$3+6)),"◆",""))</f>
      </c>
      <c r="BC303" s="26">
        <f>IF(OR($A303="",BC$3=""),"",IF(AND($J303&lt;&gt;"",$K303&lt;&gt;"",$J303=$K303,$J303&gt;=BC$3,$J303&lt;=IF(param_mode_affichage="mois",EOMONTH(BC$3,0),BC$3+6)),"◆",""))</f>
      </c>
      <c r="BD303" s="26">
        <f>IF(OR($A303="",BD$3=""),"",IF(AND($J303&lt;&gt;"",$K303&lt;&gt;"",$J303=$K303,$J303&gt;=BD$3,$J303&lt;=IF(param_mode_affichage="mois",EOMONTH(BD$3,0),BD$3+6)),"◆",""))</f>
      </c>
      <c r="BE303" s="26">
        <f>IF(OR($A303="",BE$3=""),"",IF(AND($J303&lt;&gt;"",$K303&lt;&gt;"",$J303=$K303,$J303&gt;=BE$3,$J303&lt;=IF(param_mode_affichage="mois",EOMONTH(BE$3,0),BE$3+6)),"◆",""))</f>
      </c>
      <c r="BF303" s="26">
        <f>IF(OR($A303="",BF$3=""),"",IF(AND($J303&lt;&gt;"",$K303&lt;&gt;"",$J303=$K303,$J303&gt;=BF$3,$J303&lt;=IF(param_mode_affichage="mois",EOMONTH(BF$3,0),BF$3+6)),"◆",""))</f>
      </c>
      <c r="BG303" s="26">
        <f>IF(OR($A303="",BG$3=""),"",IF(AND($J303&lt;&gt;"",$K303&lt;&gt;"",$J303=$K303,$J303&gt;=BG$3,$J303&lt;=IF(param_mode_affichage="mois",EOMONTH(BG$3,0),BG$3+6)),"◆",""))</f>
      </c>
      <c r="BH303" s="26">
        <f>IF(OR($A303="",BH$3=""),"",IF(AND($J303&lt;&gt;"",$K303&lt;&gt;"",$J303=$K303,$J303&gt;=BH$3,$J303&lt;=IF(param_mode_affichage="mois",EOMONTH(BH$3,0),BH$3+6)),"◆",""))</f>
      </c>
      <c r="BI303" s="26">
        <f>IF(OR($A303="",BI$3=""),"",IF(AND($J303&lt;&gt;"",$K303&lt;&gt;"",$J303=$K303,$J303&gt;=BI$3,$J303&lt;=IF(param_mode_affichage="mois",EOMONTH(BI$3,0),BI$3+6)),"◆",""))</f>
      </c>
      <c r="BJ303" s="26">
        <f>IF(OR($A303="",BJ$3=""),"",IF(AND($J303&lt;&gt;"",$K303&lt;&gt;"",$J303=$K303,$J303&gt;=BJ$3,$J303&lt;=IF(param_mode_affichage="mois",EOMONTH(BJ$3,0),BJ$3+6)),"◆",""))</f>
      </c>
      <c r="BK303" s="26">
        <f>IF(OR($A303="",BK$3=""),"",IF(AND($J303&lt;&gt;"",$K303&lt;&gt;"",$J303=$K303,$J303&gt;=BK$3,$J303&lt;=IF(param_mode_affichage="mois",EOMONTH(BK$3,0),BK$3+6)),"◆",""))</f>
      </c>
      <c r="BL303" s="26">
        <f>IF(OR($A303="",BL$3=""),"",IF(AND($J303&lt;&gt;"",$K303&lt;&gt;"",$J303=$K303,$J303&gt;=BL$3,$J303&lt;=IF(param_mode_affichage="mois",EOMONTH(BL$3,0),BL$3+6)),"◆",""))</f>
      </c>
    </row>
    <row r="304" spans="1:64" x14ac:dyDescent="0.25">
      <c r="A304" s="23">
        <f>IFERROR(INDEX(tblTasks[ID],ROW()-4),"")</f>
      </c>
      <c r="B304" s="24">
        <f>IF($A304="","",INDEX(tblTasks[Sujet],ROW()-4))</f>
      </c>
      <c r="C304" s="23">
        <f>IF($A304="","",INDEX(tblTasks[Responsable],ROW()-4))</f>
      </c>
      <c r="D304" s="23">
        <f>IF($A304="","",INDEX(tblTasks[Statut],ROW()-4))</f>
      </c>
      <c r="E304" s="23">
        <f>IF($A304="","",INDEX(tblTasks[Depend_de],ROW()-4))</f>
      </c>
      <c r="F304" s="23">
        <f>IF($A304="","",INDEX(tblTasks[Blocage],ROW()-4))</f>
      </c>
      <c r="G304" s="23">
        <f>IF($A304="","",INDEX(tblTasks[Niveau_criticite],ROW()-4))</f>
      </c>
      <c r="H304" s="23">
        <f>IF($A304="","",INDEX(tblTasks[Goulot],ROW()-4))</f>
      </c>
      <c r="I304" s="23">
        <f>IF($A304="","",IF(LOWER($F304)="oui","non",IF($E304="","oui",IFERROR(IF(LOWER(INDEX(tblTasks[Statut],MATCH($E304,tblTasks[ID],0)))="clos","oui","non"),"non"))))</f>
      </c>
      <c r="J304" s="25">
        <f>IF($A304="","",INDEX(tblTasks[Date_debut_prevue],ROW()-4))</f>
      </c>
      <c r="K304" s="25">
        <f>IF($A304="","",INDEX(tblTasks[Date_fin_prevue],ROW()-4))</f>
      </c>
      <c r="L304" s="23">
        <f>IF($A304="","",INDEX(tblTasks[Irreversibilite],ROW()-4))</f>
      </c>
      <c r="M304" s="26">
        <f>IF(OR($A304="",M$3=""),"",IF(AND($J304&lt;&gt;"",$K304&lt;&gt;"",$J304=$K304,$J304&gt;=M$3,$J304&lt;=IF(param_mode_affichage="mois",EOMONTH(M$3,0),M$3+6)),"◆",""))</f>
      </c>
      <c r="N304" s="26">
        <f>IF(OR($A304="",N$3=""),"",IF(AND($J304&lt;&gt;"",$K304&lt;&gt;"",$J304=$K304,$J304&gt;=N$3,$J304&lt;=IF(param_mode_affichage="mois",EOMONTH(N$3,0),N$3+6)),"◆",""))</f>
      </c>
      <c r="O304" s="26">
        <f>IF(OR($A304="",O$3=""),"",IF(AND($J304&lt;&gt;"",$K304&lt;&gt;"",$J304=$K304,$J304&gt;=O$3,$J304&lt;=IF(param_mode_affichage="mois",EOMONTH(O$3,0),O$3+6)),"◆",""))</f>
      </c>
      <c r="P304" s="26">
        <f>IF(OR($A304="",P$3=""),"",IF(AND($J304&lt;&gt;"",$K304&lt;&gt;"",$J304=$K304,$J304&gt;=P$3,$J304&lt;=IF(param_mode_affichage="mois",EOMONTH(P$3,0),P$3+6)),"◆",""))</f>
      </c>
      <c r="Q304" s="26">
        <f>IF(OR($A304="",Q$3=""),"",IF(AND($J304&lt;&gt;"",$K304&lt;&gt;"",$J304=$K304,$J304&gt;=Q$3,$J304&lt;=IF(param_mode_affichage="mois",EOMONTH(Q$3,0),Q$3+6)),"◆",""))</f>
      </c>
      <c r="R304" s="26">
        <f>IF(OR($A304="",R$3=""),"",IF(AND($J304&lt;&gt;"",$K304&lt;&gt;"",$J304=$K304,$J304&gt;=R$3,$J304&lt;=IF(param_mode_affichage="mois",EOMONTH(R$3,0),R$3+6)),"◆",""))</f>
      </c>
      <c r="S304" s="26">
        <f>IF(OR($A304="",S$3=""),"",IF(AND($J304&lt;&gt;"",$K304&lt;&gt;"",$J304=$K304,$J304&gt;=S$3,$J304&lt;=IF(param_mode_affichage="mois",EOMONTH(S$3,0),S$3+6)),"◆",""))</f>
      </c>
      <c r="T304" s="26">
        <f>IF(OR($A304="",T$3=""),"",IF(AND($J304&lt;&gt;"",$K304&lt;&gt;"",$J304=$K304,$J304&gt;=T$3,$J304&lt;=IF(param_mode_affichage="mois",EOMONTH(T$3,0),T$3+6)),"◆",""))</f>
      </c>
      <c r="U304" s="26">
        <f>IF(OR($A304="",U$3=""),"",IF(AND($J304&lt;&gt;"",$K304&lt;&gt;"",$J304=$K304,$J304&gt;=U$3,$J304&lt;=IF(param_mode_affichage="mois",EOMONTH(U$3,0),U$3+6)),"◆",""))</f>
      </c>
      <c r="V304" s="26">
        <f>IF(OR($A304="",V$3=""),"",IF(AND($J304&lt;&gt;"",$K304&lt;&gt;"",$J304=$K304,$J304&gt;=V$3,$J304&lt;=IF(param_mode_affichage="mois",EOMONTH(V$3,0),V$3+6)),"◆",""))</f>
      </c>
      <c r="W304" s="26">
        <f>IF(OR($A304="",W$3=""),"",IF(AND($J304&lt;&gt;"",$K304&lt;&gt;"",$J304=$K304,$J304&gt;=W$3,$J304&lt;=IF(param_mode_affichage="mois",EOMONTH(W$3,0),W$3+6)),"◆",""))</f>
      </c>
      <c r="X304" s="26">
        <f>IF(OR($A304="",X$3=""),"",IF(AND($J304&lt;&gt;"",$K304&lt;&gt;"",$J304=$K304,$J304&gt;=X$3,$J304&lt;=IF(param_mode_affichage="mois",EOMONTH(X$3,0),X$3+6)),"◆",""))</f>
      </c>
      <c r="Y304" s="26">
        <f>IF(OR($A304="",Y$3=""),"",IF(AND($J304&lt;&gt;"",$K304&lt;&gt;"",$J304=$K304,$J304&gt;=Y$3,$J304&lt;=IF(param_mode_affichage="mois",EOMONTH(Y$3,0),Y$3+6)),"◆",""))</f>
      </c>
      <c r="Z304" s="26">
        <f>IF(OR($A304="",Z$3=""),"",IF(AND($J304&lt;&gt;"",$K304&lt;&gt;"",$J304=$K304,$J304&gt;=Z$3,$J304&lt;=IF(param_mode_affichage="mois",EOMONTH(Z$3,0),Z$3+6)),"◆",""))</f>
      </c>
      <c r="AA304" s="26">
        <f>IF(OR($A304="",AA$3=""),"",IF(AND($J304&lt;&gt;"",$K304&lt;&gt;"",$J304=$K304,$J304&gt;=AA$3,$J304&lt;=IF(param_mode_affichage="mois",EOMONTH(AA$3,0),AA$3+6)),"◆",""))</f>
      </c>
      <c r="AB304" s="26">
        <f>IF(OR($A304="",AB$3=""),"",IF(AND($J304&lt;&gt;"",$K304&lt;&gt;"",$J304=$K304,$J304&gt;=AB$3,$J304&lt;=IF(param_mode_affichage="mois",EOMONTH(AB$3,0),AB$3+6)),"◆",""))</f>
      </c>
      <c r="AC304" s="26">
        <f>IF(OR($A304="",AC$3=""),"",IF(AND($J304&lt;&gt;"",$K304&lt;&gt;"",$J304=$K304,$J304&gt;=AC$3,$J304&lt;=IF(param_mode_affichage="mois",EOMONTH(AC$3,0),AC$3+6)),"◆",""))</f>
      </c>
      <c r="AD304" s="26">
        <f>IF(OR($A304="",AD$3=""),"",IF(AND($J304&lt;&gt;"",$K304&lt;&gt;"",$J304=$K304,$J304&gt;=AD$3,$J304&lt;=IF(param_mode_affichage="mois",EOMONTH(AD$3,0),AD$3+6)),"◆",""))</f>
      </c>
      <c r="AE304" s="26">
        <f>IF(OR($A304="",AE$3=""),"",IF(AND($J304&lt;&gt;"",$K304&lt;&gt;"",$J304=$K304,$J304&gt;=AE$3,$J304&lt;=IF(param_mode_affichage="mois",EOMONTH(AE$3,0),AE$3+6)),"◆",""))</f>
      </c>
      <c r="AF304" s="26">
        <f>IF(OR($A304="",AF$3=""),"",IF(AND($J304&lt;&gt;"",$K304&lt;&gt;"",$J304=$K304,$J304&gt;=AF$3,$J304&lt;=IF(param_mode_affichage="mois",EOMONTH(AF$3,0),AF$3+6)),"◆",""))</f>
      </c>
      <c r="AG304" s="26">
        <f>IF(OR($A304="",AG$3=""),"",IF(AND($J304&lt;&gt;"",$K304&lt;&gt;"",$J304=$K304,$J304&gt;=AG$3,$J304&lt;=IF(param_mode_affichage="mois",EOMONTH(AG$3,0),AG$3+6)),"◆",""))</f>
      </c>
      <c r="AH304" s="26">
        <f>IF(OR($A304="",AH$3=""),"",IF(AND($J304&lt;&gt;"",$K304&lt;&gt;"",$J304=$K304,$J304&gt;=AH$3,$J304&lt;=IF(param_mode_affichage="mois",EOMONTH(AH$3,0),AH$3+6)),"◆",""))</f>
      </c>
      <c r="AI304" s="26">
        <f>IF(OR($A304="",AI$3=""),"",IF(AND($J304&lt;&gt;"",$K304&lt;&gt;"",$J304=$K304,$J304&gt;=AI$3,$J304&lt;=IF(param_mode_affichage="mois",EOMONTH(AI$3,0),AI$3+6)),"◆",""))</f>
      </c>
      <c r="AJ304" s="26">
        <f>IF(OR($A304="",AJ$3=""),"",IF(AND($J304&lt;&gt;"",$K304&lt;&gt;"",$J304=$K304,$J304&gt;=AJ$3,$J304&lt;=IF(param_mode_affichage="mois",EOMONTH(AJ$3,0),AJ$3+6)),"◆",""))</f>
      </c>
      <c r="AK304" s="26">
        <f>IF(OR($A304="",AK$3=""),"",IF(AND($J304&lt;&gt;"",$K304&lt;&gt;"",$J304=$K304,$J304&gt;=AK$3,$J304&lt;=IF(param_mode_affichage="mois",EOMONTH(AK$3,0),AK$3+6)),"◆",""))</f>
      </c>
      <c r="AL304" s="26">
        <f>IF(OR($A304="",AL$3=""),"",IF(AND($J304&lt;&gt;"",$K304&lt;&gt;"",$J304=$K304,$J304&gt;=AL$3,$J304&lt;=IF(param_mode_affichage="mois",EOMONTH(AL$3,0),AL$3+6)),"◆",""))</f>
      </c>
      <c r="AM304" s="26">
        <f>IF(OR($A304="",AM$3=""),"",IF(AND($J304&lt;&gt;"",$K304&lt;&gt;"",$J304=$K304,$J304&gt;=AM$3,$J304&lt;=IF(param_mode_affichage="mois",EOMONTH(AM$3,0),AM$3+6)),"◆",""))</f>
      </c>
      <c r="AN304" s="26">
        <f>IF(OR($A304="",AN$3=""),"",IF(AND($J304&lt;&gt;"",$K304&lt;&gt;"",$J304=$K304,$J304&gt;=AN$3,$J304&lt;=IF(param_mode_affichage="mois",EOMONTH(AN$3,0),AN$3+6)),"◆",""))</f>
      </c>
      <c r="AO304" s="26">
        <f>IF(OR($A304="",AO$3=""),"",IF(AND($J304&lt;&gt;"",$K304&lt;&gt;"",$J304=$K304,$J304&gt;=AO$3,$J304&lt;=IF(param_mode_affichage="mois",EOMONTH(AO$3,0),AO$3+6)),"◆",""))</f>
      </c>
      <c r="AP304" s="26">
        <f>IF(OR($A304="",AP$3=""),"",IF(AND($J304&lt;&gt;"",$K304&lt;&gt;"",$J304=$K304,$J304&gt;=AP$3,$J304&lt;=IF(param_mode_affichage="mois",EOMONTH(AP$3,0),AP$3+6)),"◆",""))</f>
      </c>
      <c r="AQ304" s="26">
        <f>IF(OR($A304="",AQ$3=""),"",IF(AND($J304&lt;&gt;"",$K304&lt;&gt;"",$J304=$K304,$J304&gt;=AQ$3,$J304&lt;=IF(param_mode_affichage="mois",EOMONTH(AQ$3,0),AQ$3+6)),"◆",""))</f>
      </c>
      <c r="AR304" s="26">
        <f>IF(OR($A304="",AR$3=""),"",IF(AND($J304&lt;&gt;"",$K304&lt;&gt;"",$J304=$K304,$J304&gt;=AR$3,$J304&lt;=IF(param_mode_affichage="mois",EOMONTH(AR$3,0),AR$3+6)),"◆",""))</f>
      </c>
      <c r="AS304" s="26">
        <f>IF(OR($A304="",AS$3=""),"",IF(AND($J304&lt;&gt;"",$K304&lt;&gt;"",$J304=$K304,$J304&gt;=AS$3,$J304&lt;=IF(param_mode_affichage="mois",EOMONTH(AS$3,0),AS$3+6)),"◆",""))</f>
      </c>
      <c r="AT304" s="26">
        <f>IF(OR($A304="",AT$3=""),"",IF(AND($J304&lt;&gt;"",$K304&lt;&gt;"",$J304=$K304,$J304&gt;=AT$3,$J304&lt;=IF(param_mode_affichage="mois",EOMONTH(AT$3,0),AT$3+6)),"◆",""))</f>
      </c>
      <c r="AU304" s="26">
        <f>IF(OR($A304="",AU$3=""),"",IF(AND($J304&lt;&gt;"",$K304&lt;&gt;"",$J304=$K304,$J304&gt;=AU$3,$J304&lt;=IF(param_mode_affichage="mois",EOMONTH(AU$3,0),AU$3+6)),"◆",""))</f>
      </c>
      <c r="AV304" s="26">
        <f>IF(OR($A304="",AV$3=""),"",IF(AND($J304&lt;&gt;"",$K304&lt;&gt;"",$J304=$K304,$J304&gt;=AV$3,$J304&lt;=IF(param_mode_affichage="mois",EOMONTH(AV$3,0),AV$3+6)),"◆",""))</f>
      </c>
      <c r="AW304" s="26">
        <f>IF(OR($A304="",AW$3=""),"",IF(AND($J304&lt;&gt;"",$K304&lt;&gt;"",$J304=$K304,$J304&gt;=AW$3,$J304&lt;=IF(param_mode_affichage="mois",EOMONTH(AW$3,0),AW$3+6)),"◆",""))</f>
      </c>
      <c r="AX304" s="26">
        <f>IF(OR($A304="",AX$3=""),"",IF(AND($J304&lt;&gt;"",$K304&lt;&gt;"",$J304=$K304,$J304&gt;=AX$3,$J304&lt;=IF(param_mode_affichage="mois",EOMONTH(AX$3,0),AX$3+6)),"◆",""))</f>
      </c>
      <c r="AY304" s="26">
        <f>IF(OR($A304="",AY$3=""),"",IF(AND($J304&lt;&gt;"",$K304&lt;&gt;"",$J304=$K304,$J304&gt;=AY$3,$J304&lt;=IF(param_mode_affichage="mois",EOMONTH(AY$3,0),AY$3+6)),"◆",""))</f>
      </c>
      <c r="AZ304" s="26">
        <f>IF(OR($A304="",AZ$3=""),"",IF(AND($J304&lt;&gt;"",$K304&lt;&gt;"",$J304=$K304,$J304&gt;=AZ$3,$J304&lt;=IF(param_mode_affichage="mois",EOMONTH(AZ$3,0),AZ$3+6)),"◆",""))</f>
      </c>
      <c r="BA304" s="26">
        <f>IF(OR($A304="",BA$3=""),"",IF(AND($J304&lt;&gt;"",$K304&lt;&gt;"",$J304=$K304,$J304&gt;=BA$3,$J304&lt;=IF(param_mode_affichage="mois",EOMONTH(BA$3,0),BA$3+6)),"◆",""))</f>
      </c>
      <c r="BB304" s="26">
        <f>IF(OR($A304="",BB$3=""),"",IF(AND($J304&lt;&gt;"",$K304&lt;&gt;"",$J304=$K304,$J304&gt;=BB$3,$J304&lt;=IF(param_mode_affichage="mois",EOMONTH(BB$3,0),BB$3+6)),"◆",""))</f>
      </c>
      <c r="BC304" s="26">
        <f>IF(OR($A304="",BC$3=""),"",IF(AND($J304&lt;&gt;"",$K304&lt;&gt;"",$J304=$K304,$J304&gt;=BC$3,$J304&lt;=IF(param_mode_affichage="mois",EOMONTH(BC$3,0),BC$3+6)),"◆",""))</f>
      </c>
      <c r="BD304" s="26">
        <f>IF(OR($A304="",BD$3=""),"",IF(AND($J304&lt;&gt;"",$K304&lt;&gt;"",$J304=$K304,$J304&gt;=BD$3,$J304&lt;=IF(param_mode_affichage="mois",EOMONTH(BD$3,0),BD$3+6)),"◆",""))</f>
      </c>
      <c r="BE304" s="26">
        <f>IF(OR($A304="",BE$3=""),"",IF(AND($J304&lt;&gt;"",$K304&lt;&gt;"",$J304=$K304,$J304&gt;=BE$3,$J304&lt;=IF(param_mode_affichage="mois",EOMONTH(BE$3,0),BE$3+6)),"◆",""))</f>
      </c>
      <c r="BF304" s="26">
        <f>IF(OR($A304="",BF$3=""),"",IF(AND($J304&lt;&gt;"",$K304&lt;&gt;"",$J304=$K304,$J304&gt;=BF$3,$J304&lt;=IF(param_mode_affichage="mois",EOMONTH(BF$3,0),BF$3+6)),"◆",""))</f>
      </c>
      <c r="BG304" s="26">
        <f>IF(OR($A304="",BG$3=""),"",IF(AND($J304&lt;&gt;"",$K304&lt;&gt;"",$J304=$K304,$J304&gt;=BG$3,$J304&lt;=IF(param_mode_affichage="mois",EOMONTH(BG$3,0),BG$3+6)),"◆",""))</f>
      </c>
      <c r="BH304" s="26">
        <f>IF(OR($A304="",BH$3=""),"",IF(AND($J304&lt;&gt;"",$K304&lt;&gt;"",$J304=$K304,$J304&gt;=BH$3,$J304&lt;=IF(param_mode_affichage="mois",EOMONTH(BH$3,0),BH$3+6)),"◆",""))</f>
      </c>
      <c r="BI304" s="26">
        <f>IF(OR($A304="",BI$3=""),"",IF(AND($J304&lt;&gt;"",$K304&lt;&gt;"",$J304=$K304,$J304&gt;=BI$3,$J304&lt;=IF(param_mode_affichage="mois",EOMONTH(BI$3,0),BI$3+6)),"◆",""))</f>
      </c>
      <c r="BJ304" s="26">
        <f>IF(OR($A304="",BJ$3=""),"",IF(AND($J304&lt;&gt;"",$K304&lt;&gt;"",$J304=$K304,$J304&gt;=BJ$3,$J304&lt;=IF(param_mode_affichage="mois",EOMONTH(BJ$3,0),BJ$3+6)),"◆",""))</f>
      </c>
      <c r="BK304" s="26">
        <f>IF(OR($A304="",BK$3=""),"",IF(AND($J304&lt;&gt;"",$K304&lt;&gt;"",$J304=$K304,$J304&gt;=BK$3,$J304&lt;=IF(param_mode_affichage="mois",EOMONTH(BK$3,0),BK$3+6)),"◆",""))</f>
      </c>
      <c r="BL304" s="26">
        <f>IF(OR($A304="",BL$3=""),"",IF(AND($J304&lt;&gt;"",$K304&lt;&gt;"",$J304=$K304,$J304&gt;=BL$3,$J304&lt;=IF(param_mode_affichage="mois",EOMONTH(BL$3,0),BL$3+6)),"◆",""))</f>
      </c>
    </row>
  </sheetData>
  <autoFilter ref="A4:I304"/>
  <mergeCells count="2">
    <mergeCell ref="A1:L1"/>
    <mergeCell ref="A2:L2"/>
  </mergeCells>
  <conditionalFormatting sqref="M4:BL304">
    <cfRule type="expression" dxfId="3" priority="1">
      <formula>AND(M$3&lt;&gt;"",param_date_du_jour&gt;=M$3,param_date_du_jour&lt;=IF(param_mode_affichage="mois",EOMONTH(M$3,0),M$3+6))</formula>
    </cfRule>
  </conditionalFormatting>
  <conditionalFormatting sqref="M5:BL304">
    <cfRule type="expression" dxfId="4" priority="2">
      <formula>AND(M$3&lt;&gt;"",$A5&lt;&gt;"",$J5&lt;&gt;"",$K5&lt;&gt;"",$J5&lt;&gt;$K5,$J5&lt;=IF(param_mode_affichage="mois",EOMONTH(M$3,0),M$3+6),$K5&gt;=M$3,OR(LOWER($D5)="non réouvrable",LOWER($L5)="forte"))</formula>
    </cfRule>
  </conditionalFormatting>
  <conditionalFormatting sqref="M5:BL304">
    <cfRule type="expression" dxfId="5" priority="3">
      <formula>AND(M$3&lt;&gt;"",$A5&lt;&gt;"",$J5&lt;&gt;"",$K5&lt;&gt;"",$J5&lt;&gt;$K5,$J5&lt;=IF(param_mode_affichage="mois",EOMONTH(M$3,0),M$3+6),$K5&gt;=M$3,OR(LOWER($D5)="bloqué",LOWER($F5)="oui"))</formula>
    </cfRule>
  </conditionalFormatting>
  <conditionalFormatting sqref="M5:BL304">
    <cfRule type="expression" dxfId="6" priority="4">
      <formula>AND(M$3&lt;&gt;"",$A5&lt;&gt;"",$J5&lt;&gt;"",$K5&lt;&gt;"",$J5&lt;&gt;$K5,$J5&lt;=IF(param_mode_affichage="mois",EOMONTH(M$3,0),M$3+6),$K5&gt;=M$3,LOWER($D5)="clos")</formula>
    </cfRule>
  </conditionalFormatting>
  <conditionalFormatting sqref="M5:BL304">
    <cfRule type="expression" dxfId="7" priority="5">
      <formula>AND(M$3&lt;&gt;"",$A5&lt;&gt;"",$J5&lt;&gt;"",$K5&lt;&gt;"",$J5&lt;&gt;$K5,$J5&lt;=IF(param_mode_affichage="mois",EOMONTH(M$3,0),M$3+6),$K5&gt;=M$3,LOWER($D5)="en exécution")</formula>
    </cfRule>
  </conditionalFormatting>
  <conditionalFormatting sqref="M5:BL304">
    <cfRule type="expression" dxfId="8" priority="6">
      <formula>AND(M$3&lt;&gt;"",$A5&lt;&gt;"",$J5&lt;&gt;"",$K5&lt;&gt;"",$J5&lt;&gt;$K5,$J5&lt;=IF(param_mode_affichage="mois",EOMONTH(M$3,0),M$3+6),$K5&gt;=M$3,LOWER($D5)="prêt à décider")</formula>
    </cfRule>
  </conditionalFormatting>
  <conditionalFormatting sqref="M5:BL304">
    <cfRule type="expression" dxfId="9" priority="7">
      <formula>AND(M$3&lt;&gt;"",$A5&lt;&gt;"",$J5&lt;&gt;"",$K5&lt;&gt;"",$J5&lt;&gt;$K5,$J5&lt;=IF(param_mode_affichage="mois",EOMONTH(M$3,0),M$3+6),$K5&gt;=M$3,LOWER($D5)="à instruire")</formula>
    </cfRule>
  </conditionalFormatting>
  <conditionalFormatting sqref="A5:I304">
    <cfRule type="expression" dxfId="10" priority="8">
      <formula>LOWER($H5)="oui"</formula>
    </cfRule>
  </conditionalFormatting>
  <conditionalFormatting sqref="I5:I304">
    <cfRule type="expression" dxfId="11" priority="9">
      <formula>LOWER($I5)="non"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0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6" width="16" customWidth="1"/>
    <col min="7" max="8" width="14" style="1" customWidth="1"/>
    <col min="9" max="9" width="12" style="18" customWidth="1"/>
    <col min="10" max="11" width="14" style="1" customWidth="1"/>
    <col min="12" max="12" width="12" customWidth="1"/>
    <col min="13" max="14" width="14" customWidth="1"/>
    <col min="15" max="16" width="18" customWidth="1"/>
    <col min="17" max="18" width="16" customWidth="1"/>
    <col min="19" max="19" width="18" customWidth="1"/>
    <col min="20" max="20" width="24" customWidth="1"/>
    <col min="21" max="21" width="10" customWidth="1"/>
    <col min="22" max="23" width="14" customWidth="1"/>
    <col min="24" max="25" width="12" customWidth="1"/>
    <col min="26" max="28" width="18" customWidth="1"/>
  </cols>
  <sheetData>
    <row r="1" spans="1:28" x14ac:dyDescent="0.25">
      <c r="A1" s="19" t="s">
        <v>83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</row>
    <row r="2" spans="1:11" x14ac:dyDescent="0.25">
      <c r="A2" s="27" t="s">
        <v>84</v>
      </c>
      <c r="B2" s="28" t="s">
        <v>85</v>
      </c>
      <c r="C2" s="29" t="s">
        <v>86</v>
      </c>
      <c r="D2" s="30" t="s">
        <v>87</v>
      </c>
      <c r="E2" s="31" t="s">
        <v>88</v>
      </c>
      <c r="F2" s="32" t="s">
        <v>89</v>
      </c>
      <c r="G2" s="1"/>
      <c r="H2" s="1"/>
      <c r="I2" s="18"/>
      <c r="J2" s="1"/>
      <c r="K2" s="1"/>
    </row>
    <row r="3" spans="1:11" x14ac:dyDescent="0.25">
      <c r="A3" s="27"/>
      <c r="B3" s="33">
        <f>COUNTIFS($W$7:$W$306,"oui",$X$7:$X$306,"oui")</f>
      </c>
      <c r="C3" s="33">
        <f>COUNTIFS($W$7:$W$306,"oui",$Y$7:$Y$306,"oui")</f>
      </c>
      <c r="D3" s="33">
        <f>COUNTIFS($W$7:$W$306,"oui",$Z$7:$Z$306,"oui")</f>
      </c>
      <c r="E3" s="33">
        <f>COUNTIFS($W$7:$W$306,"oui",$AA$7:$AA$306,"oui")</f>
      </c>
      <c r="F3" s="33">
        <f>COUNTIFS($W$7:$W$306,"oui",$AB$7:$AB$306,"oui")</f>
      </c>
      <c r="G3" s="1"/>
      <c r="H3" s="1"/>
      <c r="I3" s="18"/>
      <c r="J3" s="1"/>
      <c r="K3" s="1"/>
    </row>
    <row r="4" spans="1:28" x14ac:dyDescent="0.25">
      <c r="A4" s="34" t="s">
        <v>90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</row>
    <row r="6" spans="1:28" x14ac:dyDescent="0.25">
      <c r="A6" s="5" t="s">
        <v>45</v>
      </c>
      <c r="B6" s="5" t="s">
        <v>46</v>
      </c>
      <c r="C6" s="5" t="s">
        <v>47</v>
      </c>
      <c r="D6" s="5" t="s">
        <v>48</v>
      </c>
      <c r="E6" s="5" t="s">
        <v>49</v>
      </c>
      <c r="F6" s="5" t="s">
        <v>6</v>
      </c>
      <c r="G6" s="6" t="s">
        <v>50</v>
      </c>
      <c r="H6" s="6" t="s">
        <v>51</v>
      </c>
      <c r="I6" s="35" t="s">
        <v>52</v>
      </c>
      <c r="J6" s="6" t="s">
        <v>53</v>
      </c>
      <c r="K6" s="6" t="s">
        <v>54</v>
      </c>
      <c r="L6" s="5" t="s">
        <v>55</v>
      </c>
      <c r="M6" s="5" t="s">
        <v>56</v>
      </c>
      <c r="N6" s="5" t="s">
        <v>57</v>
      </c>
      <c r="O6" s="5" t="s">
        <v>58</v>
      </c>
      <c r="P6" s="5" t="s">
        <v>59</v>
      </c>
      <c r="Q6" s="5" t="s">
        <v>60</v>
      </c>
      <c r="R6" s="5" t="s">
        <v>61</v>
      </c>
      <c r="S6" s="5" t="s">
        <v>62</v>
      </c>
      <c r="T6" s="5" t="s">
        <v>63</v>
      </c>
      <c r="U6" s="5" t="s">
        <v>64</v>
      </c>
      <c r="V6" s="5" t="s">
        <v>65</v>
      </c>
      <c r="W6" s="5" t="s">
        <v>91</v>
      </c>
      <c r="X6" s="5" t="s">
        <v>92</v>
      </c>
      <c r="Y6" s="5" t="s">
        <v>93</v>
      </c>
      <c r="Z6" s="5" t="s">
        <v>94</v>
      </c>
      <c r="AA6" s="5" t="s">
        <v>95</v>
      </c>
      <c r="AB6" s="5" t="s">
        <v>96</v>
      </c>
    </row>
    <row r="7" spans="1:28" x14ac:dyDescent="0.25">
      <c r="A7" s="23">
        <f>IFERROR(INDEX(tblTasks[ID],ROW()-6),"")</f>
      </c>
      <c r="B7" s="24">
        <f>=IF($A7="","",INDEX(tblTasks[Sujet],ROW()-6))</f>
      </c>
      <c r="C7" s="23">
        <f>=IF($A7="","",INDEX(tblTasks[Lot_Domaine],ROW()-6))</f>
      </c>
      <c r="D7" s="23">
        <f>=IF($A7="","",INDEX(tblTasks[Agent_source],ROW()-6))</f>
      </c>
      <c r="E7" s="23">
        <f>=IF($A7="","",INDEX(tblTasks[Responsable],ROW()-6))</f>
      </c>
      <c r="F7" s="23">
        <f>=IF($A7="","",INDEX(tblTasks[Statut],ROW()-6))</f>
      </c>
      <c r="G7" s="25">
        <f>=IF($A7="","",INDEX(tblTasks[Date_debut_prevue],ROW()-6))</f>
      </c>
      <c r="H7" s="25">
        <f>=IF($A7="","",INDEX(tblTasks[Date_fin_prevue],ROW()-6))</f>
      </c>
      <c r="I7" s="36">
        <f>=IF($A7="","",INDEX(tblTasks[Duree_jours],ROW()-6))</f>
      </c>
      <c r="J7" s="25">
        <f>=IF($A7="","",INDEX(tblTasks[Date_debut_reelle],ROW()-6))</f>
      </c>
      <c r="K7" s="25">
        <f>=IF($A7="","",INDEX(tblTasks[Date_fin_reelle],ROW()-6))</f>
      </c>
      <c r="L7" s="23">
        <f>=IF($A7="","",INDEX(tblTasks[Blocage],ROW()-6))</f>
      </c>
      <c r="M7" s="23">
        <f>=IF($A7="","",INDEX(tblTasks[Depend_de],ROW()-6))</f>
      </c>
      <c r="N7" s="23">
        <f>=IF($A7="","",INDEX(tblTasks[Non_negociable],ROW()-6))</f>
      </c>
      <c r="O7" s="23">
        <f>=IF($A7="","",INDEX(tblTasks[Seuil_de_reprise],ROW()-6))</f>
      </c>
      <c r="P7" s="23">
        <f>=IF($A7="","",INDEX(tblTasks[Donnee_manquante],ROW()-6))</f>
      </c>
      <c r="Q7" s="23">
        <f>=IF($A7="","",INDEX(tblTasks[Niveau_criticite],ROW()-6))</f>
      </c>
      <c r="R7" s="23">
        <f>=IF($A7="","",INDEX(tblTasks[Irreversibilite],ROW()-6))</f>
      </c>
      <c r="S7" s="23">
        <f>=IF($A7="","",INDEX(tblTasks[Decision_Emmanuel],ROW()-6))</f>
      </c>
      <c r="T7" s="24">
        <f>=IF($A7="","",INDEX(tblTasks[Commentaire_EKT],ROW()-6))</f>
      </c>
      <c r="U7" s="23">
        <f>=IF($A7="","",INDEX(tblTasks[Goulot],ROW()-6))</f>
      </c>
      <c r="V7" s="23">
        <f>=IF($A7="","",INDEX(tblTasks[Point_de_bascule],ROW()-6))</f>
      </c>
      <c r="W7" s="37">
        <f>IF($A7="","",IF(AND(OR(param_filtre_statut="tous",LOWER($F7)=LOWER(param_filtre_statut)),OR(param_filtre_agent="tous",LOWER($D7)=LOWER(param_filtre_agent),LOWER($E7)=LOWER(param_filtre_agent)),OR(param_filtre_criticite="toutes",LOWER($Q7)=LOWER(param_filtre_criticite))),"oui","non"))</f>
      </c>
      <c r="X7" s="37">
        <f>IF($A7="","",IF(OR(LOWER($F7)="bloqué",LOWER($L7)="oui"),"oui","non"))</f>
      </c>
      <c r="Y7" s="37">
        <f>IF($A7="","",IF(OR(LOWER($Q7)="critique",LOWER($U7)="oui",LOWER($V7)="oui"),"oui","non"))</f>
      </c>
      <c r="Z7" s="37">
        <f>IF($A7="","",IF(AND($S7&lt;&gt;"",LOWER($S7)&lt;&gt;"tranchée",LOWER($S7)&lt;&gt;"sans objet",LOWER($S7)&lt;&gt;"clos"),"oui","non"))</f>
      </c>
      <c r="AA7" s="37">
        <f>IF($A7="","",IF($P7&lt;&gt;"","oui","non"))</f>
      </c>
      <c r="AB7" s="37">
        <f>IF($A7="","",IF(OR(LOWER($F7)="non réouvrable",LOWER($R7)="forte"),"oui","non"))</f>
      </c>
    </row>
    <row r="8" spans="1:28" x14ac:dyDescent="0.25">
      <c r="A8" s="23">
        <f>IFERROR(INDEX(tblTasks[ID],ROW()-6),"")</f>
      </c>
      <c r="B8" s="24">
        <f>=IF($A8="","",INDEX(tblTasks[Sujet],ROW()-6))</f>
      </c>
      <c r="C8" s="23">
        <f>=IF($A8="","",INDEX(tblTasks[Lot_Domaine],ROW()-6))</f>
      </c>
      <c r="D8" s="23">
        <f>=IF($A8="","",INDEX(tblTasks[Agent_source],ROW()-6))</f>
      </c>
      <c r="E8" s="23">
        <f>=IF($A8="","",INDEX(tblTasks[Responsable],ROW()-6))</f>
      </c>
      <c r="F8" s="23">
        <f>=IF($A8="","",INDEX(tblTasks[Statut],ROW()-6))</f>
      </c>
      <c r="G8" s="25">
        <f>=IF($A8="","",INDEX(tblTasks[Date_debut_prevue],ROW()-6))</f>
      </c>
      <c r="H8" s="25">
        <f>=IF($A8="","",INDEX(tblTasks[Date_fin_prevue],ROW()-6))</f>
      </c>
      <c r="I8" s="36">
        <f>=IF($A8="","",INDEX(tblTasks[Duree_jours],ROW()-6))</f>
      </c>
      <c r="J8" s="25">
        <f>=IF($A8="","",INDEX(tblTasks[Date_debut_reelle],ROW()-6))</f>
      </c>
      <c r="K8" s="25">
        <f>=IF($A8="","",INDEX(tblTasks[Date_fin_reelle],ROW()-6))</f>
      </c>
      <c r="L8" s="23">
        <f>=IF($A8="","",INDEX(tblTasks[Blocage],ROW()-6))</f>
      </c>
      <c r="M8" s="23">
        <f>=IF($A8="","",INDEX(tblTasks[Depend_de],ROW()-6))</f>
      </c>
      <c r="N8" s="23">
        <f>=IF($A8="","",INDEX(tblTasks[Non_negociable],ROW()-6))</f>
      </c>
      <c r="O8" s="23">
        <f>=IF($A8="","",INDEX(tblTasks[Seuil_de_reprise],ROW()-6))</f>
      </c>
      <c r="P8" s="23">
        <f>=IF($A8="","",INDEX(tblTasks[Donnee_manquante],ROW()-6))</f>
      </c>
      <c r="Q8" s="23">
        <f>=IF($A8="","",INDEX(tblTasks[Niveau_criticite],ROW()-6))</f>
      </c>
      <c r="R8" s="23">
        <f>=IF($A8="","",INDEX(tblTasks[Irreversibilite],ROW()-6))</f>
      </c>
      <c r="S8" s="23">
        <f>=IF($A8="","",INDEX(tblTasks[Decision_Emmanuel],ROW()-6))</f>
      </c>
      <c r="T8" s="24">
        <f>=IF($A8="","",INDEX(tblTasks[Commentaire_EKT],ROW()-6))</f>
      </c>
      <c r="U8" s="23">
        <f>=IF($A8="","",INDEX(tblTasks[Goulot],ROW()-6))</f>
      </c>
      <c r="V8" s="23">
        <f>=IF($A8="","",INDEX(tblTasks[Point_de_bascule],ROW()-6))</f>
      </c>
      <c r="W8" s="37">
        <f>IF($A8="","",IF(AND(OR(param_filtre_statut="tous",LOWER($F8)=LOWER(param_filtre_statut)),OR(param_filtre_agent="tous",LOWER($D8)=LOWER(param_filtre_agent),LOWER($E8)=LOWER(param_filtre_agent)),OR(param_filtre_criticite="toutes",LOWER($Q8)=LOWER(param_filtre_criticite))),"oui","non"))</f>
      </c>
      <c r="X8" s="37">
        <f>IF($A8="","",IF(OR(LOWER($F8)="bloqué",LOWER($L8)="oui"),"oui","non"))</f>
      </c>
      <c r="Y8" s="37">
        <f>IF($A8="","",IF(OR(LOWER($Q8)="critique",LOWER($U8)="oui",LOWER($V8)="oui"),"oui","non"))</f>
      </c>
      <c r="Z8" s="37">
        <f>IF($A8="","",IF(AND($S8&lt;&gt;"",LOWER($S8)&lt;&gt;"tranchée",LOWER($S8)&lt;&gt;"sans objet",LOWER($S8)&lt;&gt;"clos"),"oui","non"))</f>
      </c>
      <c r="AA8" s="37">
        <f>IF($A8="","",IF($P8&lt;&gt;"","oui","non"))</f>
      </c>
      <c r="AB8" s="37">
        <f>IF($A8="","",IF(OR(LOWER($F8)="non réouvrable",LOWER($R8)="forte"),"oui","non"))</f>
      </c>
    </row>
    <row r="9" spans="1:28" x14ac:dyDescent="0.25">
      <c r="A9" s="23">
        <f>IFERROR(INDEX(tblTasks[ID],ROW()-6),"")</f>
      </c>
      <c r="B9" s="24">
        <f>=IF($A9="","",INDEX(tblTasks[Sujet],ROW()-6))</f>
      </c>
      <c r="C9" s="23">
        <f>=IF($A9="","",INDEX(tblTasks[Lot_Domaine],ROW()-6))</f>
      </c>
      <c r="D9" s="23">
        <f>=IF($A9="","",INDEX(tblTasks[Agent_source],ROW()-6))</f>
      </c>
      <c r="E9" s="23">
        <f>=IF($A9="","",INDEX(tblTasks[Responsable],ROW()-6))</f>
      </c>
      <c r="F9" s="23">
        <f>=IF($A9="","",INDEX(tblTasks[Statut],ROW()-6))</f>
      </c>
      <c r="G9" s="25">
        <f>=IF($A9="","",INDEX(tblTasks[Date_debut_prevue],ROW()-6))</f>
      </c>
      <c r="H9" s="25">
        <f>=IF($A9="","",INDEX(tblTasks[Date_fin_prevue],ROW()-6))</f>
      </c>
      <c r="I9" s="36">
        <f>=IF($A9="","",INDEX(tblTasks[Duree_jours],ROW()-6))</f>
      </c>
      <c r="J9" s="25">
        <f>=IF($A9="","",INDEX(tblTasks[Date_debut_reelle],ROW()-6))</f>
      </c>
      <c r="K9" s="25">
        <f>=IF($A9="","",INDEX(tblTasks[Date_fin_reelle],ROW()-6))</f>
      </c>
      <c r="L9" s="23">
        <f>=IF($A9="","",INDEX(tblTasks[Blocage],ROW()-6))</f>
      </c>
      <c r="M9" s="23">
        <f>=IF($A9="","",INDEX(tblTasks[Depend_de],ROW()-6))</f>
      </c>
      <c r="N9" s="23">
        <f>=IF($A9="","",INDEX(tblTasks[Non_negociable],ROW()-6))</f>
      </c>
      <c r="O9" s="23">
        <f>=IF($A9="","",INDEX(tblTasks[Seuil_de_reprise],ROW()-6))</f>
      </c>
      <c r="P9" s="23">
        <f>=IF($A9="","",INDEX(tblTasks[Donnee_manquante],ROW()-6))</f>
      </c>
      <c r="Q9" s="23">
        <f>=IF($A9="","",INDEX(tblTasks[Niveau_criticite],ROW()-6))</f>
      </c>
      <c r="R9" s="23">
        <f>=IF($A9="","",INDEX(tblTasks[Irreversibilite],ROW()-6))</f>
      </c>
      <c r="S9" s="23">
        <f>=IF($A9="","",INDEX(tblTasks[Decision_Emmanuel],ROW()-6))</f>
      </c>
      <c r="T9" s="24">
        <f>=IF($A9="","",INDEX(tblTasks[Commentaire_EKT],ROW()-6))</f>
      </c>
      <c r="U9" s="23">
        <f>=IF($A9="","",INDEX(tblTasks[Goulot],ROW()-6))</f>
      </c>
      <c r="V9" s="23">
        <f>=IF($A9="","",INDEX(tblTasks[Point_de_bascule],ROW()-6))</f>
      </c>
      <c r="W9" s="37">
        <f>IF($A9="","",IF(AND(OR(param_filtre_statut="tous",LOWER($F9)=LOWER(param_filtre_statut)),OR(param_filtre_agent="tous",LOWER($D9)=LOWER(param_filtre_agent),LOWER($E9)=LOWER(param_filtre_agent)),OR(param_filtre_criticite="toutes",LOWER($Q9)=LOWER(param_filtre_criticite))),"oui","non"))</f>
      </c>
      <c r="X9" s="37">
        <f>IF($A9="","",IF(OR(LOWER($F9)="bloqué",LOWER($L9)="oui"),"oui","non"))</f>
      </c>
      <c r="Y9" s="37">
        <f>IF($A9="","",IF(OR(LOWER($Q9)="critique",LOWER($U9)="oui",LOWER($V9)="oui"),"oui","non"))</f>
      </c>
      <c r="Z9" s="37">
        <f>IF($A9="","",IF(AND($S9&lt;&gt;"",LOWER($S9)&lt;&gt;"tranchée",LOWER($S9)&lt;&gt;"sans objet",LOWER($S9)&lt;&gt;"clos"),"oui","non"))</f>
      </c>
      <c r="AA9" s="37">
        <f>IF($A9="","",IF($P9&lt;&gt;"","oui","non"))</f>
      </c>
      <c r="AB9" s="37">
        <f>IF($A9="","",IF(OR(LOWER($F9)="non réouvrable",LOWER($R9)="forte"),"oui","non"))</f>
      </c>
    </row>
    <row r="10" spans="1:28" x14ac:dyDescent="0.25">
      <c r="A10" s="23">
        <f>IFERROR(INDEX(tblTasks[ID],ROW()-6),"")</f>
      </c>
      <c r="B10" s="24">
        <f>=IF($A10="","",INDEX(tblTasks[Sujet],ROW()-6))</f>
      </c>
      <c r="C10" s="23">
        <f>=IF($A10="","",INDEX(tblTasks[Lot_Domaine],ROW()-6))</f>
      </c>
      <c r="D10" s="23">
        <f>=IF($A10="","",INDEX(tblTasks[Agent_source],ROW()-6))</f>
      </c>
      <c r="E10" s="23">
        <f>=IF($A10="","",INDEX(tblTasks[Responsable],ROW()-6))</f>
      </c>
      <c r="F10" s="23">
        <f>=IF($A10="","",INDEX(tblTasks[Statut],ROW()-6))</f>
      </c>
      <c r="G10" s="25">
        <f>=IF($A10="","",INDEX(tblTasks[Date_debut_prevue],ROW()-6))</f>
      </c>
      <c r="H10" s="25">
        <f>=IF($A10="","",INDEX(tblTasks[Date_fin_prevue],ROW()-6))</f>
      </c>
      <c r="I10" s="36">
        <f>=IF($A10="","",INDEX(tblTasks[Duree_jours],ROW()-6))</f>
      </c>
      <c r="J10" s="25">
        <f>=IF($A10="","",INDEX(tblTasks[Date_debut_reelle],ROW()-6))</f>
      </c>
      <c r="K10" s="25">
        <f>=IF($A10="","",INDEX(tblTasks[Date_fin_reelle],ROW()-6))</f>
      </c>
      <c r="L10" s="23">
        <f>=IF($A10="","",INDEX(tblTasks[Blocage],ROW()-6))</f>
      </c>
      <c r="M10" s="23">
        <f>=IF($A10="","",INDEX(tblTasks[Depend_de],ROW()-6))</f>
      </c>
      <c r="N10" s="23">
        <f>=IF($A10="","",INDEX(tblTasks[Non_negociable],ROW()-6))</f>
      </c>
      <c r="O10" s="23">
        <f>=IF($A10="","",INDEX(tblTasks[Seuil_de_reprise],ROW()-6))</f>
      </c>
      <c r="P10" s="23">
        <f>=IF($A10="","",INDEX(tblTasks[Donnee_manquante],ROW()-6))</f>
      </c>
      <c r="Q10" s="23">
        <f>=IF($A10="","",INDEX(tblTasks[Niveau_criticite],ROW()-6))</f>
      </c>
      <c r="R10" s="23">
        <f>=IF($A10="","",INDEX(tblTasks[Irreversibilite],ROW()-6))</f>
      </c>
      <c r="S10" s="23">
        <f>=IF($A10="","",INDEX(tblTasks[Decision_Emmanuel],ROW()-6))</f>
      </c>
      <c r="T10" s="24">
        <f>=IF($A10="","",INDEX(tblTasks[Commentaire_EKT],ROW()-6))</f>
      </c>
      <c r="U10" s="23">
        <f>=IF($A10="","",INDEX(tblTasks[Goulot],ROW()-6))</f>
      </c>
      <c r="V10" s="23">
        <f>=IF($A10="","",INDEX(tblTasks[Point_de_bascule],ROW()-6))</f>
      </c>
      <c r="W10" s="37">
        <f>IF($A10="","",IF(AND(OR(param_filtre_statut="tous",LOWER($F10)=LOWER(param_filtre_statut)),OR(param_filtre_agent="tous",LOWER($D10)=LOWER(param_filtre_agent),LOWER($E10)=LOWER(param_filtre_agent)),OR(param_filtre_criticite="toutes",LOWER($Q10)=LOWER(param_filtre_criticite))),"oui","non"))</f>
      </c>
      <c r="X10" s="37">
        <f>IF($A10="","",IF(OR(LOWER($F10)="bloqué",LOWER($L10)="oui"),"oui","non"))</f>
      </c>
      <c r="Y10" s="37">
        <f>IF($A10="","",IF(OR(LOWER($Q10)="critique",LOWER($U10)="oui",LOWER($V10)="oui"),"oui","non"))</f>
      </c>
      <c r="Z10" s="37">
        <f>IF($A10="","",IF(AND($S10&lt;&gt;"",LOWER($S10)&lt;&gt;"tranchée",LOWER($S10)&lt;&gt;"sans objet",LOWER($S10)&lt;&gt;"clos"),"oui","non"))</f>
      </c>
      <c r="AA10" s="37">
        <f>IF($A10="","",IF($P10&lt;&gt;"","oui","non"))</f>
      </c>
      <c r="AB10" s="37">
        <f>IF($A10="","",IF(OR(LOWER($F10)="non réouvrable",LOWER($R10)="forte"),"oui","non"))</f>
      </c>
    </row>
    <row r="11" spans="1:28" x14ac:dyDescent="0.25">
      <c r="A11" s="23">
        <f>IFERROR(INDEX(tblTasks[ID],ROW()-6),"")</f>
      </c>
      <c r="B11" s="24">
        <f>=IF($A11="","",INDEX(tblTasks[Sujet],ROW()-6))</f>
      </c>
      <c r="C11" s="23">
        <f>=IF($A11="","",INDEX(tblTasks[Lot_Domaine],ROW()-6))</f>
      </c>
      <c r="D11" s="23">
        <f>=IF($A11="","",INDEX(tblTasks[Agent_source],ROW()-6))</f>
      </c>
      <c r="E11" s="23">
        <f>=IF($A11="","",INDEX(tblTasks[Responsable],ROW()-6))</f>
      </c>
      <c r="F11" s="23">
        <f>=IF($A11="","",INDEX(tblTasks[Statut],ROW()-6))</f>
      </c>
      <c r="G11" s="25">
        <f>=IF($A11="","",INDEX(tblTasks[Date_debut_prevue],ROW()-6))</f>
      </c>
      <c r="H11" s="25">
        <f>=IF($A11="","",INDEX(tblTasks[Date_fin_prevue],ROW()-6))</f>
      </c>
      <c r="I11" s="36">
        <f>=IF($A11="","",INDEX(tblTasks[Duree_jours],ROW()-6))</f>
      </c>
      <c r="J11" s="25">
        <f>=IF($A11="","",INDEX(tblTasks[Date_debut_reelle],ROW()-6))</f>
      </c>
      <c r="K11" s="25">
        <f>=IF($A11="","",INDEX(tblTasks[Date_fin_reelle],ROW()-6))</f>
      </c>
      <c r="L11" s="23">
        <f>=IF($A11="","",INDEX(tblTasks[Blocage],ROW()-6))</f>
      </c>
      <c r="M11" s="23">
        <f>=IF($A11="","",INDEX(tblTasks[Depend_de],ROW()-6))</f>
      </c>
      <c r="N11" s="23">
        <f>=IF($A11="","",INDEX(tblTasks[Non_negociable],ROW()-6))</f>
      </c>
      <c r="O11" s="23">
        <f>=IF($A11="","",INDEX(tblTasks[Seuil_de_reprise],ROW()-6))</f>
      </c>
      <c r="P11" s="23">
        <f>=IF($A11="","",INDEX(tblTasks[Donnee_manquante],ROW()-6))</f>
      </c>
      <c r="Q11" s="23">
        <f>=IF($A11="","",INDEX(tblTasks[Niveau_criticite],ROW()-6))</f>
      </c>
      <c r="R11" s="23">
        <f>=IF($A11="","",INDEX(tblTasks[Irreversibilite],ROW()-6))</f>
      </c>
      <c r="S11" s="23">
        <f>=IF($A11="","",INDEX(tblTasks[Decision_Emmanuel],ROW()-6))</f>
      </c>
      <c r="T11" s="24">
        <f>=IF($A11="","",INDEX(tblTasks[Commentaire_EKT],ROW()-6))</f>
      </c>
      <c r="U11" s="23">
        <f>=IF($A11="","",INDEX(tblTasks[Goulot],ROW()-6))</f>
      </c>
      <c r="V11" s="23">
        <f>=IF($A11="","",INDEX(tblTasks[Point_de_bascule],ROW()-6))</f>
      </c>
      <c r="W11" s="37">
        <f>IF($A11="","",IF(AND(OR(param_filtre_statut="tous",LOWER($F11)=LOWER(param_filtre_statut)),OR(param_filtre_agent="tous",LOWER($D11)=LOWER(param_filtre_agent),LOWER($E11)=LOWER(param_filtre_agent)),OR(param_filtre_criticite="toutes",LOWER($Q11)=LOWER(param_filtre_criticite))),"oui","non"))</f>
      </c>
      <c r="X11" s="37">
        <f>IF($A11="","",IF(OR(LOWER($F11)="bloqué",LOWER($L11)="oui"),"oui","non"))</f>
      </c>
      <c r="Y11" s="37">
        <f>IF($A11="","",IF(OR(LOWER($Q11)="critique",LOWER($U11)="oui",LOWER($V11)="oui"),"oui","non"))</f>
      </c>
      <c r="Z11" s="37">
        <f>IF($A11="","",IF(AND($S11&lt;&gt;"",LOWER($S11)&lt;&gt;"tranchée",LOWER($S11)&lt;&gt;"sans objet",LOWER($S11)&lt;&gt;"clos"),"oui","non"))</f>
      </c>
      <c r="AA11" s="37">
        <f>IF($A11="","",IF($P11&lt;&gt;"","oui","non"))</f>
      </c>
      <c r="AB11" s="37">
        <f>IF($A11="","",IF(OR(LOWER($F11)="non réouvrable",LOWER($R11)="forte"),"oui","non"))</f>
      </c>
    </row>
    <row r="12" spans="1:28" x14ac:dyDescent="0.25">
      <c r="A12" s="23">
        <f>IFERROR(INDEX(tblTasks[ID],ROW()-6),"")</f>
      </c>
      <c r="B12" s="24">
        <f>=IF($A12="","",INDEX(tblTasks[Sujet],ROW()-6))</f>
      </c>
      <c r="C12" s="23">
        <f>=IF($A12="","",INDEX(tblTasks[Lot_Domaine],ROW()-6))</f>
      </c>
      <c r="D12" s="23">
        <f>=IF($A12="","",INDEX(tblTasks[Agent_source],ROW()-6))</f>
      </c>
      <c r="E12" s="23">
        <f>=IF($A12="","",INDEX(tblTasks[Responsable],ROW()-6))</f>
      </c>
      <c r="F12" s="23">
        <f>=IF($A12="","",INDEX(tblTasks[Statut],ROW()-6))</f>
      </c>
      <c r="G12" s="25">
        <f>=IF($A12="","",INDEX(tblTasks[Date_debut_prevue],ROW()-6))</f>
      </c>
      <c r="H12" s="25">
        <f>=IF($A12="","",INDEX(tblTasks[Date_fin_prevue],ROW()-6))</f>
      </c>
      <c r="I12" s="36">
        <f>=IF($A12="","",INDEX(tblTasks[Duree_jours],ROW()-6))</f>
      </c>
      <c r="J12" s="25">
        <f>=IF($A12="","",INDEX(tblTasks[Date_debut_reelle],ROW()-6))</f>
      </c>
      <c r="K12" s="25">
        <f>=IF($A12="","",INDEX(tblTasks[Date_fin_reelle],ROW()-6))</f>
      </c>
      <c r="L12" s="23">
        <f>=IF($A12="","",INDEX(tblTasks[Blocage],ROW()-6))</f>
      </c>
      <c r="M12" s="23">
        <f>=IF($A12="","",INDEX(tblTasks[Depend_de],ROW()-6))</f>
      </c>
      <c r="N12" s="23">
        <f>=IF($A12="","",INDEX(tblTasks[Non_negociable],ROW()-6))</f>
      </c>
      <c r="O12" s="23">
        <f>=IF($A12="","",INDEX(tblTasks[Seuil_de_reprise],ROW()-6))</f>
      </c>
      <c r="P12" s="23">
        <f>=IF($A12="","",INDEX(tblTasks[Donnee_manquante],ROW()-6))</f>
      </c>
      <c r="Q12" s="23">
        <f>=IF($A12="","",INDEX(tblTasks[Niveau_criticite],ROW()-6))</f>
      </c>
      <c r="R12" s="23">
        <f>=IF($A12="","",INDEX(tblTasks[Irreversibilite],ROW()-6))</f>
      </c>
      <c r="S12" s="23">
        <f>=IF($A12="","",INDEX(tblTasks[Decision_Emmanuel],ROW()-6))</f>
      </c>
      <c r="T12" s="24">
        <f>=IF($A12="","",INDEX(tblTasks[Commentaire_EKT],ROW()-6))</f>
      </c>
      <c r="U12" s="23">
        <f>=IF($A12="","",INDEX(tblTasks[Goulot],ROW()-6))</f>
      </c>
      <c r="V12" s="23">
        <f>=IF($A12="","",INDEX(tblTasks[Point_de_bascule],ROW()-6))</f>
      </c>
      <c r="W12" s="37">
        <f>IF($A12="","",IF(AND(OR(param_filtre_statut="tous",LOWER($F12)=LOWER(param_filtre_statut)),OR(param_filtre_agent="tous",LOWER($D12)=LOWER(param_filtre_agent),LOWER($E12)=LOWER(param_filtre_agent)),OR(param_filtre_criticite="toutes",LOWER($Q12)=LOWER(param_filtre_criticite))),"oui","non"))</f>
      </c>
      <c r="X12" s="37">
        <f>IF($A12="","",IF(OR(LOWER($F12)="bloqué",LOWER($L12)="oui"),"oui","non"))</f>
      </c>
      <c r="Y12" s="37">
        <f>IF($A12="","",IF(OR(LOWER($Q12)="critique",LOWER($U12)="oui",LOWER($V12)="oui"),"oui","non"))</f>
      </c>
      <c r="Z12" s="37">
        <f>IF($A12="","",IF(AND($S12&lt;&gt;"",LOWER($S12)&lt;&gt;"tranchée",LOWER($S12)&lt;&gt;"sans objet",LOWER($S12)&lt;&gt;"clos"),"oui","non"))</f>
      </c>
      <c r="AA12" s="37">
        <f>IF($A12="","",IF($P12&lt;&gt;"","oui","non"))</f>
      </c>
      <c r="AB12" s="37">
        <f>IF($A12="","",IF(OR(LOWER($F12)="non réouvrable",LOWER($R12)="forte"),"oui","non"))</f>
      </c>
    </row>
    <row r="13" spans="1:28" x14ac:dyDescent="0.25">
      <c r="A13" s="23">
        <f>IFERROR(INDEX(tblTasks[ID],ROW()-6),"")</f>
      </c>
      <c r="B13" s="24">
        <f>=IF($A13="","",INDEX(tblTasks[Sujet],ROW()-6))</f>
      </c>
      <c r="C13" s="23">
        <f>=IF($A13="","",INDEX(tblTasks[Lot_Domaine],ROW()-6))</f>
      </c>
      <c r="D13" s="23">
        <f>=IF($A13="","",INDEX(tblTasks[Agent_source],ROW()-6))</f>
      </c>
      <c r="E13" s="23">
        <f>=IF($A13="","",INDEX(tblTasks[Responsable],ROW()-6))</f>
      </c>
      <c r="F13" s="23">
        <f>=IF($A13="","",INDEX(tblTasks[Statut],ROW()-6))</f>
      </c>
      <c r="G13" s="25">
        <f>=IF($A13="","",INDEX(tblTasks[Date_debut_prevue],ROW()-6))</f>
      </c>
      <c r="H13" s="25">
        <f>=IF($A13="","",INDEX(tblTasks[Date_fin_prevue],ROW()-6))</f>
      </c>
      <c r="I13" s="36">
        <f>=IF($A13="","",INDEX(tblTasks[Duree_jours],ROW()-6))</f>
      </c>
      <c r="J13" s="25">
        <f>=IF($A13="","",INDEX(tblTasks[Date_debut_reelle],ROW()-6))</f>
      </c>
      <c r="K13" s="25">
        <f>=IF($A13="","",INDEX(tblTasks[Date_fin_reelle],ROW()-6))</f>
      </c>
      <c r="L13" s="23">
        <f>=IF($A13="","",INDEX(tblTasks[Blocage],ROW()-6))</f>
      </c>
      <c r="M13" s="23">
        <f>=IF($A13="","",INDEX(tblTasks[Depend_de],ROW()-6))</f>
      </c>
      <c r="N13" s="23">
        <f>=IF($A13="","",INDEX(tblTasks[Non_negociable],ROW()-6))</f>
      </c>
      <c r="O13" s="23">
        <f>=IF($A13="","",INDEX(tblTasks[Seuil_de_reprise],ROW()-6))</f>
      </c>
      <c r="P13" s="23">
        <f>=IF($A13="","",INDEX(tblTasks[Donnee_manquante],ROW()-6))</f>
      </c>
      <c r="Q13" s="23">
        <f>=IF($A13="","",INDEX(tblTasks[Niveau_criticite],ROW()-6))</f>
      </c>
      <c r="R13" s="23">
        <f>=IF($A13="","",INDEX(tblTasks[Irreversibilite],ROW()-6))</f>
      </c>
      <c r="S13" s="23">
        <f>=IF($A13="","",INDEX(tblTasks[Decision_Emmanuel],ROW()-6))</f>
      </c>
      <c r="T13" s="24">
        <f>=IF($A13="","",INDEX(tblTasks[Commentaire_EKT],ROW()-6))</f>
      </c>
      <c r="U13" s="23">
        <f>=IF($A13="","",INDEX(tblTasks[Goulot],ROW()-6))</f>
      </c>
      <c r="V13" s="23">
        <f>=IF($A13="","",INDEX(tblTasks[Point_de_bascule],ROW()-6))</f>
      </c>
      <c r="W13" s="37">
        <f>IF($A13="","",IF(AND(OR(param_filtre_statut="tous",LOWER($F13)=LOWER(param_filtre_statut)),OR(param_filtre_agent="tous",LOWER($D13)=LOWER(param_filtre_agent),LOWER($E13)=LOWER(param_filtre_agent)),OR(param_filtre_criticite="toutes",LOWER($Q13)=LOWER(param_filtre_criticite))),"oui","non"))</f>
      </c>
      <c r="X13" s="37">
        <f>IF($A13="","",IF(OR(LOWER($F13)="bloqué",LOWER($L13)="oui"),"oui","non"))</f>
      </c>
      <c r="Y13" s="37">
        <f>IF($A13="","",IF(OR(LOWER($Q13)="critique",LOWER($U13)="oui",LOWER($V13)="oui"),"oui","non"))</f>
      </c>
      <c r="Z13" s="37">
        <f>IF($A13="","",IF(AND($S13&lt;&gt;"",LOWER($S13)&lt;&gt;"tranchée",LOWER($S13)&lt;&gt;"sans objet",LOWER($S13)&lt;&gt;"clos"),"oui","non"))</f>
      </c>
      <c r="AA13" s="37">
        <f>IF($A13="","",IF($P13&lt;&gt;"","oui","non"))</f>
      </c>
      <c r="AB13" s="37">
        <f>IF($A13="","",IF(OR(LOWER($F13)="non réouvrable",LOWER($R13)="forte"),"oui","non"))</f>
      </c>
    </row>
    <row r="14" spans="1:28" x14ac:dyDescent="0.25">
      <c r="A14" s="23">
        <f>IFERROR(INDEX(tblTasks[ID],ROW()-6),"")</f>
      </c>
      <c r="B14" s="24">
        <f>=IF($A14="","",INDEX(tblTasks[Sujet],ROW()-6))</f>
      </c>
      <c r="C14" s="23">
        <f>=IF($A14="","",INDEX(tblTasks[Lot_Domaine],ROW()-6))</f>
      </c>
      <c r="D14" s="23">
        <f>=IF($A14="","",INDEX(tblTasks[Agent_source],ROW()-6))</f>
      </c>
      <c r="E14" s="23">
        <f>=IF($A14="","",INDEX(tblTasks[Responsable],ROW()-6))</f>
      </c>
      <c r="F14" s="23">
        <f>=IF($A14="","",INDEX(tblTasks[Statut],ROW()-6))</f>
      </c>
      <c r="G14" s="25">
        <f>=IF($A14="","",INDEX(tblTasks[Date_debut_prevue],ROW()-6))</f>
      </c>
      <c r="H14" s="25">
        <f>=IF($A14="","",INDEX(tblTasks[Date_fin_prevue],ROW()-6))</f>
      </c>
      <c r="I14" s="36">
        <f>=IF($A14="","",INDEX(tblTasks[Duree_jours],ROW()-6))</f>
      </c>
      <c r="J14" s="25">
        <f>=IF($A14="","",INDEX(tblTasks[Date_debut_reelle],ROW()-6))</f>
      </c>
      <c r="K14" s="25">
        <f>=IF($A14="","",INDEX(tblTasks[Date_fin_reelle],ROW()-6))</f>
      </c>
      <c r="L14" s="23">
        <f>=IF($A14="","",INDEX(tblTasks[Blocage],ROW()-6))</f>
      </c>
      <c r="M14" s="23">
        <f>=IF($A14="","",INDEX(tblTasks[Depend_de],ROW()-6))</f>
      </c>
      <c r="N14" s="23">
        <f>=IF($A14="","",INDEX(tblTasks[Non_negociable],ROW()-6))</f>
      </c>
      <c r="O14" s="23">
        <f>=IF($A14="","",INDEX(tblTasks[Seuil_de_reprise],ROW()-6))</f>
      </c>
      <c r="P14" s="23">
        <f>=IF($A14="","",INDEX(tblTasks[Donnee_manquante],ROW()-6))</f>
      </c>
      <c r="Q14" s="23">
        <f>=IF($A14="","",INDEX(tblTasks[Niveau_criticite],ROW()-6))</f>
      </c>
      <c r="R14" s="23">
        <f>=IF($A14="","",INDEX(tblTasks[Irreversibilite],ROW()-6))</f>
      </c>
      <c r="S14" s="23">
        <f>=IF($A14="","",INDEX(tblTasks[Decision_Emmanuel],ROW()-6))</f>
      </c>
      <c r="T14" s="24">
        <f>=IF($A14="","",INDEX(tblTasks[Commentaire_EKT],ROW()-6))</f>
      </c>
      <c r="U14" s="23">
        <f>=IF($A14="","",INDEX(tblTasks[Goulot],ROW()-6))</f>
      </c>
      <c r="V14" s="23">
        <f>=IF($A14="","",INDEX(tblTasks[Point_de_bascule],ROW()-6))</f>
      </c>
      <c r="W14" s="37">
        <f>IF($A14="","",IF(AND(OR(param_filtre_statut="tous",LOWER($F14)=LOWER(param_filtre_statut)),OR(param_filtre_agent="tous",LOWER($D14)=LOWER(param_filtre_agent),LOWER($E14)=LOWER(param_filtre_agent)),OR(param_filtre_criticite="toutes",LOWER($Q14)=LOWER(param_filtre_criticite))),"oui","non"))</f>
      </c>
      <c r="X14" s="37">
        <f>IF($A14="","",IF(OR(LOWER($F14)="bloqué",LOWER($L14)="oui"),"oui","non"))</f>
      </c>
      <c r="Y14" s="37">
        <f>IF($A14="","",IF(OR(LOWER($Q14)="critique",LOWER($U14)="oui",LOWER($V14)="oui"),"oui","non"))</f>
      </c>
      <c r="Z14" s="37">
        <f>IF($A14="","",IF(AND($S14&lt;&gt;"",LOWER($S14)&lt;&gt;"tranchée",LOWER($S14)&lt;&gt;"sans objet",LOWER($S14)&lt;&gt;"clos"),"oui","non"))</f>
      </c>
      <c r="AA14" s="37">
        <f>IF($A14="","",IF($P14&lt;&gt;"","oui","non"))</f>
      </c>
      <c r="AB14" s="37">
        <f>IF($A14="","",IF(OR(LOWER($F14)="non réouvrable",LOWER($R14)="forte"),"oui","non"))</f>
      </c>
    </row>
    <row r="15" spans="1:28" x14ac:dyDescent="0.25">
      <c r="A15" s="23">
        <f>IFERROR(INDEX(tblTasks[ID],ROW()-6),"")</f>
      </c>
      <c r="B15" s="24">
        <f>=IF($A15="","",INDEX(tblTasks[Sujet],ROW()-6))</f>
      </c>
      <c r="C15" s="23">
        <f>=IF($A15="","",INDEX(tblTasks[Lot_Domaine],ROW()-6))</f>
      </c>
      <c r="D15" s="23">
        <f>=IF($A15="","",INDEX(tblTasks[Agent_source],ROW()-6))</f>
      </c>
      <c r="E15" s="23">
        <f>=IF($A15="","",INDEX(tblTasks[Responsable],ROW()-6))</f>
      </c>
      <c r="F15" s="23">
        <f>=IF($A15="","",INDEX(tblTasks[Statut],ROW()-6))</f>
      </c>
      <c r="G15" s="25">
        <f>=IF($A15="","",INDEX(tblTasks[Date_debut_prevue],ROW()-6))</f>
      </c>
      <c r="H15" s="25">
        <f>=IF($A15="","",INDEX(tblTasks[Date_fin_prevue],ROW()-6))</f>
      </c>
      <c r="I15" s="36">
        <f>=IF($A15="","",INDEX(tblTasks[Duree_jours],ROW()-6))</f>
      </c>
      <c r="J15" s="25">
        <f>=IF($A15="","",INDEX(tblTasks[Date_debut_reelle],ROW()-6))</f>
      </c>
      <c r="K15" s="25">
        <f>=IF($A15="","",INDEX(tblTasks[Date_fin_reelle],ROW()-6))</f>
      </c>
      <c r="L15" s="23">
        <f>=IF($A15="","",INDEX(tblTasks[Blocage],ROW()-6))</f>
      </c>
      <c r="M15" s="23">
        <f>=IF($A15="","",INDEX(tblTasks[Depend_de],ROW()-6))</f>
      </c>
      <c r="N15" s="23">
        <f>=IF($A15="","",INDEX(tblTasks[Non_negociable],ROW()-6))</f>
      </c>
      <c r="O15" s="23">
        <f>=IF($A15="","",INDEX(tblTasks[Seuil_de_reprise],ROW()-6))</f>
      </c>
      <c r="P15" s="23">
        <f>=IF($A15="","",INDEX(tblTasks[Donnee_manquante],ROW()-6))</f>
      </c>
      <c r="Q15" s="23">
        <f>=IF($A15="","",INDEX(tblTasks[Niveau_criticite],ROW()-6))</f>
      </c>
      <c r="R15" s="23">
        <f>=IF($A15="","",INDEX(tblTasks[Irreversibilite],ROW()-6))</f>
      </c>
      <c r="S15" s="23">
        <f>=IF($A15="","",INDEX(tblTasks[Decision_Emmanuel],ROW()-6))</f>
      </c>
      <c r="T15" s="24">
        <f>=IF($A15="","",INDEX(tblTasks[Commentaire_EKT],ROW()-6))</f>
      </c>
      <c r="U15" s="23">
        <f>=IF($A15="","",INDEX(tblTasks[Goulot],ROW()-6))</f>
      </c>
      <c r="V15" s="23">
        <f>=IF($A15="","",INDEX(tblTasks[Point_de_bascule],ROW()-6))</f>
      </c>
      <c r="W15" s="37">
        <f>IF($A15="","",IF(AND(OR(param_filtre_statut="tous",LOWER($F15)=LOWER(param_filtre_statut)),OR(param_filtre_agent="tous",LOWER($D15)=LOWER(param_filtre_agent),LOWER($E15)=LOWER(param_filtre_agent)),OR(param_filtre_criticite="toutes",LOWER($Q15)=LOWER(param_filtre_criticite))),"oui","non"))</f>
      </c>
      <c r="X15" s="37">
        <f>IF($A15="","",IF(OR(LOWER($F15)="bloqué",LOWER($L15)="oui"),"oui","non"))</f>
      </c>
      <c r="Y15" s="37">
        <f>IF($A15="","",IF(OR(LOWER($Q15)="critique",LOWER($U15)="oui",LOWER($V15)="oui"),"oui","non"))</f>
      </c>
      <c r="Z15" s="37">
        <f>IF($A15="","",IF(AND($S15&lt;&gt;"",LOWER($S15)&lt;&gt;"tranchée",LOWER($S15)&lt;&gt;"sans objet",LOWER($S15)&lt;&gt;"clos"),"oui","non"))</f>
      </c>
      <c r="AA15" s="37">
        <f>IF($A15="","",IF($P15&lt;&gt;"","oui","non"))</f>
      </c>
      <c r="AB15" s="37">
        <f>IF($A15="","",IF(OR(LOWER($F15)="non réouvrable",LOWER($R15)="forte"),"oui","non"))</f>
      </c>
    </row>
    <row r="16" spans="1:28" x14ac:dyDescent="0.25">
      <c r="A16" s="23">
        <f>IFERROR(INDEX(tblTasks[ID],ROW()-6),"")</f>
      </c>
      <c r="B16" s="24">
        <f>=IF($A16="","",INDEX(tblTasks[Sujet],ROW()-6))</f>
      </c>
      <c r="C16" s="23">
        <f>=IF($A16="","",INDEX(tblTasks[Lot_Domaine],ROW()-6))</f>
      </c>
      <c r="D16" s="23">
        <f>=IF($A16="","",INDEX(tblTasks[Agent_source],ROW()-6))</f>
      </c>
      <c r="E16" s="23">
        <f>=IF($A16="","",INDEX(tblTasks[Responsable],ROW()-6))</f>
      </c>
      <c r="F16" s="23">
        <f>=IF($A16="","",INDEX(tblTasks[Statut],ROW()-6))</f>
      </c>
      <c r="G16" s="25">
        <f>=IF($A16="","",INDEX(tblTasks[Date_debut_prevue],ROW()-6))</f>
      </c>
      <c r="H16" s="25">
        <f>=IF($A16="","",INDEX(tblTasks[Date_fin_prevue],ROW()-6))</f>
      </c>
      <c r="I16" s="36">
        <f>=IF($A16="","",INDEX(tblTasks[Duree_jours],ROW()-6))</f>
      </c>
      <c r="J16" s="25">
        <f>=IF($A16="","",INDEX(tblTasks[Date_debut_reelle],ROW()-6))</f>
      </c>
      <c r="K16" s="25">
        <f>=IF($A16="","",INDEX(tblTasks[Date_fin_reelle],ROW()-6))</f>
      </c>
      <c r="L16" s="23">
        <f>=IF($A16="","",INDEX(tblTasks[Blocage],ROW()-6))</f>
      </c>
      <c r="M16" s="23">
        <f>=IF($A16="","",INDEX(tblTasks[Depend_de],ROW()-6))</f>
      </c>
      <c r="N16" s="23">
        <f>=IF($A16="","",INDEX(tblTasks[Non_negociable],ROW()-6))</f>
      </c>
      <c r="O16" s="23">
        <f>=IF($A16="","",INDEX(tblTasks[Seuil_de_reprise],ROW()-6))</f>
      </c>
      <c r="P16" s="23">
        <f>=IF($A16="","",INDEX(tblTasks[Donnee_manquante],ROW()-6))</f>
      </c>
      <c r="Q16" s="23">
        <f>=IF($A16="","",INDEX(tblTasks[Niveau_criticite],ROW()-6))</f>
      </c>
      <c r="R16" s="23">
        <f>=IF($A16="","",INDEX(tblTasks[Irreversibilite],ROW()-6))</f>
      </c>
      <c r="S16" s="23">
        <f>=IF($A16="","",INDEX(tblTasks[Decision_Emmanuel],ROW()-6))</f>
      </c>
      <c r="T16" s="24">
        <f>=IF($A16="","",INDEX(tblTasks[Commentaire_EKT],ROW()-6))</f>
      </c>
      <c r="U16" s="23">
        <f>=IF($A16="","",INDEX(tblTasks[Goulot],ROW()-6))</f>
      </c>
      <c r="V16" s="23">
        <f>=IF($A16="","",INDEX(tblTasks[Point_de_bascule],ROW()-6))</f>
      </c>
      <c r="W16" s="37">
        <f>IF($A16="","",IF(AND(OR(param_filtre_statut="tous",LOWER($F16)=LOWER(param_filtre_statut)),OR(param_filtre_agent="tous",LOWER($D16)=LOWER(param_filtre_agent),LOWER($E16)=LOWER(param_filtre_agent)),OR(param_filtre_criticite="toutes",LOWER($Q16)=LOWER(param_filtre_criticite))),"oui","non"))</f>
      </c>
      <c r="X16" s="37">
        <f>IF($A16="","",IF(OR(LOWER($F16)="bloqué",LOWER($L16)="oui"),"oui","non"))</f>
      </c>
      <c r="Y16" s="37">
        <f>IF($A16="","",IF(OR(LOWER($Q16)="critique",LOWER($U16)="oui",LOWER($V16)="oui"),"oui","non"))</f>
      </c>
      <c r="Z16" s="37">
        <f>IF($A16="","",IF(AND($S16&lt;&gt;"",LOWER($S16)&lt;&gt;"tranchée",LOWER($S16)&lt;&gt;"sans objet",LOWER($S16)&lt;&gt;"clos"),"oui","non"))</f>
      </c>
      <c r="AA16" s="37">
        <f>IF($A16="","",IF($P16&lt;&gt;"","oui","non"))</f>
      </c>
      <c r="AB16" s="37">
        <f>IF($A16="","",IF(OR(LOWER($F16)="non réouvrable",LOWER($R16)="forte"),"oui","non"))</f>
      </c>
    </row>
    <row r="17" spans="1:28" x14ac:dyDescent="0.25">
      <c r="A17" s="23">
        <f>IFERROR(INDEX(tblTasks[ID],ROW()-6),"")</f>
      </c>
      <c r="B17" s="24">
        <f>=IF($A17="","",INDEX(tblTasks[Sujet],ROW()-6))</f>
      </c>
      <c r="C17" s="23">
        <f>=IF($A17="","",INDEX(tblTasks[Lot_Domaine],ROW()-6))</f>
      </c>
      <c r="D17" s="23">
        <f>=IF($A17="","",INDEX(tblTasks[Agent_source],ROW()-6))</f>
      </c>
      <c r="E17" s="23">
        <f>=IF($A17="","",INDEX(tblTasks[Responsable],ROW()-6))</f>
      </c>
      <c r="F17" s="23">
        <f>=IF($A17="","",INDEX(tblTasks[Statut],ROW()-6))</f>
      </c>
      <c r="G17" s="25">
        <f>=IF($A17="","",INDEX(tblTasks[Date_debut_prevue],ROW()-6))</f>
      </c>
      <c r="H17" s="25">
        <f>=IF($A17="","",INDEX(tblTasks[Date_fin_prevue],ROW()-6))</f>
      </c>
      <c r="I17" s="36">
        <f>=IF($A17="","",INDEX(tblTasks[Duree_jours],ROW()-6))</f>
      </c>
      <c r="J17" s="25">
        <f>=IF($A17="","",INDEX(tblTasks[Date_debut_reelle],ROW()-6))</f>
      </c>
      <c r="K17" s="25">
        <f>=IF($A17="","",INDEX(tblTasks[Date_fin_reelle],ROW()-6))</f>
      </c>
      <c r="L17" s="23">
        <f>=IF($A17="","",INDEX(tblTasks[Blocage],ROW()-6))</f>
      </c>
      <c r="M17" s="23">
        <f>=IF($A17="","",INDEX(tblTasks[Depend_de],ROW()-6))</f>
      </c>
      <c r="N17" s="23">
        <f>=IF($A17="","",INDEX(tblTasks[Non_negociable],ROW()-6))</f>
      </c>
      <c r="O17" s="23">
        <f>=IF($A17="","",INDEX(tblTasks[Seuil_de_reprise],ROW()-6))</f>
      </c>
      <c r="P17" s="23">
        <f>=IF($A17="","",INDEX(tblTasks[Donnee_manquante],ROW()-6))</f>
      </c>
      <c r="Q17" s="23">
        <f>=IF($A17="","",INDEX(tblTasks[Niveau_criticite],ROW()-6))</f>
      </c>
      <c r="R17" s="23">
        <f>=IF($A17="","",INDEX(tblTasks[Irreversibilite],ROW()-6))</f>
      </c>
      <c r="S17" s="23">
        <f>=IF($A17="","",INDEX(tblTasks[Decision_Emmanuel],ROW()-6))</f>
      </c>
      <c r="T17" s="24">
        <f>=IF($A17="","",INDEX(tblTasks[Commentaire_EKT],ROW()-6))</f>
      </c>
      <c r="U17" s="23">
        <f>=IF($A17="","",INDEX(tblTasks[Goulot],ROW()-6))</f>
      </c>
      <c r="V17" s="23">
        <f>=IF($A17="","",INDEX(tblTasks[Point_de_bascule],ROW()-6))</f>
      </c>
      <c r="W17" s="37">
        <f>IF($A17="","",IF(AND(OR(param_filtre_statut="tous",LOWER($F17)=LOWER(param_filtre_statut)),OR(param_filtre_agent="tous",LOWER($D17)=LOWER(param_filtre_agent),LOWER($E17)=LOWER(param_filtre_agent)),OR(param_filtre_criticite="toutes",LOWER($Q17)=LOWER(param_filtre_criticite))),"oui","non"))</f>
      </c>
      <c r="X17" s="37">
        <f>IF($A17="","",IF(OR(LOWER($F17)="bloqué",LOWER($L17)="oui"),"oui","non"))</f>
      </c>
      <c r="Y17" s="37">
        <f>IF($A17="","",IF(OR(LOWER($Q17)="critique",LOWER($U17)="oui",LOWER($V17)="oui"),"oui","non"))</f>
      </c>
      <c r="Z17" s="37">
        <f>IF($A17="","",IF(AND($S17&lt;&gt;"",LOWER($S17)&lt;&gt;"tranchée",LOWER($S17)&lt;&gt;"sans objet",LOWER($S17)&lt;&gt;"clos"),"oui","non"))</f>
      </c>
      <c r="AA17" s="37">
        <f>IF($A17="","",IF($P17&lt;&gt;"","oui","non"))</f>
      </c>
      <c r="AB17" s="37">
        <f>IF($A17="","",IF(OR(LOWER($F17)="non réouvrable",LOWER($R17)="forte"),"oui","non"))</f>
      </c>
    </row>
    <row r="18" spans="1:28" x14ac:dyDescent="0.25">
      <c r="A18" s="23">
        <f>IFERROR(INDEX(tblTasks[ID],ROW()-6),"")</f>
      </c>
      <c r="B18" s="24">
        <f>=IF($A18="","",INDEX(tblTasks[Sujet],ROW()-6))</f>
      </c>
      <c r="C18" s="23">
        <f>=IF($A18="","",INDEX(tblTasks[Lot_Domaine],ROW()-6))</f>
      </c>
      <c r="D18" s="23">
        <f>=IF($A18="","",INDEX(tblTasks[Agent_source],ROW()-6))</f>
      </c>
      <c r="E18" s="23">
        <f>=IF($A18="","",INDEX(tblTasks[Responsable],ROW()-6))</f>
      </c>
      <c r="F18" s="23">
        <f>=IF($A18="","",INDEX(tblTasks[Statut],ROW()-6))</f>
      </c>
      <c r="G18" s="25">
        <f>=IF($A18="","",INDEX(tblTasks[Date_debut_prevue],ROW()-6))</f>
      </c>
      <c r="H18" s="25">
        <f>=IF($A18="","",INDEX(tblTasks[Date_fin_prevue],ROW()-6))</f>
      </c>
      <c r="I18" s="36">
        <f>=IF($A18="","",INDEX(tblTasks[Duree_jours],ROW()-6))</f>
      </c>
      <c r="J18" s="25">
        <f>=IF($A18="","",INDEX(tblTasks[Date_debut_reelle],ROW()-6))</f>
      </c>
      <c r="K18" s="25">
        <f>=IF($A18="","",INDEX(tblTasks[Date_fin_reelle],ROW()-6))</f>
      </c>
      <c r="L18" s="23">
        <f>=IF($A18="","",INDEX(tblTasks[Blocage],ROW()-6))</f>
      </c>
      <c r="M18" s="23">
        <f>=IF($A18="","",INDEX(tblTasks[Depend_de],ROW()-6))</f>
      </c>
      <c r="N18" s="23">
        <f>=IF($A18="","",INDEX(tblTasks[Non_negociable],ROW()-6))</f>
      </c>
      <c r="O18" s="23">
        <f>=IF($A18="","",INDEX(tblTasks[Seuil_de_reprise],ROW()-6))</f>
      </c>
      <c r="P18" s="23">
        <f>=IF($A18="","",INDEX(tblTasks[Donnee_manquante],ROW()-6))</f>
      </c>
      <c r="Q18" s="23">
        <f>=IF($A18="","",INDEX(tblTasks[Niveau_criticite],ROW()-6))</f>
      </c>
      <c r="R18" s="23">
        <f>=IF($A18="","",INDEX(tblTasks[Irreversibilite],ROW()-6))</f>
      </c>
      <c r="S18" s="23">
        <f>=IF($A18="","",INDEX(tblTasks[Decision_Emmanuel],ROW()-6))</f>
      </c>
      <c r="T18" s="24">
        <f>=IF($A18="","",INDEX(tblTasks[Commentaire_EKT],ROW()-6))</f>
      </c>
      <c r="U18" s="23">
        <f>=IF($A18="","",INDEX(tblTasks[Goulot],ROW()-6))</f>
      </c>
      <c r="V18" s="23">
        <f>=IF($A18="","",INDEX(tblTasks[Point_de_bascule],ROW()-6))</f>
      </c>
      <c r="W18" s="37">
        <f>IF($A18="","",IF(AND(OR(param_filtre_statut="tous",LOWER($F18)=LOWER(param_filtre_statut)),OR(param_filtre_agent="tous",LOWER($D18)=LOWER(param_filtre_agent),LOWER($E18)=LOWER(param_filtre_agent)),OR(param_filtre_criticite="toutes",LOWER($Q18)=LOWER(param_filtre_criticite))),"oui","non"))</f>
      </c>
      <c r="X18" s="37">
        <f>IF($A18="","",IF(OR(LOWER($F18)="bloqué",LOWER($L18)="oui"),"oui","non"))</f>
      </c>
      <c r="Y18" s="37">
        <f>IF($A18="","",IF(OR(LOWER($Q18)="critique",LOWER($U18)="oui",LOWER($V18)="oui"),"oui","non"))</f>
      </c>
      <c r="Z18" s="37">
        <f>IF($A18="","",IF(AND($S18&lt;&gt;"",LOWER($S18)&lt;&gt;"tranchée",LOWER($S18)&lt;&gt;"sans objet",LOWER($S18)&lt;&gt;"clos"),"oui","non"))</f>
      </c>
      <c r="AA18" s="37">
        <f>IF($A18="","",IF($P18&lt;&gt;"","oui","non"))</f>
      </c>
      <c r="AB18" s="37">
        <f>IF($A18="","",IF(OR(LOWER($F18)="non réouvrable",LOWER($R18)="forte"),"oui","non"))</f>
      </c>
    </row>
    <row r="19" spans="1:28" x14ac:dyDescent="0.25">
      <c r="A19" s="23">
        <f>IFERROR(INDEX(tblTasks[ID],ROW()-6),"")</f>
      </c>
      <c r="B19" s="24">
        <f>=IF($A19="","",INDEX(tblTasks[Sujet],ROW()-6))</f>
      </c>
      <c r="C19" s="23">
        <f>=IF($A19="","",INDEX(tblTasks[Lot_Domaine],ROW()-6))</f>
      </c>
      <c r="D19" s="23">
        <f>=IF($A19="","",INDEX(tblTasks[Agent_source],ROW()-6))</f>
      </c>
      <c r="E19" s="23">
        <f>=IF($A19="","",INDEX(tblTasks[Responsable],ROW()-6))</f>
      </c>
      <c r="F19" s="23">
        <f>=IF($A19="","",INDEX(tblTasks[Statut],ROW()-6))</f>
      </c>
      <c r="G19" s="25">
        <f>=IF($A19="","",INDEX(tblTasks[Date_debut_prevue],ROW()-6))</f>
      </c>
      <c r="H19" s="25">
        <f>=IF($A19="","",INDEX(tblTasks[Date_fin_prevue],ROW()-6))</f>
      </c>
      <c r="I19" s="36">
        <f>=IF($A19="","",INDEX(tblTasks[Duree_jours],ROW()-6))</f>
      </c>
      <c r="J19" s="25">
        <f>=IF($A19="","",INDEX(tblTasks[Date_debut_reelle],ROW()-6))</f>
      </c>
      <c r="K19" s="25">
        <f>=IF($A19="","",INDEX(tblTasks[Date_fin_reelle],ROW()-6))</f>
      </c>
      <c r="L19" s="23">
        <f>=IF($A19="","",INDEX(tblTasks[Blocage],ROW()-6))</f>
      </c>
      <c r="M19" s="23">
        <f>=IF($A19="","",INDEX(tblTasks[Depend_de],ROW()-6))</f>
      </c>
      <c r="N19" s="23">
        <f>=IF($A19="","",INDEX(tblTasks[Non_negociable],ROW()-6))</f>
      </c>
      <c r="O19" s="23">
        <f>=IF($A19="","",INDEX(tblTasks[Seuil_de_reprise],ROW()-6))</f>
      </c>
      <c r="P19" s="23">
        <f>=IF($A19="","",INDEX(tblTasks[Donnee_manquante],ROW()-6))</f>
      </c>
      <c r="Q19" s="23">
        <f>=IF($A19="","",INDEX(tblTasks[Niveau_criticite],ROW()-6))</f>
      </c>
      <c r="R19" s="23">
        <f>=IF($A19="","",INDEX(tblTasks[Irreversibilite],ROW()-6))</f>
      </c>
      <c r="S19" s="23">
        <f>=IF($A19="","",INDEX(tblTasks[Decision_Emmanuel],ROW()-6))</f>
      </c>
      <c r="T19" s="24">
        <f>=IF($A19="","",INDEX(tblTasks[Commentaire_EKT],ROW()-6))</f>
      </c>
      <c r="U19" s="23">
        <f>=IF($A19="","",INDEX(tblTasks[Goulot],ROW()-6))</f>
      </c>
      <c r="V19" s="23">
        <f>=IF($A19="","",INDEX(tblTasks[Point_de_bascule],ROW()-6))</f>
      </c>
      <c r="W19" s="37">
        <f>IF($A19="","",IF(AND(OR(param_filtre_statut="tous",LOWER($F19)=LOWER(param_filtre_statut)),OR(param_filtre_agent="tous",LOWER($D19)=LOWER(param_filtre_agent),LOWER($E19)=LOWER(param_filtre_agent)),OR(param_filtre_criticite="toutes",LOWER($Q19)=LOWER(param_filtre_criticite))),"oui","non"))</f>
      </c>
      <c r="X19" s="37">
        <f>IF($A19="","",IF(OR(LOWER($F19)="bloqué",LOWER($L19)="oui"),"oui","non"))</f>
      </c>
      <c r="Y19" s="37">
        <f>IF($A19="","",IF(OR(LOWER($Q19)="critique",LOWER($U19)="oui",LOWER($V19)="oui"),"oui","non"))</f>
      </c>
      <c r="Z19" s="37">
        <f>IF($A19="","",IF(AND($S19&lt;&gt;"",LOWER($S19)&lt;&gt;"tranchée",LOWER($S19)&lt;&gt;"sans objet",LOWER($S19)&lt;&gt;"clos"),"oui","non"))</f>
      </c>
      <c r="AA19" s="37">
        <f>IF($A19="","",IF($P19&lt;&gt;"","oui","non"))</f>
      </c>
      <c r="AB19" s="37">
        <f>IF($A19="","",IF(OR(LOWER($F19)="non réouvrable",LOWER($R19)="forte"),"oui","non"))</f>
      </c>
    </row>
    <row r="20" spans="1:28" x14ac:dyDescent="0.25">
      <c r="A20" s="23">
        <f>IFERROR(INDEX(tblTasks[ID],ROW()-6),"")</f>
      </c>
      <c r="B20" s="24">
        <f>=IF($A20="","",INDEX(tblTasks[Sujet],ROW()-6))</f>
      </c>
      <c r="C20" s="23">
        <f>=IF($A20="","",INDEX(tblTasks[Lot_Domaine],ROW()-6))</f>
      </c>
      <c r="D20" s="23">
        <f>=IF($A20="","",INDEX(tblTasks[Agent_source],ROW()-6))</f>
      </c>
      <c r="E20" s="23">
        <f>=IF($A20="","",INDEX(tblTasks[Responsable],ROW()-6))</f>
      </c>
      <c r="F20" s="23">
        <f>=IF($A20="","",INDEX(tblTasks[Statut],ROW()-6))</f>
      </c>
      <c r="G20" s="25">
        <f>=IF($A20="","",INDEX(tblTasks[Date_debut_prevue],ROW()-6))</f>
      </c>
      <c r="H20" s="25">
        <f>=IF($A20="","",INDEX(tblTasks[Date_fin_prevue],ROW()-6))</f>
      </c>
      <c r="I20" s="36">
        <f>=IF($A20="","",INDEX(tblTasks[Duree_jours],ROW()-6))</f>
      </c>
      <c r="J20" s="25">
        <f>=IF($A20="","",INDEX(tblTasks[Date_debut_reelle],ROW()-6))</f>
      </c>
      <c r="K20" s="25">
        <f>=IF($A20="","",INDEX(tblTasks[Date_fin_reelle],ROW()-6))</f>
      </c>
      <c r="L20" s="23">
        <f>=IF($A20="","",INDEX(tblTasks[Blocage],ROW()-6))</f>
      </c>
      <c r="M20" s="23">
        <f>=IF($A20="","",INDEX(tblTasks[Depend_de],ROW()-6))</f>
      </c>
      <c r="N20" s="23">
        <f>=IF($A20="","",INDEX(tblTasks[Non_negociable],ROW()-6))</f>
      </c>
      <c r="O20" s="23">
        <f>=IF($A20="","",INDEX(tblTasks[Seuil_de_reprise],ROW()-6))</f>
      </c>
      <c r="P20" s="23">
        <f>=IF($A20="","",INDEX(tblTasks[Donnee_manquante],ROW()-6))</f>
      </c>
      <c r="Q20" s="23">
        <f>=IF($A20="","",INDEX(tblTasks[Niveau_criticite],ROW()-6))</f>
      </c>
      <c r="R20" s="23">
        <f>=IF($A20="","",INDEX(tblTasks[Irreversibilite],ROW()-6))</f>
      </c>
      <c r="S20" s="23">
        <f>=IF($A20="","",INDEX(tblTasks[Decision_Emmanuel],ROW()-6))</f>
      </c>
      <c r="T20" s="24">
        <f>=IF($A20="","",INDEX(tblTasks[Commentaire_EKT],ROW()-6))</f>
      </c>
      <c r="U20" s="23">
        <f>=IF($A20="","",INDEX(tblTasks[Goulot],ROW()-6))</f>
      </c>
      <c r="V20" s="23">
        <f>=IF($A20="","",INDEX(tblTasks[Point_de_bascule],ROW()-6))</f>
      </c>
      <c r="W20" s="37">
        <f>IF($A20="","",IF(AND(OR(param_filtre_statut="tous",LOWER($F20)=LOWER(param_filtre_statut)),OR(param_filtre_agent="tous",LOWER($D20)=LOWER(param_filtre_agent),LOWER($E20)=LOWER(param_filtre_agent)),OR(param_filtre_criticite="toutes",LOWER($Q20)=LOWER(param_filtre_criticite))),"oui","non"))</f>
      </c>
      <c r="X20" s="37">
        <f>IF($A20="","",IF(OR(LOWER($F20)="bloqué",LOWER($L20)="oui"),"oui","non"))</f>
      </c>
      <c r="Y20" s="37">
        <f>IF($A20="","",IF(OR(LOWER($Q20)="critique",LOWER($U20)="oui",LOWER($V20)="oui"),"oui","non"))</f>
      </c>
      <c r="Z20" s="37">
        <f>IF($A20="","",IF(AND($S20&lt;&gt;"",LOWER($S20)&lt;&gt;"tranchée",LOWER($S20)&lt;&gt;"sans objet",LOWER($S20)&lt;&gt;"clos"),"oui","non"))</f>
      </c>
      <c r="AA20" s="37">
        <f>IF($A20="","",IF($P20&lt;&gt;"","oui","non"))</f>
      </c>
      <c r="AB20" s="37">
        <f>IF($A20="","",IF(OR(LOWER($F20)="non réouvrable",LOWER($R20)="forte"),"oui","non"))</f>
      </c>
    </row>
    <row r="21" spans="1:28" x14ac:dyDescent="0.25">
      <c r="A21" s="23">
        <f>IFERROR(INDEX(tblTasks[ID],ROW()-6),"")</f>
      </c>
      <c r="B21" s="24">
        <f>=IF($A21="","",INDEX(tblTasks[Sujet],ROW()-6))</f>
      </c>
      <c r="C21" s="23">
        <f>=IF($A21="","",INDEX(tblTasks[Lot_Domaine],ROW()-6))</f>
      </c>
      <c r="D21" s="23">
        <f>=IF($A21="","",INDEX(tblTasks[Agent_source],ROW()-6))</f>
      </c>
      <c r="E21" s="23">
        <f>=IF($A21="","",INDEX(tblTasks[Responsable],ROW()-6))</f>
      </c>
      <c r="F21" s="23">
        <f>=IF($A21="","",INDEX(tblTasks[Statut],ROW()-6))</f>
      </c>
      <c r="G21" s="25">
        <f>=IF($A21="","",INDEX(tblTasks[Date_debut_prevue],ROW()-6))</f>
      </c>
      <c r="H21" s="25">
        <f>=IF($A21="","",INDEX(tblTasks[Date_fin_prevue],ROW()-6))</f>
      </c>
      <c r="I21" s="36">
        <f>=IF($A21="","",INDEX(tblTasks[Duree_jours],ROW()-6))</f>
      </c>
      <c r="J21" s="25">
        <f>=IF($A21="","",INDEX(tblTasks[Date_debut_reelle],ROW()-6))</f>
      </c>
      <c r="K21" s="25">
        <f>=IF($A21="","",INDEX(tblTasks[Date_fin_reelle],ROW()-6))</f>
      </c>
      <c r="L21" s="23">
        <f>=IF($A21="","",INDEX(tblTasks[Blocage],ROW()-6))</f>
      </c>
      <c r="M21" s="23">
        <f>=IF($A21="","",INDEX(tblTasks[Depend_de],ROW()-6))</f>
      </c>
      <c r="N21" s="23">
        <f>=IF($A21="","",INDEX(tblTasks[Non_negociable],ROW()-6))</f>
      </c>
      <c r="O21" s="23">
        <f>=IF($A21="","",INDEX(tblTasks[Seuil_de_reprise],ROW()-6))</f>
      </c>
      <c r="P21" s="23">
        <f>=IF($A21="","",INDEX(tblTasks[Donnee_manquante],ROW()-6))</f>
      </c>
      <c r="Q21" s="23">
        <f>=IF($A21="","",INDEX(tblTasks[Niveau_criticite],ROW()-6))</f>
      </c>
      <c r="R21" s="23">
        <f>=IF($A21="","",INDEX(tblTasks[Irreversibilite],ROW()-6))</f>
      </c>
      <c r="S21" s="23">
        <f>=IF($A21="","",INDEX(tblTasks[Decision_Emmanuel],ROW()-6))</f>
      </c>
      <c r="T21" s="24">
        <f>=IF($A21="","",INDEX(tblTasks[Commentaire_EKT],ROW()-6))</f>
      </c>
      <c r="U21" s="23">
        <f>=IF($A21="","",INDEX(tblTasks[Goulot],ROW()-6))</f>
      </c>
      <c r="V21" s="23">
        <f>=IF($A21="","",INDEX(tblTasks[Point_de_bascule],ROW()-6))</f>
      </c>
      <c r="W21" s="37">
        <f>IF($A21="","",IF(AND(OR(param_filtre_statut="tous",LOWER($F21)=LOWER(param_filtre_statut)),OR(param_filtre_agent="tous",LOWER($D21)=LOWER(param_filtre_agent),LOWER($E21)=LOWER(param_filtre_agent)),OR(param_filtre_criticite="toutes",LOWER($Q21)=LOWER(param_filtre_criticite))),"oui","non"))</f>
      </c>
      <c r="X21" s="37">
        <f>IF($A21="","",IF(OR(LOWER($F21)="bloqué",LOWER($L21)="oui"),"oui","non"))</f>
      </c>
      <c r="Y21" s="37">
        <f>IF($A21="","",IF(OR(LOWER($Q21)="critique",LOWER($U21)="oui",LOWER($V21)="oui"),"oui","non"))</f>
      </c>
      <c r="Z21" s="37">
        <f>IF($A21="","",IF(AND($S21&lt;&gt;"",LOWER($S21)&lt;&gt;"tranchée",LOWER($S21)&lt;&gt;"sans objet",LOWER($S21)&lt;&gt;"clos"),"oui","non"))</f>
      </c>
      <c r="AA21" s="37">
        <f>IF($A21="","",IF($P21&lt;&gt;"","oui","non"))</f>
      </c>
      <c r="AB21" s="37">
        <f>IF($A21="","",IF(OR(LOWER($F21)="non réouvrable",LOWER($R21)="forte"),"oui","non"))</f>
      </c>
    </row>
    <row r="22" spans="1:28" x14ac:dyDescent="0.25">
      <c r="A22" s="23">
        <f>IFERROR(INDEX(tblTasks[ID],ROW()-6),"")</f>
      </c>
      <c r="B22" s="24">
        <f>=IF($A22="","",INDEX(tblTasks[Sujet],ROW()-6))</f>
      </c>
      <c r="C22" s="23">
        <f>=IF($A22="","",INDEX(tblTasks[Lot_Domaine],ROW()-6))</f>
      </c>
      <c r="D22" s="23">
        <f>=IF($A22="","",INDEX(tblTasks[Agent_source],ROW()-6))</f>
      </c>
      <c r="E22" s="23">
        <f>=IF($A22="","",INDEX(tblTasks[Responsable],ROW()-6))</f>
      </c>
      <c r="F22" s="23">
        <f>=IF($A22="","",INDEX(tblTasks[Statut],ROW()-6))</f>
      </c>
      <c r="G22" s="25">
        <f>=IF($A22="","",INDEX(tblTasks[Date_debut_prevue],ROW()-6))</f>
      </c>
      <c r="H22" s="25">
        <f>=IF($A22="","",INDEX(tblTasks[Date_fin_prevue],ROW()-6))</f>
      </c>
      <c r="I22" s="36">
        <f>=IF($A22="","",INDEX(tblTasks[Duree_jours],ROW()-6))</f>
      </c>
      <c r="J22" s="25">
        <f>=IF($A22="","",INDEX(tblTasks[Date_debut_reelle],ROW()-6))</f>
      </c>
      <c r="K22" s="25">
        <f>=IF($A22="","",INDEX(tblTasks[Date_fin_reelle],ROW()-6))</f>
      </c>
      <c r="L22" s="23">
        <f>=IF($A22="","",INDEX(tblTasks[Blocage],ROW()-6))</f>
      </c>
      <c r="M22" s="23">
        <f>=IF($A22="","",INDEX(tblTasks[Depend_de],ROW()-6))</f>
      </c>
      <c r="N22" s="23">
        <f>=IF($A22="","",INDEX(tblTasks[Non_negociable],ROW()-6))</f>
      </c>
      <c r="O22" s="23">
        <f>=IF($A22="","",INDEX(tblTasks[Seuil_de_reprise],ROW()-6))</f>
      </c>
      <c r="P22" s="23">
        <f>=IF($A22="","",INDEX(tblTasks[Donnee_manquante],ROW()-6))</f>
      </c>
      <c r="Q22" s="23">
        <f>=IF($A22="","",INDEX(tblTasks[Niveau_criticite],ROW()-6))</f>
      </c>
      <c r="R22" s="23">
        <f>=IF($A22="","",INDEX(tblTasks[Irreversibilite],ROW()-6))</f>
      </c>
      <c r="S22" s="23">
        <f>=IF($A22="","",INDEX(tblTasks[Decision_Emmanuel],ROW()-6))</f>
      </c>
      <c r="T22" s="24">
        <f>=IF($A22="","",INDEX(tblTasks[Commentaire_EKT],ROW()-6))</f>
      </c>
      <c r="U22" s="23">
        <f>=IF($A22="","",INDEX(tblTasks[Goulot],ROW()-6))</f>
      </c>
      <c r="V22" s="23">
        <f>=IF($A22="","",INDEX(tblTasks[Point_de_bascule],ROW()-6))</f>
      </c>
      <c r="W22" s="37">
        <f>IF($A22="","",IF(AND(OR(param_filtre_statut="tous",LOWER($F22)=LOWER(param_filtre_statut)),OR(param_filtre_agent="tous",LOWER($D22)=LOWER(param_filtre_agent),LOWER($E22)=LOWER(param_filtre_agent)),OR(param_filtre_criticite="toutes",LOWER($Q22)=LOWER(param_filtre_criticite))),"oui","non"))</f>
      </c>
      <c r="X22" s="37">
        <f>IF($A22="","",IF(OR(LOWER($F22)="bloqué",LOWER($L22)="oui"),"oui","non"))</f>
      </c>
      <c r="Y22" s="37">
        <f>IF($A22="","",IF(OR(LOWER($Q22)="critique",LOWER($U22)="oui",LOWER($V22)="oui"),"oui","non"))</f>
      </c>
      <c r="Z22" s="37">
        <f>IF($A22="","",IF(AND($S22&lt;&gt;"",LOWER($S22)&lt;&gt;"tranchée",LOWER($S22)&lt;&gt;"sans objet",LOWER($S22)&lt;&gt;"clos"),"oui","non"))</f>
      </c>
      <c r="AA22" s="37">
        <f>IF($A22="","",IF($P22&lt;&gt;"","oui","non"))</f>
      </c>
      <c r="AB22" s="37">
        <f>IF($A22="","",IF(OR(LOWER($F22)="non réouvrable",LOWER($R22)="forte"),"oui","non"))</f>
      </c>
    </row>
    <row r="23" spans="1:28" x14ac:dyDescent="0.25">
      <c r="A23" s="23">
        <f>IFERROR(INDEX(tblTasks[ID],ROW()-6),"")</f>
      </c>
      <c r="B23" s="24">
        <f>=IF($A23="","",INDEX(tblTasks[Sujet],ROW()-6))</f>
      </c>
      <c r="C23" s="23">
        <f>=IF($A23="","",INDEX(tblTasks[Lot_Domaine],ROW()-6))</f>
      </c>
      <c r="D23" s="23">
        <f>=IF($A23="","",INDEX(tblTasks[Agent_source],ROW()-6))</f>
      </c>
      <c r="E23" s="23">
        <f>=IF($A23="","",INDEX(tblTasks[Responsable],ROW()-6))</f>
      </c>
      <c r="F23" s="23">
        <f>=IF($A23="","",INDEX(tblTasks[Statut],ROW()-6))</f>
      </c>
      <c r="G23" s="25">
        <f>=IF($A23="","",INDEX(tblTasks[Date_debut_prevue],ROW()-6))</f>
      </c>
      <c r="H23" s="25">
        <f>=IF($A23="","",INDEX(tblTasks[Date_fin_prevue],ROW()-6))</f>
      </c>
      <c r="I23" s="36">
        <f>=IF($A23="","",INDEX(tblTasks[Duree_jours],ROW()-6))</f>
      </c>
      <c r="J23" s="25">
        <f>=IF($A23="","",INDEX(tblTasks[Date_debut_reelle],ROW()-6))</f>
      </c>
      <c r="K23" s="25">
        <f>=IF($A23="","",INDEX(tblTasks[Date_fin_reelle],ROW()-6))</f>
      </c>
      <c r="L23" s="23">
        <f>=IF($A23="","",INDEX(tblTasks[Blocage],ROW()-6))</f>
      </c>
      <c r="M23" s="23">
        <f>=IF($A23="","",INDEX(tblTasks[Depend_de],ROW()-6))</f>
      </c>
      <c r="N23" s="23">
        <f>=IF($A23="","",INDEX(tblTasks[Non_negociable],ROW()-6))</f>
      </c>
      <c r="O23" s="23">
        <f>=IF($A23="","",INDEX(tblTasks[Seuil_de_reprise],ROW()-6))</f>
      </c>
      <c r="P23" s="23">
        <f>=IF($A23="","",INDEX(tblTasks[Donnee_manquante],ROW()-6))</f>
      </c>
      <c r="Q23" s="23">
        <f>=IF($A23="","",INDEX(tblTasks[Niveau_criticite],ROW()-6))</f>
      </c>
      <c r="R23" s="23">
        <f>=IF($A23="","",INDEX(tblTasks[Irreversibilite],ROW()-6))</f>
      </c>
      <c r="S23" s="23">
        <f>=IF($A23="","",INDEX(tblTasks[Decision_Emmanuel],ROW()-6))</f>
      </c>
      <c r="T23" s="24">
        <f>=IF($A23="","",INDEX(tblTasks[Commentaire_EKT],ROW()-6))</f>
      </c>
      <c r="U23" s="23">
        <f>=IF($A23="","",INDEX(tblTasks[Goulot],ROW()-6))</f>
      </c>
      <c r="V23" s="23">
        <f>=IF($A23="","",INDEX(tblTasks[Point_de_bascule],ROW()-6))</f>
      </c>
      <c r="W23" s="37">
        <f>IF($A23="","",IF(AND(OR(param_filtre_statut="tous",LOWER($F23)=LOWER(param_filtre_statut)),OR(param_filtre_agent="tous",LOWER($D23)=LOWER(param_filtre_agent),LOWER($E23)=LOWER(param_filtre_agent)),OR(param_filtre_criticite="toutes",LOWER($Q23)=LOWER(param_filtre_criticite))),"oui","non"))</f>
      </c>
      <c r="X23" s="37">
        <f>IF($A23="","",IF(OR(LOWER($F23)="bloqué",LOWER($L23)="oui"),"oui","non"))</f>
      </c>
      <c r="Y23" s="37">
        <f>IF($A23="","",IF(OR(LOWER($Q23)="critique",LOWER($U23)="oui",LOWER($V23)="oui"),"oui","non"))</f>
      </c>
      <c r="Z23" s="37">
        <f>IF($A23="","",IF(AND($S23&lt;&gt;"",LOWER($S23)&lt;&gt;"tranchée",LOWER($S23)&lt;&gt;"sans objet",LOWER($S23)&lt;&gt;"clos"),"oui","non"))</f>
      </c>
      <c r="AA23" s="37">
        <f>IF($A23="","",IF($P23&lt;&gt;"","oui","non"))</f>
      </c>
      <c r="AB23" s="37">
        <f>IF($A23="","",IF(OR(LOWER($F23)="non réouvrable",LOWER($R23)="forte"),"oui","non"))</f>
      </c>
    </row>
    <row r="24" spans="1:28" x14ac:dyDescent="0.25">
      <c r="A24" s="23">
        <f>IFERROR(INDEX(tblTasks[ID],ROW()-6),"")</f>
      </c>
      <c r="B24" s="24">
        <f>=IF($A24="","",INDEX(tblTasks[Sujet],ROW()-6))</f>
      </c>
      <c r="C24" s="23">
        <f>=IF($A24="","",INDEX(tblTasks[Lot_Domaine],ROW()-6))</f>
      </c>
      <c r="D24" s="23">
        <f>=IF($A24="","",INDEX(tblTasks[Agent_source],ROW()-6))</f>
      </c>
      <c r="E24" s="23">
        <f>=IF($A24="","",INDEX(tblTasks[Responsable],ROW()-6))</f>
      </c>
      <c r="F24" s="23">
        <f>=IF($A24="","",INDEX(tblTasks[Statut],ROW()-6))</f>
      </c>
      <c r="G24" s="25">
        <f>=IF($A24="","",INDEX(tblTasks[Date_debut_prevue],ROW()-6))</f>
      </c>
      <c r="H24" s="25">
        <f>=IF($A24="","",INDEX(tblTasks[Date_fin_prevue],ROW()-6))</f>
      </c>
      <c r="I24" s="36">
        <f>=IF($A24="","",INDEX(tblTasks[Duree_jours],ROW()-6))</f>
      </c>
      <c r="J24" s="25">
        <f>=IF($A24="","",INDEX(tblTasks[Date_debut_reelle],ROW()-6))</f>
      </c>
      <c r="K24" s="25">
        <f>=IF($A24="","",INDEX(tblTasks[Date_fin_reelle],ROW()-6))</f>
      </c>
      <c r="L24" s="23">
        <f>=IF($A24="","",INDEX(tblTasks[Blocage],ROW()-6))</f>
      </c>
      <c r="M24" s="23">
        <f>=IF($A24="","",INDEX(tblTasks[Depend_de],ROW()-6))</f>
      </c>
      <c r="N24" s="23">
        <f>=IF($A24="","",INDEX(tblTasks[Non_negociable],ROW()-6))</f>
      </c>
      <c r="O24" s="23">
        <f>=IF($A24="","",INDEX(tblTasks[Seuil_de_reprise],ROW()-6))</f>
      </c>
      <c r="P24" s="23">
        <f>=IF($A24="","",INDEX(tblTasks[Donnee_manquante],ROW()-6))</f>
      </c>
      <c r="Q24" s="23">
        <f>=IF($A24="","",INDEX(tblTasks[Niveau_criticite],ROW()-6))</f>
      </c>
      <c r="R24" s="23">
        <f>=IF($A24="","",INDEX(tblTasks[Irreversibilite],ROW()-6))</f>
      </c>
      <c r="S24" s="23">
        <f>=IF($A24="","",INDEX(tblTasks[Decision_Emmanuel],ROW()-6))</f>
      </c>
      <c r="T24" s="24">
        <f>=IF($A24="","",INDEX(tblTasks[Commentaire_EKT],ROW()-6))</f>
      </c>
      <c r="U24" s="23">
        <f>=IF($A24="","",INDEX(tblTasks[Goulot],ROW()-6))</f>
      </c>
      <c r="V24" s="23">
        <f>=IF($A24="","",INDEX(tblTasks[Point_de_bascule],ROW()-6))</f>
      </c>
      <c r="W24" s="37">
        <f>IF($A24="","",IF(AND(OR(param_filtre_statut="tous",LOWER($F24)=LOWER(param_filtre_statut)),OR(param_filtre_agent="tous",LOWER($D24)=LOWER(param_filtre_agent),LOWER($E24)=LOWER(param_filtre_agent)),OR(param_filtre_criticite="toutes",LOWER($Q24)=LOWER(param_filtre_criticite))),"oui","non"))</f>
      </c>
      <c r="X24" s="37">
        <f>IF($A24="","",IF(OR(LOWER($F24)="bloqué",LOWER($L24)="oui"),"oui","non"))</f>
      </c>
      <c r="Y24" s="37">
        <f>IF($A24="","",IF(OR(LOWER($Q24)="critique",LOWER($U24)="oui",LOWER($V24)="oui"),"oui","non"))</f>
      </c>
      <c r="Z24" s="37">
        <f>IF($A24="","",IF(AND($S24&lt;&gt;"",LOWER($S24)&lt;&gt;"tranchée",LOWER($S24)&lt;&gt;"sans objet",LOWER($S24)&lt;&gt;"clos"),"oui","non"))</f>
      </c>
      <c r="AA24" s="37">
        <f>IF($A24="","",IF($P24&lt;&gt;"","oui","non"))</f>
      </c>
      <c r="AB24" s="37">
        <f>IF($A24="","",IF(OR(LOWER($F24)="non réouvrable",LOWER($R24)="forte"),"oui","non"))</f>
      </c>
    </row>
    <row r="25" spans="1:28" x14ac:dyDescent="0.25">
      <c r="A25" s="23">
        <f>IFERROR(INDEX(tblTasks[ID],ROW()-6),"")</f>
      </c>
      <c r="B25" s="24">
        <f>=IF($A25="","",INDEX(tblTasks[Sujet],ROW()-6))</f>
      </c>
      <c r="C25" s="23">
        <f>=IF($A25="","",INDEX(tblTasks[Lot_Domaine],ROW()-6))</f>
      </c>
      <c r="D25" s="23">
        <f>=IF($A25="","",INDEX(tblTasks[Agent_source],ROW()-6))</f>
      </c>
      <c r="E25" s="23">
        <f>=IF($A25="","",INDEX(tblTasks[Responsable],ROW()-6))</f>
      </c>
      <c r="F25" s="23">
        <f>=IF($A25="","",INDEX(tblTasks[Statut],ROW()-6))</f>
      </c>
      <c r="G25" s="25">
        <f>=IF($A25="","",INDEX(tblTasks[Date_debut_prevue],ROW()-6))</f>
      </c>
      <c r="H25" s="25">
        <f>=IF($A25="","",INDEX(tblTasks[Date_fin_prevue],ROW()-6))</f>
      </c>
      <c r="I25" s="36">
        <f>=IF($A25="","",INDEX(tblTasks[Duree_jours],ROW()-6))</f>
      </c>
      <c r="J25" s="25">
        <f>=IF($A25="","",INDEX(tblTasks[Date_debut_reelle],ROW()-6))</f>
      </c>
      <c r="K25" s="25">
        <f>=IF($A25="","",INDEX(tblTasks[Date_fin_reelle],ROW()-6))</f>
      </c>
      <c r="L25" s="23">
        <f>=IF($A25="","",INDEX(tblTasks[Blocage],ROW()-6))</f>
      </c>
      <c r="M25" s="23">
        <f>=IF($A25="","",INDEX(tblTasks[Depend_de],ROW()-6))</f>
      </c>
      <c r="N25" s="23">
        <f>=IF($A25="","",INDEX(tblTasks[Non_negociable],ROW()-6))</f>
      </c>
      <c r="O25" s="23">
        <f>=IF($A25="","",INDEX(tblTasks[Seuil_de_reprise],ROW()-6))</f>
      </c>
      <c r="P25" s="23">
        <f>=IF($A25="","",INDEX(tblTasks[Donnee_manquante],ROW()-6))</f>
      </c>
      <c r="Q25" s="23">
        <f>=IF($A25="","",INDEX(tblTasks[Niveau_criticite],ROW()-6))</f>
      </c>
      <c r="R25" s="23">
        <f>=IF($A25="","",INDEX(tblTasks[Irreversibilite],ROW()-6))</f>
      </c>
      <c r="S25" s="23">
        <f>=IF($A25="","",INDEX(tblTasks[Decision_Emmanuel],ROW()-6))</f>
      </c>
      <c r="T25" s="24">
        <f>=IF($A25="","",INDEX(tblTasks[Commentaire_EKT],ROW()-6))</f>
      </c>
      <c r="U25" s="23">
        <f>=IF($A25="","",INDEX(tblTasks[Goulot],ROW()-6))</f>
      </c>
      <c r="V25" s="23">
        <f>=IF($A25="","",INDEX(tblTasks[Point_de_bascule],ROW()-6))</f>
      </c>
      <c r="W25" s="37">
        <f>IF($A25="","",IF(AND(OR(param_filtre_statut="tous",LOWER($F25)=LOWER(param_filtre_statut)),OR(param_filtre_agent="tous",LOWER($D25)=LOWER(param_filtre_agent),LOWER($E25)=LOWER(param_filtre_agent)),OR(param_filtre_criticite="toutes",LOWER($Q25)=LOWER(param_filtre_criticite))),"oui","non"))</f>
      </c>
      <c r="X25" s="37">
        <f>IF($A25="","",IF(OR(LOWER($F25)="bloqué",LOWER($L25)="oui"),"oui","non"))</f>
      </c>
      <c r="Y25" s="37">
        <f>IF($A25="","",IF(OR(LOWER($Q25)="critique",LOWER($U25)="oui",LOWER($V25)="oui"),"oui","non"))</f>
      </c>
      <c r="Z25" s="37">
        <f>IF($A25="","",IF(AND($S25&lt;&gt;"",LOWER($S25)&lt;&gt;"tranchée",LOWER($S25)&lt;&gt;"sans objet",LOWER($S25)&lt;&gt;"clos"),"oui","non"))</f>
      </c>
      <c r="AA25" s="37">
        <f>IF($A25="","",IF($P25&lt;&gt;"","oui","non"))</f>
      </c>
      <c r="AB25" s="37">
        <f>IF($A25="","",IF(OR(LOWER($F25)="non réouvrable",LOWER($R25)="forte"),"oui","non"))</f>
      </c>
    </row>
    <row r="26" spans="1:28" x14ac:dyDescent="0.25">
      <c r="A26" s="23">
        <f>IFERROR(INDEX(tblTasks[ID],ROW()-6),"")</f>
      </c>
      <c r="B26" s="24">
        <f>=IF($A26="","",INDEX(tblTasks[Sujet],ROW()-6))</f>
      </c>
      <c r="C26" s="23">
        <f>=IF($A26="","",INDEX(tblTasks[Lot_Domaine],ROW()-6))</f>
      </c>
      <c r="D26" s="23">
        <f>=IF($A26="","",INDEX(tblTasks[Agent_source],ROW()-6))</f>
      </c>
      <c r="E26" s="23">
        <f>=IF($A26="","",INDEX(tblTasks[Responsable],ROW()-6))</f>
      </c>
      <c r="F26" s="23">
        <f>=IF($A26="","",INDEX(tblTasks[Statut],ROW()-6))</f>
      </c>
      <c r="G26" s="25">
        <f>=IF($A26="","",INDEX(tblTasks[Date_debut_prevue],ROW()-6))</f>
      </c>
      <c r="H26" s="25">
        <f>=IF($A26="","",INDEX(tblTasks[Date_fin_prevue],ROW()-6))</f>
      </c>
      <c r="I26" s="36">
        <f>=IF($A26="","",INDEX(tblTasks[Duree_jours],ROW()-6))</f>
      </c>
      <c r="J26" s="25">
        <f>=IF($A26="","",INDEX(tblTasks[Date_debut_reelle],ROW()-6))</f>
      </c>
      <c r="K26" s="25">
        <f>=IF($A26="","",INDEX(tblTasks[Date_fin_reelle],ROW()-6))</f>
      </c>
      <c r="L26" s="23">
        <f>=IF($A26="","",INDEX(tblTasks[Blocage],ROW()-6))</f>
      </c>
      <c r="M26" s="23">
        <f>=IF($A26="","",INDEX(tblTasks[Depend_de],ROW()-6))</f>
      </c>
      <c r="N26" s="23">
        <f>=IF($A26="","",INDEX(tblTasks[Non_negociable],ROW()-6))</f>
      </c>
      <c r="O26" s="23">
        <f>=IF($A26="","",INDEX(tblTasks[Seuil_de_reprise],ROW()-6))</f>
      </c>
      <c r="P26" s="23">
        <f>=IF($A26="","",INDEX(tblTasks[Donnee_manquante],ROW()-6))</f>
      </c>
      <c r="Q26" s="23">
        <f>=IF($A26="","",INDEX(tblTasks[Niveau_criticite],ROW()-6))</f>
      </c>
      <c r="R26" s="23">
        <f>=IF($A26="","",INDEX(tblTasks[Irreversibilite],ROW()-6))</f>
      </c>
      <c r="S26" s="23">
        <f>=IF($A26="","",INDEX(tblTasks[Decision_Emmanuel],ROW()-6))</f>
      </c>
      <c r="T26" s="24">
        <f>=IF($A26="","",INDEX(tblTasks[Commentaire_EKT],ROW()-6))</f>
      </c>
      <c r="U26" s="23">
        <f>=IF($A26="","",INDEX(tblTasks[Goulot],ROW()-6))</f>
      </c>
      <c r="V26" s="23">
        <f>=IF($A26="","",INDEX(tblTasks[Point_de_bascule],ROW()-6))</f>
      </c>
      <c r="W26" s="37">
        <f>IF($A26="","",IF(AND(OR(param_filtre_statut="tous",LOWER($F26)=LOWER(param_filtre_statut)),OR(param_filtre_agent="tous",LOWER($D26)=LOWER(param_filtre_agent),LOWER($E26)=LOWER(param_filtre_agent)),OR(param_filtre_criticite="toutes",LOWER($Q26)=LOWER(param_filtre_criticite))),"oui","non"))</f>
      </c>
      <c r="X26" s="37">
        <f>IF($A26="","",IF(OR(LOWER($F26)="bloqué",LOWER($L26)="oui"),"oui","non"))</f>
      </c>
      <c r="Y26" s="37">
        <f>IF($A26="","",IF(OR(LOWER($Q26)="critique",LOWER($U26)="oui",LOWER($V26)="oui"),"oui","non"))</f>
      </c>
      <c r="Z26" s="37">
        <f>IF($A26="","",IF(AND($S26&lt;&gt;"",LOWER($S26)&lt;&gt;"tranchée",LOWER($S26)&lt;&gt;"sans objet",LOWER($S26)&lt;&gt;"clos"),"oui","non"))</f>
      </c>
      <c r="AA26" s="37">
        <f>IF($A26="","",IF($P26&lt;&gt;"","oui","non"))</f>
      </c>
      <c r="AB26" s="37">
        <f>IF($A26="","",IF(OR(LOWER($F26)="non réouvrable",LOWER($R26)="forte"),"oui","non"))</f>
      </c>
    </row>
    <row r="27" spans="1:28" x14ac:dyDescent="0.25">
      <c r="A27" s="23">
        <f>IFERROR(INDEX(tblTasks[ID],ROW()-6),"")</f>
      </c>
      <c r="B27" s="24">
        <f>=IF($A27="","",INDEX(tblTasks[Sujet],ROW()-6))</f>
      </c>
      <c r="C27" s="23">
        <f>=IF($A27="","",INDEX(tblTasks[Lot_Domaine],ROW()-6))</f>
      </c>
      <c r="D27" s="23">
        <f>=IF($A27="","",INDEX(tblTasks[Agent_source],ROW()-6))</f>
      </c>
      <c r="E27" s="23">
        <f>=IF($A27="","",INDEX(tblTasks[Responsable],ROW()-6))</f>
      </c>
      <c r="F27" s="23">
        <f>=IF($A27="","",INDEX(tblTasks[Statut],ROW()-6))</f>
      </c>
      <c r="G27" s="25">
        <f>=IF($A27="","",INDEX(tblTasks[Date_debut_prevue],ROW()-6))</f>
      </c>
      <c r="H27" s="25">
        <f>=IF($A27="","",INDEX(tblTasks[Date_fin_prevue],ROW()-6))</f>
      </c>
      <c r="I27" s="36">
        <f>=IF($A27="","",INDEX(tblTasks[Duree_jours],ROW()-6))</f>
      </c>
      <c r="J27" s="25">
        <f>=IF($A27="","",INDEX(tblTasks[Date_debut_reelle],ROW()-6))</f>
      </c>
      <c r="K27" s="25">
        <f>=IF($A27="","",INDEX(tblTasks[Date_fin_reelle],ROW()-6))</f>
      </c>
      <c r="L27" s="23">
        <f>=IF($A27="","",INDEX(tblTasks[Blocage],ROW()-6))</f>
      </c>
      <c r="M27" s="23">
        <f>=IF($A27="","",INDEX(tblTasks[Depend_de],ROW()-6))</f>
      </c>
      <c r="N27" s="23">
        <f>=IF($A27="","",INDEX(tblTasks[Non_negociable],ROW()-6))</f>
      </c>
      <c r="O27" s="23">
        <f>=IF($A27="","",INDEX(tblTasks[Seuil_de_reprise],ROW()-6))</f>
      </c>
      <c r="P27" s="23">
        <f>=IF($A27="","",INDEX(tblTasks[Donnee_manquante],ROW()-6))</f>
      </c>
      <c r="Q27" s="23">
        <f>=IF($A27="","",INDEX(tblTasks[Niveau_criticite],ROW()-6))</f>
      </c>
      <c r="R27" s="23">
        <f>=IF($A27="","",INDEX(tblTasks[Irreversibilite],ROW()-6))</f>
      </c>
      <c r="S27" s="23">
        <f>=IF($A27="","",INDEX(tblTasks[Decision_Emmanuel],ROW()-6))</f>
      </c>
      <c r="T27" s="24">
        <f>=IF($A27="","",INDEX(tblTasks[Commentaire_EKT],ROW()-6))</f>
      </c>
      <c r="U27" s="23">
        <f>=IF($A27="","",INDEX(tblTasks[Goulot],ROW()-6))</f>
      </c>
      <c r="V27" s="23">
        <f>=IF($A27="","",INDEX(tblTasks[Point_de_bascule],ROW()-6))</f>
      </c>
      <c r="W27" s="37">
        <f>IF($A27="","",IF(AND(OR(param_filtre_statut="tous",LOWER($F27)=LOWER(param_filtre_statut)),OR(param_filtre_agent="tous",LOWER($D27)=LOWER(param_filtre_agent),LOWER($E27)=LOWER(param_filtre_agent)),OR(param_filtre_criticite="toutes",LOWER($Q27)=LOWER(param_filtre_criticite))),"oui","non"))</f>
      </c>
      <c r="X27" s="37">
        <f>IF($A27="","",IF(OR(LOWER($F27)="bloqué",LOWER($L27)="oui"),"oui","non"))</f>
      </c>
      <c r="Y27" s="37">
        <f>IF($A27="","",IF(OR(LOWER($Q27)="critique",LOWER($U27)="oui",LOWER($V27)="oui"),"oui","non"))</f>
      </c>
      <c r="Z27" s="37">
        <f>IF($A27="","",IF(AND($S27&lt;&gt;"",LOWER($S27)&lt;&gt;"tranchée",LOWER($S27)&lt;&gt;"sans objet",LOWER($S27)&lt;&gt;"clos"),"oui","non"))</f>
      </c>
      <c r="AA27" s="37">
        <f>IF($A27="","",IF($P27&lt;&gt;"","oui","non"))</f>
      </c>
      <c r="AB27" s="37">
        <f>IF($A27="","",IF(OR(LOWER($F27)="non réouvrable",LOWER($R27)="forte"),"oui","non"))</f>
      </c>
    </row>
    <row r="28" spans="1:28" x14ac:dyDescent="0.25">
      <c r="A28" s="23">
        <f>IFERROR(INDEX(tblTasks[ID],ROW()-6),"")</f>
      </c>
      <c r="B28" s="24">
        <f>=IF($A28="","",INDEX(tblTasks[Sujet],ROW()-6))</f>
      </c>
      <c r="C28" s="23">
        <f>=IF($A28="","",INDEX(tblTasks[Lot_Domaine],ROW()-6))</f>
      </c>
      <c r="D28" s="23">
        <f>=IF($A28="","",INDEX(tblTasks[Agent_source],ROW()-6))</f>
      </c>
      <c r="E28" s="23">
        <f>=IF($A28="","",INDEX(tblTasks[Responsable],ROW()-6))</f>
      </c>
      <c r="F28" s="23">
        <f>=IF($A28="","",INDEX(tblTasks[Statut],ROW()-6))</f>
      </c>
      <c r="G28" s="25">
        <f>=IF($A28="","",INDEX(tblTasks[Date_debut_prevue],ROW()-6))</f>
      </c>
      <c r="H28" s="25">
        <f>=IF($A28="","",INDEX(tblTasks[Date_fin_prevue],ROW()-6))</f>
      </c>
      <c r="I28" s="36">
        <f>=IF($A28="","",INDEX(tblTasks[Duree_jours],ROW()-6))</f>
      </c>
      <c r="J28" s="25">
        <f>=IF($A28="","",INDEX(tblTasks[Date_debut_reelle],ROW()-6))</f>
      </c>
      <c r="K28" s="25">
        <f>=IF($A28="","",INDEX(tblTasks[Date_fin_reelle],ROW()-6))</f>
      </c>
      <c r="L28" s="23">
        <f>=IF($A28="","",INDEX(tblTasks[Blocage],ROW()-6))</f>
      </c>
      <c r="M28" s="23">
        <f>=IF($A28="","",INDEX(tblTasks[Depend_de],ROW()-6))</f>
      </c>
      <c r="N28" s="23">
        <f>=IF($A28="","",INDEX(tblTasks[Non_negociable],ROW()-6))</f>
      </c>
      <c r="O28" s="23">
        <f>=IF($A28="","",INDEX(tblTasks[Seuil_de_reprise],ROW()-6))</f>
      </c>
      <c r="P28" s="23">
        <f>=IF($A28="","",INDEX(tblTasks[Donnee_manquante],ROW()-6))</f>
      </c>
      <c r="Q28" s="23">
        <f>=IF($A28="","",INDEX(tblTasks[Niveau_criticite],ROW()-6))</f>
      </c>
      <c r="R28" s="23">
        <f>=IF($A28="","",INDEX(tblTasks[Irreversibilite],ROW()-6))</f>
      </c>
      <c r="S28" s="23">
        <f>=IF($A28="","",INDEX(tblTasks[Decision_Emmanuel],ROW()-6))</f>
      </c>
      <c r="T28" s="24">
        <f>=IF($A28="","",INDEX(tblTasks[Commentaire_EKT],ROW()-6))</f>
      </c>
      <c r="U28" s="23">
        <f>=IF($A28="","",INDEX(tblTasks[Goulot],ROW()-6))</f>
      </c>
      <c r="V28" s="23">
        <f>=IF($A28="","",INDEX(tblTasks[Point_de_bascule],ROW()-6))</f>
      </c>
      <c r="W28" s="37">
        <f>IF($A28="","",IF(AND(OR(param_filtre_statut="tous",LOWER($F28)=LOWER(param_filtre_statut)),OR(param_filtre_agent="tous",LOWER($D28)=LOWER(param_filtre_agent),LOWER($E28)=LOWER(param_filtre_agent)),OR(param_filtre_criticite="toutes",LOWER($Q28)=LOWER(param_filtre_criticite))),"oui","non"))</f>
      </c>
      <c r="X28" s="37">
        <f>IF($A28="","",IF(OR(LOWER($F28)="bloqué",LOWER($L28)="oui"),"oui","non"))</f>
      </c>
      <c r="Y28" s="37">
        <f>IF($A28="","",IF(OR(LOWER($Q28)="critique",LOWER($U28)="oui",LOWER($V28)="oui"),"oui","non"))</f>
      </c>
      <c r="Z28" s="37">
        <f>IF($A28="","",IF(AND($S28&lt;&gt;"",LOWER($S28)&lt;&gt;"tranchée",LOWER($S28)&lt;&gt;"sans objet",LOWER($S28)&lt;&gt;"clos"),"oui","non"))</f>
      </c>
      <c r="AA28" s="37">
        <f>IF($A28="","",IF($P28&lt;&gt;"","oui","non"))</f>
      </c>
      <c r="AB28" s="37">
        <f>IF($A28="","",IF(OR(LOWER($F28)="non réouvrable",LOWER($R28)="forte"),"oui","non"))</f>
      </c>
    </row>
    <row r="29" spans="1:28" x14ac:dyDescent="0.25">
      <c r="A29" s="23">
        <f>IFERROR(INDEX(tblTasks[ID],ROW()-6),"")</f>
      </c>
      <c r="B29" s="24">
        <f>=IF($A29="","",INDEX(tblTasks[Sujet],ROW()-6))</f>
      </c>
      <c r="C29" s="23">
        <f>=IF($A29="","",INDEX(tblTasks[Lot_Domaine],ROW()-6))</f>
      </c>
      <c r="D29" s="23">
        <f>=IF($A29="","",INDEX(tblTasks[Agent_source],ROW()-6))</f>
      </c>
      <c r="E29" s="23">
        <f>=IF($A29="","",INDEX(tblTasks[Responsable],ROW()-6))</f>
      </c>
      <c r="F29" s="23">
        <f>=IF($A29="","",INDEX(tblTasks[Statut],ROW()-6))</f>
      </c>
      <c r="G29" s="25">
        <f>=IF($A29="","",INDEX(tblTasks[Date_debut_prevue],ROW()-6))</f>
      </c>
      <c r="H29" s="25">
        <f>=IF($A29="","",INDEX(tblTasks[Date_fin_prevue],ROW()-6))</f>
      </c>
      <c r="I29" s="36">
        <f>=IF($A29="","",INDEX(tblTasks[Duree_jours],ROW()-6))</f>
      </c>
      <c r="J29" s="25">
        <f>=IF($A29="","",INDEX(tblTasks[Date_debut_reelle],ROW()-6))</f>
      </c>
      <c r="K29" s="25">
        <f>=IF($A29="","",INDEX(tblTasks[Date_fin_reelle],ROW()-6))</f>
      </c>
      <c r="L29" s="23">
        <f>=IF($A29="","",INDEX(tblTasks[Blocage],ROW()-6))</f>
      </c>
      <c r="M29" s="23">
        <f>=IF($A29="","",INDEX(tblTasks[Depend_de],ROW()-6))</f>
      </c>
      <c r="N29" s="23">
        <f>=IF($A29="","",INDEX(tblTasks[Non_negociable],ROW()-6))</f>
      </c>
      <c r="O29" s="23">
        <f>=IF($A29="","",INDEX(tblTasks[Seuil_de_reprise],ROW()-6))</f>
      </c>
      <c r="P29" s="23">
        <f>=IF($A29="","",INDEX(tblTasks[Donnee_manquante],ROW()-6))</f>
      </c>
      <c r="Q29" s="23">
        <f>=IF($A29="","",INDEX(tblTasks[Niveau_criticite],ROW()-6))</f>
      </c>
      <c r="R29" s="23">
        <f>=IF($A29="","",INDEX(tblTasks[Irreversibilite],ROW()-6))</f>
      </c>
      <c r="S29" s="23">
        <f>=IF($A29="","",INDEX(tblTasks[Decision_Emmanuel],ROW()-6))</f>
      </c>
      <c r="T29" s="24">
        <f>=IF($A29="","",INDEX(tblTasks[Commentaire_EKT],ROW()-6))</f>
      </c>
      <c r="U29" s="23">
        <f>=IF($A29="","",INDEX(tblTasks[Goulot],ROW()-6))</f>
      </c>
      <c r="V29" s="23">
        <f>=IF($A29="","",INDEX(tblTasks[Point_de_bascule],ROW()-6))</f>
      </c>
      <c r="W29" s="37">
        <f>IF($A29="","",IF(AND(OR(param_filtre_statut="tous",LOWER($F29)=LOWER(param_filtre_statut)),OR(param_filtre_agent="tous",LOWER($D29)=LOWER(param_filtre_agent),LOWER($E29)=LOWER(param_filtre_agent)),OR(param_filtre_criticite="toutes",LOWER($Q29)=LOWER(param_filtre_criticite))),"oui","non"))</f>
      </c>
      <c r="X29" s="37">
        <f>IF($A29="","",IF(OR(LOWER($F29)="bloqué",LOWER($L29)="oui"),"oui","non"))</f>
      </c>
      <c r="Y29" s="37">
        <f>IF($A29="","",IF(OR(LOWER($Q29)="critique",LOWER($U29)="oui",LOWER($V29)="oui"),"oui","non"))</f>
      </c>
      <c r="Z29" s="37">
        <f>IF($A29="","",IF(AND($S29&lt;&gt;"",LOWER($S29)&lt;&gt;"tranchée",LOWER($S29)&lt;&gt;"sans objet",LOWER($S29)&lt;&gt;"clos"),"oui","non"))</f>
      </c>
      <c r="AA29" s="37">
        <f>IF($A29="","",IF($P29&lt;&gt;"","oui","non"))</f>
      </c>
      <c r="AB29" s="37">
        <f>IF($A29="","",IF(OR(LOWER($F29)="non réouvrable",LOWER($R29)="forte"),"oui","non"))</f>
      </c>
    </row>
    <row r="30" spans="1:28" x14ac:dyDescent="0.25">
      <c r="A30" s="23">
        <f>IFERROR(INDEX(tblTasks[ID],ROW()-6),"")</f>
      </c>
      <c r="B30" s="24">
        <f>=IF($A30="","",INDEX(tblTasks[Sujet],ROW()-6))</f>
      </c>
      <c r="C30" s="23">
        <f>=IF($A30="","",INDEX(tblTasks[Lot_Domaine],ROW()-6))</f>
      </c>
      <c r="D30" s="23">
        <f>=IF($A30="","",INDEX(tblTasks[Agent_source],ROW()-6))</f>
      </c>
      <c r="E30" s="23">
        <f>=IF($A30="","",INDEX(tblTasks[Responsable],ROW()-6))</f>
      </c>
      <c r="F30" s="23">
        <f>=IF($A30="","",INDEX(tblTasks[Statut],ROW()-6))</f>
      </c>
      <c r="G30" s="25">
        <f>=IF($A30="","",INDEX(tblTasks[Date_debut_prevue],ROW()-6))</f>
      </c>
      <c r="H30" s="25">
        <f>=IF($A30="","",INDEX(tblTasks[Date_fin_prevue],ROW()-6))</f>
      </c>
      <c r="I30" s="36">
        <f>=IF($A30="","",INDEX(tblTasks[Duree_jours],ROW()-6))</f>
      </c>
      <c r="J30" s="25">
        <f>=IF($A30="","",INDEX(tblTasks[Date_debut_reelle],ROW()-6))</f>
      </c>
      <c r="K30" s="25">
        <f>=IF($A30="","",INDEX(tblTasks[Date_fin_reelle],ROW()-6))</f>
      </c>
      <c r="L30" s="23">
        <f>=IF($A30="","",INDEX(tblTasks[Blocage],ROW()-6))</f>
      </c>
      <c r="M30" s="23">
        <f>=IF($A30="","",INDEX(tblTasks[Depend_de],ROW()-6))</f>
      </c>
      <c r="N30" s="23">
        <f>=IF($A30="","",INDEX(tblTasks[Non_negociable],ROW()-6))</f>
      </c>
      <c r="O30" s="23">
        <f>=IF($A30="","",INDEX(tblTasks[Seuil_de_reprise],ROW()-6))</f>
      </c>
      <c r="P30" s="23">
        <f>=IF($A30="","",INDEX(tblTasks[Donnee_manquante],ROW()-6))</f>
      </c>
      <c r="Q30" s="23">
        <f>=IF($A30="","",INDEX(tblTasks[Niveau_criticite],ROW()-6))</f>
      </c>
      <c r="R30" s="23">
        <f>=IF($A30="","",INDEX(tblTasks[Irreversibilite],ROW()-6))</f>
      </c>
      <c r="S30" s="23">
        <f>=IF($A30="","",INDEX(tblTasks[Decision_Emmanuel],ROW()-6))</f>
      </c>
      <c r="T30" s="24">
        <f>=IF($A30="","",INDEX(tblTasks[Commentaire_EKT],ROW()-6))</f>
      </c>
      <c r="U30" s="23">
        <f>=IF($A30="","",INDEX(tblTasks[Goulot],ROW()-6))</f>
      </c>
      <c r="V30" s="23">
        <f>=IF($A30="","",INDEX(tblTasks[Point_de_bascule],ROW()-6))</f>
      </c>
      <c r="W30" s="37">
        <f>IF($A30="","",IF(AND(OR(param_filtre_statut="tous",LOWER($F30)=LOWER(param_filtre_statut)),OR(param_filtre_agent="tous",LOWER($D30)=LOWER(param_filtre_agent),LOWER($E30)=LOWER(param_filtre_agent)),OR(param_filtre_criticite="toutes",LOWER($Q30)=LOWER(param_filtre_criticite))),"oui","non"))</f>
      </c>
      <c r="X30" s="37">
        <f>IF($A30="","",IF(OR(LOWER($F30)="bloqué",LOWER($L30)="oui"),"oui","non"))</f>
      </c>
      <c r="Y30" s="37">
        <f>IF($A30="","",IF(OR(LOWER($Q30)="critique",LOWER($U30)="oui",LOWER($V30)="oui"),"oui","non"))</f>
      </c>
      <c r="Z30" s="37">
        <f>IF($A30="","",IF(AND($S30&lt;&gt;"",LOWER($S30)&lt;&gt;"tranchée",LOWER($S30)&lt;&gt;"sans objet",LOWER($S30)&lt;&gt;"clos"),"oui","non"))</f>
      </c>
      <c r="AA30" s="37">
        <f>IF($A30="","",IF($P30&lt;&gt;"","oui","non"))</f>
      </c>
      <c r="AB30" s="37">
        <f>IF($A30="","",IF(OR(LOWER($F30)="non réouvrable",LOWER($R30)="forte"),"oui","non"))</f>
      </c>
    </row>
    <row r="31" spans="1:28" x14ac:dyDescent="0.25">
      <c r="A31" s="23">
        <f>IFERROR(INDEX(tblTasks[ID],ROW()-6),"")</f>
      </c>
      <c r="B31" s="24">
        <f>=IF($A31="","",INDEX(tblTasks[Sujet],ROW()-6))</f>
      </c>
      <c r="C31" s="23">
        <f>=IF($A31="","",INDEX(tblTasks[Lot_Domaine],ROW()-6))</f>
      </c>
      <c r="D31" s="23">
        <f>=IF($A31="","",INDEX(tblTasks[Agent_source],ROW()-6))</f>
      </c>
      <c r="E31" s="23">
        <f>=IF($A31="","",INDEX(tblTasks[Responsable],ROW()-6))</f>
      </c>
      <c r="F31" s="23">
        <f>=IF($A31="","",INDEX(tblTasks[Statut],ROW()-6))</f>
      </c>
      <c r="G31" s="25">
        <f>=IF($A31="","",INDEX(tblTasks[Date_debut_prevue],ROW()-6))</f>
      </c>
      <c r="H31" s="25">
        <f>=IF($A31="","",INDEX(tblTasks[Date_fin_prevue],ROW()-6))</f>
      </c>
      <c r="I31" s="36">
        <f>=IF($A31="","",INDEX(tblTasks[Duree_jours],ROW()-6))</f>
      </c>
      <c r="J31" s="25">
        <f>=IF($A31="","",INDEX(tblTasks[Date_debut_reelle],ROW()-6))</f>
      </c>
      <c r="K31" s="25">
        <f>=IF($A31="","",INDEX(tblTasks[Date_fin_reelle],ROW()-6))</f>
      </c>
      <c r="L31" s="23">
        <f>=IF($A31="","",INDEX(tblTasks[Blocage],ROW()-6))</f>
      </c>
      <c r="M31" s="23">
        <f>=IF($A31="","",INDEX(tblTasks[Depend_de],ROW()-6))</f>
      </c>
      <c r="N31" s="23">
        <f>=IF($A31="","",INDEX(tblTasks[Non_negociable],ROW()-6))</f>
      </c>
      <c r="O31" s="23">
        <f>=IF($A31="","",INDEX(tblTasks[Seuil_de_reprise],ROW()-6))</f>
      </c>
      <c r="P31" s="23">
        <f>=IF($A31="","",INDEX(tblTasks[Donnee_manquante],ROW()-6))</f>
      </c>
      <c r="Q31" s="23">
        <f>=IF($A31="","",INDEX(tblTasks[Niveau_criticite],ROW()-6))</f>
      </c>
      <c r="R31" s="23">
        <f>=IF($A31="","",INDEX(tblTasks[Irreversibilite],ROW()-6))</f>
      </c>
      <c r="S31" s="23">
        <f>=IF($A31="","",INDEX(tblTasks[Decision_Emmanuel],ROW()-6))</f>
      </c>
      <c r="T31" s="24">
        <f>=IF($A31="","",INDEX(tblTasks[Commentaire_EKT],ROW()-6))</f>
      </c>
      <c r="U31" s="23">
        <f>=IF($A31="","",INDEX(tblTasks[Goulot],ROW()-6))</f>
      </c>
      <c r="V31" s="23">
        <f>=IF($A31="","",INDEX(tblTasks[Point_de_bascule],ROW()-6))</f>
      </c>
      <c r="W31" s="37">
        <f>IF($A31="","",IF(AND(OR(param_filtre_statut="tous",LOWER($F31)=LOWER(param_filtre_statut)),OR(param_filtre_agent="tous",LOWER($D31)=LOWER(param_filtre_agent),LOWER($E31)=LOWER(param_filtre_agent)),OR(param_filtre_criticite="toutes",LOWER($Q31)=LOWER(param_filtre_criticite))),"oui","non"))</f>
      </c>
      <c r="X31" s="37">
        <f>IF($A31="","",IF(OR(LOWER($F31)="bloqué",LOWER($L31)="oui"),"oui","non"))</f>
      </c>
      <c r="Y31" s="37">
        <f>IF($A31="","",IF(OR(LOWER($Q31)="critique",LOWER($U31)="oui",LOWER($V31)="oui"),"oui","non"))</f>
      </c>
      <c r="Z31" s="37">
        <f>IF($A31="","",IF(AND($S31&lt;&gt;"",LOWER($S31)&lt;&gt;"tranchée",LOWER($S31)&lt;&gt;"sans objet",LOWER($S31)&lt;&gt;"clos"),"oui","non"))</f>
      </c>
      <c r="AA31" s="37">
        <f>IF($A31="","",IF($P31&lt;&gt;"","oui","non"))</f>
      </c>
      <c r="AB31" s="37">
        <f>IF($A31="","",IF(OR(LOWER($F31)="non réouvrable",LOWER($R31)="forte"),"oui","non"))</f>
      </c>
    </row>
    <row r="32" spans="1:28" x14ac:dyDescent="0.25">
      <c r="A32" s="23">
        <f>IFERROR(INDEX(tblTasks[ID],ROW()-6),"")</f>
      </c>
      <c r="B32" s="24">
        <f>=IF($A32="","",INDEX(tblTasks[Sujet],ROW()-6))</f>
      </c>
      <c r="C32" s="23">
        <f>=IF($A32="","",INDEX(tblTasks[Lot_Domaine],ROW()-6))</f>
      </c>
      <c r="D32" s="23">
        <f>=IF($A32="","",INDEX(tblTasks[Agent_source],ROW()-6))</f>
      </c>
      <c r="E32" s="23">
        <f>=IF($A32="","",INDEX(tblTasks[Responsable],ROW()-6))</f>
      </c>
      <c r="F32" s="23">
        <f>=IF($A32="","",INDEX(tblTasks[Statut],ROW()-6))</f>
      </c>
      <c r="G32" s="25">
        <f>=IF($A32="","",INDEX(tblTasks[Date_debut_prevue],ROW()-6))</f>
      </c>
      <c r="H32" s="25">
        <f>=IF($A32="","",INDEX(tblTasks[Date_fin_prevue],ROW()-6))</f>
      </c>
      <c r="I32" s="36">
        <f>=IF($A32="","",INDEX(tblTasks[Duree_jours],ROW()-6))</f>
      </c>
      <c r="J32" s="25">
        <f>=IF($A32="","",INDEX(tblTasks[Date_debut_reelle],ROW()-6))</f>
      </c>
      <c r="K32" s="25">
        <f>=IF($A32="","",INDEX(tblTasks[Date_fin_reelle],ROW()-6))</f>
      </c>
      <c r="L32" s="23">
        <f>=IF($A32="","",INDEX(tblTasks[Blocage],ROW()-6))</f>
      </c>
      <c r="M32" s="23">
        <f>=IF($A32="","",INDEX(tblTasks[Depend_de],ROW()-6))</f>
      </c>
      <c r="N32" s="23">
        <f>=IF($A32="","",INDEX(tblTasks[Non_negociable],ROW()-6))</f>
      </c>
      <c r="O32" s="23">
        <f>=IF($A32="","",INDEX(tblTasks[Seuil_de_reprise],ROW()-6))</f>
      </c>
      <c r="P32" s="23">
        <f>=IF($A32="","",INDEX(tblTasks[Donnee_manquante],ROW()-6))</f>
      </c>
      <c r="Q32" s="23">
        <f>=IF($A32="","",INDEX(tblTasks[Niveau_criticite],ROW()-6))</f>
      </c>
      <c r="R32" s="23">
        <f>=IF($A32="","",INDEX(tblTasks[Irreversibilite],ROW()-6))</f>
      </c>
      <c r="S32" s="23">
        <f>=IF($A32="","",INDEX(tblTasks[Decision_Emmanuel],ROW()-6))</f>
      </c>
      <c r="T32" s="24">
        <f>=IF($A32="","",INDEX(tblTasks[Commentaire_EKT],ROW()-6))</f>
      </c>
      <c r="U32" s="23">
        <f>=IF($A32="","",INDEX(tblTasks[Goulot],ROW()-6))</f>
      </c>
      <c r="V32" s="23">
        <f>=IF($A32="","",INDEX(tblTasks[Point_de_bascule],ROW()-6))</f>
      </c>
      <c r="W32" s="37">
        <f>IF($A32="","",IF(AND(OR(param_filtre_statut="tous",LOWER($F32)=LOWER(param_filtre_statut)),OR(param_filtre_agent="tous",LOWER($D32)=LOWER(param_filtre_agent),LOWER($E32)=LOWER(param_filtre_agent)),OR(param_filtre_criticite="toutes",LOWER($Q32)=LOWER(param_filtre_criticite))),"oui","non"))</f>
      </c>
      <c r="X32" s="37">
        <f>IF($A32="","",IF(OR(LOWER($F32)="bloqué",LOWER($L32)="oui"),"oui","non"))</f>
      </c>
      <c r="Y32" s="37">
        <f>IF($A32="","",IF(OR(LOWER($Q32)="critique",LOWER($U32)="oui",LOWER($V32)="oui"),"oui","non"))</f>
      </c>
      <c r="Z32" s="37">
        <f>IF($A32="","",IF(AND($S32&lt;&gt;"",LOWER($S32)&lt;&gt;"tranchée",LOWER($S32)&lt;&gt;"sans objet",LOWER($S32)&lt;&gt;"clos"),"oui","non"))</f>
      </c>
      <c r="AA32" s="37">
        <f>IF($A32="","",IF($P32&lt;&gt;"","oui","non"))</f>
      </c>
      <c r="AB32" s="37">
        <f>IF($A32="","",IF(OR(LOWER($F32)="non réouvrable",LOWER($R32)="forte"),"oui","non"))</f>
      </c>
    </row>
    <row r="33" spans="1:28" x14ac:dyDescent="0.25">
      <c r="A33" s="23">
        <f>IFERROR(INDEX(tblTasks[ID],ROW()-6),"")</f>
      </c>
      <c r="B33" s="24">
        <f>=IF($A33="","",INDEX(tblTasks[Sujet],ROW()-6))</f>
      </c>
      <c r="C33" s="23">
        <f>=IF($A33="","",INDEX(tblTasks[Lot_Domaine],ROW()-6))</f>
      </c>
      <c r="D33" s="23">
        <f>=IF($A33="","",INDEX(tblTasks[Agent_source],ROW()-6))</f>
      </c>
      <c r="E33" s="23">
        <f>=IF($A33="","",INDEX(tblTasks[Responsable],ROW()-6))</f>
      </c>
      <c r="F33" s="23">
        <f>=IF($A33="","",INDEX(tblTasks[Statut],ROW()-6))</f>
      </c>
      <c r="G33" s="25">
        <f>=IF($A33="","",INDEX(tblTasks[Date_debut_prevue],ROW()-6))</f>
      </c>
      <c r="H33" s="25">
        <f>=IF($A33="","",INDEX(tblTasks[Date_fin_prevue],ROW()-6))</f>
      </c>
      <c r="I33" s="36">
        <f>=IF($A33="","",INDEX(tblTasks[Duree_jours],ROW()-6))</f>
      </c>
      <c r="J33" s="25">
        <f>=IF($A33="","",INDEX(tblTasks[Date_debut_reelle],ROW()-6))</f>
      </c>
      <c r="K33" s="25">
        <f>=IF($A33="","",INDEX(tblTasks[Date_fin_reelle],ROW()-6))</f>
      </c>
      <c r="L33" s="23">
        <f>=IF($A33="","",INDEX(tblTasks[Blocage],ROW()-6))</f>
      </c>
      <c r="M33" s="23">
        <f>=IF($A33="","",INDEX(tblTasks[Depend_de],ROW()-6))</f>
      </c>
      <c r="N33" s="23">
        <f>=IF($A33="","",INDEX(tblTasks[Non_negociable],ROW()-6))</f>
      </c>
      <c r="O33" s="23">
        <f>=IF($A33="","",INDEX(tblTasks[Seuil_de_reprise],ROW()-6))</f>
      </c>
      <c r="P33" s="23">
        <f>=IF($A33="","",INDEX(tblTasks[Donnee_manquante],ROW()-6))</f>
      </c>
      <c r="Q33" s="23">
        <f>=IF($A33="","",INDEX(tblTasks[Niveau_criticite],ROW()-6))</f>
      </c>
      <c r="R33" s="23">
        <f>=IF($A33="","",INDEX(tblTasks[Irreversibilite],ROW()-6))</f>
      </c>
      <c r="S33" s="23">
        <f>=IF($A33="","",INDEX(tblTasks[Decision_Emmanuel],ROW()-6))</f>
      </c>
      <c r="T33" s="24">
        <f>=IF($A33="","",INDEX(tblTasks[Commentaire_EKT],ROW()-6))</f>
      </c>
      <c r="U33" s="23">
        <f>=IF($A33="","",INDEX(tblTasks[Goulot],ROW()-6))</f>
      </c>
      <c r="V33" s="23">
        <f>=IF($A33="","",INDEX(tblTasks[Point_de_bascule],ROW()-6))</f>
      </c>
      <c r="W33" s="37">
        <f>IF($A33="","",IF(AND(OR(param_filtre_statut="tous",LOWER($F33)=LOWER(param_filtre_statut)),OR(param_filtre_agent="tous",LOWER($D33)=LOWER(param_filtre_agent),LOWER($E33)=LOWER(param_filtre_agent)),OR(param_filtre_criticite="toutes",LOWER($Q33)=LOWER(param_filtre_criticite))),"oui","non"))</f>
      </c>
      <c r="X33" s="37">
        <f>IF($A33="","",IF(OR(LOWER($F33)="bloqué",LOWER($L33)="oui"),"oui","non"))</f>
      </c>
      <c r="Y33" s="37">
        <f>IF($A33="","",IF(OR(LOWER($Q33)="critique",LOWER($U33)="oui",LOWER($V33)="oui"),"oui","non"))</f>
      </c>
      <c r="Z33" s="37">
        <f>IF($A33="","",IF(AND($S33&lt;&gt;"",LOWER($S33)&lt;&gt;"tranchée",LOWER($S33)&lt;&gt;"sans objet",LOWER($S33)&lt;&gt;"clos"),"oui","non"))</f>
      </c>
      <c r="AA33" s="37">
        <f>IF($A33="","",IF($P33&lt;&gt;"","oui","non"))</f>
      </c>
      <c r="AB33" s="37">
        <f>IF($A33="","",IF(OR(LOWER($F33)="non réouvrable",LOWER($R33)="forte"),"oui","non"))</f>
      </c>
    </row>
    <row r="34" spans="1:28" x14ac:dyDescent="0.25">
      <c r="A34" s="23">
        <f>IFERROR(INDEX(tblTasks[ID],ROW()-6),"")</f>
      </c>
      <c r="B34" s="24">
        <f>=IF($A34="","",INDEX(tblTasks[Sujet],ROW()-6))</f>
      </c>
      <c r="C34" s="23">
        <f>=IF($A34="","",INDEX(tblTasks[Lot_Domaine],ROW()-6))</f>
      </c>
      <c r="D34" s="23">
        <f>=IF($A34="","",INDEX(tblTasks[Agent_source],ROW()-6))</f>
      </c>
      <c r="E34" s="23">
        <f>=IF($A34="","",INDEX(tblTasks[Responsable],ROW()-6))</f>
      </c>
      <c r="F34" s="23">
        <f>=IF($A34="","",INDEX(tblTasks[Statut],ROW()-6))</f>
      </c>
      <c r="G34" s="25">
        <f>=IF($A34="","",INDEX(tblTasks[Date_debut_prevue],ROW()-6))</f>
      </c>
      <c r="H34" s="25">
        <f>=IF($A34="","",INDEX(tblTasks[Date_fin_prevue],ROW()-6))</f>
      </c>
      <c r="I34" s="36">
        <f>=IF($A34="","",INDEX(tblTasks[Duree_jours],ROW()-6))</f>
      </c>
      <c r="J34" s="25">
        <f>=IF($A34="","",INDEX(tblTasks[Date_debut_reelle],ROW()-6))</f>
      </c>
      <c r="K34" s="25">
        <f>=IF($A34="","",INDEX(tblTasks[Date_fin_reelle],ROW()-6))</f>
      </c>
      <c r="L34" s="23">
        <f>=IF($A34="","",INDEX(tblTasks[Blocage],ROW()-6))</f>
      </c>
      <c r="M34" s="23">
        <f>=IF($A34="","",INDEX(tblTasks[Depend_de],ROW()-6))</f>
      </c>
      <c r="N34" s="23">
        <f>=IF($A34="","",INDEX(tblTasks[Non_negociable],ROW()-6))</f>
      </c>
      <c r="O34" s="23">
        <f>=IF($A34="","",INDEX(tblTasks[Seuil_de_reprise],ROW()-6))</f>
      </c>
      <c r="P34" s="23">
        <f>=IF($A34="","",INDEX(tblTasks[Donnee_manquante],ROW()-6))</f>
      </c>
      <c r="Q34" s="23">
        <f>=IF($A34="","",INDEX(tblTasks[Niveau_criticite],ROW()-6))</f>
      </c>
      <c r="R34" s="23">
        <f>=IF($A34="","",INDEX(tblTasks[Irreversibilite],ROW()-6))</f>
      </c>
      <c r="S34" s="23">
        <f>=IF($A34="","",INDEX(tblTasks[Decision_Emmanuel],ROW()-6))</f>
      </c>
      <c r="T34" s="24">
        <f>=IF($A34="","",INDEX(tblTasks[Commentaire_EKT],ROW()-6))</f>
      </c>
      <c r="U34" s="23">
        <f>=IF($A34="","",INDEX(tblTasks[Goulot],ROW()-6))</f>
      </c>
      <c r="V34" s="23">
        <f>=IF($A34="","",INDEX(tblTasks[Point_de_bascule],ROW()-6))</f>
      </c>
      <c r="W34" s="37">
        <f>IF($A34="","",IF(AND(OR(param_filtre_statut="tous",LOWER($F34)=LOWER(param_filtre_statut)),OR(param_filtre_agent="tous",LOWER($D34)=LOWER(param_filtre_agent),LOWER($E34)=LOWER(param_filtre_agent)),OR(param_filtre_criticite="toutes",LOWER($Q34)=LOWER(param_filtre_criticite))),"oui","non"))</f>
      </c>
      <c r="X34" s="37">
        <f>IF($A34="","",IF(OR(LOWER($F34)="bloqué",LOWER($L34)="oui"),"oui","non"))</f>
      </c>
      <c r="Y34" s="37">
        <f>IF($A34="","",IF(OR(LOWER($Q34)="critique",LOWER($U34)="oui",LOWER($V34)="oui"),"oui","non"))</f>
      </c>
      <c r="Z34" s="37">
        <f>IF($A34="","",IF(AND($S34&lt;&gt;"",LOWER($S34)&lt;&gt;"tranchée",LOWER($S34)&lt;&gt;"sans objet",LOWER($S34)&lt;&gt;"clos"),"oui","non"))</f>
      </c>
      <c r="AA34" s="37">
        <f>IF($A34="","",IF($P34&lt;&gt;"","oui","non"))</f>
      </c>
      <c r="AB34" s="37">
        <f>IF($A34="","",IF(OR(LOWER($F34)="non réouvrable",LOWER($R34)="forte"),"oui","non"))</f>
      </c>
    </row>
    <row r="35" spans="1:28" x14ac:dyDescent="0.25">
      <c r="A35" s="23">
        <f>IFERROR(INDEX(tblTasks[ID],ROW()-6),"")</f>
      </c>
      <c r="B35" s="24">
        <f>=IF($A35="","",INDEX(tblTasks[Sujet],ROW()-6))</f>
      </c>
      <c r="C35" s="23">
        <f>=IF($A35="","",INDEX(tblTasks[Lot_Domaine],ROW()-6))</f>
      </c>
      <c r="D35" s="23">
        <f>=IF($A35="","",INDEX(tblTasks[Agent_source],ROW()-6))</f>
      </c>
      <c r="E35" s="23">
        <f>=IF($A35="","",INDEX(tblTasks[Responsable],ROW()-6))</f>
      </c>
      <c r="F35" s="23">
        <f>=IF($A35="","",INDEX(tblTasks[Statut],ROW()-6))</f>
      </c>
      <c r="G35" s="25">
        <f>=IF($A35="","",INDEX(tblTasks[Date_debut_prevue],ROW()-6))</f>
      </c>
      <c r="H35" s="25">
        <f>=IF($A35="","",INDEX(tblTasks[Date_fin_prevue],ROW()-6))</f>
      </c>
      <c r="I35" s="36">
        <f>=IF($A35="","",INDEX(tblTasks[Duree_jours],ROW()-6))</f>
      </c>
      <c r="J35" s="25">
        <f>=IF($A35="","",INDEX(tblTasks[Date_debut_reelle],ROW()-6))</f>
      </c>
      <c r="K35" s="25">
        <f>=IF($A35="","",INDEX(tblTasks[Date_fin_reelle],ROW()-6))</f>
      </c>
      <c r="L35" s="23">
        <f>=IF($A35="","",INDEX(tblTasks[Blocage],ROW()-6))</f>
      </c>
      <c r="M35" s="23">
        <f>=IF($A35="","",INDEX(tblTasks[Depend_de],ROW()-6))</f>
      </c>
      <c r="N35" s="23">
        <f>=IF($A35="","",INDEX(tblTasks[Non_negociable],ROW()-6))</f>
      </c>
      <c r="O35" s="23">
        <f>=IF($A35="","",INDEX(tblTasks[Seuil_de_reprise],ROW()-6))</f>
      </c>
      <c r="P35" s="23">
        <f>=IF($A35="","",INDEX(tblTasks[Donnee_manquante],ROW()-6))</f>
      </c>
      <c r="Q35" s="23">
        <f>=IF($A35="","",INDEX(tblTasks[Niveau_criticite],ROW()-6))</f>
      </c>
      <c r="R35" s="23">
        <f>=IF($A35="","",INDEX(tblTasks[Irreversibilite],ROW()-6))</f>
      </c>
      <c r="S35" s="23">
        <f>=IF($A35="","",INDEX(tblTasks[Decision_Emmanuel],ROW()-6))</f>
      </c>
      <c r="T35" s="24">
        <f>=IF($A35="","",INDEX(tblTasks[Commentaire_EKT],ROW()-6))</f>
      </c>
      <c r="U35" s="23">
        <f>=IF($A35="","",INDEX(tblTasks[Goulot],ROW()-6))</f>
      </c>
      <c r="V35" s="23">
        <f>=IF($A35="","",INDEX(tblTasks[Point_de_bascule],ROW()-6))</f>
      </c>
      <c r="W35" s="37">
        <f>IF($A35="","",IF(AND(OR(param_filtre_statut="tous",LOWER($F35)=LOWER(param_filtre_statut)),OR(param_filtre_agent="tous",LOWER($D35)=LOWER(param_filtre_agent),LOWER($E35)=LOWER(param_filtre_agent)),OR(param_filtre_criticite="toutes",LOWER($Q35)=LOWER(param_filtre_criticite))),"oui","non"))</f>
      </c>
      <c r="X35" s="37">
        <f>IF($A35="","",IF(OR(LOWER($F35)="bloqué",LOWER($L35)="oui"),"oui","non"))</f>
      </c>
      <c r="Y35" s="37">
        <f>IF($A35="","",IF(OR(LOWER($Q35)="critique",LOWER($U35)="oui",LOWER($V35)="oui"),"oui","non"))</f>
      </c>
      <c r="Z35" s="37">
        <f>IF($A35="","",IF(AND($S35&lt;&gt;"",LOWER($S35)&lt;&gt;"tranchée",LOWER($S35)&lt;&gt;"sans objet",LOWER($S35)&lt;&gt;"clos"),"oui","non"))</f>
      </c>
      <c r="AA35" s="37">
        <f>IF($A35="","",IF($P35&lt;&gt;"","oui","non"))</f>
      </c>
      <c r="AB35" s="37">
        <f>IF($A35="","",IF(OR(LOWER($F35)="non réouvrable",LOWER($R35)="forte"),"oui","non"))</f>
      </c>
    </row>
    <row r="36" spans="1:28" x14ac:dyDescent="0.25">
      <c r="A36" s="23">
        <f>IFERROR(INDEX(tblTasks[ID],ROW()-6),"")</f>
      </c>
      <c r="B36" s="24">
        <f>=IF($A36="","",INDEX(tblTasks[Sujet],ROW()-6))</f>
      </c>
      <c r="C36" s="23">
        <f>=IF($A36="","",INDEX(tblTasks[Lot_Domaine],ROW()-6))</f>
      </c>
      <c r="D36" s="23">
        <f>=IF($A36="","",INDEX(tblTasks[Agent_source],ROW()-6))</f>
      </c>
      <c r="E36" s="23">
        <f>=IF($A36="","",INDEX(tblTasks[Responsable],ROW()-6))</f>
      </c>
      <c r="F36" s="23">
        <f>=IF($A36="","",INDEX(tblTasks[Statut],ROW()-6))</f>
      </c>
      <c r="G36" s="25">
        <f>=IF($A36="","",INDEX(tblTasks[Date_debut_prevue],ROW()-6))</f>
      </c>
      <c r="H36" s="25">
        <f>=IF($A36="","",INDEX(tblTasks[Date_fin_prevue],ROW()-6))</f>
      </c>
      <c r="I36" s="36">
        <f>=IF($A36="","",INDEX(tblTasks[Duree_jours],ROW()-6))</f>
      </c>
      <c r="J36" s="25">
        <f>=IF($A36="","",INDEX(tblTasks[Date_debut_reelle],ROW()-6))</f>
      </c>
      <c r="K36" s="25">
        <f>=IF($A36="","",INDEX(tblTasks[Date_fin_reelle],ROW()-6))</f>
      </c>
      <c r="L36" s="23">
        <f>=IF($A36="","",INDEX(tblTasks[Blocage],ROW()-6))</f>
      </c>
      <c r="M36" s="23">
        <f>=IF($A36="","",INDEX(tblTasks[Depend_de],ROW()-6))</f>
      </c>
      <c r="N36" s="23">
        <f>=IF($A36="","",INDEX(tblTasks[Non_negociable],ROW()-6))</f>
      </c>
      <c r="O36" s="23">
        <f>=IF($A36="","",INDEX(tblTasks[Seuil_de_reprise],ROW()-6))</f>
      </c>
      <c r="P36" s="23">
        <f>=IF($A36="","",INDEX(tblTasks[Donnee_manquante],ROW()-6))</f>
      </c>
      <c r="Q36" s="23">
        <f>=IF($A36="","",INDEX(tblTasks[Niveau_criticite],ROW()-6))</f>
      </c>
      <c r="R36" s="23">
        <f>=IF($A36="","",INDEX(tblTasks[Irreversibilite],ROW()-6))</f>
      </c>
      <c r="S36" s="23">
        <f>=IF($A36="","",INDEX(tblTasks[Decision_Emmanuel],ROW()-6))</f>
      </c>
      <c r="T36" s="24">
        <f>=IF($A36="","",INDEX(tblTasks[Commentaire_EKT],ROW()-6))</f>
      </c>
      <c r="U36" s="23">
        <f>=IF($A36="","",INDEX(tblTasks[Goulot],ROW()-6))</f>
      </c>
      <c r="V36" s="23">
        <f>=IF($A36="","",INDEX(tblTasks[Point_de_bascule],ROW()-6))</f>
      </c>
      <c r="W36" s="37">
        <f>IF($A36="","",IF(AND(OR(param_filtre_statut="tous",LOWER($F36)=LOWER(param_filtre_statut)),OR(param_filtre_agent="tous",LOWER($D36)=LOWER(param_filtre_agent),LOWER($E36)=LOWER(param_filtre_agent)),OR(param_filtre_criticite="toutes",LOWER($Q36)=LOWER(param_filtre_criticite))),"oui","non"))</f>
      </c>
      <c r="X36" s="37">
        <f>IF($A36="","",IF(OR(LOWER($F36)="bloqué",LOWER($L36)="oui"),"oui","non"))</f>
      </c>
      <c r="Y36" s="37">
        <f>IF($A36="","",IF(OR(LOWER($Q36)="critique",LOWER($U36)="oui",LOWER($V36)="oui"),"oui","non"))</f>
      </c>
      <c r="Z36" s="37">
        <f>IF($A36="","",IF(AND($S36&lt;&gt;"",LOWER($S36)&lt;&gt;"tranchée",LOWER($S36)&lt;&gt;"sans objet",LOWER($S36)&lt;&gt;"clos"),"oui","non"))</f>
      </c>
      <c r="AA36" s="37">
        <f>IF($A36="","",IF($P36&lt;&gt;"","oui","non"))</f>
      </c>
      <c r="AB36" s="37">
        <f>IF($A36="","",IF(OR(LOWER($F36)="non réouvrable",LOWER($R36)="forte"),"oui","non"))</f>
      </c>
    </row>
    <row r="37" spans="1:28" x14ac:dyDescent="0.25">
      <c r="A37" s="23">
        <f>IFERROR(INDEX(tblTasks[ID],ROW()-6),"")</f>
      </c>
      <c r="B37" s="24">
        <f>=IF($A37="","",INDEX(tblTasks[Sujet],ROW()-6))</f>
      </c>
      <c r="C37" s="23">
        <f>=IF($A37="","",INDEX(tblTasks[Lot_Domaine],ROW()-6))</f>
      </c>
      <c r="D37" s="23">
        <f>=IF($A37="","",INDEX(tblTasks[Agent_source],ROW()-6))</f>
      </c>
      <c r="E37" s="23">
        <f>=IF($A37="","",INDEX(tblTasks[Responsable],ROW()-6))</f>
      </c>
      <c r="F37" s="23">
        <f>=IF($A37="","",INDEX(tblTasks[Statut],ROW()-6))</f>
      </c>
      <c r="G37" s="25">
        <f>=IF($A37="","",INDEX(tblTasks[Date_debut_prevue],ROW()-6))</f>
      </c>
      <c r="H37" s="25">
        <f>=IF($A37="","",INDEX(tblTasks[Date_fin_prevue],ROW()-6))</f>
      </c>
      <c r="I37" s="36">
        <f>=IF($A37="","",INDEX(tblTasks[Duree_jours],ROW()-6))</f>
      </c>
      <c r="J37" s="25">
        <f>=IF($A37="","",INDEX(tblTasks[Date_debut_reelle],ROW()-6))</f>
      </c>
      <c r="K37" s="25">
        <f>=IF($A37="","",INDEX(tblTasks[Date_fin_reelle],ROW()-6))</f>
      </c>
      <c r="L37" s="23">
        <f>=IF($A37="","",INDEX(tblTasks[Blocage],ROW()-6))</f>
      </c>
      <c r="M37" s="23">
        <f>=IF($A37="","",INDEX(tblTasks[Depend_de],ROW()-6))</f>
      </c>
      <c r="N37" s="23">
        <f>=IF($A37="","",INDEX(tblTasks[Non_negociable],ROW()-6))</f>
      </c>
      <c r="O37" s="23">
        <f>=IF($A37="","",INDEX(tblTasks[Seuil_de_reprise],ROW()-6))</f>
      </c>
      <c r="P37" s="23">
        <f>=IF($A37="","",INDEX(tblTasks[Donnee_manquante],ROW()-6))</f>
      </c>
      <c r="Q37" s="23">
        <f>=IF($A37="","",INDEX(tblTasks[Niveau_criticite],ROW()-6))</f>
      </c>
      <c r="R37" s="23">
        <f>=IF($A37="","",INDEX(tblTasks[Irreversibilite],ROW()-6))</f>
      </c>
      <c r="S37" s="23">
        <f>=IF($A37="","",INDEX(tblTasks[Decision_Emmanuel],ROW()-6))</f>
      </c>
      <c r="T37" s="24">
        <f>=IF($A37="","",INDEX(tblTasks[Commentaire_EKT],ROW()-6))</f>
      </c>
      <c r="U37" s="23">
        <f>=IF($A37="","",INDEX(tblTasks[Goulot],ROW()-6))</f>
      </c>
      <c r="V37" s="23">
        <f>=IF($A37="","",INDEX(tblTasks[Point_de_bascule],ROW()-6))</f>
      </c>
      <c r="W37" s="37">
        <f>IF($A37="","",IF(AND(OR(param_filtre_statut="tous",LOWER($F37)=LOWER(param_filtre_statut)),OR(param_filtre_agent="tous",LOWER($D37)=LOWER(param_filtre_agent),LOWER($E37)=LOWER(param_filtre_agent)),OR(param_filtre_criticite="toutes",LOWER($Q37)=LOWER(param_filtre_criticite))),"oui","non"))</f>
      </c>
      <c r="X37" s="37">
        <f>IF($A37="","",IF(OR(LOWER($F37)="bloqué",LOWER($L37)="oui"),"oui","non"))</f>
      </c>
      <c r="Y37" s="37">
        <f>IF($A37="","",IF(OR(LOWER($Q37)="critique",LOWER($U37)="oui",LOWER($V37)="oui"),"oui","non"))</f>
      </c>
      <c r="Z37" s="37">
        <f>IF($A37="","",IF(AND($S37&lt;&gt;"",LOWER($S37)&lt;&gt;"tranchée",LOWER($S37)&lt;&gt;"sans objet",LOWER($S37)&lt;&gt;"clos"),"oui","non"))</f>
      </c>
      <c r="AA37" s="37">
        <f>IF($A37="","",IF($P37&lt;&gt;"","oui","non"))</f>
      </c>
      <c r="AB37" s="37">
        <f>IF($A37="","",IF(OR(LOWER($F37)="non réouvrable",LOWER($R37)="forte"),"oui","non"))</f>
      </c>
    </row>
    <row r="38" spans="1:28" x14ac:dyDescent="0.25">
      <c r="A38" s="23">
        <f>IFERROR(INDEX(tblTasks[ID],ROW()-6),"")</f>
      </c>
      <c r="B38" s="24">
        <f>=IF($A38="","",INDEX(tblTasks[Sujet],ROW()-6))</f>
      </c>
      <c r="C38" s="23">
        <f>=IF($A38="","",INDEX(tblTasks[Lot_Domaine],ROW()-6))</f>
      </c>
      <c r="D38" s="23">
        <f>=IF($A38="","",INDEX(tblTasks[Agent_source],ROW()-6))</f>
      </c>
      <c r="E38" s="23">
        <f>=IF($A38="","",INDEX(tblTasks[Responsable],ROW()-6))</f>
      </c>
      <c r="F38" s="23">
        <f>=IF($A38="","",INDEX(tblTasks[Statut],ROW()-6))</f>
      </c>
      <c r="G38" s="25">
        <f>=IF($A38="","",INDEX(tblTasks[Date_debut_prevue],ROW()-6))</f>
      </c>
      <c r="H38" s="25">
        <f>=IF($A38="","",INDEX(tblTasks[Date_fin_prevue],ROW()-6))</f>
      </c>
      <c r="I38" s="36">
        <f>=IF($A38="","",INDEX(tblTasks[Duree_jours],ROW()-6))</f>
      </c>
      <c r="J38" s="25">
        <f>=IF($A38="","",INDEX(tblTasks[Date_debut_reelle],ROW()-6))</f>
      </c>
      <c r="K38" s="25">
        <f>=IF($A38="","",INDEX(tblTasks[Date_fin_reelle],ROW()-6))</f>
      </c>
      <c r="L38" s="23">
        <f>=IF($A38="","",INDEX(tblTasks[Blocage],ROW()-6))</f>
      </c>
      <c r="M38" s="23">
        <f>=IF($A38="","",INDEX(tblTasks[Depend_de],ROW()-6))</f>
      </c>
      <c r="N38" s="23">
        <f>=IF($A38="","",INDEX(tblTasks[Non_negociable],ROW()-6))</f>
      </c>
      <c r="O38" s="23">
        <f>=IF($A38="","",INDEX(tblTasks[Seuil_de_reprise],ROW()-6))</f>
      </c>
      <c r="P38" s="23">
        <f>=IF($A38="","",INDEX(tblTasks[Donnee_manquante],ROW()-6))</f>
      </c>
      <c r="Q38" s="23">
        <f>=IF($A38="","",INDEX(tblTasks[Niveau_criticite],ROW()-6))</f>
      </c>
      <c r="R38" s="23">
        <f>=IF($A38="","",INDEX(tblTasks[Irreversibilite],ROW()-6))</f>
      </c>
      <c r="S38" s="23">
        <f>=IF($A38="","",INDEX(tblTasks[Decision_Emmanuel],ROW()-6))</f>
      </c>
      <c r="T38" s="24">
        <f>=IF($A38="","",INDEX(tblTasks[Commentaire_EKT],ROW()-6))</f>
      </c>
      <c r="U38" s="23">
        <f>=IF($A38="","",INDEX(tblTasks[Goulot],ROW()-6))</f>
      </c>
      <c r="V38" s="23">
        <f>=IF($A38="","",INDEX(tblTasks[Point_de_bascule],ROW()-6))</f>
      </c>
      <c r="W38" s="37">
        <f>IF($A38="","",IF(AND(OR(param_filtre_statut="tous",LOWER($F38)=LOWER(param_filtre_statut)),OR(param_filtre_agent="tous",LOWER($D38)=LOWER(param_filtre_agent),LOWER($E38)=LOWER(param_filtre_agent)),OR(param_filtre_criticite="toutes",LOWER($Q38)=LOWER(param_filtre_criticite))),"oui","non"))</f>
      </c>
      <c r="X38" s="37">
        <f>IF($A38="","",IF(OR(LOWER($F38)="bloqué",LOWER($L38)="oui"),"oui","non"))</f>
      </c>
      <c r="Y38" s="37">
        <f>IF($A38="","",IF(OR(LOWER($Q38)="critique",LOWER($U38)="oui",LOWER($V38)="oui"),"oui","non"))</f>
      </c>
      <c r="Z38" s="37">
        <f>IF($A38="","",IF(AND($S38&lt;&gt;"",LOWER($S38)&lt;&gt;"tranchée",LOWER($S38)&lt;&gt;"sans objet",LOWER($S38)&lt;&gt;"clos"),"oui","non"))</f>
      </c>
      <c r="AA38" s="37">
        <f>IF($A38="","",IF($P38&lt;&gt;"","oui","non"))</f>
      </c>
      <c r="AB38" s="37">
        <f>IF($A38="","",IF(OR(LOWER($F38)="non réouvrable",LOWER($R38)="forte"),"oui","non"))</f>
      </c>
    </row>
    <row r="39" spans="1:28" x14ac:dyDescent="0.25">
      <c r="A39" s="23">
        <f>IFERROR(INDEX(tblTasks[ID],ROW()-6),"")</f>
      </c>
      <c r="B39" s="24">
        <f>=IF($A39="","",INDEX(tblTasks[Sujet],ROW()-6))</f>
      </c>
      <c r="C39" s="23">
        <f>=IF($A39="","",INDEX(tblTasks[Lot_Domaine],ROW()-6))</f>
      </c>
      <c r="D39" s="23">
        <f>=IF($A39="","",INDEX(tblTasks[Agent_source],ROW()-6))</f>
      </c>
      <c r="E39" s="23">
        <f>=IF($A39="","",INDEX(tblTasks[Responsable],ROW()-6))</f>
      </c>
      <c r="F39" s="23">
        <f>=IF($A39="","",INDEX(tblTasks[Statut],ROW()-6))</f>
      </c>
      <c r="G39" s="25">
        <f>=IF($A39="","",INDEX(tblTasks[Date_debut_prevue],ROW()-6))</f>
      </c>
      <c r="H39" s="25">
        <f>=IF($A39="","",INDEX(tblTasks[Date_fin_prevue],ROW()-6))</f>
      </c>
      <c r="I39" s="36">
        <f>=IF($A39="","",INDEX(tblTasks[Duree_jours],ROW()-6))</f>
      </c>
      <c r="J39" s="25">
        <f>=IF($A39="","",INDEX(tblTasks[Date_debut_reelle],ROW()-6))</f>
      </c>
      <c r="K39" s="25">
        <f>=IF($A39="","",INDEX(tblTasks[Date_fin_reelle],ROW()-6))</f>
      </c>
      <c r="L39" s="23">
        <f>=IF($A39="","",INDEX(tblTasks[Blocage],ROW()-6))</f>
      </c>
      <c r="M39" s="23">
        <f>=IF($A39="","",INDEX(tblTasks[Depend_de],ROW()-6))</f>
      </c>
      <c r="N39" s="23">
        <f>=IF($A39="","",INDEX(tblTasks[Non_negociable],ROW()-6))</f>
      </c>
      <c r="O39" s="23">
        <f>=IF($A39="","",INDEX(tblTasks[Seuil_de_reprise],ROW()-6))</f>
      </c>
      <c r="P39" s="23">
        <f>=IF($A39="","",INDEX(tblTasks[Donnee_manquante],ROW()-6))</f>
      </c>
      <c r="Q39" s="23">
        <f>=IF($A39="","",INDEX(tblTasks[Niveau_criticite],ROW()-6))</f>
      </c>
      <c r="R39" s="23">
        <f>=IF($A39="","",INDEX(tblTasks[Irreversibilite],ROW()-6))</f>
      </c>
      <c r="S39" s="23">
        <f>=IF($A39="","",INDEX(tblTasks[Decision_Emmanuel],ROW()-6))</f>
      </c>
      <c r="T39" s="24">
        <f>=IF($A39="","",INDEX(tblTasks[Commentaire_EKT],ROW()-6))</f>
      </c>
      <c r="U39" s="23">
        <f>=IF($A39="","",INDEX(tblTasks[Goulot],ROW()-6))</f>
      </c>
      <c r="V39" s="23">
        <f>=IF($A39="","",INDEX(tblTasks[Point_de_bascule],ROW()-6))</f>
      </c>
      <c r="W39" s="37">
        <f>IF($A39="","",IF(AND(OR(param_filtre_statut="tous",LOWER($F39)=LOWER(param_filtre_statut)),OR(param_filtre_agent="tous",LOWER($D39)=LOWER(param_filtre_agent),LOWER($E39)=LOWER(param_filtre_agent)),OR(param_filtre_criticite="toutes",LOWER($Q39)=LOWER(param_filtre_criticite))),"oui","non"))</f>
      </c>
      <c r="X39" s="37">
        <f>IF($A39="","",IF(OR(LOWER($F39)="bloqué",LOWER($L39)="oui"),"oui","non"))</f>
      </c>
      <c r="Y39" s="37">
        <f>IF($A39="","",IF(OR(LOWER($Q39)="critique",LOWER($U39)="oui",LOWER($V39)="oui"),"oui","non"))</f>
      </c>
      <c r="Z39" s="37">
        <f>IF($A39="","",IF(AND($S39&lt;&gt;"",LOWER($S39)&lt;&gt;"tranchée",LOWER($S39)&lt;&gt;"sans objet",LOWER($S39)&lt;&gt;"clos"),"oui","non"))</f>
      </c>
      <c r="AA39" s="37">
        <f>IF($A39="","",IF($P39&lt;&gt;"","oui","non"))</f>
      </c>
      <c r="AB39" s="37">
        <f>IF($A39="","",IF(OR(LOWER($F39)="non réouvrable",LOWER($R39)="forte"),"oui","non"))</f>
      </c>
    </row>
    <row r="40" spans="1:28" x14ac:dyDescent="0.25">
      <c r="A40" s="23">
        <f>IFERROR(INDEX(tblTasks[ID],ROW()-6),"")</f>
      </c>
      <c r="B40" s="24">
        <f>=IF($A40="","",INDEX(tblTasks[Sujet],ROW()-6))</f>
      </c>
      <c r="C40" s="23">
        <f>=IF($A40="","",INDEX(tblTasks[Lot_Domaine],ROW()-6))</f>
      </c>
      <c r="D40" s="23">
        <f>=IF($A40="","",INDEX(tblTasks[Agent_source],ROW()-6))</f>
      </c>
      <c r="E40" s="23">
        <f>=IF($A40="","",INDEX(tblTasks[Responsable],ROW()-6))</f>
      </c>
      <c r="F40" s="23">
        <f>=IF($A40="","",INDEX(tblTasks[Statut],ROW()-6))</f>
      </c>
      <c r="G40" s="25">
        <f>=IF($A40="","",INDEX(tblTasks[Date_debut_prevue],ROW()-6))</f>
      </c>
      <c r="H40" s="25">
        <f>=IF($A40="","",INDEX(tblTasks[Date_fin_prevue],ROW()-6))</f>
      </c>
      <c r="I40" s="36">
        <f>=IF($A40="","",INDEX(tblTasks[Duree_jours],ROW()-6))</f>
      </c>
      <c r="J40" s="25">
        <f>=IF($A40="","",INDEX(tblTasks[Date_debut_reelle],ROW()-6))</f>
      </c>
      <c r="K40" s="25">
        <f>=IF($A40="","",INDEX(tblTasks[Date_fin_reelle],ROW()-6))</f>
      </c>
      <c r="L40" s="23">
        <f>=IF($A40="","",INDEX(tblTasks[Blocage],ROW()-6))</f>
      </c>
      <c r="M40" s="23">
        <f>=IF($A40="","",INDEX(tblTasks[Depend_de],ROW()-6))</f>
      </c>
      <c r="N40" s="23">
        <f>=IF($A40="","",INDEX(tblTasks[Non_negociable],ROW()-6))</f>
      </c>
      <c r="O40" s="23">
        <f>=IF($A40="","",INDEX(tblTasks[Seuil_de_reprise],ROW()-6))</f>
      </c>
      <c r="P40" s="23">
        <f>=IF($A40="","",INDEX(tblTasks[Donnee_manquante],ROW()-6))</f>
      </c>
      <c r="Q40" s="23">
        <f>=IF($A40="","",INDEX(tblTasks[Niveau_criticite],ROW()-6))</f>
      </c>
      <c r="R40" s="23">
        <f>=IF($A40="","",INDEX(tblTasks[Irreversibilite],ROW()-6))</f>
      </c>
      <c r="S40" s="23">
        <f>=IF($A40="","",INDEX(tblTasks[Decision_Emmanuel],ROW()-6))</f>
      </c>
      <c r="T40" s="24">
        <f>=IF($A40="","",INDEX(tblTasks[Commentaire_EKT],ROW()-6))</f>
      </c>
      <c r="U40" s="23">
        <f>=IF($A40="","",INDEX(tblTasks[Goulot],ROW()-6))</f>
      </c>
      <c r="V40" s="23">
        <f>=IF($A40="","",INDEX(tblTasks[Point_de_bascule],ROW()-6))</f>
      </c>
      <c r="W40" s="37">
        <f>IF($A40="","",IF(AND(OR(param_filtre_statut="tous",LOWER($F40)=LOWER(param_filtre_statut)),OR(param_filtre_agent="tous",LOWER($D40)=LOWER(param_filtre_agent),LOWER($E40)=LOWER(param_filtre_agent)),OR(param_filtre_criticite="toutes",LOWER($Q40)=LOWER(param_filtre_criticite))),"oui","non"))</f>
      </c>
      <c r="X40" s="37">
        <f>IF($A40="","",IF(OR(LOWER($F40)="bloqué",LOWER($L40)="oui"),"oui","non"))</f>
      </c>
      <c r="Y40" s="37">
        <f>IF($A40="","",IF(OR(LOWER($Q40)="critique",LOWER($U40)="oui",LOWER($V40)="oui"),"oui","non"))</f>
      </c>
      <c r="Z40" s="37">
        <f>IF($A40="","",IF(AND($S40&lt;&gt;"",LOWER($S40)&lt;&gt;"tranchée",LOWER($S40)&lt;&gt;"sans objet",LOWER($S40)&lt;&gt;"clos"),"oui","non"))</f>
      </c>
      <c r="AA40" s="37">
        <f>IF($A40="","",IF($P40&lt;&gt;"","oui","non"))</f>
      </c>
      <c r="AB40" s="37">
        <f>IF($A40="","",IF(OR(LOWER($F40)="non réouvrable",LOWER($R40)="forte"),"oui","non"))</f>
      </c>
    </row>
    <row r="41" spans="1:28" x14ac:dyDescent="0.25">
      <c r="A41" s="23">
        <f>IFERROR(INDEX(tblTasks[ID],ROW()-6),"")</f>
      </c>
      <c r="B41" s="24">
        <f>=IF($A41="","",INDEX(tblTasks[Sujet],ROW()-6))</f>
      </c>
      <c r="C41" s="23">
        <f>=IF($A41="","",INDEX(tblTasks[Lot_Domaine],ROW()-6))</f>
      </c>
      <c r="D41" s="23">
        <f>=IF($A41="","",INDEX(tblTasks[Agent_source],ROW()-6))</f>
      </c>
      <c r="E41" s="23">
        <f>=IF($A41="","",INDEX(tblTasks[Responsable],ROW()-6))</f>
      </c>
      <c r="F41" s="23">
        <f>=IF($A41="","",INDEX(tblTasks[Statut],ROW()-6))</f>
      </c>
      <c r="G41" s="25">
        <f>=IF($A41="","",INDEX(tblTasks[Date_debut_prevue],ROW()-6))</f>
      </c>
      <c r="H41" s="25">
        <f>=IF($A41="","",INDEX(tblTasks[Date_fin_prevue],ROW()-6))</f>
      </c>
      <c r="I41" s="36">
        <f>=IF($A41="","",INDEX(tblTasks[Duree_jours],ROW()-6))</f>
      </c>
      <c r="J41" s="25">
        <f>=IF($A41="","",INDEX(tblTasks[Date_debut_reelle],ROW()-6))</f>
      </c>
      <c r="K41" s="25">
        <f>=IF($A41="","",INDEX(tblTasks[Date_fin_reelle],ROW()-6))</f>
      </c>
      <c r="L41" s="23">
        <f>=IF($A41="","",INDEX(tblTasks[Blocage],ROW()-6))</f>
      </c>
      <c r="M41" s="23">
        <f>=IF($A41="","",INDEX(tblTasks[Depend_de],ROW()-6))</f>
      </c>
      <c r="N41" s="23">
        <f>=IF($A41="","",INDEX(tblTasks[Non_negociable],ROW()-6))</f>
      </c>
      <c r="O41" s="23">
        <f>=IF($A41="","",INDEX(tblTasks[Seuil_de_reprise],ROW()-6))</f>
      </c>
      <c r="P41" s="23">
        <f>=IF($A41="","",INDEX(tblTasks[Donnee_manquante],ROW()-6))</f>
      </c>
      <c r="Q41" s="23">
        <f>=IF($A41="","",INDEX(tblTasks[Niveau_criticite],ROW()-6))</f>
      </c>
      <c r="R41" s="23">
        <f>=IF($A41="","",INDEX(tblTasks[Irreversibilite],ROW()-6))</f>
      </c>
      <c r="S41" s="23">
        <f>=IF($A41="","",INDEX(tblTasks[Decision_Emmanuel],ROW()-6))</f>
      </c>
      <c r="T41" s="24">
        <f>=IF($A41="","",INDEX(tblTasks[Commentaire_EKT],ROW()-6))</f>
      </c>
      <c r="U41" s="23">
        <f>=IF($A41="","",INDEX(tblTasks[Goulot],ROW()-6))</f>
      </c>
      <c r="V41" s="23">
        <f>=IF($A41="","",INDEX(tblTasks[Point_de_bascule],ROW()-6))</f>
      </c>
      <c r="W41" s="37">
        <f>IF($A41="","",IF(AND(OR(param_filtre_statut="tous",LOWER($F41)=LOWER(param_filtre_statut)),OR(param_filtre_agent="tous",LOWER($D41)=LOWER(param_filtre_agent),LOWER($E41)=LOWER(param_filtre_agent)),OR(param_filtre_criticite="toutes",LOWER($Q41)=LOWER(param_filtre_criticite))),"oui","non"))</f>
      </c>
      <c r="X41" s="37">
        <f>IF($A41="","",IF(OR(LOWER($F41)="bloqué",LOWER($L41)="oui"),"oui","non"))</f>
      </c>
      <c r="Y41" s="37">
        <f>IF($A41="","",IF(OR(LOWER($Q41)="critique",LOWER($U41)="oui",LOWER($V41)="oui"),"oui","non"))</f>
      </c>
      <c r="Z41" s="37">
        <f>IF($A41="","",IF(AND($S41&lt;&gt;"",LOWER($S41)&lt;&gt;"tranchée",LOWER($S41)&lt;&gt;"sans objet",LOWER($S41)&lt;&gt;"clos"),"oui","non"))</f>
      </c>
      <c r="AA41" s="37">
        <f>IF($A41="","",IF($P41&lt;&gt;"","oui","non"))</f>
      </c>
      <c r="AB41" s="37">
        <f>IF($A41="","",IF(OR(LOWER($F41)="non réouvrable",LOWER($R41)="forte"),"oui","non"))</f>
      </c>
    </row>
    <row r="42" spans="1:28" x14ac:dyDescent="0.25">
      <c r="A42" s="23">
        <f>IFERROR(INDEX(tblTasks[ID],ROW()-6),"")</f>
      </c>
      <c r="B42" s="24">
        <f>=IF($A42="","",INDEX(tblTasks[Sujet],ROW()-6))</f>
      </c>
      <c r="C42" s="23">
        <f>=IF($A42="","",INDEX(tblTasks[Lot_Domaine],ROW()-6))</f>
      </c>
      <c r="D42" s="23">
        <f>=IF($A42="","",INDEX(tblTasks[Agent_source],ROW()-6))</f>
      </c>
      <c r="E42" s="23">
        <f>=IF($A42="","",INDEX(tblTasks[Responsable],ROW()-6))</f>
      </c>
      <c r="F42" s="23">
        <f>=IF($A42="","",INDEX(tblTasks[Statut],ROW()-6))</f>
      </c>
      <c r="G42" s="25">
        <f>=IF($A42="","",INDEX(tblTasks[Date_debut_prevue],ROW()-6))</f>
      </c>
      <c r="H42" s="25">
        <f>=IF($A42="","",INDEX(tblTasks[Date_fin_prevue],ROW()-6))</f>
      </c>
      <c r="I42" s="36">
        <f>=IF($A42="","",INDEX(tblTasks[Duree_jours],ROW()-6))</f>
      </c>
      <c r="J42" s="25">
        <f>=IF($A42="","",INDEX(tblTasks[Date_debut_reelle],ROW()-6))</f>
      </c>
      <c r="K42" s="25">
        <f>=IF($A42="","",INDEX(tblTasks[Date_fin_reelle],ROW()-6))</f>
      </c>
      <c r="L42" s="23">
        <f>=IF($A42="","",INDEX(tblTasks[Blocage],ROW()-6))</f>
      </c>
      <c r="M42" s="23">
        <f>=IF($A42="","",INDEX(tblTasks[Depend_de],ROW()-6))</f>
      </c>
      <c r="N42" s="23">
        <f>=IF($A42="","",INDEX(tblTasks[Non_negociable],ROW()-6))</f>
      </c>
      <c r="O42" s="23">
        <f>=IF($A42="","",INDEX(tblTasks[Seuil_de_reprise],ROW()-6))</f>
      </c>
      <c r="P42" s="23">
        <f>=IF($A42="","",INDEX(tblTasks[Donnee_manquante],ROW()-6))</f>
      </c>
      <c r="Q42" s="23">
        <f>=IF($A42="","",INDEX(tblTasks[Niveau_criticite],ROW()-6))</f>
      </c>
      <c r="R42" s="23">
        <f>=IF($A42="","",INDEX(tblTasks[Irreversibilite],ROW()-6))</f>
      </c>
      <c r="S42" s="23">
        <f>=IF($A42="","",INDEX(tblTasks[Decision_Emmanuel],ROW()-6))</f>
      </c>
      <c r="T42" s="24">
        <f>=IF($A42="","",INDEX(tblTasks[Commentaire_EKT],ROW()-6))</f>
      </c>
      <c r="U42" s="23">
        <f>=IF($A42="","",INDEX(tblTasks[Goulot],ROW()-6))</f>
      </c>
      <c r="V42" s="23">
        <f>=IF($A42="","",INDEX(tblTasks[Point_de_bascule],ROW()-6))</f>
      </c>
      <c r="W42" s="37">
        <f>IF($A42="","",IF(AND(OR(param_filtre_statut="tous",LOWER($F42)=LOWER(param_filtre_statut)),OR(param_filtre_agent="tous",LOWER($D42)=LOWER(param_filtre_agent),LOWER($E42)=LOWER(param_filtre_agent)),OR(param_filtre_criticite="toutes",LOWER($Q42)=LOWER(param_filtre_criticite))),"oui","non"))</f>
      </c>
      <c r="X42" s="37">
        <f>IF($A42="","",IF(OR(LOWER($F42)="bloqué",LOWER($L42)="oui"),"oui","non"))</f>
      </c>
      <c r="Y42" s="37">
        <f>IF($A42="","",IF(OR(LOWER($Q42)="critique",LOWER($U42)="oui",LOWER($V42)="oui"),"oui","non"))</f>
      </c>
      <c r="Z42" s="37">
        <f>IF($A42="","",IF(AND($S42&lt;&gt;"",LOWER($S42)&lt;&gt;"tranchée",LOWER($S42)&lt;&gt;"sans objet",LOWER($S42)&lt;&gt;"clos"),"oui","non"))</f>
      </c>
      <c r="AA42" s="37">
        <f>IF($A42="","",IF($P42&lt;&gt;"","oui","non"))</f>
      </c>
      <c r="AB42" s="37">
        <f>IF($A42="","",IF(OR(LOWER($F42)="non réouvrable",LOWER($R42)="forte"),"oui","non"))</f>
      </c>
    </row>
    <row r="43" spans="1:28" x14ac:dyDescent="0.25">
      <c r="A43" s="23">
        <f>IFERROR(INDEX(tblTasks[ID],ROW()-6),"")</f>
      </c>
      <c r="B43" s="24">
        <f>=IF($A43="","",INDEX(tblTasks[Sujet],ROW()-6))</f>
      </c>
      <c r="C43" s="23">
        <f>=IF($A43="","",INDEX(tblTasks[Lot_Domaine],ROW()-6))</f>
      </c>
      <c r="D43" s="23">
        <f>=IF($A43="","",INDEX(tblTasks[Agent_source],ROW()-6))</f>
      </c>
      <c r="E43" s="23">
        <f>=IF($A43="","",INDEX(tblTasks[Responsable],ROW()-6))</f>
      </c>
      <c r="F43" s="23">
        <f>=IF($A43="","",INDEX(tblTasks[Statut],ROW()-6))</f>
      </c>
      <c r="G43" s="25">
        <f>=IF($A43="","",INDEX(tblTasks[Date_debut_prevue],ROW()-6))</f>
      </c>
      <c r="H43" s="25">
        <f>=IF($A43="","",INDEX(tblTasks[Date_fin_prevue],ROW()-6))</f>
      </c>
      <c r="I43" s="36">
        <f>=IF($A43="","",INDEX(tblTasks[Duree_jours],ROW()-6))</f>
      </c>
      <c r="J43" s="25">
        <f>=IF($A43="","",INDEX(tblTasks[Date_debut_reelle],ROW()-6))</f>
      </c>
      <c r="K43" s="25">
        <f>=IF($A43="","",INDEX(tblTasks[Date_fin_reelle],ROW()-6))</f>
      </c>
      <c r="L43" s="23">
        <f>=IF($A43="","",INDEX(tblTasks[Blocage],ROW()-6))</f>
      </c>
      <c r="M43" s="23">
        <f>=IF($A43="","",INDEX(tblTasks[Depend_de],ROW()-6))</f>
      </c>
      <c r="N43" s="23">
        <f>=IF($A43="","",INDEX(tblTasks[Non_negociable],ROW()-6))</f>
      </c>
      <c r="O43" s="23">
        <f>=IF($A43="","",INDEX(tblTasks[Seuil_de_reprise],ROW()-6))</f>
      </c>
      <c r="P43" s="23">
        <f>=IF($A43="","",INDEX(tblTasks[Donnee_manquante],ROW()-6))</f>
      </c>
      <c r="Q43" s="23">
        <f>=IF($A43="","",INDEX(tblTasks[Niveau_criticite],ROW()-6))</f>
      </c>
      <c r="R43" s="23">
        <f>=IF($A43="","",INDEX(tblTasks[Irreversibilite],ROW()-6))</f>
      </c>
      <c r="S43" s="23">
        <f>=IF($A43="","",INDEX(tblTasks[Decision_Emmanuel],ROW()-6))</f>
      </c>
      <c r="T43" s="24">
        <f>=IF($A43="","",INDEX(tblTasks[Commentaire_EKT],ROW()-6))</f>
      </c>
      <c r="U43" s="23">
        <f>=IF($A43="","",INDEX(tblTasks[Goulot],ROW()-6))</f>
      </c>
      <c r="V43" s="23">
        <f>=IF($A43="","",INDEX(tblTasks[Point_de_bascule],ROW()-6))</f>
      </c>
      <c r="W43" s="37">
        <f>IF($A43="","",IF(AND(OR(param_filtre_statut="tous",LOWER($F43)=LOWER(param_filtre_statut)),OR(param_filtre_agent="tous",LOWER($D43)=LOWER(param_filtre_agent),LOWER($E43)=LOWER(param_filtre_agent)),OR(param_filtre_criticite="toutes",LOWER($Q43)=LOWER(param_filtre_criticite))),"oui","non"))</f>
      </c>
      <c r="X43" s="37">
        <f>IF($A43="","",IF(OR(LOWER($F43)="bloqué",LOWER($L43)="oui"),"oui","non"))</f>
      </c>
      <c r="Y43" s="37">
        <f>IF($A43="","",IF(OR(LOWER($Q43)="critique",LOWER($U43)="oui",LOWER($V43)="oui"),"oui","non"))</f>
      </c>
      <c r="Z43" s="37">
        <f>IF($A43="","",IF(AND($S43&lt;&gt;"",LOWER($S43)&lt;&gt;"tranchée",LOWER($S43)&lt;&gt;"sans objet",LOWER($S43)&lt;&gt;"clos"),"oui","non"))</f>
      </c>
      <c r="AA43" s="37">
        <f>IF($A43="","",IF($P43&lt;&gt;"","oui","non"))</f>
      </c>
      <c r="AB43" s="37">
        <f>IF($A43="","",IF(OR(LOWER($F43)="non réouvrable",LOWER($R43)="forte"),"oui","non"))</f>
      </c>
    </row>
    <row r="44" spans="1:28" x14ac:dyDescent="0.25">
      <c r="A44" s="23">
        <f>IFERROR(INDEX(tblTasks[ID],ROW()-6),"")</f>
      </c>
      <c r="B44" s="24">
        <f>=IF($A44="","",INDEX(tblTasks[Sujet],ROW()-6))</f>
      </c>
      <c r="C44" s="23">
        <f>=IF($A44="","",INDEX(tblTasks[Lot_Domaine],ROW()-6))</f>
      </c>
      <c r="D44" s="23">
        <f>=IF($A44="","",INDEX(tblTasks[Agent_source],ROW()-6))</f>
      </c>
      <c r="E44" s="23">
        <f>=IF($A44="","",INDEX(tblTasks[Responsable],ROW()-6))</f>
      </c>
      <c r="F44" s="23">
        <f>=IF($A44="","",INDEX(tblTasks[Statut],ROW()-6))</f>
      </c>
      <c r="G44" s="25">
        <f>=IF($A44="","",INDEX(tblTasks[Date_debut_prevue],ROW()-6))</f>
      </c>
      <c r="H44" s="25">
        <f>=IF($A44="","",INDEX(tblTasks[Date_fin_prevue],ROW()-6))</f>
      </c>
      <c r="I44" s="36">
        <f>=IF($A44="","",INDEX(tblTasks[Duree_jours],ROW()-6))</f>
      </c>
      <c r="J44" s="25">
        <f>=IF($A44="","",INDEX(tblTasks[Date_debut_reelle],ROW()-6))</f>
      </c>
      <c r="K44" s="25">
        <f>=IF($A44="","",INDEX(tblTasks[Date_fin_reelle],ROW()-6))</f>
      </c>
      <c r="L44" s="23">
        <f>=IF($A44="","",INDEX(tblTasks[Blocage],ROW()-6))</f>
      </c>
      <c r="M44" s="23">
        <f>=IF($A44="","",INDEX(tblTasks[Depend_de],ROW()-6))</f>
      </c>
      <c r="N44" s="23">
        <f>=IF($A44="","",INDEX(tblTasks[Non_negociable],ROW()-6))</f>
      </c>
      <c r="O44" s="23">
        <f>=IF($A44="","",INDEX(tblTasks[Seuil_de_reprise],ROW()-6))</f>
      </c>
      <c r="P44" s="23">
        <f>=IF($A44="","",INDEX(tblTasks[Donnee_manquante],ROW()-6))</f>
      </c>
      <c r="Q44" s="23">
        <f>=IF($A44="","",INDEX(tblTasks[Niveau_criticite],ROW()-6))</f>
      </c>
      <c r="R44" s="23">
        <f>=IF($A44="","",INDEX(tblTasks[Irreversibilite],ROW()-6))</f>
      </c>
      <c r="S44" s="23">
        <f>=IF($A44="","",INDEX(tblTasks[Decision_Emmanuel],ROW()-6))</f>
      </c>
      <c r="T44" s="24">
        <f>=IF($A44="","",INDEX(tblTasks[Commentaire_EKT],ROW()-6))</f>
      </c>
      <c r="U44" s="23">
        <f>=IF($A44="","",INDEX(tblTasks[Goulot],ROW()-6))</f>
      </c>
      <c r="V44" s="23">
        <f>=IF($A44="","",INDEX(tblTasks[Point_de_bascule],ROW()-6))</f>
      </c>
      <c r="W44" s="37">
        <f>IF($A44="","",IF(AND(OR(param_filtre_statut="tous",LOWER($F44)=LOWER(param_filtre_statut)),OR(param_filtre_agent="tous",LOWER($D44)=LOWER(param_filtre_agent),LOWER($E44)=LOWER(param_filtre_agent)),OR(param_filtre_criticite="toutes",LOWER($Q44)=LOWER(param_filtre_criticite))),"oui","non"))</f>
      </c>
      <c r="X44" s="37">
        <f>IF($A44="","",IF(OR(LOWER($F44)="bloqué",LOWER($L44)="oui"),"oui","non"))</f>
      </c>
      <c r="Y44" s="37">
        <f>IF($A44="","",IF(OR(LOWER($Q44)="critique",LOWER($U44)="oui",LOWER($V44)="oui"),"oui","non"))</f>
      </c>
      <c r="Z44" s="37">
        <f>IF($A44="","",IF(AND($S44&lt;&gt;"",LOWER($S44)&lt;&gt;"tranchée",LOWER($S44)&lt;&gt;"sans objet",LOWER($S44)&lt;&gt;"clos"),"oui","non"))</f>
      </c>
      <c r="AA44" s="37">
        <f>IF($A44="","",IF($P44&lt;&gt;"","oui","non"))</f>
      </c>
      <c r="AB44" s="37">
        <f>IF($A44="","",IF(OR(LOWER($F44)="non réouvrable",LOWER($R44)="forte"),"oui","non"))</f>
      </c>
    </row>
    <row r="45" spans="1:28" x14ac:dyDescent="0.25">
      <c r="A45" s="23">
        <f>IFERROR(INDEX(tblTasks[ID],ROW()-6),"")</f>
      </c>
      <c r="B45" s="24">
        <f>=IF($A45="","",INDEX(tblTasks[Sujet],ROW()-6))</f>
      </c>
      <c r="C45" s="23">
        <f>=IF($A45="","",INDEX(tblTasks[Lot_Domaine],ROW()-6))</f>
      </c>
      <c r="D45" s="23">
        <f>=IF($A45="","",INDEX(tblTasks[Agent_source],ROW()-6))</f>
      </c>
      <c r="E45" s="23">
        <f>=IF($A45="","",INDEX(tblTasks[Responsable],ROW()-6))</f>
      </c>
      <c r="F45" s="23">
        <f>=IF($A45="","",INDEX(tblTasks[Statut],ROW()-6))</f>
      </c>
      <c r="G45" s="25">
        <f>=IF($A45="","",INDEX(tblTasks[Date_debut_prevue],ROW()-6))</f>
      </c>
      <c r="H45" s="25">
        <f>=IF($A45="","",INDEX(tblTasks[Date_fin_prevue],ROW()-6))</f>
      </c>
      <c r="I45" s="36">
        <f>=IF($A45="","",INDEX(tblTasks[Duree_jours],ROW()-6))</f>
      </c>
      <c r="J45" s="25">
        <f>=IF($A45="","",INDEX(tblTasks[Date_debut_reelle],ROW()-6))</f>
      </c>
      <c r="K45" s="25">
        <f>=IF($A45="","",INDEX(tblTasks[Date_fin_reelle],ROW()-6))</f>
      </c>
      <c r="L45" s="23">
        <f>=IF($A45="","",INDEX(tblTasks[Blocage],ROW()-6))</f>
      </c>
      <c r="M45" s="23">
        <f>=IF($A45="","",INDEX(tblTasks[Depend_de],ROW()-6))</f>
      </c>
      <c r="N45" s="23">
        <f>=IF($A45="","",INDEX(tblTasks[Non_negociable],ROW()-6))</f>
      </c>
      <c r="O45" s="23">
        <f>=IF($A45="","",INDEX(tblTasks[Seuil_de_reprise],ROW()-6))</f>
      </c>
      <c r="P45" s="23">
        <f>=IF($A45="","",INDEX(tblTasks[Donnee_manquante],ROW()-6))</f>
      </c>
      <c r="Q45" s="23">
        <f>=IF($A45="","",INDEX(tblTasks[Niveau_criticite],ROW()-6))</f>
      </c>
      <c r="R45" s="23">
        <f>=IF($A45="","",INDEX(tblTasks[Irreversibilite],ROW()-6))</f>
      </c>
      <c r="S45" s="23">
        <f>=IF($A45="","",INDEX(tblTasks[Decision_Emmanuel],ROW()-6))</f>
      </c>
      <c r="T45" s="24">
        <f>=IF($A45="","",INDEX(tblTasks[Commentaire_EKT],ROW()-6))</f>
      </c>
      <c r="U45" s="23">
        <f>=IF($A45="","",INDEX(tblTasks[Goulot],ROW()-6))</f>
      </c>
      <c r="V45" s="23">
        <f>=IF($A45="","",INDEX(tblTasks[Point_de_bascule],ROW()-6))</f>
      </c>
      <c r="W45" s="37">
        <f>IF($A45="","",IF(AND(OR(param_filtre_statut="tous",LOWER($F45)=LOWER(param_filtre_statut)),OR(param_filtre_agent="tous",LOWER($D45)=LOWER(param_filtre_agent),LOWER($E45)=LOWER(param_filtre_agent)),OR(param_filtre_criticite="toutes",LOWER($Q45)=LOWER(param_filtre_criticite))),"oui","non"))</f>
      </c>
      <c r="X45" s="37">
        <f>IF($A45="","",IF(OR(LOWER($F45)="bloqué",LOWER($L45)="oui"),"oui","non"))</f>
      </c>
      <c r="Y45" s="37">
        <f>IF($A45="","",IF(OR(LOWER($Q45)="critique",LOWER($U45)="oui",LOWER($V45)="oui"),"oui","non"))</f>
      </c>
      <c r="Z45" s="37">
        <f>IF($A45="","",IF(AND($S45&lt;&gt;"",LOWER($S45)&lt;&gt;"tranchée",LOWER($S45)&lt;&gt;"sans objet",LOWER($S45)&lt;&gt;"clos"),"oui","non"))</f>
      </c>
      <c r="AA45" s="37">
        <f>IF($A45="","",IF($P45&lt;&gt;"","oui","non"))</f>
      </c>
      <c r="AB45" s="37">
        <f>IF($A45="","",IF(OR(LOWER($F45)="non réouvrable",LOWER($R45)="forte"),"oui","non"))</f>
      </c>
    </row>
    <row r="46" spans="1:28" x14ac:dyDescent="0.25">
      <c r="A46" s="23">
        <f>IFERROR(INDEX(tblTasks[ID],ROW()-6),"")</f>
      </c>
      <c r="B46" s="24">
        <f>=IF($A46="","",INDEX(tblTasks[Sujet],ROW()-6))</f>
      </c>
      <c r="C46" s="23">
        <f>=IF($A46="","",INDEX(tblTasks[Lot_Domaine],ROW()-6))</f>
      </c>
      <c r="D46" s="23">
        <f>=IF($A46="","",INDEX(tblTasks[Agent_source],ROW()-6))</f>
      </c>
      <c r="E46" s="23">
        <f>=IF($A46="","",INDEX(tblTasks[Responsable],ROW()-6))</f>
      </c>
      <c r="F46" s="23">
        <f>=IF($A46="","",INDEX(tblTasks[Statut],ROW()-6))</f>
      </c>
      <c r="G46" s="25">
        <f>=IF($A46="","",INDEX(tblTasks[Date_debut_prevue],ROW()-6))</f>
      </c>
      <c r="H46" s="25">
        <f>=IF($A46="","",INDEX(tblTasks[Date_fin_prevue],ROW()-6))</f>
      </c>
      <c r="I46" s="36">
        <f>=IF($A46="","",INDEX(tblTasks[Duree_jours],ROW()-6))</f>
      </c>
      <c r="J46" s="25">
        <f>=IF($A46="","",INDEX(tblTasks[Date_debut_reelle],ROW()-6))</f>
      </c>
      <c r="K46" s="25">
        <f>=IF($A46="","",INDEX(tblTasks[Date_fin_reelle],ROW()-6))</f>
      </c>
      <c r="L46" s="23">
        <f>=IF($A46="","",INDEX(tblTasks[Blocage],ROW()-6))</f>
      </c>
      <c r="M46" s="23">
        <f>=IF($A46="","",INDEX(tblTasks[Depend_de],ROW()-6))</f>
      </c>
      <c r="N46" s="23">
        <f>=IF($A46="","",INDEX(tblTasks[Non_negociable],ROW()-6))</f>
      </c>
      <c r="O46" s="23">
        <f>=IF($A46="","",INDEX(tblTasks[Seuil_de_reprise],ROW()-6))</f>
      </c>
      <c r="P46" s="23">
        <f>=IF($A46="","",INDEX(tblTasks[Donnee_manquante],ROW()-6))</f>
      </c>
      <c r="Q46" s="23">
        <f>=IF($A46="","",INDEX(tblTasks[Niveau_criticite],ROW()-6))</f>
      </c>
      <c r="R46" s="23">
        <f>=IF($A46="","",INDEX(tblTasks[Irreversibilite],ROW()-6))</f>
      </c>
      <c r="S46" s="23">
        <f>=IF($A46="","",INDEX(tblTasks[Decision_Emmanuel],ROW()-6))</f>
      </c>
      <c r="T46" s="24">
        <f>=IF($A46="","",INDEX(tblTasks[Commentaire_EKT],ROW()-6))</f>
      </c>
      <c r="U46" s="23">
        <f>=IF($A46="","",INDEX(tblTasks[Goulot],ROW()-6))</f>
      </c>
      <c r="V46" s="23">
        <f>=IF($A46="","",INDEX(tblTasks[Point_de_bascule],ROW()-6))</f>
      </c>
      <c r="W46" s="37">
        <f>IF($A46="","",IF(AND(OR(param_filtre_statut="tous",LOWER($F46)=LOWER(param_filtre_statut)),OR(param_filtre_agent="tous",LOWER($D46)=LOWER(param_filtre_agent),LOWER($E46)=LOWER(param_filtre_agent)),OR(param_filtre_criticite="toutes",LOWER($Q46)=LOWER(param_filtre_criticite))),"oui","non"))</f>
      </c>
      <c r="X46" s="37">
        <f>IF($A46="","",IF(OR(LOWER($F46)="bloqué",LOWER($L46)="oui"),"oui","non"))</f>
      </c>
      <c r="Y46" s="37">
        <f>IF($A46="","",IF(OR(LOWER($Q46)="critique",LOWER($U46)="oui",LOWER($V46)="oui"),"oui","non"))</f>
      </c>
      <c r="Z46" s="37">
        <f>IF($A46="","",IF(AND($S46&lt;&gt;"",LOWER($S46)&lt;&gt;"tranchée",LOWER($S46)&lt;&gt;"sans objet",LOWER($S46)&lt;&gt;"clos"),"oui","non"))</f>
      </c>
      <c r="AA46" s="37">
        <f>IF($A46="","",IF($P46&lt;&gt;"","oui","non"))</f>
      </c>
      <c r="AB46" s="37">
        <f>IF($A46="","",IF(OR(LOWER($F46)="non réouvrable",LOWER($R46)="forte"),"oui","non"))</f>
      </c>
    </row>
    <row r="47" spans="1:28" x14ac:dyDescent="0.25">
      <c r="A47" s="23">
        <f>IFERROR(INDEX(tblTasks[ID],ROW()-6),"")</f>
      </c>
      <c r="B47" s="24">
        <f>=IF($A47="","",INDEX(tblTasks[Sujet],ROW()-6))</f>
      </c>
      <c r="C47" s="23">
        <f>=IF($A47="","",INDEX(tblTasks[Lot_Domaine],ROW()-6))</f>
      </c>
      <c r="D47" s="23">
        <f>=IF($A47="","",INDEX(tblTasks[Agent_source],ROW()-6))</f>
      </c>
      <c r="E47" s="23">
        <f>=IF($A47="","",INDEX(tblTasks[Responsable],ROW()-6))</f>
      </c>
      <c r="F47" s="23">
        <f>=IF($A47="","",INDEX(tblTasks[Statut],ROW()-6))</f>
      </c>
      <c r="G47" s="25">
        <f>=IF($A47="","",INDEX(tblTasks[Date_debut_prevue],ROW()-6))</f>
      </c>
      <c r="H47" s="25">
        <f>=IF($A47="","",INDEX(tblTasks[Date_fin_prevue],ROW()-6))</f>
      </c>
      <c r="I47" s="36">
        <f>=IF($A47="","",INDEX(tblTasks[Duree_jours],ROW()-6))</f>
      </c>
      <c r="J47" s="25">
        <f>=IF($A47="","",INDEX(tblTasks[Date_debut_reelle],ROW()-6))</f>
      </c>
      <c r="K47" s="25">
        <f>=IF($A47="","",INDEX(tblTasks[Date_fin_reelle],ROW()-6))</f>
      </c>
      <c r="L47" s="23">
        <f>=IF($A47="","",INDEX(tblTasks[Blocage],ROW()-6))</f>
      </c>
      <c r="M47" s="23">
        <f>=IF($A47="","",INDEX(tblTasks[Depend_de],ROW()-6))</f>
      </c>
      <c r="N47" s="23">
        <f>=IF($A47="","",INDEX(tblTasks[Non_negociable],ROW()-6))</f>
      </c>
      <c r="O47" s="23">
        <f>=IF($A47="","",INDEX(tblTasks[Seuil_de_reprise],ROW()-6))</f>
      </c>
      <c r="P47" s="23">
        <f>=IF($A47="","",INDEX(tblTasks[Donnee_manquante],ROW()-6))</f>
      </c>
      <c r="Q47" s="23">
        <f>=IF($A47="","",INDEX(tblTasks[Niveau_criticite],ROW()-6))</f>
      </c>
      <c r="R47" s="23">
        <f>=IF($A47="","",INDEX(tblTasks[Irreversibilite],ROW()-6))</f>
      </c>
      <c r="S47" s="23">
        <f>=IF($A47="","",INDEX(tblTasks[Decision_Emmanuel],ROW()-6))</f>
      </c>
      <c r="T47" s="24">
        <f>=IF($A47="","",INDEX(tblTasks[Commentaire_EKT],ROW()-6))</f>
      </c>
      <c r="U47" s="23">
        <f>=IF($A47="","",INDEX(tblTasks[Goulot],ROW()-6))</f>
      </c>
      <c r="V47" s="23">
        <f>=IF($A47="","",INDEX(tblTasks[Point_de_bascule],ROW()-6))</f>
      </c>
      <c r="W47" s="37">
        <f>IF($A47="","",IF(AND(OR(param_filtre_statut="tous",LOWER($F47)=LOWER(param_filtre_statut)),OR(param_filtre_agent="tous",LOWER($D47)=LOWER(param_filtre_agent),LOWER($E47)=LOWER(param_filtre_agent)),OR(param_filtre_criticite="toutes",LOWER($Q47)=LOWER(param_filtre_criticite))),"oui","non"))</f>
      </c>
      <c r="X47" s="37">
        <f>IF($A47="","",IF(OR(LOWER($F47)="bloqué",LOWER($L47)="oui"),"oui","non"))</f>
      </c>
      <c r="Y47" s="37">
        <f>IF($A47="","",IF(OR(LOWER($Q47)="critique",LOWER($U47)="oui",LOWER($V47)="oui"),"oui","non"))</f>
      </c>
      <c r="Z47" s="37">
        <f>IF($A47="","",IF(AND($S47&lt;&gt;"",LOWER($S47)&lt;&gt;"tranchée",LOWER($S47)&lt;&gt;"sans objet",LOWER($S47)&lt;&gt;"clos"),"oui","non"))</f>
      </c>
      <c r="AA47" s="37">
        <f>IF($A47="","",IF($P47&lt;&gt;"","oui","non"))</f>
      </c>
      <c r="AB47" s="37">
        <f>IF($A47="","",IF(OR(LOWER($F47)="non réouvrable",LOWER($R47)="forte"),"oui","non"))</f>
      </c>
    </row>
    <row r="48" spans="1:28" x14ac:dyDescent="0.25">
      <c r="A48" s="23">
        <f>IFERROR(INDEX(tblTasks[ID],ROW()-6),"")</f>
      </c>
      <c r="B48" s="24">
        <f>=IF($A48="","",INDEX(tblTasks[Sujet],ROW()-6))</f>
      </c>
      <c r="C48" s="23">
        <f>=IF($A48="","",INDEX(tblTasks[Lot_Domaine],ROW()-6))</f>
      </c>
      <c r="D48" s="23">
        <f>=IF($A48="","",INDEX(tblTasks[Agent_source],ROW()-6))</f>
      </c>
      <c r="E48" s="23">
        <f>=IF($A48="","",INDEX(tblTasks[Responsable],ROW()-6))</f>
      </c>
      <c r="F48" s="23">
        <f>=IF($A48="","",INDEX(tblTasks[Statut],ROW()-6))</f>
      </c>
      <c r="G48" s="25">
        <f>=IF($A48="","",INDEX(tblTasks[Date_debut_prevue],ROW()-6))</f>
      </c>
      <c r="H48" s="25">
        <f>=IF($A48="","",INDEX(tblTasks[Date_fin_prevue],ROW()-6))</f>
      </c>
      <c r="I48" s="36">
        <f>=IF($A48="","",INDEX(tblTasks[Duree_jours],ROW()-6))</f>
      </c>
      <c r="J48" s="25">
        <f>=IF($A48="","",INDEX(tblTasks[Date_debut_reelle],ROW()-6))</f>
      </c>
      <c r="K48" s="25">
        <f>=IF($A48="","",INDEX(tblTasks[Date_fin_reelle],ROW()-6))</f>
      </c>
      <c r="L48" s="23">
        <f>=IF($A48="","",INDEX(tblTasks[Blocage],ROW()-6))</f>
      </c>
      <c r="M48" s="23">
        <f>=IF($A48="","",INDEX(tblTasks[Depend_de],ROW()-6))</f>
      </c>
      <c r="N48" s="23">
        <f>=IF($A48="","",INDEX(tblTasks[Non_negociable],ROW()-6))</f>
      </c>
      <c r="O48" s="23">
        <f>=IF($A48="","",INDEX(tblTasks[Seuil_de_reprise],ROW()-6))</f>
      </c>
      <c r="P48" s="23">
        <f>=IF($A48="","",INDEX(tblTasks[Donnee_manquante],ROW()-6))</f>
      </c>
      <c r="Q48" s="23">
        <f>=IF($A48="","",INDEX(tblTasks[Niveau_criticite],ROW()-6))</f>
      </c>
      <c r="R48" s="23">
        <f>=IF($A48="","",INDEX(tblTasks[Irreversibilite],ROW()-6))</f>
      </c>
      <c r="S48" s="23">
        <f>=IF($A48="","",INDEX(tblTasks[Decision_Emmanuel],ROW()-6))</f>
      </c>
      <c r="T48" s="24">
        <f>=IF($A48="","",INDEX(tblTasks[Commentaire_EKT],ROW()-6))</f>
      </c>
      <c r="U48" s="23">
        <f>=IF($A48="","",INDEX(tblTasks[Goulot],ROW()-6))</f>
      </c>
      <c r="V48" s="23">
        <f>=IF($A48="","",INDEX(tblTasks[Point_de_bascule],ROW()-6))</f>
      </c>
      <c r="W48" s="37">
        <f>IF($A48="","",IF(AND(OR(param_filtre_statut="tous",LOWER($F48)=LOWER(param_filtre_statut)),OR(param_filtre_agent="tous",LOWER($D48)=LOWER(param_filtre_agent),LOWER($E48)=LOWER(param_filtre_agent)),OR(param_filtre_criticite="toutes",LOWER($Q48)=LOWER(param_filtre_criticite))),"oui","non"))</f>
      </c>
      <c r="X48" s="37">
        <f>IF($A48="","",IF(OR(LOWER($F48)="bloqué",LOWER($L48)="oui"),"oui","non"))</f>
      </c>
      <c r="Y48" s="37">
        <f>IF($A48="","",IF(OR(LOWER($Q48)="critique",LOWER($U48)="oui",LOWER($V48)="oui"),"oui","non"))</f>
      </c>
      <c r="Z48" s="37">
        <f>IF($A48="","",IF(AND($S48&lt;&gt;"",LOWER($S48)&lt;&gt;"tranchée",LOWER($S48)&lt;&gt;"sans objet",LOWER($S48)&lt;&gt;"clos"),"oui","non"))</f>
      </c>
      <c r="AA48" s="37">
        <f>IF($A48="","",IF($P48&lt;&gt;"","oui","non"))</f>
      </c>
      <c r="AB48" s="37">
        <f>IF($A48="","",IF(OR(LOWER($F48)="non réouvrable",LOWER($R48)="forte"),"oui","non"))</f>
      </c>
    </row>
    <row r="49" spans="1:28" x14ac:dyDescent="0.25">
      <c r="A49" s="23">
        <f>IFERROR(INDEX(tblTasks[ID],ROW()-6),"")</f>
      </c>
      <c r="B49" s="24">
        <f>=IF($A49="","",INDEX(tblTasks[Sujet],ROW()-6))</f>
      </c>
      <c r="C49" s="23">
        <f>=IF($A49="","",INDEX(tblTasks[Lot_Domaine],ROW()-6))</f>
      </c>
      <c r="D49" s="23">
        <f>=IF($A49="","",INDEX(tblTasks[Agent_source],ROW()-6))</f>
      </c>
      <c r="E49" s="23">
        <f>=IF($A49="","",INDEX(tblTasks[Responsable],ROW()-6))</f>
      </c>
      <c r="F49" s="23">
        <f>=IF($A49="","",INDEX(tblTasks[Statut],ROW()-6))</f>
      </c>
      <c r="G49" s="25">
        <f>=IF($A49="","",INDEX(tblTasks[Date_debut_prevue],ROW()-6))</f>
      </c>
      <c r="H49" s="25">
        <f>=IF($A49="","",INDEX(tblTasks[Date_fin_prevue],ROW()-6))</f>
      </c>
      <c r="I49" s="36">
        <f>=IF($A49="","",INDEX(tblTasks[Duree_jours],ROW()-6))</f>
      </c>
      <c r="J49" s="25">
        <f>=IF($A49="","",INDEX(tblTasks[Date_debut_reelle],ROW()-6))</f>
      </c>
      <c r="K49" s="25">
        <f>=IF($A49="","",INDEX(tblTasks[Date_fin_reelle],ROW()-6))</f>
      </c>
      <c r="L49" s="23">
        <f>=IF($A49="","",INDEX(tblTasks[Blocage],ROW()-6))</f>
      </c>
      <c r="M49" s="23">
        <f>=IF($A49="","",INDEX(tblTasks[Depend_de],ROW()-6))</f>
      </c>
      <c r="N49" s="23">
        <f>=IF($A49="","",INDEX(tblTasks[Non_negociable],ROW()-6))</f>
      </c>
      <c r="O49" s="23">
        <f>=IF($A49="","",INDEX(tblTasks[Seuil_de_reprise],ROW()-6))</f>
      </c>
      <c r="P49" s="23">
        <f>=IF($A49="","",INDEX(tblTasks[Donnee_manquante],ROW()-6))</f>
      </c>
      <c r="Q49" s="23">
        <f>=IF($A49="","",INDEX(tblTasks[Niveau_criticite],ROW()-6))</f>
      </c>
      <c r="R49" s="23">
        <f>=IF($A49="","",INDEX(tblTasks[Irreversibilite],ROW()-6))</f>
      </c>
      <c r="S49" s="23">
        <f>=IF($A49="","",INDEX(tblTasks[Decision_Emmanuel],ROW()-6))</f>
      </c>
      <c r="T49" s="24">
        <f>=IF($A49="","",INDEX(tblTasks[Commentaire_EKT],ROW()-6))</f>
      </c>
      <c r="U49" s="23">
        <f>=IF($A49="","",INDEX(tblTasks[Goulot],ROW()-6))</f>
      </c>
      <c r="V49" s="23">
        <f>=IF($A49="","",INDEX(tblTasks[Point_de_bascule],ROW()-6))</f>
      </c>
      <c r="W49" s="37">
        <f>IF($A49="","",IF(AND(OR(param_filtre_statut="tous",LOWER($F49)=LOWER(param_filtre_statut)),OR(param_filtre_agent="tous",LOWER($D49)=LOWER(param_filtre_agent),LOWER($E49)=LOWER(param_filtre_agent)),OR(param_filtre_criticite="toutes",LOWER($Q49)=LOWER(param_filtre_criticite))),"oui","non"))</f>
      </c>
      <c r="X49" s="37">
        <f>IF($A49="","",IF(OR(LOWER($F49)="bloqué",LOWER($L49)="oui"),"oui","non"))</f>
      </c>
      <c r="Y49" s="37">
        <f>IF($A49="","",IF(OR(LOWER($Q49)="critique",LOWER($U49)="oui",LOWER($V49)="oui"),"oui","non"))</f>
      </c>
      <c r="Z49" s="37">
        <f>IF($A49="","",IF(AND($S49&lt;&gt;"",LOWER($S49)&lt;&gt;"tranchée",LOWER($S49)&lt;&gt;"sans objet",LOWER($S49)&lt;&gt;"clos"),"oui","non"))</f>
      </c>
      <c r="AA49" s="37">
        <f>IF($A49="","",IF($P49&lt;&gt;"","oui","non"))</f>
      </c>
      <c r="AB49" s="37">
        <f>IF($A49="","",IF(OR(LOWER($F49)="non réouvrable",LOWER($R49)="forte"),"oui","non"))</f>
      </c>
    </row>
    <row r="50" spans="1:28" x14ac:dyDescent="0.25">
      <c r="A50" s="23">
        <f>IFERROR(INDEX(tblTasks[ID],ROW()-6),"")</f>
      </c>
      <c r="B50" s="24">
        <f>=IF($A50="","",INDEX(tblTasks[Sujet],ROW()-6))</f>
      </c>
      <c r="C50" s="23">
        <f>=IF($A50="","",INDEX(tblTasks[Lot_Domaine],ROW()-6))</f>
      </c>
      <c r="D50" s="23">
        <f>=IF($A50="","",INDEX(tblTasks[Agent_source],ROW()-6))</f>
      </c>
      <c r="E50" s="23">
        <f>=IF($A50="","",INDEX(tblTasks[Responsable],ROW()-6))</f>
      </c>
      <c r="F50" s="23">
        <f>=IF($A50="","",INDEX(tblTasks[Statut],ROW()-6))</f>
      </c>
      <c r="G50" s="25">
        <f>=IF($A50="","",INDEX(tblTasks[Date_debut_prevue],ROW()-6))</f>
      </c>
      <c r="H50" s="25">
        <f>=IF($A50="","",INDEX(tblTasks[Date_fin_prevue],ROW()-6))</f>
      </c>
      <c r="I50" s="36">
        <f>=IF($A50="","",INDEX(tblTasks[Duree_jours],ROW()-6))</f>
      </c>
      <c r="J50" s="25">
        <f>=IF($A50="","",INDEX(tblTasks[Date_debut_reelle],ROW()-6))</f>
      </c>
      <c r="K50" s="25">
        <f>=IF($A50="","",INDEX(tblTasks[Date_fin_reelle],ROW()-6))</f>
      </c>
      <c r="L50" s="23">
        <f>=IF($A50="","",INDEX(tblTasks[Blocage],ROW()-6))</f>
      </c>
      <c r="M50" s="23">
        <f>=IF($A50="","",INDEX(tblTasks[Depend_de],ROW()-6))</f>
      </c>
      <c r="N50" s="23">
        <f>=IF($A50="","",INDEX(tblTasks[Non_negociable],ROW()-6))</f>
      </c>
      <c r="O50" s="23">
        <f>=IF($A50="","",INDEX(tblTasks[Seuil_de_reprise],ROW()-6))</f>
      </c>
      <c r="P50" s="23">
        <f>=IF($A50="","",INDEX(tblTasks[Donnee_manquante],ROW()-6))</f>
      </c>
      <c r="Q50" s="23">
        <f>=IF($A50="","",INDEX(tblTasks[Niveau_criticite],ROW()-6))</f>
      </c>
      <c r="R50" s="23">
        <f>=IF($A50="","",INDEX(tblTasks[Irreversibilite],ROW()-6))</f>
      </c>
      <c r="S50" s="23">
        <f>=IF($A50="","",INDEX(tblTasks[Decision_Emmanuel],ROW()-6))</f>
      </c>
      <c r="T50" s="24">
        <f>=IF($A50="","",INDEX(tblTasks[Commentaire_EKT],ROW()-6))</f>
      </c>
      <c r="U50" s="23">
        <f>=IF($A50="","",INDEX(tblTasks[Goulot],ROW()-6))</f>
      </c>
      <c r="V50" s="23">
        <f>=IF($A50="","",INDEX(tblTasks[Point_de_bascule],ROW()-6))</f>
      </c>
      <c r="W50" s="37">
        <f>IF($A50="","",IF(AND(OR(param_filtre_statut="tous",LOWER($F50)=LOWER(param_filtre_statut)),OR(param_filtre_agent="tous",LOWER($D50)=LOWER(param_filtre_agent),LOWER($E50)=LOWER(param_filtre_agent)),OR(param_filtre_criticite="toutes",LOWER($Q50)=LOWER(param_filtre_criticite))),"oui","non"))</f>
      </c>
      <c r="X50" s="37">
        <f>IF($A50="","",IF(OR(LOWER($F50)="bloqué",LOWER($L50)="oui"),"oui","non"))</f>
      </c>
      <c r="Y50" s="37">
        <f>IF($A50="","",IF(OR(LOWER($Q50)="critique",LOWER($U50)="oui",LOWER($V50)="oui"),"oui","non"))</f>
      </c>
      <c r="Z50" s="37">
        <f>IF($A50="","",IF(AND($S50&lt;&gt;"",LOWER($S50)&lt;&gt;"tranchée",LOWER($S50)&lt;&gt;"sans objet",LOWER($S50)&lt;&gt;"clos"),"oui","non"))</f>
      </c>
      <c r="AA50" s="37">
        <f>IF($A50="","",IF($P50&lt;&gt;"","oui","non"))</f>
      </c>
      <c r="AB50" s="37">
        <f>IF($A50="","",IF(OR(LOWER($F50)="non réouvrable",LOWER($R50)="forte"),"oui","non"))</f>
      </c>
    </row>
    <row r="51" spans="1:28" x14ac:dyDescent="0.25">
      <c r="A51" s="23">
        <f>IFERROR(INDEX(tblTasks[ID],ROW()-6),"")</f>
      </c>
      <c r="B51" s="24">
        <f>=IF($A51="","",INDEX(tblTasks[Sujet],ROW()-6))</f>
      </c>
      <c r="C51" s="23">
        <f>=IF($A51="","",INDEX(tblTasks[Lot_Domaine],ROW()-6))</f>
      </c>
      <c r="D51" s="23">
        <f>=IF($A51="","",INDEX(tblTasks[Agent_source],ROW()-6))</f>
      </c>
      <c r="E51" s="23">
        <f>=IF($A51="","",INDEX(tblTasks[Responsable],ROW()-6))</f>
      </c>
      <c r="F51" s="23">
        <f>=IF($A51="","",INDEX(tblTasks[Statut],ROW()-6))</f>
      </c>
      <c r="G51" s="25">
        <f>=IF($A51="","",INDEX(tblTasks[Date_debut_prevue],ROW()-6))</f>
      </c>
      <c r="H51" s="25">
        <f>=IF($A51="","",INDEX(tblTasks[Date_fin_prevue],ROW()-6))</f>
      </c>
      <c r="I51" s="36">
        <f>=IF($A51="","",INDEX(tblTasks[Duree_jours],ROW()-6))</f>
      </c>
      <c r="J51" s="25">
        <f>=IF($A51="","",INDEX(tblTasks[Date_debut_reelle],ROW()-6))</f>
      </c>
      <c r="K51" s="25">
        <f>=IF($A51="","",INDEX(tblTasks[Date_fin_reelle],ROW()-6))</f>
      </c>
      <c r="L51" s="23">
        <f>=IF($A51="","",INDEX(tblTasks[Blocage],ROW()-6))</f>
      </c>
      <c r="M51" s="23">
        <f>=IF($A51="","",INDEX(tblTasks[Depend_de],ROW()-6))</f>
      </c>
      <c r="N51" s="23">
        <f>=IF($A51="","",INDEX(tblTasks[Non_negociable],ROW()-6))</f>
      </c>
      <c r="O51" s="23">
        <f>=IF($A51="","",INDEX(tblTasks[Seuil_de_reprise],ROW()-6))</f>
      </c>
      <c r="P51" s="23">
        <f>=IF($A51="","",INDEX(tblTasks[Donnee_manquante],ROW()-6))</f>
      </c>
      <c r="Q51" s="23">
        <f>=IF($A51="","",INDEX(tblTasks[Niveau_criticite],ROW()-6))</f>
      </c>
      <c r="R51" s="23">
        <f>=IF($A51="","",INDEX(tblTasks[Irreversibilite],ROW()-6))</f>
      </c>
      <c r="S51" s="23">
        <f>=IF($A51="","",INDEX(tblTasks[Decision_Emmanuel],ROW()-6))</f>
      </c>
      <c r="T51" s="24">
        <f>=IF($A51="","",INDEX(tblTasks[Commentaire_EKT],ROW()-6))</f>
      </c>
      <c r="U51" s="23">
        <f>=IF($A51="","",INDEX(tblTasks[Goulot],ROW()-6))</f>
      </c>
      <c r="V51" s="23">
        <f>=IF($A51="","",INDEX(tblTasks[Point_de_bascule],ROW()-6))</f>
      </c>
      <c r="W51" s="37">
        <f>IF($A51="","",IF(AND(OR(param_filtre_statut="tous",LOWER($F51)=LOWER(param_filtre_statut)),OR(param_filtre_agent="tous",LOWER($D51)=LOWER(param_filtre_agent),LOWER($E51)=LOWER(param_filtre_agent)),OR(param_filtre_criticite="toutes",LOWER($Q51)=LOWER(param_filtre_criticite))),"oui","non"))</f>
      </c>
      <c r="X51" s="37">
        <f>IF($A51="","",IF(OR(LOWER($F51)="bloqué",LOWER($L51)="oui"),"oui","non"))</f>
      </c>
      <c r="Y51" s="37">
        <f>IF($A51="","",IF(OR(LOWER($Q51)="critique",LOWER($U51)="oui",LOWER($V51)="oui"),"oui","non"))</f>
      </c>
      <c r="Z51" s="37">
        <f>IF($A51="","",IF(AND($S51&lt;&gt;"",LOWER($S51)&lt;&gt;"tranchée",LOWER($S51)&lt;&gt;"sans objet",LOWER($S51)&lt;&gt;"clos"),"oui","non"))</f>
      </c>
      <c r="AA51" s="37">
        <f>IF($A51="","",IF($P51&lt;&gt;"","oui","non"))</f>
      </c>
      <c r="AB51" s="37">
        <f>IF($A51="","",IF(OR(LOWER($F51)="non réouvrable",LOWER($R51)="forte"),"oui","non"))</f>
      </c>
    </row>
    <row r="52" spans="1:28" x14ac:dyDescent="0.25">
      <c r="A52" s="23">
        <f>IFERROR(INDEX(tblTasks[ID],ROW()-6),"")</f>
      </c>
      <c r="B52" s="24">
        <f>=IF($A52="","",INDEX(tblTasks[Sujet],ROW()-6))</f>
      </c>
      <c r="C52" s="23">
        <f>=IF($A52="","",INDEX(tblTasks[Lot_Domaine],ROW()-6))</f>
      </c>
      <c r="D52" s="23">
        <f>=IF($A52="","",INDEX(tblTasks[Agent_source],ROW()-6))</f>
      </c>
      <c r="E52" s="23">
        <f>=IF($A52="","",INDEX(tblTasks[Responsable],ROW()-6))</f>
      </c>
      <c r="F52" s="23">
        <f>=IF($A52="","",INDEX(tblTasks[Statut],ROW()-6))</f>
      </c>
      <c r="G52" s="25">
        <f>=IF($A52="","",INDEX(tblTasks[Date_debut_prevue],ROW()-6))</f>
      </c>
      <c r="H52" s="25">
        <f>=IF($A52="","",INDEX(tblTasks[Date_fin_prevue],ROW()-6))</f>
      </c>
      <c r="I52" s="36">
        <f>=IF($A52="","",INDEX(tblTasks[Duree_jours],ROW()-6))</f>
      </c>
      <c r="J52" s="25">
        <f>=IF($A52="","",INDEX(tblTasks[Date_debut_reelle],ROW()-6))</f>
      </c>
      <c r="K52" s="25">
        <f>=IF($A52="","",INDEX(tblTasks[Date_fin_reelle],ROW()-6))</f>
      </c>
      <c r="L52" s="23">
        <f>=IF($A52="","",INDEX(tblTasks[Blocage],ROW()-6))</f>
      </c>
      <c r="M52" s="23">
        <f>=IF($A52="","",INDEX(tblTasks[Depend_de],ROW()-6))</f>
      </c>
      <c r="N52" s="23">
        <f>=IF($A52="","",INDEX(tblTasks[Non_negociable],ROW()-6))</f>
      </c>
      <c r="O52" s="23">
        <f>=IF($A52="","",INDEX(tblTasks[Seuil_de_reprise],ROW()-6))</f>
      </c>
      <c r="P52" s="23">
        <f>=IF($A52="","",INDEX(tblTasks[Donnee_manquante],ROW()-6))</f>
      </c>
      <c r="Q52" s="23">
        <f>=IF($A52="","",INDEX(tblTasks[Niveau_criticite],ROW()-6))</f>
      </c>
      <c r="R52" s="23">
        <f>=IF($A52="","",INDEX(tblTasks[Irreversibilite],ROW()-6))</f>
      </c>
      <c r="S52" s="23">
        <f>=IF($A52="","",INDEX(tblTasks[Decision_Emmanuel],ROW()-6))</f>
      </c>
      <c r="T52" s="24">
        <f>=IF($A52="","",INDEX(tblTasks[Commentaire_EKT],ROW()-6))</f>
      </c>
      <c r="U52" s="23">
        <f>=IF($A52="","",INDEX(tblTasks[Goulot],ROW()-6))</f>
      </c>
      <c r="V52" s="23">
        <f>=IF($A52="","",INDEX(tblTasks[Point_de_bascule],ROW()-6))</f>
      </c>
      <c r="W52" s="37">
        <f>IF($A52="","",IF(AND(OR(param_filtre_statut="tous",LOWER($F52)=LOWER(param_filtre_statut)),OR(param_filtre_agent="tous",LOWER($D52)=LOWER(param_filtre_agent),LOWER($E52)=LOWER(param_filtre_agent)),OR(param_filtre_criticite="toutes",LOWER($Q52)=LOWER(param_filtre_criticite))),"oui","non"))</f>
      </c>
      <c r="X52" s="37">
        <f>IF($A52="","",IF(OR(LOWER($F52)="bloqué",LOWER($L52)="oui"),"oui","non"))</f>
      </c>
      <c r="Y52" s="37">
        <f>IF($A52="","",IF(OR(LOWER($Q52)="critique",LOWER($U52)="oui",LOWER($V52)="oui"),"oui","non"))</f>
      </c>
      <c r="Z52" s="37">
        <f>IF($A52="","",IF(AND($S52&lt;&gt;"",LOWER($S52)&lt;&gt;"tranchée",LOWER($S52)&lt;&gt;"sans objet",LOWER($S52)&lt;&gt;"clos"),"oui","non"))</f>
      </c>
      <c r="AA52" s="37">
        <f>IF($A52="","",IF($P52&lt;&gt;"","oui","non"))</f>
      </c>
      <c r="AB52" s="37">
        <f>IF($A52="","",IF(OR(LOWER($F52)="non réouvrable",LOWER($R52)="forte"),"oui","non"))</f>
      </c>
    </row>
    <row r="53" spans="1:28" x14ac:dyDescent="0.25">
      <c r="A53" s="23">
        <f>IFERROR(INDEX(tblTasks[ID],ROW()-6),"")</f>
      </c>
      <c r="B53" s="24">
        <f>=IF($A53="","",INDEX(tblTasks[Sujet],ROW()-6))</f>
      </c>
      <c r="C53" s="23">
        <f>=IF($A53="","",INDEX(tblTasks[Lot_Domaine],ROW()-6))</f>
      </c>
      <c r="D53" s="23">
        <f>=IF($A53="","",INDEX(tblTasks[Agent_source],ROW()-6))</f>
      </c>
      <c r="E53" s="23">
        <f>=IF($A53="","",INDEX(tblTasks[Responsable],ROW()-6))</f>
      </c>
      <c r="F53" s="23">
        <f>=IF($A53="","",INDEX(tblTasks[Statut],ROW()-6))</f>
      </c>
      <c r="G53" s="25">
        <f>=IF($A53="","",INDEX(tblTasks[Date_debut_prevue],ROW()-6))</f>
      </c>
      <c r="H53" s="25">
        <f>=IF($A53="","",INDEX(tblTasks[Date_fin_prevue],ROW()-6))</f>
      </c>
      <c r="I53" s="36">
        <f>=IF($A53="","",INDEX(tblTasks[Duree_jours],ROW()-6))</f>
      </c>
      <c r="J53" s="25">
        <f>=IF($A53="","",INDEX(tblTasks[Date_debut_reelle],ROW()-6))</f>
      </c>
      <c r="K53" s="25">
        <f>=IF($A53="","",INDEX(tblTasks[Date_fin_reelle],ROW()-6))</f>
      </c>
      <c r="L53" s="23">
        <f>=IF($A53="","",INDEX(tblTasks[Blocage],ROW()-6))</f>
      </c>
      <c r="M53" s="23">
        <f>=IF($A53="","",INDEX(tblTasks[Depend_de],ROW()-6))</f>
      </c>
      <c r="N53" s="23">
        <f>=IF($A53="","",INDEX(tblTasks[Non_negociable],ROW()-6))</f>
      </c>
      <c r="O53" s="23">
        <f>=IF($A53="","",INDEX(tblTasks[Seuil_de_reprise],ROW()-6))</f>
      </c>
      <c r="P53" s="23">
        <f>=IF($A53="","",INDEX(tblTasks[Donnee_manquante],ROW()-6))</f>
      </c>
      <c r="Q53" s="23">
        <f>=IF($A53="","",INDEX(tblTasks[Niveau_criticite],ROW()-6))</f>
      </c>
      <c r="R53" s="23">
        <f>=IF($A53="","",INDEX(tblTasks[Irreversibilite],ROW()-6))</f>
      </c>
      <c r="S53" s="23">
        <f>=IF($A53="","",INDEX(tblTasks[Decision_Emmanuel],ROW()-6))</f>
      </c>
      <c r="T53" s="24">
        <f>=IF($A53="","",INDEX(tblTasks[Commentaire_EKT],ROW()-6))</f>
      </c>
      <c r="U53" s="23">
        <f>=IF($A53="","",INDEX(tblTasks[Goulot],ROW()-6))</f>
      </c>
      <c r="V53" s="23">
        <f>=IF($A53="","",INDEX(tblTasks[Point_de_bascule],ROW()-6))</f>
      </c>
      <c r="W53" s="37">
        <f>IF($A53="","",IF(AND(OR(param_filtre_statut="tous",LOWER($F53)=LOWER(param_filtre_statut)),OR(param_filtre_agent="tous",LOWER($D53)=LOWER(param_filtre_agent),LOWER($E53)=LOWER(param_filtre_agent)),OR(param_filtre_criticite="toutes",LOWER($Q53)=LOWER(param_filtre_criticite))),"oui","non"))</f>
      </c>
      <c r="X53" s="37">
        <f>IF($A53="","",IF(OR(LOWER($F53)="bloqué",LOWER($L53)="oui"),"oui","non"))</f>
      </c>
      <c r="Y53" s="37">
        <f>IF($A53="","",IF(OR(LOWER($Q53)="critique",LOWER($U53)="oui",LOWER($V53)="oui"),"oui","non"))</f>
      </c>
      <c r="Z53" s="37">
        <f>IF($A53="","",IF(AND($S53&lt;&gt;"",LOWER($S53)&lt;&gt;"tranchée",LOWER($S53)&lt;&gt;"sans objet",LOWER($S53)&lt;&gt;"clos"),"oui","non"))</f>
      </c>
      <c r="AA53" s="37">
        <f>IF($A53="","",IF($P53&lt;&gt;"","oui","non"))</f>
      </c>
      <c r="AB53" s="37">
        <f>IF($A53="","",IF(OR(LOWER($F53)="non réouvrable",LOWER($R53)="forte"),"oui","non"))</f>
      </c>
    </row>
    <row r="54" spans="1:28" x14ac:dyDescent="0.25">
      <c r="A54" s="23">
        <f>IFERROR(INDEX(tblTasks[ID],ROW()-6),"")</f>
      </c>
      <c r="B54" s="24">
        <f>=IF($A54="","",INDEX(tblTasks[Sujet],ROW()-6))</f>
      </c>
      <c r="C54" s="23">
        <f>=IF($A54="","",INDEX(tblTasks[Lot_Domaine],ROW()-6))</f>
      </c>
      <c r="D54" s="23">
        <f>=IF($A54="","",INDEX(tblTasks[Agent_source],ROW()-6))</f>
      </c>
      <c r="E54" s="23">
        <f>=IF($A54="","",INDEX(tblTasks[Responsable],ROW()-6))</f>
      </c>
      <c r="F54" s="23">
        <f>=IF($A54="","",INDEX(tblTasks[Statut],ROW()-6))</f>
      </c>
      <c r="G54" s="25">
        <f>=IF($A54="","",INDEX(tblTasks[Date_debut_prevue],ROW()-6))</f>
      </c>
      <c r="H54" s="25">
        <f>=IF($A54="","",INDEX(tblTasks[Date_fin_prevue],ROW()-6))</f>
      </c>
      <c r="I54" s="36">
        <f>=IF($A54="","",INDEX(tblTasks[Duree_jours],ROW()-6))</f>
      </c>
      <c r="J54" s="25">
        <f>=IF($A54="","",INDEX(tblTasks[Date_debut_reelle],ROW()-6))</f>
      </c>
      <c r="K54" s="25">
        <f>=IF($A54="","",INDEX(tblTasks[Date_fin_reelle],ROW()-6))</f>
      </c>
      <c r="L54" s="23">
        <f>=IF($A54="","",INDEX(tblTasks[Blocage],ROW()-6))</f>
      </c>
      <c r="M54" s="23">
        <f>=IF($A54="","",INDEX(tblTasks[Depend_de],ROW()-6))</f>
      </c>
      <c r="N54" s="23">
        <f>=IF($A54="","",INDEX(tblTasks[Non_negociable],ROW()-6))</f>
      </c>
      <c r="O54" s="23">
        <f>=IF($A54="","",INDEX(tblTasks[Seuil_de_reprise],ROW()-6))</f>
      </c>
      <c r="P54" s="23">
        <f>=IF($A54="","",INDEX(tblTasks[Donnee_manquante],ROW()-6))</f>
      </c>
      <c r="Q54" s="23">
        <f>=IF($A54="","",INDEX(tblTasks[Niveau_criticite],ROW()-6))</f>
      </c>
      <c r="R54" s="23">
        <f>=IF($A54="","",INDEX(tblTasks[Irreversibilite],ROW()-6))</f>
      </c>
      <c r="S54" s="23">
        <f>=IF($A54="","",INDEX(tblTasks[Decision_Emmanuel],ROW()-6))</f>
      </c>
      <c r="T54" s="24">
        <f>=IF($A54="","",INDEX(tblTasks[Commentaire_EKT],ROW()-6))</f>
      </c>
      <c r="U54" s="23">
        <f>=IF($A54="","",INDEX(tblTasks[Goulot],ROW()-6))</f>
      </c>
      <c r="V54" s="23">
        <f>=IF($A54="","",INDEX(tblTasks[Point_de_bascule],ROW()-6))</f>
      </c>
      <c r="W54" s="37">
        <f>IF($A54="","",IF(AND(OR(param_filtre_statut="tous",LOWER($F54)=LOWER(param_filtre_statut)),OR(param_filtre_agent="tous",LOWER($D54)=LOWER(param_filtre_agent),LOWER($E54)=LOWER(param_filtre_agent)),OR(param_filtre_criticite="toutes",LOWER($Q54)=LOWER(param_filtre_criticite))),"oui","non"))</f>
      </c>
      <c r="X54" s="37">
        <f>IF($A54="","",IF(OR(LOWER($F54)="bloqué",LOWER($L54)="oui"),"oui","non"))</f>
      </c>
      <c r="Y54" s="37">
        <f>IF($A54="","",IF(OR(LOWER($Q54)="critique",LOWER($U54)="oui",LOWER($V54)="oui"),"oui","non"))</f>
      </c>
      <c r="Z54" s="37">
        <f>IF($A54="","",IF(AND($S54&lt;&gt;"",LOWER($S54)&lt;&gt;"tranchée",LOWER($S54)&lt;&gt;"sans objet",LOWER($S54)&lt;&gt;"clos"),"oui","non"))</f>
      </c>
      <c r="AA54" s="37">
        <f>IF($A54="","",IF($P54&lt;&gt;"","oui","non"))</f>
      </c>
      <c r="AB54" s="37">
        <f>IF($A54="","",IF(OR(LOWER($F54)="non réouvrable",LOWER($R54)="forte"),"oui","non"))</f>
      </c>
    </row>
    <row r="55" spans="1:28" x14ac:dyDescent="0.25">
      <c r="A55" s="23">
        <f>IFERROR(INDEX(tblTasks[ID],ROW()-6),"")</f>
      </c>
      <c r="B55" s="24">
        <f>=IF($A55="","",INDEX(tblTasks[Sujet],ROW()-6))</f>
      </c>
      <c r="C55" s="23">
        <f>=IF($A55="","",INDEX(tblTasks[Lot_Domaine],ROW()-6))</f>
      </c>
      <c r="D55" s="23">
        <f>=IF($A55="","",INDEX(tblTasks[Agent_source],ROW()-6))</f>
      </c>
      <c r="E55" s="23">
        <f>=IF($A55="","",INDEX(tblTasks[Responsable],ROW()-6))</f>
      </c>
      <c r="F55" s="23">
        <f>=IF($A55="","",INDEX(tblTasks[Statut],ROW()-6))</f>
      </c>
      <c r="G55" s="25">
        <f>=IF($A55="","",INDEX(tblTasks[Date_debut_prevue],ROW()-6))</f>
      </c>
      <c r="H55" s="25">
        <f>=IF($A55="","",INDEX(tblTasks[Date_fin_prevue],ROW()-6))</f>
      </c>
      <c r="I55" s="36">
        <f>=IF($A55="","",INDEX(tblTasks[Duree_jours],ROW()-6))</f>
      </c>
      <c r="J55" s="25">
        <f>=IF($A55="","",INDEX(tblTasks[Date_debut_reelle],ROW()-6))</f>
      </c>
      <c r="K55" s="25">
        <f>=IF($A55="","",INDEX(tblTasks[Date_fin_reelle],ROW()-6))</f>
      </c>
      <c r="L55" s="23">
        <f>=IF($A55="","",INDEX(tblTasks[Blocage],ROW()-6))</f>
      </c>
      <c r="M55" s="23">
        <f>=IF($A55="","",INDEX(tblTasks[Depend_de],ROW()-6))</f>
      </c>
      <c r="N55" s="23">
        <f>=IF($A55="","",INDEX(tblTasks[Non_negociable],ROW()-6))</f>
      </c>
      <c r="O55" s="23">
        <f>=IF($A55="","",INDEX(tblTasks[Seuil_de_reprise],ROW()-6))</f>
      </c>
      <c r="P55" s="23">
        <f>=IF($A55="","",INDEX(tblTasks[Donnee_manquante],ROW()-6))</f>
      </c>
      <c r="Q55" s="23">
        <f>=IF($A55="","",INDEX(tblTasks[Niveau_criticite],ROW()-6))</f>
      </c>
      <c r="R55" s="23">
        <f>=IF($A55="","",INDEX(tblTasks[Irreversibilite],ROW()-6))</f>
      </c>
      <c r="S55" s="23">
        <f>=IF($A55="","",INDEX(tblTasks[Decision_Emmanuel],ROW()-6))</f>
      </c>
      <c r="T55" s="24">
        <f>=IF($A55="","",INDEX(tblTasks[Commentaire_EKT],ROW()-6))</f>
      </c>
      <c r="U55" s="23">
        <f>=IF($A55="","",INDEX(tblTasks[Goulot],ROW()-6))</f>
      </c>
      <c r="V55" s="23">
        <f>=IF($A55="","",INDEX(tblTasks[Point_de_bascule],ROW()-6))</f>
      </c>
      <c r="W55" s="37">
        <f>IF($A55="","",IF(AND(OR(param_filtre_statut="tous",LOWER($F55)=LOWER(param_filtre_statut)),OR(param_filtre_agent="tous",LOWER($D55)=LOWER(param_filtre_agent),LOWER($E55)=LOWER(param_filtre_agent)),OR(param_filtre_criticite="toutes",LOWER($Q55)=LOWER(param_filtre_criticite))),"oui","non"))</f>
      </c>
      <c r="X55" s="37">
        <f>IF($A55="","",IF(OR(LOWER($F55)="bloqué",LOWER($L55)="oui"),"oui","non"))</f>
      </c>
      <c r="Y55" s="37">
        <f>IF($A55="","",IF(OR(LOWER($Q55)="critique",LOWER($U55)="oui",LOWER($V55)="oui"),"oui","non"))</f>
      </c>
      <c r="Z55" s="37">
        <f>IF($A55="","",IF(AND($S55&lt;&gt;"",LOWER($S55)&lt;&gt;"tranchée",LOWER($S55)&lt;&gt;"sans objet",LOWER($S55)&lt;&gt;"clos"),"oui","non"))</f>
      </c>
      <c r="AA55" s="37">
        <f>IF($A55="","",IF($P55&lt;&gt;"","oui","non"))</f>
      </c>
      <c r="AB55" s="37">
        <f>IF($A55="","",IF(OR(LOWER($F55)="non réouvrable",LOWER($R55)="forte"),"oui","non"))</f>
      </c>
    </row>
    <row r="56" spans="1:28" x14ac:dyDescent="0.25">
      <c r="A56" s="23">
        <f>IFERROR(INDEX(tblTasks[ID],ROW()-6),"")</f>
      </c>
      <c r="B56" s="24">
        <f>=IF($A56="","",INDEX(tblTasks[Sujet],ROW()-6))</f>
      </c>
      <c r="C56" s="23">
        <f>=IF($A56="","",INDEX(tblTasks[Lot_Domaine],ROW()-6))</f>
      </c>
      <c r="D56" s="23">
        <f>=IF($A56="","",INDEX(tblTasks[Agent_source],ROW()-6))</f>
      </c>
      <c r="E56" s="23">
        <f>=IF($A56="","",INDEX(tblTasks[Responsable],ROW()-6))</f>
      </c>
      <c r="F56" s="23">
        <f>=IF($A56="","",INDEX(tblTasks[Statut],ROW()-6))</f>
      </c>
      <c r="G56" s="25">
        <f>=IF($A56="","",INDEX(tblTasks[Date_debut_prevue],ROW()-6))</f>
      </c>
      <c r="H56" s="25">
        <f>=IF($A56="","",INDEX(tblTasks[Date_fin_prevue],ROW()-6))</f>
      </c>
      <c r="I56" s="36">
        <f>=IF($A56="","",INDEX(tblTasks[Duree_jours],ROW()-6))</f>
      </c>
      <c r="J56" s="25">
        <f>=IF($A56="","",INDEX(tblTasks[Date_debut_reelle],ROW()-6))</f>
      </c>
      <c r="K56" s="25">
        <f>=IF($A56="","",INDEX(tblTasks[Date_fin_reelle],ROW()-6))</f>
      </c>
      <c r="L56" s="23">
        <f>=IF($A56="","",INDEX(tblTasks[Blocage],ROW()-6))</f>
      </c>
      <c r="M56" s="23">
        <f>=IF($A56="","",INDEX(tblTasks[Depend_de],ROW()-6))</f>
      </c>
      <c r="N56" s="23">
        <f>=IF($A56="","",INDEX(tblTasks[Non_negociable],ROW()-6))</f>
      </c>
      <c r="O56" s="23">
        <f>=IF($A56="","",INDEX(tblTasks[Seuil_de_reprise],ROW()-6))</f>
      </c>
      <c r="P56" s="23">
        <f>=IF($A56="","",INDEX(tblTasks[Donnee_manquante],ROW()-6))</f>
      </c>
      <c r="Q56" s="23">
        <f>=IF($A56="","",INDEX(tblTasks[Niveau_criticite],ROW()-6))</f>
      </c>
      <c r="R56" s="23">
        <f>=IF($A56="","",INDEX(tblTasks[Irreversibilite],ROW()-6))</f>
      </c>
      <c r="S56" s="23">
        <f>=IF($A56="","",INDEX(tblTasks[Decision_Emmanuel],ROW()-6))</f>
      </c>
      <c r="T56" s="24">
        <f>=IF($A56="","",INDEX(tblTasks[Commentaire_EKT],ROW()-6))</f>
      </c>
      <c r="U56" s="23">
        <f>=IF($A56="","",INDEX(tblTasks[Goulot],ROW()-6))</f>
      </c>
      <c r="V56" s="23">
        <f>=IF($A56="","",INDEX(tblTasks[Point_de_bascule],ROW()-6))</f>
      </c>
      <c r="W56" s="37">
        <f>IF($A56="","",IF(AND(OR(param_filtre_statut="tous",LOWER($F56)=LOWER(param_filtre_statut)),OR(param_filtre_agent="tous",LOWER($D56)=LOWER(param_filtre_agent),LOWER($E56)=LOWER(param_filtre_agent)),OR(param_filtre_criticite="toutes",LOWER($Q56)=LOWER(param_filtre_criticite))),"oui","non"))</f>
      </c>
      <c r="X56" s="37">
        <f>IF($A56="","",IF(OR(LOWER($F56)="bloqué",LOWER($L56)="oui"),"oui","non"))</f>
      </c>
      <c r="Y56" s="37">
        <f>IF($A56="","",IF(OR(LOWER($Q56)="critique",LOWER($U56)="oui",LOWER($V56)="oui"),"oui","non"))</f>
      </c>
      <c r="Z56" s="37">
        <f>IF($A56="","",IF(AND($S56&lt;&gt;"",LOWER($S56)&lt;&gt;"tranchée",LOWER($S56)&lt;&gt;"sans objet",LOWER($S56)&lt;&gt;"clos"),"oui","non"))</f>
      </c>
      <c r="AA56" s="37">
        <f>IF($A56="","",IF($P56&lt;&gt;"","oui","non"))</f>
      </c>
      <c r="AB56" s="37">
        <f>IF($A56="","",IF(OR(LOWER($F56)="non réouvrable",LOWER($R56)="forte"),"oui","non"))</f>
      </c>
    </row>
    <row r="57" spans="1:28" x14ac:dyDescent="0.25">
      <c r="A57" s="23">
        <f>IFERROR(INDEX(tblTasks[ID],ROW()-6),"")</f>
      </c>
      <c r="B57" s="24">
        <f>=IF($A57="","",INDEX(tblTasks[Sujet],ROW()-6))</f>
      </c>
      <c r="C57" s="23">
        <f>=IF($A57="","",INDEX(tblTasks[Lot_Domaine],ROW()-6))</f>
      </c>
      <c r="D57" s="23">
        <f>=IF($A57="","",INDEX(tblTasks[Agent_source],ROW()-6))</f>
      </c>
      <c r="E57" s="23">
        <f>=IF($A57="","",INDEX(tblTasks[Responsable],ROW()-6))</f>
      </c>
      <c r="F57" s="23">
        <f>=IF($A57="","",INDEX(tblTasks[Statut],ROW()-6))</f>
      </c>
      <c r="G57" s="25">
        <f>=IF($A57="","",INDEX(tblTasks[Date_debut_prevue],ROW()-6))</f>
      </c>
      <c r="H57" s="25">
        <f>=IF($A57="","",INDEX(tblTasks[Date_fin_prevue],ROW()-6))</f>
      </c>
      <c r="I57" s="36">
        <f>=IF($A57="","",INDEX(tblTasks[Duree_jours],ROW()-6))</f>
      </c>
      <c r="J57" s="25">
        <f>=IF($A57="","",INDEX(tblTasks[Date_debut_reelle],ROW()-6))</f>
      </c>
      <c r="K57" s="25">
        <f>=IF($A57="","",INDEX(tblTasks[Date_fin_reelle],ROW()-6))</f>
      </c>
      <c r="L57" s="23">
        <f>=IF($A57="","",INDEX(tblTasks[Blocage],ROW()-6))</f>
      </c>
      <c r="M57" s="23">
        <f>=IF($A57="","",INDEX(tblTasks[Depend_de],ROW()-6))</f>
      </c>
      <c r="N57" s="23">
        <f>=IF($A57="","",INDEX(tblTasks[Non_negociable],ROW()-6))</f>
      </c>
      <c r="O57" s="23">
        <f>=IF($A57="","",INDEX(tblTasks[Seuil_de_reprise],ROW()-6))</f>
      </c>
      <c r="P57" s="23">
        <f>=IF($A57="","",INDEX(tblTasks[Donnee_manquante],ROW()-6))</f>
      </c>
      <c r="Q57" s="23">
        <f>=IF($A57="","",INDEX(tblTasks[Niveau_criticite],ROW()-6))</f>
      </c>
      <c r="R57" s="23">
        <f>=IF($A57="","",INDEX(tblTasks[Irreversibilite],ROW()-6))</f>
      </c>
      <c r="S57" s="23">
        <f>=IF($A57="","",INDEX(tblTasks[Decision_Emmanuel],ROW()-6))</f>
      </c>
      <c r="T57" s="24">
        <f>=IF($A57="","",INDEX(tblTasks[Commentaire_EKT],ROW()-6))</f>
      </c>
      <c r="U57" s="23">
        <f>=IF($A57="","",INDEX(tblTasks[Goulot],ROW()-6))</f>
      </c>
      <c r="V57" s="23">
        <f>=IF($A57="","",INDEX(tblTasks[Point_de_bascule],ROW()-6))</f>
      </c>
      <c r="W57" s="37">
        <f>IF($A57="","",IF(AND(OR(param_filtre_statut="tous",LOWER($F57)=LOWER(param_filtre_statut)),OR(param_filtre_agent="tous",LOWER($D57)=LOWER(param_filtre_agent),LOWER($E57)=LOWER(param_filtre_agent)),OR(param_filtre_criticite="toutes",LOWER($Q57)=LOWER(param_filtre_criticite))),"oui","non"))</f>
      </c>
      <c r="X57" s="37">
        <f>IF($A57="","",IF(OR(LOWER($F57)="bloqué",LOWER($L57)="oui"),"oui","non"))</f>
      </c>
      <c r="Y57" s="37">
        <f>IF($A57="","",IF(OR(LOWER($Q57)="critique",LOWER($U57)="oui",LOWER($V57)="oui"),"oui","non"))</f>
      </c>
      <c r="Z57" s="37">
        <f>IF($A57="","",IF(AND($S57&lt;&gt;"",LOWER($S57)&lt;&gt;"tranchée",LOWER($S57)&lt;&gt;"sans objet",LOWER($S57)&lt;&gt;"clos"),"oui","non"))</f>
      </c>
      <c r="AA57" s="37">
        <f>IF($A57="","",IF($P57&lt;&gt;"","oui","non"))</f>
      </c>
      <c r="AB57" s="37">
        <f>IF($A57="","",IF(OR(LOWER($F57)="non réouvrable",LOWER($R57)="forte"),"oui","non"))</f>
      </c>
    </row>
    <row r="58" spans="1:28" x14ac:dyDescent="0.25">
      <c r="A58" s="23">
        <f>IFERROR(INDEX(tblTasks[ID],ROW()-6),"")</f>
      </c>
      <c r="B58" s="24">
        <f>=IF($A58="","",INDEX(tblTasks[Sujet],ROW()-6))</f>
      </c>
      <c r="C58" s="23">
        <f>=IF($A58="","",INDEX(tblTasks[Lot_Domaine],ROW()-6))</f>
      </c>
      <c r="D58" s="23">
        <f>=IF($A58="","",INDEX(tblTasks[Agent_source],ROW()-6))</f>
      </c>
      <c r="E58" s="23">
        <f>=IF($A58="","",INDEX(tblTasks[Responsable],ROW()-6))</f>
      </c>
      <c r="F58" s="23">
        <f>=IF($A58="","",INDEX(tblTasks[Statut],ROW()-6))</f>
      </c>
      <c r="G58" s="25">
        <f>=IF($A58="","",INDEX(tblTasks[Date_debut_prevue],ROW()-6))</f>
      </c>
      <c r="H58" s="25">
        <f>=IF($A58="","",INDEX(tblTasks[Date_fin_prevue],ROW()-6))</f>
      </c>
      <c r="I58" s="36">
        <f>=IF($A58="","",INDEX(tblTasks[Duree_jours],ROW()-6))</f>
      </c>
      <c r="J58" s="25">
        <f>=IF($A58="","",INDEX(tblTasks[Date_debut_reelle],ROW()-6))</f>
      </c>
      <c r="K58" s="25">
        <f>=IF($A58="","",INDEX(tblTasks[Date_fin_reelle],ROW()-6))</f>
      </c>
      <c r="L58" s="23">
        <f>=IF($A58="","",INDEX(tblTasks[Blocage],ROW()-6))</f>
      </c>
      <c r="M58" s="23">
        <f>=IF($A58="","",INDEX(tblTasks[Depend_de],ROW()-6))</f>
      </c>
      <c r="N58" s="23">
        <f>=IF($A58="","",INDEX(tblTasks[Non_negociable],ROW()-6))</f>
      </c>
      <c r="O58" s="23">
        <f>=IF($A58="","",INDEX(tblTasks[Seuil_de_reprise],ROW()-6))</f>
      </c>
      <c r="P58" s="23">
        <f>=IF($A58="","",INDEX(tblTasks[Donnee_manquante],ROW()-6))</f>
      </c>
      <c r="Q58" s="23">
        <f>=IF($A58="","",INDEX(tblTasks[Niveau_criticite],ROW()-6))</f>
      </c>
      <c r="R58" s="23">
        <f>=IF($A58="","",INDEX(tblTasks[Irreversibilite],ROW()-6))</f>
      </c>
      <c r="S58" s="23">
        <f>=IF($A58="","",INDEX(tblTasks[Decision_Emmanuel],ROW()-6))</f>
      </c>
      <c r="T58" s="24">
        <f>=IF($A58="","",INDEX(tblTasks[Commentaire_EKT],ROW()-6))</f>
      </c>
      <c r="U58" s="23">
        <f>=IF($A58="","",INDEX(tblTasks[Goulot],ROW()-6))</f>
      </c>
      <c r="V58" s="23">
        <f>=IF($A58="","",INDEX(tblTasks[Point_de_bascule],ROW()-6))</f>
      </c>
      <c r="W58" s="37">
        <f>IF($A58="","",IF(AND(OR(param_filtre_statut="tous",LOWER($F58)=LOWER(param_filtre_statut)),OR(param_filtre_agent="tous",LOWER($D58)=LOWER(param_filtre_agent),LOWER($E58)=LOWER(param_filtre_agent)),OR(param_filtre_criticite="toutes",LOWER($Q58)=LOWER(param_filtre_criticite))),"oui","non"))</f>
      </c>
      <c r="X58" s="37">
        <f>IF($A58="","",IF(OR(LOWER($F58)="bloqué",LOWER($L58)="oui"),"oui","non"))</f>
      </c>
      <c r="Y58" s="37">
        <f>IF($A58="","",IF(OR(LOWER($Q58)="critique",LOWER($U58)="oui",LOWER($V58)="oui"),"oui","non"))</f>
      </c>
      <c r="Z58" s="37">
        <f>IF($A58="","",IF(AND($S58&lt;&gt;"",LOWER($S58)&lt;&gt;"tranchée",LOWER($S58)&lt;&gt;"sans objet",LOWER($S58)&lt;&gt;"clos"),"oui","non"))</f>
      </c>
      <c r="AA58" s="37">
        <f>IF($A58="","",IF($P58&lt;&gt;"","oui","non"))</f>
      </c>
      <c r="AB58" s="37">
        <f>IF($A58="","",IF(OR(LOWER($F58)="non réouvrable",LOWER($R58)="forte"),"oui","non"))</f>
      </c>
    </row>
    <row r="59" spans="1:28" x14ac:dyDescent="0.25">
      <c r="A59" s="23">
        <f>IFERROR(INDEX(tblTasks[ID],ROW()-6),"")</f>
      </c>
      <c r="B59" s="24">
        <f>=IF($A59="","",INDEX(tblTasks[Sujet],ROW()-6))</f>
      </c>
      <c r="C59" s="23">
        <f>=IF($A59="","",INDEX(tblTasks[Lot_Domaine],ROW()-6))</f>
      </c>
      <c r="D59" s="23">
        <f>=IF($A59="","",INDEX(tblTasks[Agent_source],ROW()-6))</f>
      </c>
      <c r="E59" s="23">
        <f>=IF($A59="","",INDEX(tblTasks[Responsable],ROW()-6))</f>
      </c>
      <c r="F59" s="23">
        <f>=IF($A59="","",INDEX(tblTasks[Statut],ROW()-6))</f>
      </c>
      <c r="G59" s="25">
        <f>=IF($A59="","",INDEX(tblTasks[Date_debut_prevue],ROW()-6))</f>
      </c>
      <c r="H59" s="25">
        <f>=IF($A59="","",INDEX(tblTasks[Date_fin_prevue],ROW()-6))</f>
      </c>
      <c r="I59" s="36">
        <f>=IF($A59="","",INDEX(tblTasks[Duree_jours],ROW()-6))</f>
      </c>
      <c r="J59" s="25">
        <f>=IF($A59="","",INDEX(tblTasks[Date_debut_reelle],ROW()-6))</f>
      </c>
      <c r="K59" s="25">
        <f>=IF($A59="","",INDEX(tblTasks[Date_fin_reelle],ROW()-6))</f>
      </c>
      <c r="L59" s="23">
        <f>=IF($A59="","",INDEX(tblTasks[Blocage],ROW()-6))</f>
      </c>
      <c r="M59" s="23">
        <f>=IF($A59="","",INDEX(tblTasks[Depend_de],ROW()-6))</f>
      </c>
      <c r="N59" s="23">
        <f>=IF($A59="","",INDEX(tblTasks[Non_negociable],ROW()-6))</f>
      </c>
      <c r="O59" s="23">
        <f>=IF($A59="","",INDEX(tblTasks[Seuil_de_reprise],ROW()-6))</f>
      </c>
      <c r="P59" s="23">
        <f>=IF($A59="","",INDEX(tblTasks[Donnee_manquante],ROW()-6))</f>
      </c>
      <c r="Q59" s="23">
        <f>=IF($A59="","",INDEX(tblTasks[Niveau_criticite],ROW()-6))</f>
      </c>
      <c r="R59" s="23">
        <f>=IF($A59="","",INDEX(tblTasks[Irreversibilite],ROW()-6))</f>
      </c>
      <c r="S59" s="23">
        <f>=IF($A59="","",INDEX(tblTasks[Decision_Emmanuel],ROW()-6))</f>
      </c>
      <c r="T59" s="24">
        <f>=IF($A59="","",INDEX(tblTasks[Commentaire_EKT],ROW()-6))</f>
      </c>
      <c r="U59" s="23">
        <f>=IF($A59="","",INDEX(tblTasks[Goulot],ROW()-6))</f>
      </c>
      <c r="V59" s="23">
        <f>=IF($A59="","",INDEX(tblTasks[Point_de_bascule],ROW()-6))</f>
      </c>
      <c r="W59" s="37">
        <f>IF($A59="","",IF(AND(OR(param_filtre_statut="tous",LOWER($F59)=LOWER(param_filtre_statut)),OR(param_filtre_agent="tous",LOWER($D59)=LOWER(param_filtre_agent),LOWER($E59)=LOWER(param_filtre_agent)),OR(param_filtre_criticite="toutes",LOWER($Q59)=LOWER(param_filtre_criticite))),"oui","non"))</f>
      </c>
      <c r="X59" s="37">
        <f>IF($A59="","",IF(OR(LOWER($F59)="bloqué",LOWER($L59)="oui"),"oui","non"))</f>
      </c>
      <c r="Y59" s="37">
        <f>IF($A59="","",IF(OR(LOWER($Q59)="critique",LOWER($U59)="oui",LOWER($V59)="oui"),"oui","non"))</f>
      </c>
      <c r="Z59" s="37">
        <f>IF($A59="","",IF(AND($S59&lt;&gt;"",LOWER($S59)&lt;&gt;"tranchée",LOWER($S59)&lt;&gt;"sans objet",LOWER($S59)&lt;&gt;"clos"),"oui","non"))</f>
      </c>
      <c r="AA59" s="37">
        <f>IF($A59="","",IF($P59&lt;&gt;"","oui","non"))</f>
      </c>
      <c r="AB59" s="37">
        <f>IF($A59="","",IF(OR(LOWER($F59)="non réouvrable",LOWER($R59)="forte"),"oui","non"))</f>
      </c>
    </row>
    <row r="60" spans="1:28" x14ac:dyDescent="0.25">
      <c r="A60" s="23">
        <f>IFERROR(INDEX(tblTasks[ID],ROW()-6),"")</f>
      </c>
      <c r="B60" s="24">
        <f>=IF($A60="","",INDEX(tblTasks[Sujet],ROW()-6))</f>
      </c>
      <c r="C60" s="23">
        <f>=IF($A60="","",INDEX(tblTasks[Lot_Domaine],ROW()-6))</f>
      </c>
      <c r="D60" s="23">
        <f>=IF($A60="","",INDEX(tblTasks[Agent_source],ROW()-6))</f>
      </c>
      <c r="E60" s="23">
        <f>=IF($A60="","",INDEX(tblTasks[Responsable],ROW()-6))</f>
      </c>
      <c r="F60" s="23">
        <f>=IF($A60="","",INDEX(tblTasks[Statut],ROW()-6))</f>
      </c>
      <c r="G60" s="25">
        <f>=IF($A60="","",INDEX(tblTasks[Date_debut_prevue],ROW()-6))</f>
      </c>
      <c r="H60" s="25">
        <f>=IF($A60="","",INDEX(tblTasks[Date_fin_prevue],ROW()-6))</f>
      </c>
      <c r="I60" s="36">
        <f>=IF($A60="","",INDEX(tblTasks[Duree_jours],ROW()-6))</f>
      </c>
      <c r="J60" s="25">
        <f>=IF($A60="","",INDEX(tblTasks[Date_debut_reelle],ROW()-6))</f>
      </c>
      <c r="K60" s="25">
        <f>=IF($A60="","",INDEX(tblTasks[Date_fin_reelle],ROW()-6))</f>
      </c>
      <c r="L60" s="23">
        <f>=IF($A60="","",INDEX(tblTasks[Blocage],ROW()-6))</f>
      </c>
      <c r="M60" s="23">
        <f>=IF($A60="","",INDEX(tblTasks[Depend_de],ROW()-6))</f>
      </c>
      <c r="N60" s="23">
        <f>=IF($A60="","",INDEX(tblTasks[Non_negociable],ROW()-6))</f>
      </c>
      <c r="O60" s="23">
        <f>=IF($A60="","",INDEX(tblTasks[Seuil_de_reprise],ROW()-6))</f>
      </c>
      <c r="P60" s="23">
        <f>=IF($A60="","",INDEX(tblTasks[Donnee_manquante],ROW()-6))</f>
      </c>
      <c r="Q60" s="23">
        <f>=IF($A60="","",INDEX(tblTasks[Niveau_criticite],ROW()-6))</f>
      </c>
      <c r="R60" s="23">
        <f>=IF($A60="","",INDEX(tblTasks[Irreversibilite],ROW()-6))</f>
      </c>
      <c r="S60" s="23">
        <f>=IF($A60="","",INDEX(tblTasks[Decision_Emmanuel],ROW()-6))</f>
      </c>
      <c r="T60" s="24">
        <f>=IF($A60="","",INDEX(tblTasks[Commentaire_EKT],ROW()-6))</f>
      </c>
      <c r="U60" s="23">
        <f>=IF($A60="","",INDEX(tblTasks[Goulot],ROW()-6))</f>
      </c>
      <c r="V60" s="23">
        <f>=IF($A60="","",INDEX(tblTasks[Point_de_bascule],ROW()-6))</f>
      </c>
      <c r="W60" s="37">
        <f>IF($A60="","",IF(AND(OR(param_filtre_statut="tous",LOWER($F60)=LOWER(param_filtre_statut)),OR(param_filtre_agent="tous",LOWER($D60)=LOWER(param_filtre_agent),LOWER($E60)=LOWER(param_filtre_agent)),OR(param_filtre_criticite="toutes",LOWER($Q60)=LOWER(param_filtre_criticite))),"oui","non"))</f>
      </c>
      <c r="X60" s="37">
        <f>IF($A60="","",IF(OR(LOWER($F60)="bloqué",LOWER($L60)="oui"),"oui","non"))</f>
      </c>
      <c r="Y60" s="37">
        <f>IF($A60="","",IF(OR(LOWER($Q60)="critique",LOWER($U60)="oui",LOWER($V60)="oui"),"oui","non"))</f>
      </c>
      <c r="Z60" s="37">
        <f>IF($A60="","",IF(AND($S60&lt;&gt;"",LOWER($S60)&lt;&gt;"tranchée",LOWER($S60)&lt;&gt;"sans objet",LOWER($S60)&lt;&gt;"clos"),"oui","non"))</f>
      </c>
      <c r="AA60" s="37">
        <f>IF($A60="","",IF($P60&lt;&gt;"","oui","non"))</f>
      </c>
      <c r="AB60" s="37">
        <f>IF($A60="","",IF(OR(LOWER($F60)="non réouvrable",LOWER($R60)="forte"),"oui","non"))</f>
      </c>
    </row>
    <row r="61" spans="1:28" x14ac:dyDescent="0.25">
      <c r="A61" s="23">
        <f>IFERROR(INDEX(tblTasks[ID],ROW()-6),"")</f>
      </c>
      <c r="B61" s="24">
        <f>=IF($A61="","",INDEX(tblTasks[Sujet],ROW()-6))</f>
      </c>
      <c r="C61" s="23">
        <f>=IF($A61="","",INDEX(tblTasks[Lot_Domaine],ROW()-6))</f>
      </c>
      <c r="D61" s="23">
        <f>=IF($A61="","",INDEX(tblTasks[Agent_source],ROW()-6))</f>
      </c>
      <c r="E61" s="23">
        <f>=IF($A61="","",INDEX(tblTasks[Responsable],ROW()-6))</f>
      </c>
      <c r="F61" s="23">
        <f>=IF($A61="","",INDEX(tblTasks[Statut],ROW()-6))</f>
      </c>
      <c r="G61" s="25">
        <f>=IF($A61="","",INDEX(tblTasks[Date_debut_prevue],ROW()-6))</f>
      </c>
      <c r="H61" s="25">
        <f>=IF($A61="","",INDEX(tblTasks[Date_fin_prevue],ROW()-6))</f>
      </c>
      <c r="I61" s="36">
        <f>=IF($A61="","",INDEX(tblTasks[Duree_jours],ROW()-6))</f>
      </c>
      <c r="J61" s="25">
        <f>=IF($A61="","",INDEX(tblTasks[Date_debut_reelle],ROW()-6))</f>
      </c>
      <c r="K61" s="25">
        <f>=IF($A61="","",INDEX(tblTasks[Date_fin_reelle],ROW()-6))</f>
      </c>
      <c r="L61" s="23">
        <f>=IF($A61="","",INDEX(tblTasks[Blocage],ROW()-6))</f>
      </c>
      <c r="M61" s="23">
        <f>=IF($A61="","",INDEX(tblTasks[Depend_de],ROW()-6))</f>
      </c>
      <c r="N61" s="23">
        <f>=IF($A61="","",INDEX(tblTasks[Non_negociable],ROW()-6))</f>
      </c>
      <c r="O61" s="23">
        <f>=IF($A61="","",INDEX(tblTasks[Seuil_de_reprise],ROW()-6))</f>
      </c>
      <c r="P61" s="23">
        <f>=IF($A61="","",INDEX(tblTasks[Donnee_manquante],ROW()-6))</f>
      </c>
      <c r="Q61" s="23">
        <f>=IF($A61="","",INDEX(tblTasks[Niveau_criticite],ROW()-6))</f>
      </c>
      <c r="R61" s="23">
        <f>=IF($A61="","",INDEX(tblTasks[Irreversibilite],ROW()-6))</f>
      </c>
      <c r="S61" s="23">
        <f>=IF($A61="","",INDEX(tblTasks[Decision_Emmanuel],ROW()-6))</f>
      </c>
      <c r="T61" s="24">
        <f>=IF($A61="","",INDEX(tblTasks[Commentaire_EKT],ROW()-6))</f>
      </c>
      <c r="U61" s="23">
        <f>=IF($A61="","",INDEX(tblTasks[Goulot],ROW()-6))</f>
      </c>
      <c r="V61" s="23">
        <f>=IF($A61="","",INDEX(tblTasks[Point_de_bascule],ROW()-6))</f>
      </c>
      <c r="W61" s="37">
        <f>IF($A61="","",IF(AND(OR(param_filtre_statut="tous",LOWER($F61)=LOWER(param_filtre_statut)),OR(param_filtre_agent="tous",LOWER($D61)=LOWER(param_filtre_agent),LOWER($E61)=LOWER(param_filtre_agent)),OR(param_filtre_criticite="toutes",LOWER($Q61)=LOWER(param_filtre_criticite))),"oui","non"))</f>
      </c>
      <c r="X61" s="37">
        <f>IF($A61="","",IF(OR(LOWER($F61)="bloqué",LOWER($L61)="oui"),"oui","non"))</f>
      </c>
      <c r="Y61" s="37">
        <f>IF($A61="","",IF(OR(LOWER($Q61)="critique",LOWER($U61)="oui",LOWER($V61)="oui"),"oui","non"))</f>
      </c>
      <c r="Z61" s="37">
        <f>IF($A61="","",IF(AND($S61&lt;&gt;"",LOWER($S61)&lt;&gt;"tranchée",LOWER($S61)&lt;&gt;"sans objet",LOWER($S61)&lt;&gt;"clos"),"oui","non"))</f>
      </c>
      <c r="AA61" s="37">
        <f>IF($A61="","",IF($P61&lt;&gt;"","oui","non"))</f>
      </c>
      <c r="AB61" s="37">
        <f>IF($A61="","",IF(OR(LOWER($F61)="non réouvrable",LOWER($R61)="forte"),"oui","non"))</f>
      </c>
    </row>
    <row r="62" spans="1:28" x14ac:dyDescent="0.25">
      <c r="A62" s="23">
        <f>IFERROR(INDEX(tblTasks[ID],ROW()-6),"")</f>
      </c>
      <c r="B62" s="24">
        <f>=IF($A62="","",INDEX(tblTasks[Sujet],ROW()-6))</f>
      </c>
      <c r="C62" s="23">
        <f>=IF($A62="","",INDEX(tblTasks[Lot_Domaine],ROW()-6))</f>
      </c>
      <c r="D62" s="23">
        <f>=IF($A62="","",INDEX(tblTasks[Agent_source],ROW()-6))</f>
      </c>
      <c r="E62" s="23">
        <f>=IF($A62="","",INDEX(tblTasks[Responsable],ROW()-6))</f>
      </c>
      <c r="F62" s="23">
        <f>=IF($A62="","",INDEX(tblTasks[Statut],ROW()-6))</f>
      </c>
      <c r="G62" s="25">
        <f>=IF($A62="","",INDEX(tblTasks[Date_debut_prevue],ROW()-6))</f>
      </c>
      <c r="H62" s="25">
        <f>=IF($A62="","",INDEX(tblTasks[Date_fin_prevue],ROW()-6))</f>
      </c>
      <c r="I62" s="36">
        <f>=IF($A62="","",INDEX(tblTasks[Duree_jours],ROW()-6))</f>
      </c>
      <c r="J62" s="25">
        <f>=IF($A62="","",INDEX(tblTasks[Date_debut_reelle],ROW()-6))</f>
      </c>
      <c r="K62" s="25">
        <f>=IF($A62="","",INDEX(tblTasks[Date_fin_reelle],ROW()-6))</f>
      </c>
      <c r="L62" s="23">
        <f>=IF($A62="","",INDEX(tblTasks[Blocage],ROW()-6))</f>
      </c>
      <c r="M62" s="23">
        <f>=IF($A62="","",INDEX(tblTasks[Depend_de],ROW()-6))</f>
      </c>
      <c r="N62" s="23">
        <f>=IF($A62="","",INDEX(tblTasks[Non_negociable],ROW()-6))</f>
      </c>
      <c r="O62" s="23">
        <f>=IF($A62="","",INDEX(tblTasks[Seuil_de_reprise],ROW()-6))</f>
      </c>
      <c r="P62" s="23">
        <f>=IF($A62="","",INDEX(tblTasks[Donnee_manquante],ROW()-6))</f>
      </c>
      <c r="Q62" s="23">
        <f>=IF($A62="","",INDEX(tblTasks[Niveau_criticite],ROW()-6))</f>
      </c>
      <c r="R62" s="23">
        <f>=IF($A62="","",INDEX(tblTasks[Irreversibilite],ROW()-6))</f>
      </c>
      <c r="S62" s="23">
        <f>=IF($A62="","",INDEX(tblTasks[Decision_Emmanuel],ROW()-6))</f>
      </c>
      <c r="T62" s="24">
        <f>=IF($A62="","",INDEX(tblTasks[Commentaire_EKT],ROW()-6))</f>
      </c>
      <c r="U62" s="23">
        <f>=IF($A62="","",INDEX(tblTasks[Goulot],ROW()-6))</f>
      </c>
      <c r="V62" s="23">
        <f>=IF($A62="","",INDEX(tblTasks[Point_de_bascule],ROW()-6))</f>
      </c>
      <c r="W62" s="37">
        <f>IF($A62="","",IF(AND(OR(param_filtre_statut="tous",LOWER($F62)=LOWER(param_filtre_statut)),OR(param_filtre_agent="tous",LOWER($D62)=LOWER(param_filtre_agent),LOWER($E62)=LOWER(param_filtre_agent)),OR(param_filtre_criticite="toutes",LOWER($Q62)=LOWER(param_filtre_criticite))),"oui","non"))</f>
      </c>
      <c r="X62" s="37">
        <f>IF($A62="","",IF(OR(LOWER($F62)="bloqué",LOWER($L62)="oui"),"oui","non"))</f>
      </c>
      <c r="Y62" s="37">
        <f>IF($A62="","",IF(OR(LOWER($Q62)="critique",LOWER($U62)="oui",LOWER($V62)="oui"),"oui","non"))</f>
      </c>
      <c r="Z62" s="37">
        <f>IF($A62="","",IF(AND($S62&lt;&gt;"",LOWER($S62)&lt;&gt;"tranchée",LOWER($S62)&lt;&gt;"sans objet",LOWER($S62)&lt;&gt;"clos"),"oui","non"))</f>
      </c>
      <c r="AA62" s="37">
        <f>IF($A62="","",IF($P62&lt;&gt;"","oui","non"))</f>
      </c>
      <c r="AB62" s="37">
        <f>IF($A62="","",IF(OR(LOWER($F62)="non réouvrable",LOWER($R62)="forte"),"oui","non"))</f>
      </c>
    </row>
    <row r="63" spans="1:28" x14ac:dyDescent="0.25">
      <c r="A63" s="23">
        <f>IFERROR(INDEX(tblTasks[ID],ROW()-6),"")</f>
      </c>
      <c r="B63" s="24">
        <f>=IF($A63="","",INDEX(tblTasks[Sujet],ROW()-6))</f>
      </c>
      <c r="C63" s="23">
        <f>=IF($A63="","",INDEX(tblTasks[Lot_Domaine],ROW()-6))</f>
      </c>
      <c r="D63" s="23">
        <f>=IF($A63="","",INDEX(tblTasks[Agent_source],ROW()-6))</f>
      </c>
      <c r="E63" s="23">
        <f>=IF($A63="","",INDEX(tblTasks[Responsable],ROW()-6))</f>
      </c>
      <c r="F63" s="23">
        <f>=IF($A63="","",INDEX(tblTasks[Statut],ROW()-6))</f>
      </c>
      <c r="G63" s="25">
        <f>=IF($A63="","",INDEX(tblTasks[Date_debut_prevue],ROW()-6))</f>
      </c>
      <c r="H63" s="25">
        <f>=IF($A63="","",INDEX(tblTasks[Date_fin_prevue],ROW()-6))</f>
      </c>
      <c r="I63" s="36">
        <f>=IF($A63="","",INDEX(tblTasks[Duree_jours],ROW()-6))</f>
      </c>
      <c r="J63" s="25">
        <f>=IF($A63="","",INDEX(tblTasks[Date_debut_reelle],ROW()-6))</f>
      </c>
      <c r="K63" s="25">
        <f>=IF($A63="","",INDEX(tblTasks[Date_fin_reelle],ROW()-6))</f>
      </c>
      <c r="L63" s="23">
        <f>=IF($A63="","",INDEX(tblTasks[Blocage],ROW()-6))</f>
      </c>
      <c r="M63" s="23">
        <f>=IF($A63="","",INDEX(tblTasks[Depend_de],ROW()-6))</f>
      </c>
      <c r="N63" s="23">
        <f>=IF($A63="","",INDEX(tblTasks[Non_negociable],ROW()-6))</f>
      </c>
      <c r="O63" s="23">
        <f>=IF($A63="","",INDEX(tblTasks[Seuil_de_reprise],ROW()-6))</f>
      </c>
      <c r="P63" s="23">
        <f>=IF($A63="","",INDEX(tblTasks[Donnee_manquante],ROW()-6))</f>
      </c>
      <c r="Q63" s="23">
        <f>=IF($A63="","",INDEX(tblTasks[Niveau_criticite],ROW()-6))</f>
      </c>
      <c r="R63" s="23">
        <f>=IF($A63="","",INDEX(tblTasks[Irreversibilite],ROW()-6))</f>
      </c>
      <c r="S63" s="23">
        <f>=IF($A63="","",INDEX(tblTasks[Decision_Emmanuel],ROW()-6))</f>
      </c>
      <c r="T63" s="24">
        <f>=IF($A63="","",INDEX(tblTasks[Commentaire_EKT],ROW()-6))</f>
      </c>
      <c r="U63" s="23">
        <f>=IF($A63="","",INDEX(tblTasks[Goulot],ROW()-6))</f>
      </c>
      <c r="V63" s="23">
        <f>=IF($A63="","",INDEX(tblTasks[Point_de_bascule],ROW()-6))</f>
      </c>
      <c r="W63" s="37">
        <f>IF($A63="","",IF(AND(OR(param_filtre_statut="tous",LOWER($F63)=LOWER(param_filtre_statut)),OR(param_filtre_agent="tous",LOWER($D63)=LOWER(param_filtre_agent),LOWER($E63)=LOWER(param_filtre_agent)),OR(param_filtre_criticite="toutes",LOWER($Q63)=LOWER(param_filtre_criticite))),"oui","non"))</f>
      </c>
      <c r="X63" s="37">
        <f>IF($A63="","",IF(OR(LOWER($F63)="bloqué",LOWER($L63)="oui"),"oui","non"))</f>
      </c>
      <c r="Y63" s="37">
        <f>IF($A63="","",IF(OR(LOWER($Q63)="critique",LOWER($U63)="oui",LOWER($V63)="oui"),"oui","non"))</f>
      </c>
      <c r="Z63" s="37">
        <f>IF($A63="","",IF(AND($S63&lt;&gt;"",LOWER($S63)&lt;&gt;"tranchée",LOWER($S63)&lt;&gt;"sans objet",LOWER($S63)&lt;&gt;"clos"),"oui","non"))</f>
      </c>
      <c r="AA63" s="37">
        <f>IF($A63="","",IF($P63&lt;&gt;"","oui","non"))</f>
      </c>
      <c r="AB63" s="37">
        <f>IF($A63="","",IF(OR(LOWER($F63)="non réouvrable",LOWER($R63)="forte"),"oui","non"))</f>
      </c>
    </row>
    <row r="64" spans="1:28" x14ac:dyDescent="0.25">
      <c r="A64" s="23">
        <f>IFERROR(INDEX(tblTasks[ID],ROW()-6),"")</f>
      </c>
      <c r="B64" s="24">
        <f>=IF($A64="","",INDEX(tblTasks[Sujet],ROW()-6))</f>
      </c>
      <c r="C64" s="23">
        <f>=IF($A64="","",INDEX(tblTasks[Lot_Domaine],ROW()-6))</f>
      </c>
      <c r="D64" s="23">
        <f>=IF($A64="","",INDEX(tblTasks[Agent_source],ROW()-6))</f>
      </c>
      <c r="E64" s="23">
        <f>=IF($A64="","",INDEX(tblTasks[Responsable],ROW()-6))</f>
      </c>
      <c r="F64" s="23">
        <f>=IF($A64="","",INDEX(tblTasks[Statut],ROW()-6))</f>
      </c>
      <c r="G64" s="25">
        <f>=IF($A64="","",INDEX(tblTasks[Date_debut_prevue],ROW()-6))</f>
      </c>
      <c r="H64" s="25">
        <f>=IF($A64="","",INDEX(tblTasks[Date_fin_prevue],ROW()-6))</f>
      </c>
      <c r="I64" s="36">
        <f>=IF($A64="","",INDEX(tblTasks[Duree_jours],ROW()-6))</f>
      </c>
      <c r="J64" s="25">
        <f>=IF($A64="","",INDEX(tblTasks[Date_debut_reelle],ROW()-6))</f>
      </c>
      <c r="K64" s="25">
        <f>=IF($A64="","",INDEX(tblTasks[Date_fin_reelle],ROW()-6))</f>
      </c>
      <c r="L64" s="23">
        <f>=IF($A64="","",INDEX(tblTasks[Blocage],ROW()-6))</f>
      </c>
      <c r="M64" s="23">
        <f>=IF($A64="","",INDEX(tblTasks[Depend_de],ROW()-6))</f>
      </c>
      <c r="N64" s="23">
        <f>=IF($A64="","",INDEX(tblTasks[Non_negociable],ROW()-6))</f>
      </c>
      <c r="O64" s="23">
        <f>=IF($A64="","",INDEX(tblTasks[Seuil_de_reprise],ROW()-6))</f>
      </c>
      <c r="P64" s="23">
        <f>=IF($A64="","",INDEX(tblTasks[Donnee_manquante],ROW()-6))</f>
      </c>
      <c r="Q64" s="23">
        <f>=IF($A64="","",INDEX(tblTasks[Niveau_criticite],ROW()-6))</f>
      </c>
      <c r="R64" s="23">
        <f>=IF($A64="","",INDEX(tblTasks[Irreversibilite],ROW()-6))</f>
      </c>
      <c r="S64" s="23">
        <f>=IF($A64="","",INDEX(tblTasks[Decision_Emmanuel],ROW()-6))</f>
      </c>
      <c r="T64" s="24">
        <f>=IF($A64="","",INDEX(tblTasks[Commentaire_EKT],ROW()-6))</f>
      </c>
      <c r="U64" s="23">
        <f>=IF($A64="","",INDEX(tblTasks[Goulot],ROW()-6))</f>
      </c>
      <c r="V64" s="23">
        <f>=IF($A64="","",INDEX(tblTasks[Point_de_bascule],ROW()-6))</f>
      </c>
      <c r="W64" s="37">
        <f>IF($A64="","",IF(AND(OR(param_filtre_statut="tous",LOWER($F64)=LOWER(param_filtre_statut)),OR(param_filtre_agent="tous",LOWER($D64)=LOWER(param_filtre_agent),LOWER($E64)=LOWER(param_filtre_agent)),OR(param_filtre_criticite="toutes",LOWER($Q64)=LOWER(param_filtre_criticite))),"oui","non"))</f>
      </c>
      <c r="X64" s="37">
        <f>IF($A64="","",IF(OR(LOWER($F64)="bloqué",LOWER($L64)="oui"),"oui","non"))</f>
      </c>
      <c r="Y64" s="37">
        <f>IF($A64="","",IF(OR(LOWER($Q64)="critique",LOWER($U64)="oui",LOWER($V64)="oui"),"oui","non"))</f>
      </c>
      <c r="Z64" s="37">
        <f>IF($A64="","",IF(AND($S64&lt;&gt;"",LOWER($S64)&lt;&gt;"tranchée",LOWER($S64)&lt;&gt;"sans objet",LOWER($S64)&lt;&gt;"clos"),"oui","non"))</f>
      </c>
      <c r="AA64" s="37">
        <f>IF($A64="","",IF($P64&lt;&gt;"","oui","non"))</f>
      </c>
      <c r="AB64" s="37">
        <f>IF($A64="","",IF(OR(LOWER($F64)="non réouvrable",LOWER($R64)="forte"),"oui","non"))</f>
      </c>
    </row>
    <row r="65" spans="1:28" x14ac:dyDescent="0.25">
      <c r="A65" s="23">
        <f>IFERROR(INDEX(tblTasks[ID],ROW()-6),"")</f>
      </c>
      <c r="B65" s="24">
        <f>=IF($A65="","",INDEX(tblTasks[Sujet],ROW()-6))</f>
      </c>
      <c r="C65" s="23">
        <f>=IF($A65="","",INDEX(tblTasks[Lot_Domaine],ROW()-6))</f>
      </c>
      <c r="D65" s="23">
        <f>=IF($A65="","",INDEX(tblTasks[Agent_source],ROW()-6))</f>
      </c>
      <c r="E65" s="23">
        <f>=IF($A65="","",INDEX(tblTasks[Responsable],ROW()-6))</f>
      </c>
      <c r="F65" s="23">
        <f>=IF($A65="","",INDEX(tblTasks[Statut],ROW()-6))</f>
      </c>
      <c r="G65" s="25">
        <f>=IF($A65="","",INDEX(tblTasks[Date_debut_prevue],ROW()-6))</f>
      </c>
      <c r="H65" s="25">
        <f>=IF($A65="","",INDEX(tblTasks[Date_fin_prevue],ROW()-6))</f>
      </c>
      <c r="I65" s="36">
        <f>=IF($A65="","",INDEX(tblTasks[Duree_jours],ROW()-6))</f>
      </c>
      <c r="J65" s="25">
        <f>=IF($A65="","",INDEX(tblTasks[Date_debut_reelle],ROW()-6))</f>
      </c>
      <c r="K65" s="25">
        <f>=IF($A65="","",INDEX(tblTasks[Date_fin_reelle],ROW()-6))</f>
      </c>
      <c r="L65" s="23">
        <f>=IF($A65="","",INDEX(tblTasks[Blocage],ROW()-6))</f>
      </c>
      <c r="M65" s="23">
        <f>=IF($A65="","",INDEX(tblTasks[Depend_de],ROW()-6))</f>
      </c>
      <c r="N65" s="23">
        <f>=IF($A65="","",INDEX(tblTasks[Non_negociable],ROW()-6))</f>
      </c>
      <c r="O65" s="23">
        <f>=IF($A65="","",INDEX(tblTasks[Seuil_de_reprise],ROW()-6))</f>
      </c>
      <c r="P65" s="23">
        <f>=IF($A65="","",INDEX(tblTasks[Donnee_manquante],ROW()-6))</f>
      </c>
      <c r="Q65" s="23">
        <f>=IF($A65="","",INDEX(tblTasks[Niveau_criticite],ROW()-6))</f>
      </c>
      <c r="R65" s="23">
        <f>=IF($A65="","",INDEX(tblTasks[Irreversibilite],ROW()-6))</f>
      </c>
      <c r="S65" s="23">
        <f>=IF($A65="","",INDEX(tblTasks[Decision_Emmanuel],ROW()-6))</f>
      </c>
      <c r="T65" s="24">
        <f>=IF($A65="","",INDEX(tblTasks[Commentaire_EKT],ROW()-6))</f>
      </c>
      <c r="U65" s="23">
        <f>=IF($A65="","",INDEX(tblTasks[Goulot],ROW()-6))</f>
      </c>
      <c r="V65" s="23">
        <f>=IF($A65="","",INDEX(tblTasks[Point_de_bascule],ROW()-6))</f>
      </c>
      <c r="W65" s="37">
        <f>IF($A65="","",IF(AND(OR(param_filtre_statut="tous",LOWER($F65)=LOWER(param_filtre_statut)),OR(param_filtre_agent="tous",LOWER($D65)=LOWER(param_filtre_agent),LOWER($E65)=LOWER(param_filtre_agent)),OR(param_filtre_criticite="toutes",LOWER($Q65)=LOWER(param_filtre_criticite))),"oui","non"))</f>
      </c>
      <c r="X65" s="37">
        <f>IF($A65="","",IF(OR(LOWER($F65)="bloqué",LOWER($L65)="oui"),"oui","non"))</f>
      </c>
      <c r="Y65" s="37">
        <f>IF($A65="","",IF(OR(LOWER($Q65)="critique",LOWER($U65)="oui",LOWER($V65)="oui"),"oui","non"))</f>
      </c>
      <c r="Z65" s="37">
        <f>IF($A65="","",IF(AND($S65&lt;&gt;"",LOWER($S65)&lt;&gt;"tranchée",LOWER($S65)&lt;&gt;"sans objet",LOWER($S65)&lt;&gt;"clos"),"oui","non"))</f>
      </c>
      <c r="AA65" s="37">
        <f>IF($A65="","",IF($P65&lt;&gt;"","oui","non"))</f>
      </c>
      <c r="AB65" s="37">
        <f>IF($A65="","",IF(OR(LOWER($F65)="non réouvrable",LOWER($R65)="forte"),"oui","non"))</f>
      </c>
    </row>
    <row r="66" spans="1:28" x14ac:dyDescent="0.25">
      <c r="A66" s="23">
        <f>IFERROR(INDEX(tblTasks[ID],ROW()-6),"")</f>
      </c>
      <c r="B66" s="24">
        <f>=IF($A66="","",INDEX(tblTasks[Sujet],ROW()-6))</f>
      </c>
      <c r="C66" s="23">
        <f>=IF($A66="","",INDEX(tblTasks[Lot_Domaine],ROW()-6))</f>
      </c>
      <c r="D66" s="23">
        <f>=IF($A66="","",INDEX(tblTasks[Agent_source],ROW()-6))</f>
      </c>
      <c r="E66" s="23">
        <f>=IF($A66="","",INDEX(tblTasks[Responsable],ROW()-6))</f>
      </c>
      <c r="F66" s="23">
        <f>=IF($A66="","",INDEX(tblTasks[Statut],ROW()-6))</f>
      </c>
      <c r="G66" s="25">
        <f>=IF($A66="","",INDEX(tblTasks[Date_debut_prevue],ROW()-6))</f>
      </c>
      <c r="H66" s="25">
        <f>=IF($A66="","",INDEX(tblTasks[Date_fin_prevue],ROW()-6))</f>
      </c>
      <c r="I66" s="36">
        <f>=IF($A66="","",INDEX(tblTasks[Duree_jours],ROW()-6))</f>
      </c>
      <c r="J66" s="25">
        <f>=IF($A66="","",INDEX(tblTasks[Date_debut_reelle],ROW()-6))</f>
      </c>
      <c r="K66" s="25">
        <f>=IF($A66="","",INDEX(tblTasks[Date_fin_reelle],ROW()-6))</f>
      </c>
      <c r="L66" s="23">
        <f>=IF($A66="","",INDEX(tblTasks[Blocage],ROW()-6))</f>
      </c>
      <c r="M66" s="23">
        <f>=IF($A66="","",INDEX(tblTasks[Depend_de],ROW()-6))</f>
      </c>
      <c r="N66" s="23">
        <f>=IF($A66="","",INDEX(tblTasks[Non_negociable],ROW()-6))</f>
      </c>
      <c r="O66" s="23">
        <f>=IF($A66="","",INDEX(tblTasks[Seuil_de_reprise],ROW()-6))</f>
      </c>
      <c r="P66" s="23">
        <f>=IF($A66="","",INDEX(tblTasks[Donnee_manquante],ROW()-6))</f>
      </c>
      <c r="Q66" s="23">
        <f>=IF($A66="","",INDEX(tblTasks[Niveau_criticite],ROW()-6))</f>
      </c>
      <c r="R66" s="23">
        <f>=IF($A66="","",INDEX(tblTasks[Irreversibilite],ROW()-6))</f>
      </c>
      <c r="S66" s="23">
        <f>=IF($A66="","",INDEX(tblTasks[Decision_Emmanuel],ROW()-6))</f>
      </c>
      <c r="T66" s="24">
        <f>=IF($A66="","",INDEX(tblTasks[Commentaire_EKT],ROW()-6))</f>
      </c>
      <c r="U66" s="23">
        <f>=IF($A66="","",INDEX(tblTasks[Goulot],ROW()-6))</f>
      </c>
      <c r="V66" s="23">
        <f>=IF($A66="","",INDEX(tblTasks[Point_de_bascule],ROW()-6))</f>
      </c>
      <c r="W66" s="37">
        <f>IF($A66="","",IF(AND(OR(param_filtre_statut="tous",LOWER($F66)=LOWER(param_filtre_statut)),OR(param_filtre_agent="tous",LOWER($D66)=LOWER(param_filtre_agent),LOWER($E66)=LOWER(param_filtre_agent)),OR(param_filtre_criticite="toutes",LOWER($Q66)=LOWER(param_filtre_criticite))),"oui","non"))</f>
      </c>
      <c r="X66" s="37">
        <f>IF($A66="","",IF(OR(LOWER($F66)="bloqué",LOWER($L66)="oui"),"oui","non"))</f>
      </c>
      <c r="Y66" s="37">
        <f>IF($A66="","",IF(OR(LOWER($Q66)="critique",LOWER($U66)="oui",LOWER($V66)="oui"),"oui","non"))</f>
      </c>
      <c r="Z66" s="37">
        <f>IF($A66="","",IF(AND($S66&lt;&gt;"",LOWER($S66)&lt;&gt;"tranchée",LOWER($S66)&lt;&gt;"sans objet",LOWER($S66)&lt;&gt;"clos"),"oui","non"))</f>
      </c>
      <c r="AA66" s="37">
        <f>IF($A66="","",IF($P66&lt;&gt;"","oui","non"))</f>
      </c>
      <c r="AB66" s="37">
        <f>IF($A66="","",IF(OR(LOWER($F66)="non réouvrable",LOWER($R66)="forte"),"oui","non"))</f>
      </c>
    </row>
    <row r="67" spans="1:28" x14ac:dyDescent="0.25">
      <c r="A67" s="23">
        <f>IFERROR(INDEX(tblTasks[ID],ROW()-6),"")</f>
      </c>
      <c r="B67" s="24">
        <f>=IF($A67="","",INDEX(tblTasks[Sujet],ROW()-6))</f>
      </c>
      <c r="C67" s="23">
        <f>=IF($A67="","",INDEX(tblTasks[Lot_Domaine],ROW()-6))</f>
      </c>
      <c r="D67" s="23">
        <f>=IF($A67="","",INDEX(tblTasks[Agent_source],ROW()-6))</f>
      </c>
      <c r="E67" s="23">
        <f>=IF($A67="","",INDEX(tblTasks[Responsable],ROW()-6))</f>
      </c>
      <c r="F67" s="23">
        <f>=IF($A67="","",INDEX(tblTasks[Statut],ROW()-6))</f>
      </c>
      <c r="G67" s="25">
        <f>=IF($A67="","",INDEX(tblTasks[Date_debut_prevue],ROW()-6))</f>
      </c>
      <c r="H67" s="25">
        <f>=IF($A67="","",INDEX(tblTasks[Date_fin_prevue],ROW()-6))</f>
      </c>
      <c r="I67" s="36">
        <f>=IF($A67="","",INDEX(tblTasks[Duree_jours],ROW()-6))</f>
      </c>
      <c r="J67" s="25">
        <f>=IF($A67="","",INDEX(tblTasks[Date_debut_reelle],ROW()-6))</f>
      </c>
      <c r="K67" s="25">
        <f>=IF($A67="","",INDEX(tblTasks[Date_fin_reelle],ROW()-6))</f>
      </c>
      <c r="L67" s="23">
        <f>=IF($A67="","",INDEX(tblTasks[Blocage],ROW()-6))</f>
      </c>
      <c r="M67" s="23">
        <f>=IF($A67="","",INDEX(tblTasks[Depend_de],ROW()-6))</f>
      </c>
      <c r="N67" s="23">
        <f>=IF($A67="","",INDEX(tblTasks[Non_negociable],ROW()-6))</f>
      </c>
      <c r="O67" s="23">
        <f>=IF($A67="","",INDEX(tblTasks[Seuil_de_reprise],ROW()-6))</f>
      </c>
      <c r="P67" s="23">
        <f>=IF($A67="","",INDEX(tblTasks[Donnee_manquante],ROW()-6))</f>
      </c>
      <c r="Q67" s="23">
        <f>=IF($A67="","",INDEX(tblTasks[Niveau_criticite],ROW()-6))</f>
      </c>
      <c r="R67" s="23">
        <f>=IF($A67="","",INDEX(tblTasks[Irreversibilite],ROW()-6))</f>
      </c>
      <c r="S67" s="23">
        <f>=IF($A67="","",INDEX(tblTasks[Decision_Emmanuel],ROW()-6))</f>
      </c>
      <c r="T67" s="24">
        <f>=IF($A67="","",INDEX(tblTasks[Commentaire_EKT],ROW()-6))</f>
      </c>
      <c r="U67" s="23">
        <f>=IF($A67="","",INDEX(tblTasks[Goulot],ROW()-6))</f>
      </c>
      <c r="V67" s="23">
        <f>=IF($A67="","",INDEX(tblTasks[Point_de_bascule],ROW()-6))</f>
      </c>
      <c r="W67" s="37">
        <f>IF($A67="","",IF(AND(OR(param_filtre_statut="tous",LOWER($F67)=LOWER(param_filtre_statut)),OR(param_filtre_agent="tous",LOWER($D67)=LOWER(param_filtre_agent),LOWER($E67)=LOWER(param_filtre_agent)),OR(param_filtre_criticite="toutes",LOWER($Q67)=LOWER(param_filtre_criticite))),"oui","non"))</f>
      </c>
      <c r="X67" s="37">
        <f>IF($A67="","",IF(OR(LOWER($F67)="bloqué",LOWER($L67)="oui"),"oui","non"))</f>
      </c>
      <c r="Y67" s="37">
        <f>IF($A67="","",IF(OR(LOWER($Q67)="critique",LOWER($U67)="oui",LOWER($V67)="oui"),"oui","non"))</f>
      </c>
      <c r="Z67" s="37">
        <f>IF($A67="","",IF(AND($S67&lt;&gt;"",LOWER($S67)&lt;&gt;"tranchée",LOWER($S67)&lt;&gt;"sans objet",LOWER($S67)&lt;&gt;"clos"),"oui","non"))</f>
      </c>
      <c r="AA67" s="37">
        <f>IF($A67="","",IF($P67&lt;&gt;"","oui","non"))</f>
      </c>
      <c r="AB67" s="37">
        <f>IF($A67="","",IF(OR(LOWER($F67)="non réouvrable",LOWER($R67)="forte"),"oui","non"))</f>
      </c>
    </row>
    <row r="68" spans="1:28" x14ac:dyDescent="0.25">
      <c r="A68" s="23">
        <f>IFERROR(INDEX(tblTasks[ID],ROW()-6),"")</f>
      </c>
      <c r="B68" s="24">
        <f>=IF($A68="","",INDEX(tblTasks[Sujet],ROW()-6))</f>
      </c>
      <c r="C68" s="23">
        <f>=IF($A68="","",INDEX(tblTasks[Lot_Domaine],ROW()-6))</f>
      </c>
      <c r="D68" s="23">
        <f>=IF($A68="","",INDEX(tblTasks[Agent_source],ROW()-6))</f>
      </c>
      <c r="E68" s="23">
        <f>=IF($A68="","",INDEX(tblTasks[Responsable],ROW()-6))</f>
      </c>
      <c r="F68" s="23">
        <f>=IF($A68="","",INDEX(tblTasks[Statut],ROW()-6))</f>
      </c>
      <c r="G68" s="25">
        <f>=IF($A68="","",INDEX(tblTasks[Date_debut_prevue],ROW()-6))</f>
      </c>
      <c r="H68" s="25">
        <f>=IF($A68="","",INDEX(tblTasks[Date_fin_prevue],ROW()-6))</f>
      </c>
      <c r="I68" s="36">
        <f>=IF($A68="","",INDEX(tblTasks[Duree_jours],ROW()-6))</f>
      </c>
      <c r="J68" s="25">
        <f>=IF($A68="","",INDEX(tblTasks[Date_debut_reelle],ROW()-6))</f>
      </c>
      <c r="K68" s="25">
        <f>=IF($A68="","",INDEX(tblTasks[Date_fin_reelle],ROW()-6))</f>
      </c>
      <c r="L68" s="23">
        <f>=IF($A68="","",INDEX(tblTasks[Blocage],ROW()-6))</f>
      </c>
      <c r="M68" s="23">
        <f>=IF($A68="","",INDEX(tblTasks[Depend_de],ROW()-6))</f>
      </c>
      <c r="N68" s="23">
        <f>=IF($A68="","",INDEX(tblTasks[Non_negociable],ROW()-6))</f>
      </c>
      <c r="O68" s="23">
        <f>=IF($A68="","",INDEX(tblTasks[Seuil_de_reprise],ROW()-6))</f>
      </c>
      <c r="P68" s="23">
        <f>=IF($A68="","",INDEX(tblTasks[Donnee_manquante],ROW()-6))</f>
      </c>
      <c r="Q68" s="23">
        <f>=IF($A68="","",INDEX(tblTasks[Niveau_criticite],ROW()-6))</f>
      </c>
      <c r="R68" s="23">
        <f>=IF($A68="","",INDEX(tblTasks[Irreversibilite],ROW()-6))</f>
      </c>
      <c r="S68" s="23">
        <f>=IF($A68="","",INDEX(tblTasks[Decision_Emmanuel],ROW()-6))</f>
      </c>
      <c r="T68" s="24">
        <f>=IF($A68="","",INDEX(tblTasks[Commentaire_EKT],ROW()-6))</f>
      </c>
      <c r="U68" s="23">
        <f>=IF($A68="","",INDEX(tblTasks[Goulot],ROW()-6))</f>
      </c>
      <c r="V68" s="23">
        <f>=IF($A68="","",INDEX(tblTasks[Point_de_bascule],ROW()-6))</f>
      </c>
      <c r="W68" s="37">
        <f>IF($A68="","",IF(AND(OR(param_filtre_statut="tous",LOWER($F68)=LOWER(param_filtre_statut)),OR(param_filtre_agent="tous",LOWER($D68)=LOWER(param_filtre_agent),LOWER($E68)=LOWER(param_filtre_agent)),OR(param_filtre_criticite="toutes",LOWER($Q68)=LOWER(param_filtre_criticite))),"oui","non"))</f>
      </c>
      <c r="X68" s="37">
        <f>IF($A68="","",IF(OR(LOWER($F68)="bloqué",LOWER($L68)="oui"),"oui","non"))</f>
      </c>
      <c r="Y68" s="37">
        <f>IF($A68="","",IF(OR(LOWER($Q68)="critique",LOWER($U68)="oui",LOWER($V68)="oui"),"oui","non"))</f>
      </c>
      <c r="Z68" s="37">
        <f>IF($A68="","",IF(AND($S68&lt;&gt;"",LOWER($S68)&lt;&gt;"tranchée",LOWER($S68)&lt;&gt;"sans objet",LOWER($S68)&lt;&gt;"clos"),"oui","non"))</f>
      </c>
      <c r="AA68" s="37">
        <f>IF($A68="","",IF($P68&lt;&gt;"","oui","non"))</f>
      </c>
      <c r="AB68" s="37">
        <f>IF($A68="","",IF(OR(LOWER($F68)="non réouvrable",LOWER($R68)="forte"),"oui","non"))</f>
      </c>
    </row>
    <row r="69" spans="1:28" x14ac:dyDescent="0.25">
      <c r="A69" s="23">
        <f>IFERROR(INDEX(tblTasks[ID],ROW()-6),"")</f>
      </c>
      <c r="B69" s="24">
        <f>=IF($A69="","",INDEX(tblTasks[Sujet],ROW()-6))</f>
      </c>
      <c r="C69" s="23">
        <f>=IF($A69="","",INDEX(tblTasks[Lot_Domaine],ROW()-6))</f>
      </c>
      <c r="D69" s="23">
        <f>=IF($A69="","",INDEX(tblTasks[Agent_source],ROW()-6))</f>
      </c>
      <c r="E69" s="23">
        <f>=IF($A69="","",INDEX(tblTasks[Responsable],ROW()-6))</f>
      </c>
      <c r="F69" s="23">
        <f>=IF($A69="","",INDEX(tblTasks[Statut],ROW()-6))</f>
      </c>
      <c r="G69" s="25">
        <f>=IF($A69="","",INDEX(tblTasks[Date_debut_prevue],ROW()-6))</f>
      </c>
      <c r="H69" s="25">
        <f>=IF($A69="","",INDEX(tblTasks[Date_fin_prevue],ROW()-6))</f>
      </c>
      <c r="I69" s="36">
        <f>=IF($A69="","",INDEX(tblTasks[Duree_jours],ROW()-6))</f>
      </c>
      <c r="J69" s="25">
        <f>=IF($A69="","",INDEX(tblTasks[Date_debut_reelle],ROW()-6))</f>
      </c>
      <c r="K69" s="25">
        <f>=IF($A69="","",INDEX(tblTasks[Date_fin_reelle],ROW()-6))</f>
      </c>
      <c r="L69" s="23">
        <f>=IF($A69="","",INDEX(tblTasks[Blocage],ROW()-6))</f>
      </c>
      <c r="M69" s="23">
        <f>=IF($A69="","",INDEX(tblTasks[Depend_de],ROW()-6))</f>
      </c>
      <c r="N69" s="23">
        <f>=IF($A69="","",INDEX(tblTasks[Non_negociable],ROW()-6))</f>
      </c>
      <c r="O69" s="23">
        <f>=IF($A69="","",INDEX(tblTasks[Seuil_de_reprise],ROW()-6))</f>
      </c>
      <c r="P69" s="23">
        <f>=IF($A69="","",INDEX(tblTasks[Donnee_manquante],ROW()-6))</f>
      </c>
      <c r="Q69" s="23">
        <f>=IF($A69="","",INDEX(tblTasks[Niveau_criticite],ROW()-6))</f>
      </c>
      <c r="R69" s="23">
        <f>=IF($A69="","",INDEX(tblTasks[Irreversibilite],ROW()-6))</f>
      </c>
      <c r="S69" s="23">
        <f>=IF($A69="","",INDEX(tblTasks[Decision_Emmanuel],ROW()-6))</f>
      </c>
      <c r="T69" s="24">
        <f>=IF($A69="","",INDEX(tblTasks[Commentaire_EKT],ROW()-6))</f>
      </c>
      <c r="U69" s="23">
        <f>=IF($A69="","",INDEX(tblTasks[Goulot],ROW()-6))</f>
      </c>
      <c r="V69" s="23">
        <f>=IF($A69="","",INDEX(tblTasks[Point_de_bascule],ROW()-6))</f>
      </c>
      <c r="W69" s="37">
        <f>IF($A69="","",IF(AND(OR(param_filtre_statut="tous",LOWER($F69)=LOWER(param_filtre_statut)),OR(param_filtre_agent="tous",LOWER($D69)=LOWER(param_filtre_agent),LOWER($E69)=LOWER(param_filtre_agent)),OR(param_filtre_criticite="toutes",LOWER($Q69)=LOWER(param_filtre_criticite))),"oui","non"))</f>
      </c>
      <c r="X69" s="37">
        <f>IF($A69="","",IF(OR(LOWER($F69)="bloqué",LOWER($L69)="oui"),"oui","non"))</f>
      </c>
      <c r="Y69" s="37">
        <f>IF($A69="","",IF(OR(LOWER($Q69)="critique",LOWER($U69)="oui",LOWER($V69)="oui"),"oui","non"))</f>
      </c>
      <c r="Z69" s="37">
        <f>IF($A69="","",IF(AND($S69&lt;&gt;"",LOWER($S69)&lt;&gt;"tranchée",LOWER($S69)&lt;&gt;"sans objet",LOWER($S69)&lt;&gt;"clos"),"oui","non"))</f>
      </c>
      <c r="AA69" s="37">
        <f>IF($A69="","",IF($P69&lt;&gt;"","oui","non"))</f>
      </c>
      <c r="AB69" s="37">
        <f>IF($A69="","",IF(OR(LOWER($F69)="non réouvrable",LOWER($R69)="forte"),"oui","non"))</f>
      </c>
    </row>
    <row r="70" spans="1:28" x14ac:dyDescent="0.25">
      <c r="A70" s="23">
        <f>IFERROR(INDEX(tblTasks[ID],ROW()-6),"")</f>
      </c>
      <c r="B70" s="24">
        <f>=IF($A70="","",INDEX(tblTasks[Sujet],ROW()-6))</f>
      </c>
      <c r="C70" s="23">
        <f>=IF($A70="","",INDEX(tblTasks[Lot_Domaine],ROW()-6))</f>
      </c>
      <c r="D70" s="23">
        <f>=IF($A70="","",INDEX(tblTasks[Agent_source],ROW()-6))</f>
      </c>
      <c r="E70" s="23">
        <f>=IF($A70="","",INDEX(tblTasks[Responsable],ROW()-6))</f>
      </c>
      <c r="F70" s="23">
        <f>=IF($A70="","",INDEX(tblTasks[Statut],ROW()-6))</f>
      </c>
      <c r="G70" s="25">
        <f>=IF($A70="","",INDEX(tblTasks[Date_debut_prevue],ROW()-6))</f>
      </c>
      <c r="H70" s="25">
        <f>=IF($A70="","",INDEX(tblTasks[Date_fin_prevue],ROW()-6))</f>
      </c>
      <c r="I70" s="36">
        <f>=IF($A70="","",INDEX(tblTasks[Duree_jours],ROW()-6))</f>
      </c>
      <c r="J70" s="25">
        <f>=IF($A70="","",INDEX(tblTasks[Date_debut_reelle],ROW()-6))</f>
      </c>
      <c r="K70" s="25">
        <f>=IF($A70="","",INDEX(tblTasks[Date_fin_reelle],ROW()-6))</f>
      </c>
      <c r="L70" s="23">
        <f>=IF($A70="","",INDEX(tblTasks[Blocage],ROW()-6))</f>
      </c>
      <c r="M70" s="23">
        <f>=IF($A70="","",INDEX(tblTasks[Depend_de],ROW()-6))</f>
      </c>
      <c r="N70" s="23">
        <f>=IF($A70="","",INDEX(tblTasks[Non_negociable],ROW()-6))</f>
      </c>
      <c r="O70" s="23">
        <f>=IF($A70="","",INDEX(tblTasks[Seuil_de_reprise],ROW()-6))</f>
      </c>
      <c r="P70" s="23">
        <f>=IF($A70="","",INDEX(tblTasks[Donnee_manquante],ROW()-6))</f>
      </c>
      <c r="Q70" s="23">
        <f>=IF($A70="","",INDEX(tblTasks[Niveau_criticite],ROW()-6))</f>
      </c>
      <c r="R70" s="23">
        <f>=IF($A70="","",INDEX(tblTasks[Irreversibilite],ROW()-6))</f>
      </c>
      <c r="S70" s="23">
        <f>=IF($A70="","",INDEX(tblTasks[Decision_Emmanuel],ROW()-6))</f>
      </c>
      <c r="T70" s="24">
        <f>=IF($A70="","",INDEX(tblTasks[Commentaire_EKT],ROW()-6))</f>
      </c>
      <c r="U70" s="23">
        <f>=IF($A70="","",INDEX(tblTasks[Goulot],ROW()-6))</f>
      </c>
      <c r="V70" s="23">
        <f>=IF($A70="","",INDEX(tblTasks[Point_de_bascule],ROW()-6))</f>
      </c>
      <c r="W70" s="37">
        <f>IF($A70="","",IF(AND(OR(param_filtre_statut="tous",LOWER($F70)=LOWER(param_filtre_statut)),OR(param_filtre_agent="tous",LOWER($D70)=LOWER(param_filtre_agent),LOWER($E70)=LOWER(param_filtre_agent)),OR(param_filtre_criticite="toutes",LOWER($Q70)=LOWER(param_filtre_criticite))),"oui","non"))</f>
      </c>
      <c r="X70" s="37">
        <f>IF($A70="","",IF(OR(LOWER($F70)="bloqué",LOWER($L70)="oui"),"oui","non"))</f>
      </c>
      <c r="Y70" s="37">
        <f>IF($A70="","",IF(OR(LOWER($Q70)="critique",LOWER($U70)="oui",LOWER($V70)="oui"),"oui","non"))</f>
      </c>
      <c r="Z70" s="37">
        <f>IF($A70="","",IF(AND($S70&lt;&gt;"",LOWER($S70)&lt;&gt;"tranchée",LOWER($S70)&lt;&gt;"sans objet",LOWER($S70)&lt;&gt;"clos"),"oui","non"))</f>
      </c>
      <c r="AA70" s="37">
        <f>IF($A70="","",IF($P70&lt;&gt;"","oui","non"))</f>
      </c>
      <c r="AB70" s="37">
        <f>IF($A70="","",IF(OR(LOWER($F70)="non réouvrable",LOWER($R70)="forte"),"oui","non"))</f>
      </c>
    </row>
    <row r="71" spans="1:28" x14ac:dyDescent="0.25">
      <c r="A71" s="23">
        <f>IFERROR(INDEX(tblTasks[ID],ROW()-6),"")</f>
      </c>
      <c r="B71" s="24">
        <f>=IF($A71="","",INDEX(tblTasks[Sujet],ROW()-6))</f>
      </c>
      <c r="C71" s="23">
        <f>=IF($A71="","",INDEX(tblTasks[Lot_Domaine],ROW()-6))</f>
      </c>
      <c r="D71" s="23">
        <f>=IF($A71="","",INDEX(tblTasks[Agent_source],ROW()-6))</f>
      </c>
      <c r="E71" s="23">
        <f>=IF($A71="","",INDEX(tblTasks[Responsable],ROW()-6))</f>
      </c>
      <c r="F71" s="23">
        <f>=IF($A71="","",INDEX(tblTasks[Statut],ROW()-6))</f>
      </c>
      <c r="G71" s="25">
        <f>=IF($A71="","",INDEX(tblTasks[Date_debut_prevue],ROW()-6))</f>
      </c>
      <c r="H71" s="25">
        <f>=IF($A71="","",INDEX(tblTasks[Date_fin_prevue],ROW()-6))</f>
      </c>
      <c r="I71" s="36">
        <f>=IF($A71="","",INDEX(tblTasks[Duree_jours],ROW()-6))</f>
      </c>
      <c r="J71" s="25">
        <f>=IF($A71="","",INDEX(tblTasks[Date_debut_reelle],ROW()-6))</f>
      </c>
      <c r="K71" s="25">
        <f>=IF($A71="","",INDEX(tblTasks[Date_fin_reelle],ROW()-6))</f>
      </c>
      <c r="L71" s="23">
        <f>=IF($A71="","",INDEX(tblTasks[Blocage],ROW()-6))</f>
      </c>
      <c r="M71" s="23">
        <f>=IF($A71="","",INDEX(tblTasks[Depend_de],ROW()-6))</f>
      </c>
      <c r="N71" s="23">
        <f>=IF($A71="","",INDEX(tblTasks[Non_negociable],ROW()-6))</f>
      </c>
      <c r="O71" s="23">
        <f>=IF($A71="","",INDEX(tblTasks[Seuil_de_reprise],ROW()-6))</f>
      </c>
      <c r="P71" s="23">
        <f>=IF($A71="","",INDEX(tblTasks[Donnee_manquante],ROW()-6))</f>
      </c>
      <c r="Q71" s="23">
        <f>=IF($A71="","",INDEX(tblTasks[Niveau_criticite],ROW()-6))</f>
      </c>
      <c r="R71" s="23">
        <f>=IF($A71="","",INDEX(tblTasks[Irreversibilite],ROW()-6))</f>
      </c>
      <c r="S71" s="23">
        <f>=IF($A71="","",INDEX(tblTasks[Decision_Emmanuel],ROW()-6))</f>
      </c>
      <c r="T71" s="24">
        <f>=IF($A71="","",INDEX(tblTasks[Commentaire_EKT],ROW()-6))</f>
      </c>
      <c r="U71" s="23">
        <f>=IF($A71="","",INDEX(tblTasks[Goulot],ROW()-6))</f>
      </c>
      <c r="V71" s="23">
        <f>=IF($A71="","",INDEX(tblTasks[Point_de_bascule],ROW()-6))</f>
      </c>
      <c r="W71" s="37">
        <f>IF($A71="","",IF(AND(OR(param_filtre_statut="tous",LOWER($F71)=LOWER(param_filtre_statut)),OR(param_filtre_agent="tous",LOWER($D71)=LOWER(param_filtre_agent),LOWER($E71)=LOWER(param_filtre_agent)),OR(param_filtre_criticite="toutes",LOWER($Q71)=LOWER(param_filtre_criticite))),"oui","non"))</f>
      </c>
      <c r="X71" s="37">
        <f>IF($A71="","",IF(OR(LOWER($F71)="bloqué",LOWER($L71)="oui"),"oui","non"))</f>
      </c>
      <c r="Y71" s="37">
        <f>IF($A71="","",IF(OR(LOWER($Q71)="critique",LOWER($U71)="oui",LOWER($V71)="oui"),"oui","non"))</f>
      </c>
      <c r="Z71" s="37">
        <f>IF($A71="","",IF(AND($S71&lt;&gt;"",LOWER($S71)&lt;&gt;"tranchée",LOWER($S71)&lt;&gt;"sans objet",LOWER($S71)&lt;&gt;"clos"),"oui","non"))</f>
      </c>
      <c r="AA71" s="37">
        <f>IF($A71="","",IF($P71&lt;&gt;"","oui","non"))</f>
      </c>
      <c r="AB71" s="37">
        <f>IF($A71="","",IF(OR(LOWER($F71)="non réouvrable",LOWER($R71)="forte"),"oui","non"))</f>
      </c>
    </row>
    <row r="72" spans="1:28" x14ac:dyDescent="0.25">
      <c r="A72" s="23">
        <f>IFERROR(INDEX(tblTasks[ID],ROW()-6),"")</f>
      </c>
      <c r="B72" s="24">
        <f>=IF($A72="","",INDEX(tblTasks[Sujet],ROW()-6))</f>
      </c>
      <c r="C72" s="23">
        <f>=IF($A72="","",INDEX(tblTasks[Lot_Domaine],ROW()-6))</f>
      </c>
      <c r="D72" s="23">
        <f>=IF($A72="","",INDEX(tblTasks[Agent_source],ROW()-6))</f>
      </c>
      <c r="E72" s="23">
        <f>=IF($A72="","",INDEX(tblTasks[Responsable],ROW()-6))</f>
      </c>
      <c r="F72" s="23">
        <f>=IF($A72="","",INDEX(tblTasks[Statut],ROW()-6))</f>
      </c>
      <c r="G72" s="25">
        <f>=IF($A72="","",INDEX(tblTasks[Date_debut_prevue],ROW()-6))</f>
      </c>
      <c r="H72" s="25">
        <f>=IF($A72="","",INDEX(tblTasks[Date_fin_prevue],ROW()-6))</f>
      </c>
      <c r="I72" s="36">
        <f>=IF($A72="","",INDEX(tblTasks[Duree_jours],ROW()-6))</f>
      </c>
      <c r="J72" s="25">
        <f>=IF($A72="","",INDEX(tblTasks[Date_debut_reelle],ROW()-6))</f>
      </c>
      <c r="K72" s="25">
        <f>=IF($A72="","",INDEX(tblTasks[Date_fin_reelle],ROW()-6))</f>
      </c>
      <c r="L72" s="23">
        <f>=IF($A72="","",INDEX(tblTasks[Blocage],ROW()-6))</f>
      </c>
      <c r="M72" s="23">
        <f>=IF($A72="","",INDEX(tblTasks[Depend_de],ROW()-6))</f>
      </c>
      <c r="N72" s="23">
        <f>=IF($A72="","",INDEX(tblTasks[Non_negociable],ROW()-6))</f>
      </c>
      <c r="O72" s="23">
        <f>=IF($A72="","",INDEX(tblTasks[Seuil_de_reprise],ROW()-6))</f>
      </c>
      <c r="P72" s="23">
        <f>=IF($A72="","",INDEX(tblTasks[Donnee_manquante],ROW()-6))</f>
      </c>
      <c r="Q72" s="23">
        <f>=IF($A72="","",INDEX(tblTasks[Niveau_criticite],ROW()-6))</f>
      </c>
      <c r="R72" s="23">
        <f>=IF($A72="","",INDEX(tblTasks[Irreversibilite],ROW()-6))</f>
      </c>
      <c r="S72" s="23">
        <f>=IF($A72="","",INDEX(tblTasks[Decision_Emmanuel],ROW()-6))</f>
      </c>
      <c r="T72" s="24">
        <f>=IF($A72="","",INDEX(tblTasks[Commentaire_EKT],ROW()-6))</f>
      </c>
      <c r="U72" s="23">
        <f>=IF($A72="","",INDEX(tblTasks[Goulot],ROW()-6))</f>
      </c>
      <c r="V72" s="23">
        <f>=IF($A72="","",INDEX(tblTasks[Point_de_bascule],ROW()-6))</f>
      </c>
      <c r="W72" s="37">
        <f>IF($A72="","",IF(AND(OR(param_filtre_statut="tous",LOWER($F72)=LOWER(param_filtre_statut)),OR(param_filtre_agent="tous",LOWER($D72)=LOWER(param_filtre_agent),LOWER($E72)=LOWER(param_filtre_agent)),OR(param_filtre_criticite="toutes",LOWER($Q72)=LOWER(param_filtre_criticite))),"oui","non"))</f>
      </c>
      <c r="X72" s="37">
        <f>IF($A72="","",IF(OR(LOWER($F72)="bloqué",LOWER($L72)="oui"),"oui","non"))</f>
      </c>
      <c r="Y72" s="37">
        <f>IF($A72="","",IF(OR(LOWER($Q72)="critique",LOWER($U72)="oui",LOWER($V72)="oui"),"oui","non"))</f>
      </c>
      <c r="Z72" s="37">
        <f>IF($A72="","",IF(AND($S72&lt;&gt;"",LOWER($S72)&lt;&gt;"tranchée",LOWER($S72)&lt;&gt;"sans objet",LOWER($S72)&lt;&gt;"clos"),"oui","non"))</f>
      </c>
      <c r="AA72" s="37">
        <f>IF($A72="","",IF($P72&lt;&gt;"","oui","non"))</f>
      </c>
      <c r="AB72" s="37">
        <f>IF($A72="","",IF(OR(LOWER($F72)="non réouvrable",LOWER($R72)="forte"),"oui","non"))</f>
      </c>
    </row>
    <row r="73" spans="1:28" x14ac:dyDescent="0.25">
      <c r="A73" s="23">
        <f>IFERROR(INDEX(tblTasks[ID],ROW()-6),"")</f>
      </c>
      <c r="B73" s="24">
        <f>=IF($A73="","",INDEX(tblTasks[Sujet],ROW()-6))</f>
      </c>
      <c r="C73" s="23">
        <f>=IF($A73="","",INDEX(tblTasks[Lot_Domaine],ROW()-6))</f>
      </c>
      <c r="D73" s="23">
        <f>=IF($A73="","",INDEX(tblTasks[Agent_source],ROW()-6))</f>
      </c>
      <c r="E73" s="23">
        <f>=IF($A73="","",INDEX(tblTasks[Responsable],ROW()-6))</f>
      </c>
      <c r="F73" s="23">
        <f>=IF($A73="","",INDEX(tblTasks[Statut],ROW()-6))</f>
      </c>
      <c r="G73" s="25">
        <f>=IF($A73="","",INDEX(tblTasks[Date_debut_prevue],ROW()-6))</f>
      </c>
      <c r="H73" s="25">
        <f>=IF($A73="","",INDEX(tblTasks[Date_fin_prevue],ROW()-6))</f>
      </c>
      <c r="I73" s="36">
        <f>=IF($A73="","",INDEX(tblTasks[Duree_jours],ROW()-6))</f>
      </c>
      <c r="J73" s="25">
        <f>=IF($A73="","",INDEX(tblTasks[Date_debut_reelle],ROW()-6))</f>
      </c>
      <c r="K73" s="25">
        <f>=IF($A73="","",INDEX(tblTasks[Date_fin_reelle],ROW()-6))</f>
      </c>
      <c r="L73" s="23">
        <f>=IF($A73="","",INDEX(tblTasks[Blocage],ROW()-6))</f>
      </c>
      <c r="M73" s="23">
        <f>=IF($A73="","",INDEX(tblTasks[Depend_de],ROW()-6))</f>
      </c>
      <c r="N73" s="23">
        <f>=IF($A73="","",INDEX(tblTasks[Non_negociable],ROW()-6))</f>
      </c>
      <c r="O73" s="23">
        <f>=IF($A73="","",INDEX(tblTasks[Seuil_de_reprise],ROW()-6))</f>
      </c>
      <c r="P73" s="23">
        <f>=IF($A73="","",INDEX(tblTasks[Donnee_manquante],ROW()-6))</f>
      </c>
      <c r="Q73" s="23">
        <f>=IF($A73="","",INDEX(tblTasks[Niveau_criticite],ROW()-6))</f>
      </c>
      <c r="R73" s="23">
        <f>=IF($A73="","",INDEX(tblTasks[Irreversibilite],ROW()-6))</f>
      </c>
      <c r="S73" s="23">
        <f>=IF($A73="","",INDEX(tblTasks[Decision_Emmanuel],ROW()-6))</f>
      </c>
      <c r="T73" s="24">
        <f>=IF($A73="","",INDEX(tblTasks[Commentaire_EKT],ROW()-6))</f>
      </c>
      <c r="U73" s="23">
        <f>=IF($A73="","",INDEX(tblTasks[Goulot],ROW()-6))</f>
      </c>
      <c r="V73" s="23">
        <f>=IF($A73="","",INDEX(tblTasks[Point_de_bascule],ROW()-6))</f>
      </c>
      <c r="W73" s="37">
        <f>IF($A73="","",IF(AND(OR(param_filtre_statut="tous",LOWER($F73)=LOWER(param_filtre_statut)),OR(param_filtre_agent="tous",LOWER($D73)=LOWER(param_filtre_agent),LOWER($E73)=LOWER(param_filtre_agent)),OR(param_filtre_criticite="toutes",LOWER($Q73)=LOWER(param_filtre_criticite))),"oui","non"))</f>
      </c>
      <c r="X73" s="37">
        <f>IF($A73="","",IF(OR(LOWER($F73)="bloqué",LOWER($L73)="oui"),"oui","non"))</f>
      </c>
      <c r="Y73" s="37">
        <f>IF($A73="","",IF(OR(LOWER($Q73)="critique",LOWER($U73)="oui",LOWER($V73)="oui"),"oui","non"))</f>
      </c>
      <c r="Z73" s="37">
        <f>IF($A73="","",IF(AND($S73&lt;&gt;"",LOWER($S73)&lt;&gt;"tranchée",LOWER($S73)&lt;&gt;"sans objet",LOWER($S73)&lt;&gt;"clos"),"oui","non"))</f>
      </c>
      <c r="AA73" s="37">
        <f>IF($A73="","",IF($P73&lt;&gt;"","oui","non"))</f>
      </c>
      <c r="AB73" s="37">
        <f>IF($A73="","",IF(OR(LOWER($F73)="non réouvrable",LOWER($R73)="forte"),"oui","non"))</f>
      </c>
    </row>
    <row r="74" spans="1:28" x14ac:dyDescent="0.25">
      <c r="A74" s="23">
        <f>IFERROR(INDEX(tblTasks[ID],ROW()-6),"")</f>
      </c>
      <c r="B74" s="24">
        <f>=IF($A74="","",INDEX(tblTasks[Sujet],ROW()-6))</f>
      </c>
      <c r="C74" s="23">
        <f>=IF($A74="","",INDEX(tblTasks[Lot_Domaine],ROW()-6))</f>
      </c>
      <c r="D74" s="23">
        <f>=IF($A74="","",INDEX(tblTasks[Agent_source],ROW()-6))</f>
      </c>
      <c r="E74" s="23">
        <f>=IF($A74="","",INDEX(tblTasks[Responsable],ROW()-6))</f>
      </c>
      <c r="F74" s="23">
        <f>=IF($A74="","",INDEX(tblTasks[Statut],ROW()-6))</f>
      </c>
      <c r="G74" s="25">
        <f>=IF($A74="","",INDEX(tblTasks[Date_debut_prevue],ROW()-6))</f>
      </c>
      <c r="H74" s="25">
        <f>=IF($A74="","",INDEX(tblTasks[Date_fin_prevue],ROW()-6))</f>
      </c>
      <c r="I74" s="36">
        <f>=IF($A74="","",INDEX(tblTasks[Duree_jours],ROW()-6))</f>
      </c>
      <c r="J74" s="25">
        <f>=IF($A74="","",INDEX(tblTasks[Date_debut_reelle],ROW()-6))</f>
      </c>
      <c r="K74" s="25">
        <f>=IF($A74="","",INDEX(tblTasks[Date_fin_reelle],ROW()-6))</f>
      </c>
      <c r="L74" s="23">
        <f>=IF($A74="","",INDEX(tblTasks[Blocage],ROW()-6))</f>
      </c>
      <c r="M74" s="23">
        <f>=IF($A74="","",INDEX(tblTasks[Depend_de],ROW()-6))</f>
      </c>
      <c r="N74" s="23">
        <f>=IF($A74="","",INDEX(tblTasks[Non_negociable],ROW()-6))</f>
      </c>
      <c r="O74" s="23">
        <f>=IF($A74="","",INDEX(tblTasks[Seuil_de_reprise],ROW()-6))</f>
      </c>
      <c r="P74" s="23">
        <f>=IF($A74="","",INDEX(tblTasks[Donnee_manquante],ROW()-6))</f>
      </c>
      <c r="Q74" s="23">
        <f>=IF($A74="","",INDEX(tblTasks[Niveau_criticite],ROW()-6))</f>
      </c>
      <c r="R74" s="23">
        <f>=IF($A74="","",INDEX(tblTasks[Irreversibilite],ROW()-6))</f>
      </c>
      <c r="S74" s="23">
        <f>=IF($A74="","",INDEX(tblTasks[Decision_Emmanuel],ROW()-6))</f>
      </c>
      <c r="T74" s="24">
        <f>=IF($A74="","",INDEX(tblTasks[Commentaire_EKT],ROW()-6))</f>
      </c>
      <c r="U74" s="23">
        <f>=IF($A74="","",INDEX(tblTasks[Goulot],ROW()-6))</f>
      </c>
      <c r="V74" s="23">
        <f>=IF($A74="","",INDEX(tblTasks[Point_de_bascule],ROW()-6))</f>
      </c>
      <c r="W74" s="37">
        <f>IF($A74="","",IF(AND(OR(param_filtre_statut="tous",LOWER($F74)=LOWER(param_filtre_statut)),OR(param_filtre_agent="tous",LOWER($D74)=LOWER(param_filtre_agent),LOWER($E74)=LOWER(param_filtre_agent)),OR(param_filtre_criticite="toutes",LOWER($Q74)=LOWER(param_filtre_criticite))),"oui","non"))</f>
      </c>
      <c r="X74" s="37">
        <f>IF($A74="","",IF(OR(LOWER($F74)="bloqué",LOWER($L74)="oui"),"oui","non"))</f>
      </c>
      <c r="Y74" s="37">
        <f>IF($A74="","",IF(OR(LOWER($Q74)="critique",LOWER($U74)="oui",LOWER($V74)="oui"),"oui","non"))</f>
      </c>
      <c r="Z74" s="37">
        <f>IF($A74="","",IF(AND($S74&lt;&gt;"",LOWER($S74)&lt;&gt;"tranchée",LOWER($S74)&lt;&gt;"sans objet",LOWER($S74)&lt;&gt;"clos"),"oui","non"))</f>
      </c>
      <c r="AA74" s="37">
        <f>IF($A74="","",IF($P74&lt;&gt;"","oui","non"))</f>
      </c>
      <c r="AB74" s="37">
        <f>IF($A74="","",IF(OR(LOWER($F74)="non réouvrable",LOWER($R74)="forte"),"oui","non"))</f>
      </c>
    </row>
    <row r="75" spans="1:28" x14ac:dyDescent="0.25">
      <c r="A75" s="23">
        <f>IFERROR(INDEX(tblTasks[ID],ROW()-6),"")</f>
      </c>
      <c r="B75" s="24">
        <f>=IF($A75="","",INDEX(tblTasks[Sujet],ROW()-6))</f>
      </c>
      <c r="C75" s="23">
        <f>=IF($A75="","",INDEX(tblTasks[Lot_Domaine],ROW()-6))</f>
      </c>
      <c r="D75" s="23">
        <f>=IF($A75="","",INDEX(tblTasks[Agent_source],ROW()-6))</f>
      </c>
      <c r="E75" s="23">
        <f>=IF($A75="","",INDEX(tblTasks[Responsable],ROW()-6))</f>
      </c>
      <c r="F75" s="23">
        <f>=IF($A75="","",INDEX(tblTasks[Statut],ROW()-6))</f>
      </c>
      <c r="G75" s="25">
        <f>=IF($A75="","",INDEX(tblTasks[Date_debut_prevue],ROW()-6))</f>
      </c>
      <c r="H75" s="25">
        <f>=IF($A75="","",INDEX(tblTasks[Date_fin_prevue],ROW()-6))</f>
      </c>
      <c r="I75" s="36">
        <f>=IF($A75="","",INDEX(tblTasks[Duree_jours],ROW()-6))</f>
      </c>
      <c r="J75" s="25">
        <f>=IF($A75="","",INDEX(tblTasks[Date_debut_reelle],ROW()-6))</f>
      </c>
      <c r="K75" s="25">
        <f>=IF($A75="","",INDEX(tblTasks[Date_fin_reelle],ROW()-6))</f>
      </c>
      <c r="L75" s="23">
        <f>=IF($A75="","",INDEX(tblTasks[Blocage],ROW()-6))</f>
      </c>
      <c r="M75" s="23">
        <f>=IF($A75="","",INDEX(tblTasks[Depend_de],ROW()-6))</f>
      </c>
      <c r="N75" s="23">
        <f>=IF($A75="","",INDEX(tblTasks[Non_negociable],ROW()-6))</f>
      </c>
      <c r="O75" s="23">
        <f>=IF($A75="","",INDEX(tblTasks[Seuil_de_reprise],ROW()-6))</f>
      </c>
      <c r="P75" s="23">
        <f>=IF($A75="","",INDEX(tblTasks[Donnee_manquante],ROW()-6))</f>
      </c>
      <c r="Q75" s="23">
        <f>=IF($A75="","",INDEX(tblTasks[Niveau_criticite],ROW()-6))</f>
      </c>
      <c r="R75" s="23">
        <f>=IF($A75="","",INDEX(tblTasks[Irreversibilite],ROW()-6))</f>
      </c>
      <c r="S75" s="23">
        <f>=IF($A75="","",INDEX(tblTasks[Decision_Emmanuel],ROW()-6))</f>
      </c>
      <c r="T75" s="24">
        <f>=IF($A75="","",INDEX(tblTasks[Commentaire_EKT],ROW()-6))</f>
      </c>
      <c r="U75" s="23">
        <f>=IF($A75="","",INDEX(tblTasks[Goulot],ROW()-6))</f>
      </c>
      <c r="V75" s="23">
        <f>=IF($A75="","",INDEX(tblTasks[Point_de_bascule],ROW()-6))</f>
      </c>
      <c r="W75" s="37">
        <f>IF($A75="","",IF(AND(OR(param_filtre_statut="tous",LOWER($F75)=LOWER(param_filtre_statut)),OR(param_filtre_agent="tous",LOWER($D75)=LOWER(param_filtre_agent),LOWER($E75)=LOWER(param_filtre_agent)),OR(param_filtre_criticite="toutes",LOWER($Q75)=LOWER(param_filtre_criticite))),"oui","non"))</f>
      </c>
      <c r="X75" s="37">
        <f>IF($A75="","",IF(OR(LOWER($F75)="bloqué",LOWER($L75)="oui"),"oui","non"))</f>
      </c>
      <c r="Y75" s="37">
        <f>IF($A75="","",IF(OR(LOWER($Q75)="critique",LOWER($U75)="oui",LOWER($V75)="oui"),"oui","non"))</f>
      </c>
      <c r="Z75" s="37">
        <f>IF($A75="","",IF(AND($S75&lt;&gt;"",LOWER($S75)&lt;&gt;"tranchée",LOWER($S75)&lt;&gt;"sans objet",LOWER($S75)&lt;&gt;"clos"),"oui","non"))</f>
      </c>
      <c r="AA75" s="37">
        <f>IF($A75="","",IF($P75&lt;&gt;"","oui","non"))</f>
      </c>
      <c r="AB75" s="37">
        <f>IF($A75="","",IF(OR(LOWER($F75)="non réouvrable",LOWER($R75)="forte"),"oui","non"))</f>
      </c>
    </row>
    <row r="76" spans="1:28" x14ac:dyDescent="0.25">
      <c r="A76" s="23">
        <f>IFERROR(INDEX(tblTasks[ID],ROW()-6),"")</f>
      </c>
      <c r="B76" s="24">
        <f>=IF($A76="","",INDEX(tblTasks[Sujet],ROW()-6))</f>
      </c>
      <c r="C76" s="23">
        <f>=IF($A76="","",INDEX(tblTasks[Lot_Domaine],ROW()-6))</f>
      </c>
      <c r="D76" s="23">
        <f>=IF($A76="","",INDEX(tblTasks[Agent_source],ROW()-6))</f>
      </c>
      <c r="E76" s="23">
        <f>=IF($A76="","",INDEX(tblTasks[Responsable],ROW()-6))</f>
      </c>
      <c r="F76" s="23">
        <f>=IF($A76="","",INDEX(tblTasks[Statut],ROW()-6))</f>
      </c>
      <c r="G76" s="25">
        <f>=IF($A76="","",INDEX(tblTasks[Date_debut_prevue],ROW()-6))</f>
      </c>
      <c r="H76" s="25">
        <f>=IF($A76="","",INDEX(tblTasks[Date_fin_prevue],ROW()-6))</f>
      </c>
      <c r="I76" s="36">
        <f>=IF($A76="","",INDEX(tblTasks[Duree_jours],ROW()-6))</f>
      </c>
      <c r="J76" s="25">
        <f>=IF($A76="","",INDEX(tblTasks[Date_debut_reelle],ROW()-6))</f>
      </c>
      <c r="K76" s="25">
        <f>=IF($A76="","",INDEX(tblTasks[Date_fin_reelle],ROW()-6))</f>
      </c>
      <c r="L76" s="23">
        <f>=IF($A76="","",INDEX(tblTasks[Blocage],ROW()-6))</f>
      </c>
      <c r="M76" s="23">
        <f>=IF($A76="","",INDEX(tblTasks[Depend_de],ROW()-6))</f>
      </c>
      <c r="N76" s="23">
        <f>=IF($A76="","",INDEX(tblTasks[Non_negociable],ROW()-6))</f>
      </c>
      <c r="O76" s="23">
        <f>=IF($A76="","",INDEX(tblTasks[Seuil_de_reprise],ROW()-6))</f>
      </c>
      <c r="P76" s="23">
        <f>=IF($A76="","",INDEX(tblTasks[Donnee_manquante],ROW()-6))</f>
      </c>
      <c r="Q76" s="23">
        <f>=IF($A76="","",INDEX(tblTasks[Niveau_criticite],ROW()-6))</f>
      </c>
      <c r="R76" s="23">
        <f>=IF($A76="","",INDEX(tblTasks[Irreversibilite],ROW()-6))</f>
      </c>
      <c r="S76" s="23">
        <f>=IF($A76="","",INDEX(tblTasks[Decision_Emmanuel],ROW()-6))</f>
      </c>
      <c r="T76" s="24">
        <f>=IF($A76="","",INDEX(tblTasks[Commentaire_EKT],ROW()-6))</f>
      </c>
      <c r="U76" s="23">
        <f>=IF($A76="","",INDEX(tblTasks[Goulot],ROW()-6))</f>
      </c>
      <c r="V76" s="23">
        <f>=IF($A76="","",INDEX(tblTasks[Point_de_bascule],ROW()-6))</f>
      </c>
      <c r="W76" s="37">
        <f>IF($A76="","",IF(AND(OR(param_filtre_statut="tous",LOWER($F76)=LOWER(param_filtre_statut)),OR(param_filtre_agent="tous",LOWER($D76)=LOWER(param_filtre_agent),LOWER($E76)=LOWER(param_filtre_agent)),OR(param_filtre_criticite="toutes",LOWER($Q76)=LOWER(param_filtre_criticite))),"oui","non"))</f>
      </c>
      <c r="X76" s="37">
        <f>IF($A76="","",IF(OR(LOWER($F76)="bloqué",LOWER($L76)="oui"),"oui","non"))</f>
      </c>
      <c r="Y76" s="37">
        <f>IF($A76="","",IF(OR(LOWER($Q76)="critique",LOWER($U76)="oui",LOWER($V76)="oui"),"oui","non"))</f>
      </c>
      <c r="Z76" s="37">
        <f>IF($A76="","",IF(AND($S76&lt;&gt;"",LOWER($S76)&lt;&gt;"tranchée",LOWER($S76)&lt;&gt;"sans objet",LOWER($S76)&lt;&gt;"clos"),"oui","non"))</f>
      </c>
      <c r="AA76" s="37">
        <f>IF($A76="","",IF($P76&lt;&gt;"","oui","non"))</f>
      </c>
      <c r="AB76" s="37">
        <f>IF($A76="","",IF(OR(LOWER($F76)="non réouvrable",LOWER($R76)="forte"),"oui","non"))</f>
      </c>
    </row>
    <row r="77" spans="1:28" x14ac:dyDescent="0.25">
      <c r="A77" s="23">
        <f>IFERROR(INDEX(tblTasks[ID],ROW()-6),"")</f>
      </c>
      <c r="B77" s="24">
        <f>=IF($A77="","",INDEX(tblTasks[Sujet],ROW()-6))</f>
      </c>
      <c r="C77" s="23">
        <f>=IF($A77="","",INDEX(tblTasks[Lot_Domaine],ROW()-6))</f>
      </c>
      <c r="D77" s="23">
        <f>=IF($A77="","",INDEX(tblTasks[Agent_source],ROW()-6))</f>
      </c>
      <c r="E77" s="23">
        <f>=IF($A77="","",INDEX(tblTasks[Responsable],ROW()-6))</f>
      </c>
      <c r="F77" s="23">
        <f>=IF($A77="","",INDEX(tblTasks[Statut],ROW()-6))</f>
      </c>
      <c r="G77" s="25">
        <f>=IF($A77="","",INDEX(tblTasks[Date_debut_prevue],ROW()-6))</f>
      </c>
      <c r="H77" s="25">
        <f>=IF($A77="","",INDEX(tblTasks[Date_fin_prevue],ROW()-6))</f>
      </c>
      <c r="I77" s="36">
        <f>=IF($A77="","",INDEX(tblTasks[Duree_jours],ROW()-6))</f>
      </c>
      <c r="J77" s="25">
        <f>=IF($A77="","",INDEX(tblTasks[Date_debut_reelle],ROW()-6))</f>
      </c>
      <c r="K77" s="25">
        <f>=IF($A77="","",INDEX(tblTasks[Date_fin_reelle],ROW()-6))</f>
      </c>
      <c r="L77" s="23">
        <f>=IF($A77="","",INDEX(tblTasks[Blocage],ROW()-6))</f>
      </c>
      <c r="M77" s="23">
        <f>=IF($A77="","",INDEX(tblTasks[Depend_de],ROW()-6))</f>
      </c>
      <c r="N77" s="23">
        <f>=IF($A77="","",INDEX(tblTasks[Non_negociable],ROW()-6))</f>
      </c>
      <c r="O77" s="23">
        <f>=IF($A77="","",INDEX(tblTasks[Seuil_de_reprise],ROW()-6))</f>
      </c>
      <c r="P77" s="23">
        <f>=IF($A77="","",INDEX(tblTasks[Donnee_manquante],ROW()-6))</f>
      </c>
      <c r="Q77" s="23">
        <f>=IF($A77="","",INDEX(tblTasks[Niveau_criticite],ROW()-6))</f>
      </c>
      <c r="R77" s="23">
        <f>=IF($A77="","",INDEX(tblTasks[Irreversibilite],ROW()-6))</f>
      </c>
      <c r="S77" s="23">
        <f>=IF($A77="","",INDEX(tblTasks[Decision_Emmanuel],ROW()-6))</f>
      </c>
      <c r="T77" s="24">
        <f>=IF($A77="","",INDEX(tblTasks[Commentaire_EKT],ROW()-6))</f>
      </c>
      <c r="U77" s="23">
        <f>=IF($A77="","",INDEX(tblTasks[Goulot],ROW()-6))</f>
      </c>
      <c r="V77" s="23">
        <f>=IF($A77="","",INDEX(tblTasks[Point_de_bascule],ROW()-6))</f>
      </c>
      <c r="W77" s="37">
        <f>IF($A77="","",IF(AND(OR(param_filtre_statut="tous",LOWER($F77)=LOWER(param_filtre_statut)),OR(param_filtre_agent="tous",LOWER($D77)=LOWER(param_filtre_agent),LOWER($E77)=LOWER(param_filtre_agent)),OR(param_filtre_criticite="toutes",LOWER($Q77)=LOWER(param_filtre_criticite))),"oui","non"))</f>
      </c>
      <c r="X77" s="37">
        <f>IF($A77="","",IF(OR(LOWER($F77)="bloqué",LOWER($L77)="oui"),"oui","non"))</f>
      </c>
      <c r="Y77" s="37">
        <f>IF($A77="","",IF(OR(LOWER($Q77)="critique",LOWER($U77)="oui",LOWER($V77)="oui"),"oui","non"))</f>
      </c>
      <c r="Z77" s="37">
        <f>IF($A77="","",IF(AND($S77&lt;&gt;"",LOWER($S77)&lt;&gt;"tranchée",LOWER($S77)&lt;&gt;"sans objet",LOWER($S77)&lt;&gt;"clos"),"oui","non"))</f>
      </c>
      <c r="AA77" s="37">
        <f>IF($A77="","",IF($P77&lt;&gt;"","oui","non"))</f>
      </c>
      <c r="AB77" s="37">
        <f>IF($A77="","",IF(OR(LOWER($F77)="non réouvrable",LOWER($R77)="forte"),"oui","non"))</f>
      </c>
    </row>
    <row r="78" spans="1:28" x14ac:dyDescent="0.25">
      <c r="A78" s="23">
        <f>IFERROR(INDEX(tblTasks[ID],ROW()-6),"")</f>
      </c>
      <c r="B78" s="24">
        <f>=IF($A78="","",INDEX(tblTasks[Sujet],ROW()-6))</f>
      </c>
      <c r="C78" s="23">
        <f>=IF($A78="","",INDEX(tblTasks[Lot_Domaine],ROW()-6))</f>
      </c>
      <c r="D78" s="23">
        <f>=IF($A78="","",INDEX(tblTasks[Agent_source],ROW()-6))</f>
      </c>
      <c r="E78" s="23">
        <f>=IF($A78="","",INDEX(tblTasks[Responsable],ROW()-6))</f>
      </c>
      <c r="F78" s="23">
        <f>=IF($A78="","",INDEX(tblTasks[Statut],ROW()-6))</f>
      </c>
      <c r="G78" s="25">
        <f>=IF($A78="","",INDEX(tblTasks[Date_debut_prevue],ROW()-6))</f>
      </c>
      <c r="H78" s="25">
        <f>=IF($A78="","",INDEX(tblTasks[Date_fin_prevue],ROW()-6))</f>
      </c>
      <c r="I78" s="36">
        <f>=IF($A78="","",INDEX(tblTasks[Duree_jours],ROW()-6))</f>
      </c>
      <c r="J78" s="25">
        <f>=IF($A78="","",INDEX(tblTasks[Date_debut_reelle],ROW()-6))</f>
      </c>
      <c r="K78" s="25">
        <f>=IF($A78="","",INDEX(tblTasks[Date_fin_reelle],ROW()-6))</f>
      </c>
      <c r="L78" s="23">
        <f>=IF($A78="","",INDEX(tblTasks[Blocage],ROW()-6))</f>
      </c>
      <c r="M78" s="23">
        <f>=IF($A78="","",INDEX(tblTasks[Depend_de],ROW()-6))</f>
      </c>
      <c r="N78" s="23">
        <f>=IF($A78="","",INDEX(tblTasks[Non_negociable],ROW()-6))</f>
      </c>
      <c r="O78" s="23">
        <f>=IF($A78="","",INDEX(tblTasks[Seuil_de_reprise],ROW()-6))</f>
      </c>
      <c r="P78" s="23">
        <f>=IF($A78="","",INDEX(tblTasks[Donnee_manquante],ROW()-6))</f>
      </c>
      <c r="Q78" s="23">
        <f>=IF($A78="","",INDEX(tblTasks[Niveau_criticite],ROW()-6))</f>
      </c>
      <c r="R78" s="23">
        <f>=IF($A78="","",INDEX(tblTasks[Irreversibilite],ROW()-6))</f>
      </c>
      <c r="S78" s="23">
        <f>=IF($A78="","",INDEX(tblTasks[Decision_Emmanuel],ROW()-6))</f>
      </c>
      <c r="T78" s="24">
        <f>=IF($A78="","",INDEX(tblTasks[Commentaire_EKT],ROW()-6))</f>
      </c>
      <c r="U78" s="23">
        <f>=IF($A78="","",INDEX(tblTasks[Goulot],ROW()-6))</f>
      </c>
      <c r="V78" s="23">
        <f>=IF($A78="","",INDEX(tblTasks[Point_de_bascule],ROW()-6))</f>
      </c>
      <c r="W78" s="37">
        <f>IF($A78="","",IF(AND(OR(param_filtre_statut="tous",LOWER($F78)=LOWER(param_filtre_statut)),OR(param_filtre_agent="tous",LOWER($D78)=LOWER(param_filtre_agent),LOWER($E78)=LOWER(param_filtre_agent)),OR(param_filtre_criticite="toutes",LOWER($Q78)=LOWER(param_filtre_criticite))),"oui","non"))</f>
      </c>
      <c r="X78" s="37">
        <f>IF($A78="","",IF(OR(LOWER($F78)="bloqué",LOWER($L78)="oui"),"oui","non"))</f>
      </c>
      <c r="Y78" s="37">
        <f>IF($A78="","",IF(OR(LOWER($Q78)="critique",LOWER($U78)="oui",LOWER($V78)="oui"),"oui","non"))</f>
      </c>
      <c r="Z78" s="37">
        <f>IF($A78="","",IF(AND($S78&lt;&gt;"",LOWER($S78)&lt;&gt;"tranchée",LOWER($S78)&lt;&gt;"sans objet",LOWER($S78)&lt;&gt;"clos"),"oui","non"))</f>
      </c>
      <c r="AA78" s="37">
        <f>IF($A78="","",IF($P78&lt;&gt;"","oui","non"))</f>
      </c>
      <c r="AB78" s="37">
        <f>IF($A78="","",IF(OR(LOWER($F78)="non réouvrable",LOWER($R78)="forte"),"oui","non"))</f>
      </c>
    </row>
    <row r="79" spans="1:28" x14ac:dyDescent="0.25">
      <c r="A79" s="23">
        <f>IFERROR(INDEX(tblTasks[ID],ROW()-6),"")</f>
      </c>
      <c r="B79" s="24">
        <f>=IF($A79="","",INDEX(tblTasks[Sujet],ROW()-6))</f>
      </c>
      <c r="C79" s="23">
        <f>=IF($A79="","",INDEX(tblTasks[Lot_Domaine],ROW()-6))</f>
      </c>
      <c r="D79" s="23">
        <f>=IF($A79="","",INDEX(tblTasks[Agent_source],ROW()-6))</f>
      </c>
      <c r="E79" s="23">
        <f>=IF($A79="","",INDEX(tblTasks[Responsable],ROW()-6))</f>
      </c>
      <c r="F79" s="23">
        <f>=IF($A79="","",INDEX(tblTasks[Statut],ROW()-6))</f>
      </c>
      <c r="G79" s="25">
        <f>=IF($A79="","",INDEX(tblTasks[Date_debut_prevue],ROW()-6))</f>
      </c>
      <c r="H79" s="25">
        <f>=IF($A79="","",INDEX(tblTasks[Date_fin_prevue],ROW()-6))</f>
      </c>
      <c r="I79" s="36">
        <f>=IF($A79="","",INDEX(tblTasks[Duree_jours],ROW()-6))</f>
      </c>
      <c r="J79" s="25">
        <f>=IF($A79="","",INDEX(tblTasks[Date_debut_reelle],ROW()-6))</f>
      </c>
      <c r="K79" s="25">
        <f>=IF($A79="","",INDEX(tblTasks[Date_fin_reelle],ROW()-6))</f>
      </c>
      <c r="L79" s="23">
        <f>=IF($A79="","",INDEX(tblTasks[Blocage],ROW()-6))</f>
      </c>
      <c r="M79" s="23">
        <f>=IF($A79="","",INDEX(tblTasks[Depend_de],ROW()-6))</f>
      </c>
      <c r="N79" s="23">
        <f>=IF($A79="","",INDEX(tblTasks[Non_negociable],ROW()-6))</f>
      </c>
      <c r="O79" s="23">
        <f>=IF($A79="","",INDEX(tblTasks[Seuil_de_reprise],ROW()-6))</f>
      </c>
      <c r="P79" s="23">
        <f>=IF($A79="","",INDEX(tblTasks[Donnee_manquante],ROW()-6))</f>
      </c>
      <c r="Q79" s="23">
        <f>=IF($A79="","",INDEX(tblTasks[Niveau_criticite],ROW()-6))</f>
      </c>
      <c r="R79" s="23">
        <f>=IF($A79="","",INDEX(tblTasks[Irreversibilite],ROW()-6))</f>
      </c>
      <c r="S79" s="23">
        <f>=IF($A79="","",INDEX(tblTasks[Decision_Emmanuel],ROW()-6))</f>
      </c>
      <c r="T79" s="24">
        <f>=IF($A79="","",INDEX(tblTasks[Commentaire_EKT],ROW()-6))</f>
      </c>
      <c r="U79" s="23">
        <f>=IF($A79="","",INDEX(tblTasks[Goulot],ROW()-6))</f>
      </c>
      <c r="V79" s="23">
        <f>=IF($A79="","",INDEX(tblTasks[Point_de_bascule],ROW()-6))</f>
      </c>
      <c r="W79" s="37">
        <f>IF($A79="","",IF(AND(OR(param_filtre_statut="tous",LOWER($F79)=LOWER(param_filtre_statut)),OR(param_filtre_agent="tous",LOWER($D79)=LOWER(param_filtre_agent),LOWER($E79)=LOWER(param_filtre_agent)),OR(param_filtre_criticite="toutes",LOWER($Q79)=LOWER(param_filtre_criticite))),"oui","non"))</f>
      </c>
      <c r="X79" s="37">
        <f>IF($A79="","",IF(OR(LOWER($F79)="bloqué",LOWER($L79)="oui"),"oui","non"))</f>
      </c>
      <c r="Y79" s="37">
        <f>IF($A79="","",IF(OR(LOWER($Q79)="critique",LOWER($U79)="oui",LOWER($V79)="oui"),"oui","non"))</f>
      </c>
      <c r="Z79" s="37">
        <f>IF($A79="","",IF(AND($S79&lt;&gt;"",LOWER($S79)&lt;&gt;"tranchée",LOWER($S79)&lt;&gt;"sans objet",LOWER($S79)&lt;&gt;"clos"),"oui","non"))</f>
      </c>
      <c r="AA79" s="37">
        <f>IF($A79="","",IF($P79&lt;&gt;"","oui","non"))</f>
      </c>
      <c r="AB79" s="37">
        <f>IF($A79="","",IF(OR(LOWER($F79)="non réouvrable",LOWER($R79)="forte"),"oui","non"))</f>
      </c>
    </row>
    <row r="80" spans="1:28" x14ac:dyDescent="0.25">
      <c r="A80" s="23">
        <f>IFERROR(INDEX(tblTasks[ID],ROW()-6),"")</f>
      </c>
      <c r="B80" s="24">
        <f>=IF($A80="","",INDEX(tblTasks[Sujet],ROW()-6))</f>
      </c>
      <c r="C80" s="23">
        <f>=IF($A80="","",INDEX(tblTasks[Lot_Domaine],ROW()-6))</f>
      </c>
      <c r="D80" s="23">
        <f>=IF($A80="","",INDEX(tblTasks[Agent_source],ROW()-6))</f>
      </c>
      <c r="E80" s="23">
        <f>=IF($A80="","",INDEX(tblTasks[Responsable],ROW()-6))</f>
      </c>
      <c r="F80" s="23">
        <f>=IF($A80="","",INDEX(tblTasks[Statut],ROW()-6))</f>
      </c>
      <c r="G80" s="25">
        <f>=IF($A80="","",INDEX(tblTasks[Date_debut_prevue],ROW()-6))</f>
      </c>
      <c r="H80" s="25">
        <f>=IF($A80="","",INDEX(tblTasks[Date_fin_prevue],ROW()-6))</f>
      </c>
      <c r="I80" s="36">
        <f>=IF($A80="","",INDEX(tblTasks[Duree_jours],ROW()-6))</f>
      </c>
      <c r="J80" s="25">
        <f>=IF($A80="","",INDEX(tblTasks[Date_debut_reelle],ROW()-6))</f>
      </c>
      <c r="K80" s="25">
        <f>=IF($A80="","",INDEX(tblTasks[Date_fin_reelle],ROW()-6))</f>
      </c>
      <c r="L80" s="23">
        <f>=IF($A80="","",INDEX(tblTasks[Blocage],ROW()-6))</f>
      </c>
      <c r="M80" s="23">
        <f>=IF($A80="","",INDEX(tblTasks[Depend_de],ROW()-6))</f>
      </c>
      <c r="N80" s="23">
        <f>=IF($A80="","",INDEX(tblTasks[Non_negociable],ROW()-6))</f>
      </c>
      <c r="O80" s="23">
        <f>=IF($A80="","",INDEX(tblTasks[Seuil_de_reprise],ROW()-6))</f>
      </c>
      <c r="P80" s="23">
        <f>=IF($A80="","",INDEX(tblTasks[Donnee_manquante],ROW()-6))</f>
      </c>
      <c r="Q80" s="23">
        <f>=IF($A80="","",INDEX(tblTasks[Niveau_criticite],ROW()-6))</f>
      </c>
      <c r="R80" s="23">
        <f>=IF($A80="","",INDEX(tblTasks[Irreversibilite],ROW()-6))</f>
      </c>
      <c r="S80" s="23">
        <f>=IF($A80="","",INDEX(tblTasks[Decision_Emmanuel],ROW()-6))</f>
      </c>
      <c r="T80" s="24">
        <f>=IF($A80="","",INDEX(tblTasks[Commentaire_EKT],ROW()-6))</f>
      </c>
      <c r="U80" s="23">
        <f>=IF($A80="","",INDEX(tblTasks[Goulot],ROW()-6))</f>
      </c>
      <c r="V80" s="23">
        <f>=IF($A80="","",INDEX(tblTasks[Point_de_bascule],ROW()-6))</f>
      </c>
      <c r="W80" s="37">
        <f>IF($A80="","",IF(AND(OR(param_filtre_statut="tous",LOWER($F80)=LOWER(param_filtre_statut)),OR(param_filtre_agent="tous",LOWER($D80)=LOWER(param_filtre_agent),LOWER($E80)=LOWER(param_filtre_agent)),OR(param_filtre_criticite="toutes",LOWER($Q80)=LOWER(param_filtre_criticite))),"oui","non"))</f>
      </c>
      <c r="X80" s="37">
        <f>IF($A80="","",IF(OR(LOWER($F80)="bloqué",LOWER($L80)="oui"),"oui","non"))</f>
      </c>
      <c r="Y80" s="37">
        <f>IF($A80="","",IF(OR(LOWER($Q80)="critique",LOWER($U80)="oui",LOWER($V80)="oui"),"oui","non"))</f>
      </c>
      <c r="Z80" s="37">
        <f>IF($A80="","",IF(AND($S80&lt;&gt;"",LOWER($S80)&lt;&gt;"tranchée",LOWER($S80)&lt;&gt;"sans objet",LOWER($S80)&lt;&gt;"clos"),"oui","non"))</f>
      </c>
      <c r="AA80" s="37">
        <f>IF($A80="","",IF($P80&lt;&gt;"","oui","non"))</f>
      </c>
      <c r="AB80" s="37">
        <f>IF($A80="","",IF(OR(LOWER($F80)="non réouvrable",LOWER($R80)="forte"),"oui","non"))</f>
      </c>
    </row>
    <row r="81" spans="1:28" x14ac:dyDescent="0.25">
      <c r="A81" s="23">
        <f>IFERROR(INDEX(tblTasks[ID],ROW()-6),"")</f>
      </c>
      <c r="B81" s="24">
        <f>=IF($A81="","",INDEX(tblTasks[Sujet],ROW()-6))</f>
      </c>
      <c r="C81" s="23">
        <f>=IF($A81="","",INDEX(tblTasks[Lot_Domaine],ROW()-6))</f>
      </c>
      <c r="D81" s="23">
        <f>=IF($A81="","",INDEX(tblTasks[Agent_source],ROW()-6))</f>
      </c>
      <c r="E81" s="23">
        <f>=IF($A81="","",INDEX(tblTasks[Responsable],ROW()-6))</f>
      </c>
      <c r="F81" s="23">
        <f>=IF($A81="","",INDEX(tblTasks[Statut],ROW()-6))</f>
      </c>
      <c r="G81" s="25">
        <f>=IF($A81="","",INDEX(tblTasks[Date_debut_prevue],ROW()-6))</f>
      </c>
      <c r="H81" s="25">
        <f>=IF($A81="","",INDEX(tblTasks[Date_fin_prevue],ROW()-6))</f>
      </c>
      <c r="I81" s="36">
        <f>=IF($A81="","",INDEX(tblTasks[Duree_jours],ROW()-6))</f>
      </c>
      <c r="J81" s="25">
        <f>=IF($A81="","",INDEX(tblTasks[Date_debut_reelle],ROW()-6))</f>
      </c>
      <c r="K81" s="25">
        <f>=IF($A81="","",INDEX(tblTasks[Date_fin_reelle],ROW()-6))</f>
      </c>
      <c r="L81" s="23">
        <f>=IF($A81="","",INDEX(tblTasks[Blocage],ROW()-6))</f>
      </c>
      <c r="M81" s="23">
        <f>=IF($A81="","",INDEX(tblTasks[Depend_de],ROW()-6))</f>
      </c>
      <c r="N81" s="23">
        <f>=IF($A81="","",INDEX(tblTasks[Non_negociable],ROW()-6))</f>
      </c>
      <c r="O81" s="23">
        <f>=IF($A81="","",INDEX(tblTasks[Seuil_de_reprise],ROW()-6))</f>
      </c>
      <c r="P81" s="23">
        <f>=IF($A81="","",INDEX(tblTasks[Donnee_manquante],ROW()-6))</f>
      </c>
      <c r="Q81" s="23">
        <f>=IF($A81="","",INDEX(tblTasks[Niveau_criticite],ROW()-6))</f>
      </c>
      <c r="R81" s="23">
        <f>=IF($A81="","",INDEX(tblTasks[Irreversibilite],ROW()-6))</f>
      </c>
      <c r="S81" s="23">
        <f>=IF($A81="","",INDEX(tblTasks[Decision_Emmanuel],ROW()-6))</f>
      </c>
      <c r="T81" s="24">
        <f>=IF($A81="","",INDEX(tblTasks[Commentaire_EKT],ROW()-6))</f>
      </c>
      <c r="U81" s="23">
        <f>=IF($A81="","",INDEX(tblTasks[Goulot],ROW()-6))</f>
      </c>
      <c r="V81" s="23">
        <f>=IF($A81="","",INDEX(tblTasks[Point_de_bascule],ROW()-6))</f>
      </c>
      <c r="W81" s="37">
        <f>IF($A81="","",IF(AND(OR(param_filtre_statut="tous",LOWER($F81)=LOWER(param_filtre_statut)),OR(param_filtre_agent="tous",LOWER($D81)=LOWER(param_filtre_agent),LOWER($E81)=LOWER(param_filtre_agent)),OR(param_filtre_criticite="toutes",LOWER($Q81)=LOWER(param_filtre_criticite))),"oui","non"))</f>
      </c>
      <c r="X81" s="37">
        <f>IF($A81="","",IF(OR(LOWER($F81)="bloqué",LOWER($L81)="oui"),"oui","non"))</f>
      </c>
      <c r="Y81" s="37">
        <f>IF($A81="","",IF(OR(LOWER($Q81)="critique",LOWER($U81)="oui",LOWER($V81)="oui"),"oui","non"))</f>
      </c>
      <c r="Z81" s="37">
        <f>IF($A81="","",IF(AND($S81&lt;&gt;"",LOWER($S81)&lt;&gt;"tranchée",LOWER($S81)&lt;&gt;"sans objet",LOWER($S81)&lt;&gt;"clos"),"oui","non"))</f>
      </c>
      <c r="AA81" s="37">
        <f>IF($A81="","",IF($P81&lt;&gt;"","oui","non"))</f>
      </c>
      <c r="AB81" s="37">
        <f>IF($A81="","",IF(OR(LOWER($F81)="non réouvrable",LOWER($R81)="forte"),"oui","non"))</f>
      </c>
    </row>
    <row r="82" spans="1:28" x14ac:dyDescent="0.25">
      <c r="A82" s="23">
        <f>IFERROR(INDEX(tblTasks[ID],ROW()-6),"")</f>
      </c>
      <c r="B82" s="24">
        <f>=IF($A82="","",INDEX(tblTasks[Sujet],ROW()-6))</f>
      </c>
      <c r="C82" s="23">
        <f>=IF($A82="","",INDEX(tblTasks[Lot_Domaine],ROW()-6))</f>
      </c>
      <c r="D82" s="23">
        <f>=IF($A82="","",INDEX(tblTasks[Agent_source],ROW()-6))</f>
      </c>
      <c r="E82" s="23">
        <f>=IF($A82="","",INDEX(tblTasks[Responsable],ROW()-6))</f>
      </c>
      <c r="F82" s="23">
        <f>=IF($A82="","",INDEX(tblTasks[Statut],ROW()-6))</f>
      </c>
      <c r="G82" s="25">
        <f>=IF($A82="","",INDEX(tblTasks[Date_debut_prevue],ROW()-6))</f>
      </c>
      <c r="H82" s="25">
        <f>=IF($A82="","",INDEX(tblTasks[Date_fin_prevue],ROW()-6))</f>
      </c>
      <c r="I82" s="36">
        <f>=IF($A82="","",INDEX(tblTasks[Duree_jours],ROW()-6))</f>
      </c>
      <c r="J82" s="25">
        <f>=IF($A82="","",INDEX(tblTasks[Date_debut_reelle],ROW()-6))</f>
      </c>
      <c r="K82" s="25">
        <f>=IF($A82="","",INDEX(tblTasks[Date_fin_reelle],ROW()-6))</f>
      </c>
      <c r="L82" s="23">
        <f>=IF($A82="","",INDEX(tblTasks[Blocage],ROW()-6))</f>
      </c>
      <c r="M82" s="23">
        <f>=IF($A82="","",INDEX(tblTasks[Depend_de],ROW()-6))</f>
      </c>
      <c r="N82" s="23">
        <f>=IF($A82="","",INDEX(tblTasks[Non_negociable],ROW()-6))</f>
      </c>
      <c r="O82" s="23">
        <f>=IF($A82="","",INDEX(tblTasks[Seuil_de_reprise],ROW()-6))</f>
      </c>
      <c r="P82" s="23">
        <f>=IF($A82="","",INDEX(tblTasks[Donnee_manquante],ROW()-6))</f>
      </c>
      <c r="Q82" s="23">
        <f>=IF($A82="","",INDEX(tblTasks[Niveau_criticite],ROW()-6))</f>
      </c>
      <c r="R82" s="23">
        <f>=IF($A82="","",INDEX(tblTasks[Irreversibilite],ROW()-6))</f>
      </c>
      <c r="S82" s="23">
        <f>=IF($A82="","",INDEX(tblTasks[Decision_Emmanuel],ROW()-6))</f>
      </c>
      <c r="T82" s="24">
        <f>=IF($A82="","",INDEX(tblTasks[Commentaire_EKT],ROW()-6))</f>
      </c>
      <c r="U82" s="23">
        <f>=IF($A82="","",INDEX(tblTasks[Goulot],ROW()-6))</f>
      </c>
      <c r="V82" s="23">
        <f>=IF($A82="","",INDEX(tblTasks[Point_de_bascule],ROW()-6))</f>
      </c>
      <c r="W82" s="37">
        <f>IF($A82="","",IF(AND(OR(param_filtre_statut="tous",LOWER($F82)=LOWER(param_filtre_statut)),OR(param_filtre_agent="tous",LOWER($D82)=LOWER(param_filtre_agent),LOWER($E82)=LOWER(param_filtre_agent)),OR(param_filtre_criticite="toutes",LOWER($Q82)=LOWER(param_filtre_criticite))),"oui","non"))</f>
      </c>
      <c r="X82" s="37">
        <f>IF($A82="","",IF(OR(LOWER($F82)="bloqué",LOWER($L82)="oui"),"oui","non"))</f>
      </c>
      <c r="Y82" s="37">
        <f>IF($A82="","",IF(OR(LOWER($Q82)="critique",LOWER($U82)="oui",LOWER($V82)="oui"),"oui","non"))</f>
      </c>
      <c r="Z82" s="37">
        <f>IF($A82="","",IF(AND($S82&lt;&gt;"",LOWER($S82)&lt;&gt;"tranchée",LOWER($S82)&lt;&gt;"sans objet",LOWER($S82)&lt;&gt;"clos"),"oui","non"))</f>
      </c>
      <c r="AA82" s="37">
        <f>IF($A82="","",IF($P82&lt;&gt;"","oui","non"))</f>
      </c>
      <c r="AB82" s="37">
        <f>IF($A82="","",IF(OR(LOWER($F82)="non réouvrable",LOWER($R82)="forte"),"oui","non"))</f>
      </c>
    </row>
    <row r="83" spans="1:28" x14ac:dyDescent="0.25">
      <c r="A83" s="23">
        <f>IFERROR(INDEX(tblTasks[ID],ROW()-6),"")</f>
      </c>
      <c r="B83" s="24">
        <f>=IF($A83="","",INDEX(tblTasks[Sujet],ROW()-6))</f>
      </c>
      <c r="C83" s="23">
        <f>=IF($A83="","",INDEX(tblTasks[Lot_Domaine],ROW()-6))</f>
      </c>
      <c r="D83" s="23">
        <f>=IF($A83="","",INDEX(tblTasks[Agent_source],ROW()-6))</f>
      </c>
      <c r="E83" s="23">
        <f>=IF($A83="","",INDEX(tblTasks[Responsable],ROW()-6))</f>
      </c>
      <c r="F83" s="23">
        <f>=IF($A83="","",INDEX(tblTasks[Statut],ROW()-6))</f>
      </c>
      <c r="G83" s="25">
        <f>=IF($A83="","",INDEX(tblTasks[Date_debut_prevue],ROW()-6))</f>
      </c>
      <c r="H83" s="25">
        <f>=IF($A83="","",INDEX(tblTasks[Date_fin_prevue],ROW()-6))</f>
      </c>
      <c r="I83" s="36">
        <f>=IF($A83="","",INDEX(tblTasks[Duree_jours],ROW()-6))</f>
      </c>
      <c r="J83" s="25">
        <f>=IF($A83="","",INDEX(tblTasks[Date_debut_reelle],ROW()-6))</f>
      </c>
      <c r="K83" s="25">
        <f>=IF($A83="","",INDEX(tblTasks[Date_fin_reelle],ROW()-6))</f>
      </c>
      <c r="L83" s="23">
        <f>=IF($A83="","",INDEX(tblTasks[Blocage],ROW()-6))</f>
      </c>
      <c r="M83" s="23">
        <f>=IF($A83="","",INDEX(tblTasks[Depend_de],ROW()-6))</f>
      </c>
      <c r="N83" s="23">
        <f>=IF($A83="","",INDEX(tblTasks[Non_negociable],ROW()-6))</f>
      </c>
      <c r="O83" s="23">
        <f>=IF($A83="","",INDEX(tblTasks[Seuil_de_reprise],ROW()-6))</f>
      </c>
      <c r="P83" s="23">
        <f>=IF($A83="","",INDEX(tblTasks[Donnee_manquante],ROW()-6))</f>
      </c>
      <c r="Q83" s="23">
        <f>=IF($A83="","",INDEX(tblTasks[Niveau_criticite],ROW()-6))</f>
      </c>
      <c r="R83" s="23">
        <f>=IF($A83="","",INDEX(tblTasks[Irreversibilite],ROW()-6))</f>
      </c>
      <c r="S83" s="23">
        <f>=IF($A83="","",INDEX(tblTasks[Decision_Emmanuel],ROW()-6))</f>
      </c>
      <c r="T83" s="24">
        <f>=IF($A83="","",INDEX(tblTasks[Commentaire_EKT],ROW()-6))</f>
      </c>
      <c r="U83" s="23">
        <f>=IF($A83="","",INDEX(tblTasks[Goulot],ROW()-6))</f>
      </c>
      <c r="V83" s="23">
        <f>=IF($A83="","",INDEX(tblTasks[Point_de_bascule],ROW()-6))</f>
      </c>
      <c r="W83" s="37">
        <f>IF($A83="","",IF(AND(OR(param_filtre_statut="tous",LOWER($F83)=LOWER(param_filtre_statut)),OR(param_filtre_agent="tous",LOWER($D83)=LOWER(param_filtre_agent),LOWER($E83)=LOWER(param_filtre_agent)),OR(param_filtre_criticite="toutes",LOWER($Q83)=LOWER(param_filtre_criticite))),"oui","non"))</f>
      </c>
      <c r="X83" s="37">
        <f>IF($A83="","",IF(OR(LOWER($F83)="bloqué",LOWER($L83)="oui"),"oui","non"))</f>
      </c>
      <c r="Y83" s="37">
        <f>IF($A83="","",IF(OR(LOWER($Q83)="critique",LOWER($U83)="oui",LOWER($V83)="oui"),"oui","non"))</f>
      </c>
      <c r="Z83" s="37">
        <f>IF($A83="","",IF(AND($S83&lt;&gt;"",LOWER($S83)&lt;&gt;"tranchée",LOWER($S83)&lt;&gt;"sans objet",LOWER($S83)&lt;&gt;"clos"),"oui","non"))</f>
      </c>
      <c r="AA83" s="37">
        <f>IF($A83="","",IF($P83&lt;&gt;"","oui","non"))</f>
      </c>
      <c r="AB83" s="37">
        <f>IF($A83="","",IF(OR(LOWER($F83)="non réouvrable",LOWER($R83)="forte"),"oui","non"))</f>
      </c>
    </row>
    <row r="84" spans="1:28" x14ac:dyDescent="0.25">
      <c r="A84" s="23">
        <f>IFERROR(INDEX(tblTasks[ID],ROW()-6),"")</f>
      </c>
      <c r="B84" s="24">
        <f>=IF($A84="","",INDEX(tblTasks[Sujet],ROW()-6))</f>
      </c>
      <c r="C84" s="23">
        <f>=IF($A84="","",INDEX(tblTasks[Lot_Domaine],ROW()-6))</f>
      </c>
      <c r="D84" s="23">
        <f>=IF($A84="","",INDEX(tblTasks[Agent_source],ROW()-6))</f>
      </c>
      <c r="E84" s="23">
        <f>=IF($A84="","",INDEX(tblTasks[Responsable],ROW()-6))</f>
      </c>
      <c r="F84" s="23">
        <f>=IF($A84="","",INDEX(tblTasks[Statut],ROW()-6))</f>
      </c>
      <c r="G84" s="25">
        <f>=IF($A84="","",INDEX(tblTasks[Date_debut_prevue],ROW()-6))</f>
      </c>
      <c r="H84" s="25">
        <f>=IF($A84="","",INDEX(tblTasks[Date_fin_prevue],ROW()-6))</f>
      </c>
      <c r="I84" s="36">
        <f>=IF($A84="","",INDEX(tblTasks[Duree_jours],ROW()-6))</f>
      </c>
      <c r="J84" s="25">
        <f>=IF($A84="","",INDEX(tblTasks[Date_debut_reelle],ROW()-6))</f>
      </c>
      <c r="K84" s="25">
        <f>=IF($A84="","",INDEX(tblTasks[Date_fin_reelle],ROW()-6))</f>
      </c>
      <c r="L84" s="23">
        <f>=IF($A84="","",INDEX(tblTasks[Blocage],ROW()-6))</f>
      </c>
      <c r="M84" s="23">
        <f>=IF($A84="","",INDEX(tblTasks[Depend_de],ROW()-6))</f>
      </c>
      <c r="N84" s="23">
        <f>=IF($A84="","",INDEX(tblTasks[Non_negociable],ROW()-6))</f>
      </c>
      <c r="O84" s="23">
        <f>=IF($A84="","",INDEX(tblTasks[Seuil_de_reprise],ROW()-6))</f>
      </c>
      <c r="P84" s="23">
        <f>=IF($A84="","",INDEX(tblTasks[Donnee_manquante],ROW()-6))</f>
      </c>
      <c r="Q84" s="23">
        <f>=IF($A84="","",INDEX(tblTasks[Niveau_criticite],ROW()-6))</f>
      </c>
      <c r="R84" s="23">
        <f>=IF($A84="","",INDEX(tblTasks[Irreversibilite],ROW()-6))</f>
      </c>
      <c r="S84" s="23">
        <f>=IF($A84="","",INDEX(tblTasks[Decision_Emmanuel],ROW()-6))</f>
      </c>
      <c r="T84" s="24">
        <f>=IF($A84="","",INDEX(tblTasks[Commentaire_EKT],ROW()-6))</f>
      </c>
      <c r="U84" s="23">
        <f>=IF($A84="","",INDEX(tblTasks[Goulot],ROW()-6))</f>
      </c>
      <c r="V84" s="23">
        <f>=IF($A84="","",INDEX(tblTasks[Point_de_bascule],ROW()-6))</f>
      </c>
      <c r="W84" s="37">
        <f>IF($A84="","",IF(AND(OR(param_filtre_statut="tous",LOWER($F84)=LOWER(param_filtre_statut)),OR(param_filtre_agent="tous",LOWER($D84)=LOWER(param_filtre_agent),LOWER($E84)=LOWER(param_filtre_agent)),OR(param_filtre_criticite="toutes",LOWER($Q84)=LOWER(param_filtre_criticite))),"oui","non"))</f>
      </c>
      <c r="X84" s="37">
        <f>IF($A84="","",IF(OR(LOWER($F84)="bloqué",LOWER($L84)="oui"),"oui","non"))</f>
      </c>
      <c r="Y84" s="37">
        <f>IF($A84="","",IF(OR(LOWER($Q84)="critique",LOWER($U84)="oui",LOWER($V84)="oui"),"oui","non"))</f>
      </c>
      <c r="Z84" s="37">
        <f>IF($A84="","",IF(AND($S84&lt;&gt;"",LOWER($S84)&lt;&gt;"tranchée",LOWER($S84)&lt;&gt;"sans objet",LOWER($S84)&lt;&gt;"clos"),"oui","non"))</f>
      </c>
      <c r="AA84" s="37">
        <f>IF($A84="","",IF($P84&lt;&gt;"","oui","non"))</f>
      </c>
      <c r="AB84" s="37">
        <f>IF($A84="","",IF(OR(LOWER($F84)="non réouvrable",LOWER($R84)="forte"),"oui","non"))</f>
      </c>
    </row>
    <row r="85" spans="1:28" x14ac:dyDescent="0.25">
      <c r="A85" s="23">
        <f>IFERROR(INDEX(tblTasks[ID],ROW()-6),"")</f>
      </c>
      <c r="B85" s="24">
        <f>=IF($A85="","",INDEX(tblTasks[Sujet],ROW()-6))</f>
      </c>
      <c r="C85" s="23">
        <f>=IF($A85="","",INDEX(tblTasks[Lot_Domaine],ROW()-6))</f>
      </c>
      <c r="D85" s="23">
        <f>=IF($A85="","",INDEX(tblTasks[Agent_source],ROW()-6))</f>
      </c>
      <c r="E85" s="23">
        <f>=IF($A85="","",INDEX(tblTasks[Responsable],ROW()-6))</f>
      </c>
      <c r="F85" s="23">
        <f>=IF($A85="","",INDEX(tblTasks[Statut],ROW()-6))</f>
      </c>
      <c r="G85" s="25">
        <f>=IF($A85="","",INDEX(tblTasks[Date_debut_prevue],ROW()-6))</f>
      </c>
      <c r="H85" s="25">
        <f>=IF($A85="","",INDEX(tblTasks[Date_fin_prevue],ROW()-6))</f>
      </c>
      <c r="I85" s="36">
        <f>=IF($A85="","",INDEX(tblTasks[Duree_jours],ROW()-6))</f>
      </c>
      <c r="J85" s="25">
        <f>=IF($A85="","",INDEX(tblTasks[Date_debut_reelle],ROW()-6))</f>
      </c>
      <c r="K85" s="25">
        <f>=IF($A85="","",INDEX(tblTasks[Date_fin_reelle],ROW()-6))</f>
      </c>
      <c r="L85" s="23">
        <f>=IF($A85="","",INDEX(tblTasks[Blocage],ROW()-6))</f>
      </c>
      <c r="M85" s="23">
        <f>=IF($A85="","",INDEX(tblTasks[Depend_de],ROW()-6))</f>
      </c>
      <c r="N85" s="23">
        <f>=IF($A85="","",INDEX(tblTasks[Non_negociable],ROW()-6))</f>
      </c>
      <c r="O85" s="23">
        <f>=IF($A85="","",INDEX(tblTasks[Seuil_de_reprise],ROW()-6))</f>
      </c>
      <c r="P85" s="23">
        <f>=IF($A85="","",INDEX(tblTasks[Donnee_manquante],ROW()-6))</f>
      </c>
      <c r="Q85" s="23">
        <f>=IF($A85="","",INDEX(tblTasks[Niveau_criticite],ROW()-6))</f>
      </c>
      <c r="R85" s="23">
        <f>=IF($A85="","",INDEX(tblTasks[Irreversibilite],ROW()-6))</f>
      </c>
      <c r="S85" s="23">
        <f>=IF($A85="","",INDEX(tblTasks[Decision_Emmanuel],ROW()-6))</f>
      </c>
      <c r="T85" s="24">
        <f>=IF($A85="","",INDEX(tblTasks[Commentaire_EKT],ROW()-6))</f>
      </c>
      <c r="U85" s="23">
        <f>=IF($A85="","",INDEX(tblTasks[Goulot],ROW()-6))</f>
      </c>
      <c r="V85" s="23">
        <f>=IF($A85="","",INDEX(tblTasks[Point_de_bascule],ROW()-6))</f>
      </c>
      <c r="W85" s="37">
        <f>IF($A85="","",IF(AND(OR(param_filtre_statut="tous",LOWER($F85)=LOWER(param_filtre_statut)),OR(param_filtre_agent="tous",LOWER($D85)=LOWER(param_filtre_agent),LOWER($E85)=LOWER(param_filtre_agent)),OR(param_filtre_criticite="toutes",LOWER($Q85)=LOWER(param_filtre_criticite))),"oui","non"))</f>
      </c>
      <c r="X85" s="37">
        <f>IF($A85="","",IF(OR(LOWER($F85)="bloqué",LOWER($L85)="oui"),"oui","non"))</f>
      </c>
      <c r="Y85" s="37">
        <f>IF($A85="","",IF(OR(LOWER($Q85)="critique",LOWER($U85)="oui",LOWER($V85)="oui"),"oui","non"))</f>
      </c>
      <c r="Z85" s="37">
        <f>IF($A85="","",IF(AND($S85&lt;&gt;"",LOWER($S85)&lt;&gt;"tranchée",LOWER($S85)&lt;&gt;"sans objet",LOWER($S85)&lt;&gt;"clos"),"oui","non"))</f>
      </c>
      <c r="AA85" s="37">
        <f>IF($A85="","",IF($P85&lt;&gt;"","oui","non"))</f>
      </c>
      <c r="AB85" s="37">
        <f>IF($A85="","",IF(OR(LOWER($F85)="non réouvrable",LOWER($R85)="forte"),"oui","non"))</f>
      </c>
    </row>
    <row r="86" spans="1:28" x14ac:dyDescent="0.25">
      <c r="A86" s="23">
        <f>IFERROR(INDEX(tblTasks[ID],ROW()-6),"")</f>
      </c>
      <c r="B86" s="24">
        <f>=IF($A86="","",INDEX(tblTasks[Sujet],ROW()-6))</f>
      </c>
      <c r="C86" s="23">
        <f>=IF($A86="","",INDEX(tblTasks[Lot_Domaine],ROW()-6))</f>
      </c>
      <c r="D86" s="23">
        <f>=IF($A86="","",INDEX(tblTasks[Agent_source],ROW()-6))</f>
      </c>
      <c r="E86" s="23">
        <f>=IF($A86="","",INDEX(tblTasks[Responsable],ROW()-6))</f>
      </c>
      <c r="F86" s="23">
        <f>=IF($A86="","",INDEX(tblTasks[Statut],ROW()-6))</f>
      </c>
      <c r="G86" s="25">
        <f>=IF($A86="","",INDEX(tblTasks[Date_debut_prevue],ROW()-6))</f>
      </c>
      <c r="H86" s="25">
        <f>=IF($A86="","",INDEX(tblTasks[Date_fin_prevue],ROW()-6))</f>
      </c>
      <c r="I86" s="36">
        <f>=IF($A86="","",INDEX(tblTasks[Duree_jours],ROW()-6))</f>
      </c>
      <c r="J86" s="25">
        <f>=IF($A86="","",INDEX(tblTasks[Date_debut_reelle],ROW()-6))</f>
      </c>
      <c r="K86" s="25">
        <f>=IF($A86="","",INDEX(tblTasks[Date_fin_reelle],ROW()-6))</f>
      </c>
      <c r="L86" s="23">
        <f>=IF($A86="","",INDEX(tblTasks[Blocage],ROW()-6))</f>
      </c>
      <c r="M86" s="23">
        <f>=IF($A86="","",INDEX(tblTasks[Depend_de],ROW()-6))</f>
      </c>
      <c r="N86" s="23">
        <f>=IF($A86="","",INDEX(tblTasks[Non_negociable],ROW()-6))</f>
      </c>
      <c r="O86" s="23">
        <f>=IF($A86="","",INDEX(tblTasks[Seuil_de_reprise],ROW()-6))</f>
      </c>
      <c r="P86" s="23">
        <f>=IF($A86="","",INDEX(tblTasks[Donnee_manquante],ROW()-6))</f>
      </c>
      <c r="Q86" s="23">
        <f>=IF($A86="","",INDEX(tblTasks[Niveau_criticite],ROW()-6))</f>
      </c>
      <c r="R86" s="23">
        <f>=IF($A86="","",INDEX(tblTasks[Irreversibilite],ROW()-6))</f>
      </c>
      <c r="S86" s="23">
        <f>=IF($A86="","",INDEX(tblTasks[Decision_Emmanuel],ROW()-6))</f>
      </c>
      <c r="T86" s="24">
        <f>=IF($A86="","",INDEX(tblTasks[Commentaire_EKT],ROW()-6))</f>
      </c>
      <c r="U86" s="23">
        <f>=IF($A86="","",INDEX(tblTasks[Goulot],ROW()-6))</f>
      </c>
      <c r="V86" s="23">
        <f>=IF($A86="","",INDEX(tblTasks[Point_de_bascule],ROW()-6))</f>
      </c>
      <c r="W86" s="37">
        <f>IF($A86="","",IF(AND(OR(param_filtre_statut="tous",LOWER($F86)=LOWER(param_filtre_statut)),OR(param_filtre_agent="tous",LOWER($D86)=LOWER(param_filtre_agent),LOWER($E86)=LOWER(param_filtre_agent)),OR(param_filtre_criticite="toutes",LOWER($Q86)=LOWER(param_filtre_criticite))),"oui","non"))</f>
      </c>
      <c r="X86" s="37">
        <f>IF($A86="","",IF(OR(LOWER($F86)="bloqué",LOWER($L86)="oui"),"oui","non"))</f>
      </c>
      <c r="Y86" s="37">
        <f>IF($A86="","",IF(OR(LOWER($Q86)="critique",LOWER($U86)="oui",LOWER($V86)="oui"),"oui","non"))</f>
      </c>
      <c r="Z86" s="37">
        <f>IF($A86="","",IF(AND($S86&lt;&gt;"",LOWER($S86)&lt;&gt;"tranchée",LOWER($S86)&lt;&gt;"sans objet",LOWER($S86)&lt;&gt;"clos"),"oui","non"))</f>
      </c>
      <c r="AA86" s="37">
        <f>IF($A86="","",IF($P86&lt;&gt;"","oui","non"))</f>
      </c>
      <c r="AB86" s="37">
        <f>IF($A86="","",IF(OR(LOWER($F86)="non réouvrable",LOWER($R86)="forte"),"oui","non"))</f>
      </c>
    </row>
    <row r="87" spans="1:28" x14ac:dyDescent="0.25">
      <c r="A87" s="23">
        <f>IFERROR(INDEX(tblTasks[ID],ROW()-6),"")</f>
      </c>
      <c r="B87" s="24">
        <f>=IF($A87="","",INDEX(tblTasks[Sujet],ROW()-6))</f>
      </c>
      <c r="C87" s="23">
        <f>=IF($A87="","",INDEX(tblTasks[Lot_Domaine],ROW()-6))</f>
      </c>
      <c r="D87" s="23">
        <f>=IF($A87="","",INDEX(tblTasks[Agent_source],ROW()-6))</f>
      </c>
      <c r="E87" s="23">
        <f>=IF($A87="","",INDEX(tblTasks[Responsable],ROW()-6))</f>
      </c>
      <c r="F87" s="23">
        <f>=IF($A87="","",INDEX(tblTasks[Statut],ROW()-6))</f>
      </c>
      <c r="G87" s="25">
        <f>=IF($A87="","",INDEX(tblTasks[Date_debut_prevue],ROW()-6))</f>
      </c>
      <c r="H87" s="25">
        <f>=IF($A87="","",INDEX(tblTasks[Date_fin_prevue],ROW()-6))</f>
      </c>
      <c r="I87" s="36">
        <f>=IF($A87="","",INDEX(tblTasks[Duree_jours],ROW()-6))</f>
      </c>
      <c r="J87" s="25">
        <f>=IF($A87="","",INDEX(tblTasks[Date_debut_reelle],ROW()-6))</f>
      </c>
      <c r="K87" s="25">
        <f>=IF($A87="","",INDEX(tblTasks[Date_fin_reelle],ROW()-6))</f>
      </c>
      <c r="L87" s="23">
        <f>=IF($A87="","",INDEX(tblTasks[Blocage],ROW()-6))</f>
      </c>
      <c r="M87" s="23">
        <f>=IF($A87="","",INDEX(tblTasks[Depend_de],ROW()-6))</f>
      </c>
      <c r="N87" s="23">
        <f>=IF($A87="","",INDEX(tblTasks[Non_negociable],ROW()-6))</f>
      </c>
      <c r="O87" s="23">
        <f>=IF($A87="","",INDEX(tblTasks[Seuil_de_reprise],ROW()-6))</f>
      </c>
      <c r="P87" s="23">
        <f>=IF($A87="","",INDEX(tblTasks[Donnee_manquante],ROW()-6))</f>
      </c>
      <c r="Q87" s="23">
        <f>=IF($A87="","",INDEX(tblTasks[Niveau_criticite],ROW()-6))</f>
      </c>
      <c r="R87" s="23">
        <f>=IF($A87="","",INDEX(tblTasks[Irreversibilite],ROW()-6))</f>
      </c>
      <c r="S87" s="23">
        <f>=IF($A87="","",INDEX(tblTasks[Decision_Emmanuel],ROW()-6))</f>
      </c>
      <c r="T87" s="24">
        <f>=IF($A87="","",INDEX(tblTasks[Commentaire_EKT],ROW()-6))</f>
      </c>
      <c r="U87" s="23">
        <f>=IF($A87="","",INDEX(tblTasks[Goulot],ROW()-6))</f>
      </c>
      <c r="V87" s="23">
        <f>=IF($A87="","",INDEX(tblTasks[Point_de_bascule],ROW()-6))</f>
      </c>
      <c r="W87" s="37">
        <f>IF($A87="","",IF(AND(OR(param_filtre_statut="tous",LOWER($F87)=LOWER(param_filtre_statut)),OR(param_filtre_agent="tous",LOWER($D87)=LOWER(param_filtre_agent),LOWER($E87)=LOWER(param_filtre_agent)),OR(param_filtre_criticite="toutes",LOWER($Q87)=LOWER(param_filtre_criticite))),"oui","non"))</f>
      </c>
      <c r="X87" s="37">
        <f>IF($A87="","",IF(OR(LOWER($F87)="bloqué",LOWER($L87)="oui"),"oui","non"))</f>
      </c>
      <c r="Y87" s="37">
        <f>IF($A87="","",IF(OR(LOWER($Q87)="critique",LOWER($U87)="oui",LOWER($V87)="oui"),"oui","non"))</f>
      </c>
      <c r="Z87" s="37">
        <f>IF($A87="","",IF(AND($S87&lt;&gt;"",LOWER($S87)&lt;&gt;"tranchée",LOWER($S87)&lt;&gt;"sans objet",LOWER($S87)&lt;&gt;"clos"),"oui","non"))</f>
      </c>
      <c r="AA87" s="37">
        <f>IF($A87="","",IF($P87&lt;&gt;"","oui","non"))</f>
      </c>
      <c r="AB87" s="37">
        <f>IF($A87="","",IF(OR(LOWER($F87)="non réouvrable",LOWER($R87)="forte"),"oui","non"))</f>
      </c>
    </row>
    <row r="88" spans="1:28" x14ac:dyDescent="0.25">
      <c r="A88" s="23">
        <f>IFERROR(INDEX(tblTasks[ID],ROW()-6),"")</f>
      </c>
      <c r="B88" s="24">
        <f>=IF($A88="","",INDEX(tblTasks[Sujet],ROW()-6))</f>
      </c>
      <c r="C88" s="23">
        <f>=IF($A88="","",INDEX(tblTasks[Lot_Domaine],ROW()-6))</f>
      </c>
      <c r="D88" s="23">
        <f>=IF($A88="","",INDEX(tblTasks[Agent_source],ROW()-6))</f>
      </c>
      <c r="E88" s="23">
        <f>=IF($A88="","",INDEX(tblTasks[Responsable],ROW()-6))</f>
      </c>
      <c r="F88" s="23">
        <f>=IF($A88="","",INDEX(tblTasks[Statut],ROW()-6))</f>
      </c>
      <c r="G88" s="25">
        <f>=IF($A88="","",INDEX(tblTasks[Date_debut_prevue],ROW()-6))</f>
      </c>
      <c r="H88" s="25">
        <f>=IF($A88="","",INDEX(tblTasks[Date_fin_prevue],ROW()-6))</f>
      </c>
      <c r="I88" s="36">
        <f>=IF($A88="","",INDEX(tblTasks[Duree_jours],ROW()-6))</f>
      </c>
      <c r="J88" s="25">
        <f>=IF($A88="","",INDEX(tblTasks[Date_debut_reelle],ROW()-6))</f>
      </c>
      <c r="K88" s="25">
        <f>=IF($A88="","",INDEX(tblTasks[Date_fin_reelle],ROW()-6))</f>
      </c>
      <c r="L88" s="23">
        <f>=IF($A88="","",INDEX(tblTasks[Blocage],ROW()-6))</f>
      </c>
      <c r="M88" s="23">
        <f>=IF($A88="","",INDEX(tblTasks[Depend_de],ROW()-6))</f>
      </c>
      <c r="N88" s="23">
        <f>=IF($A88="","",INDEX(tblTasks[Non_negociable],ROW()-6))</f>
      </c>
      <c r="O88" s="23">
        <f>=IF($A88="","",INDEX(tblTasks[Seuil_de_reprise],ROW()-6))</f>
      </c>
      <c r="P88" s="23">
        <f>=IF($A88="","",INDEX(tblTasks[Donnee_manquante],ROW()-6))</f>
      </c>
      <c r="Q88" s="23">
        <f>=IF($A88="","",INDEX(tblTasks[Niveau_criticite],ROW()-6))</f>
      </c>
      <c r="R88" s="23">
        <f>=IF($A88="","",INDEX(tblTasks[Irreversibilite],ROW()-6))</f>
      </c>
      <c r="S88" s="23">
        <f>=IF($A88="","",INDEX(tblTasks[Decision_Emmanuel],ROW()-6))</f>
      </c>
      <c r="T88" s="24">
        <f>=IF($A88="","",INDEX(tblTasks[Commentaire_EKT],ROW()-6))</f>
      </c>
      <c r="U88" s="23">
        <f>=IF($A88="","",INDEX(tblTasks[Goulot],ROW()-6))</f>
      </c>
      <c r="V88" s="23">
        <f>=IF($A88="","",INDEX(tblTasks[Point_de_bascule],ROW()-6))</f>
      </c>
      <c r="W88" s="37">
        <f>IF($A88="","",IF(AND(OR(param_filtre_statut="tous",LOWER($F88)=LOWER(param_filtre_statut)),OR(param_filtre_agent="tous",LOWER($D88)=LOWER(param_filtre_agent),LOWER($E88)=LOWER(param_filtre_agent)),OR(param_filtre_criticite="toutes",LOWER($Q88)=LOWER(param_filtre_criticite))),"oui","non"))</f>
      </c>
      <c r="X88" s="37">
        <f>IF($A88="","",IF(OR(LOWER($F88)="bloqué",LOWER($L88)="oui"),"oui","non"))</f>
      </c>
      <c r="Y88" s="37">
        <f>IF($A88="","",IF(OR(LOWER($Q88)="critique",LOWER($U88)="oui",LOWER($V88)="oui"),"oui","non"))</f>
      </c>
      <c r="Z88" s="37">
        <f>IF($A88="","",IF(AND($S88&lt;&gt;"",LOWER($S88)&lt;&gt;"tranchée",LOWER($S88)&lt;&gt;"sans objet",LOWER($S88)&lt;&gt;"clos"),"oui","non"))</f>
      </c>
      <c r="AA88" s="37">
        <f>IF($A88="","",IF($P88&lt;&gt;"","oui","non"))</f>
      </c>
      <c r="AB88" s="37">
        <f>IF($A88="","",IF(OR(LOWER($F88)="non réouvrable",LOWER($R88)="forte"),"oui","non"))</f>
      </c>
    </row>
    <row r="89" spans="1:28" x14ac:dyDescent="0.25">
      <c r="A89" s="23">
        <f>IFERROR(INDEX(tblTasks[ID],ROW()-6),"")</f>
      </c>
      <c r="B89" s="24">
        <f>=IF($A89="","",INDEX(tblTasks[Sujet],ROW()-6))</f>
      </c>
      <c r="C89" s="23">
        <f>=IF($A89="","",INDEX(tblTasks[Lot_Domaine],ROW()-6))</f>
      </c>
      <c r="D89" s="23">
        <f>=IF($A89="","",INDEX(tblTasks[Agent_source],ROW()-6))</f>
      </c>
      <c r="E89" s="23">
        <f>=IF($A89="","",INDEX(tblTasks[Responsable],ROW()-6))</f>
      </c>
      <c r="F89" s="23">
        <f>=IF($A89="","",INDEX(tblTasks[Statut],ROW()-6))</f>
      </c>
      <c r="G89" s="25">
        <f>=IF($A89="","",INDEX(tblTasks[Date_debut_prevue],ROW()-6))</f>
      </c>
      <c r="H89" s="25">
        <f>=IF($A89="","",INDEX(tblTasks[Date_fin_prevue],ROW()-6))</f>
      </c>
      <c r="I89" s="36">
        <f>=IF($A89="","",INDEX(tblTasks[Duree_jours],ROW()-6))</f>
      </c>
      <c r="J89" s="25">
        <f>=IF($A89="","",INDEX(tblTasks[Date_debut_reelle],ROW()-6))</f>
      </c>
      <c r="K89" s="25">
        <f>=IF($A89="","",INDEX(tblTasks[Date_fin_reelle],ROW()-6))</f>
      </c>
      <c r="L89" s="23">
        <f>=IF($A89="","",INDEX(tblTasks[Blocage],ROW()-6))</f>
      </c>
      <c r="M89" s="23">
        <f>=IF($A89="","",INDEX(tblTasks[Depend_de],ROW()-6))</f>
      </c>
      <c r="N89" s="23">
        <f>=IF($A89="","",INDEX(tblTasks[Non_negociable],ROW()-6))</f>
      </c>
      <c r="O89" s="23">
        <f>=IF($A89="","",INDEX(tblTasks[Seuil_de_reprise],ROW()-6))</f>
      </c>
      <c r="P89" s="23">
        <f>=IF($A89="","",INDEX(tblTasks[Donnee_manquante],ROW()-6))</f>
      </c>
      <c r="Q89" s="23">
        <f>=IF($A89="","",INDEX(tblTasks[Niveau_criticite],ROW()-6))</f>
      </c>
      <c r="R89" s="23">
        <f>=IF($A89="","",INDEX(tblTasks[Irreversibilite],ROW()-6))</f>
      </c>
      <c r="S89" s="23">
        <f>=IF($A89="","",INDEX(tblTasks[Decision_Emmanuel],ROW()-6))</f>
      </c>
      <c r="T89" s="24">
        <f>=IF($A89="","",INDEX(tblTasks[Commentaire_EKT],ROW()-6))</f>
      </c>
      <c r="U89" s="23">
        <f>=IF($A89="","",INDEX(tblTasks[Goulot],ROW()-6))</f>
      </c>
      <c r="V89" s="23">
        <f>=IF($A89="","",INDEX(tblTasks[Point_de_bascule],ROW()-6))</f>
      </c>
      <c r="W89" s="37">
        <f>IF($A89="","",IF(AND(OR(param_filtre_statut="tous",LOWER($F89)=LOWER(param_filtre_statut)),OR(param_filtre_agent="tous",LOWER($D89)=LOWER(param_filtre_agent),LOWER($E89)=LOWER(param_filtre_agent)),OR(param_filtre_criticite="toutes",LOWER($Q89)=LOWER(param_filtre_criticite))),"oui","non"))</f>
      </c>
      <c r="X89" s="37">
        <f>IF($A89="","",IF(OR(LOWER($F89)="bloqué",LOWER($L89)="oui"),"oui","non"))</f>
      </c>
      <c r="Y89" s="37">
        <f>IF($A89="","",IF(OR(LOWER($Q89)="critique",LOWER($U89)="oui",LOWER($V89)="oui"),"oui","non"))</f>
      </c>
      <c r="Z89" s="37">
        <f>IF($A89="","",IF(AND($S89&lt;&gt;"",LOWER($S89)&lt;&gt;"tranchée",LOWER($S89)&lt;&gt;"sans objet",LOWER($S89)&lt;&gt;"clos"),"oui","non"))</f>
      </c>
      <c r="AA89" s="37">
        <f>IF($A89="","",IF($P89&lt;&gt;"","oui","non"))</f>
      </c>
      <c r="AB89" s="37">
        <f>IF($A89="","",IF(OR(LOWER($F89)="non réouvrable",LOWER($R89)="forte"),"oui","non"))</f>
      </c>
    </row>
    <row r="90" spans="1:28" x14ac:dyDescent="0.25">
      <c r="A90" s="23">
        <f>IFERROR(INDEX(tblTasks[ID],ROW()-6),"")</f>
      </c>
      <c r="B90" s="24">
        <f>=IF($A90="","",INDEX(tblTasks[Sujet],ROW()-6))</f>
      </c>
      <c r="C90" s="23">
        <f>=IF($A90="","",INDEX(tblTasks[Lot_Domaine],ROW()-6))</f>
      </c>
      <c r="D90" s="23">
        <f>=IF($A90="","",INDEX(tblTasks[Agent_source],ROW()-6))</f>
      </c>
      <c r="E90" s="23">
        <f>=IF($A90="","",INDEX(tblTasks[Responsable],ROW()-6))</f>
      </c>
      <c r="F90" s="23">
        <f>=IF($A90="","",INDEX(tblTasks[Statut],ROW()-6))</f>
      </c>
      <c r="G90" s="25">
        <f>=IF($A90="","",INDEX(tblTasks[Date_debut_prevue],ROW()-6))</f>
      </c>
      <c r="H90" s="25">
        <f>=IF($A90="","",INDEX(tblTasks[Date_fin_prevue],ROW()-6))</f>
      </c>
      <c r="I90" s="36">
        <f>=IF($A90="","",INDEX(tblTasks[Duree_jours],ROW()-6))</f>
      </c>
      <c r="J90" s="25">
        <f>=IF($A90="","",INDEX(tblTasks[Date_debut_reelle],ROW()-6))</f>
      </c>
      <c r="K90" s="25">
        <f>=IF($A90="","",INDEX(tblTasks[Date_fin_reelle],ROW()-6))</f>
      </c>
      <c r="L90" s="23">
        <f>=IF($A90="","",INDEX(tblTasks[Blocage],ROW()-6))</f>
      </c>
      <c r="M90" s="23">
        <f>=IF($A90="","",INDEX(tblTasks[Depend_de],ROW()-6))</f>
      </c>
      <c r="N90" s="23">
        <f>=IF($A90="","",INDEX(tblTasks[Non_negociable],ROW()-6))</f>
      </c>
      <c r="O90" s="23">
        <f>=IF($A90="","",INDEX(tblTasks[Seuil_de_reprise],ROW()-6))</f>
      </c>
      <c r="P90" s="23">
        <f>=IF($A90="","",INDEX(tblTasks[Donnee_manquante],ROW()-6))</f>
      </c>
      <c r="Q90" s="23">
        <f>=IF($A90="","",INDEX(tblTasks[Niveau_criticite],ROW()-6))</f>
      </c>
      <c r="R90" s="23">
        <f>=IF($A90="","",INDEX(tblTasks[Irreversibilite],ROW()-6))</f>
      </c>
      <c r="S90" s="23">
        <f>=IF($A90="","",INDEX(tblTasks[Decision_Emmanuel],ROW()-6))</f>
      </c>
      <c r="T90" s="24">
        <f>=IF($A90="","",INDEX(tblTasks[Commentaire_EKT],ROW()-6))</f>
      </c>
      <c r="U90" s="23">
        <f>=IF($A90="","",INDEX(tblTasks[Goulot],ROW()-6))</f>
      </c>
      <c r="V90" s="23">
        <f>=IF($A90="","",INDEX(tblTasks[Point_de_bascule],ROW()-6))</f>
      </c>
      <c r="W90" s="37">
        <f>IF($A90="","",IF(AND(OR(param_filtre_statut="tous",LOWER($F90)=LOWER(param_filtre_statut)),OR(param_filtre_agent="tous",LOWER($D90)=LOWER(param_filtre_agent),LOWER($E90)=LOWER(param_filtre_agent)),OR(param_filtre_criticite="toutes",LOWER($Q90)=LOWER(param_filtre_criticite))),"oui","non"))</f>
      </c>
      <c r="X90" s="37">
        <f>IF($A90="","",IF(OR(LOWER($F90)="bloqué",LOWER($L90)="oui"),"oui","non"))</f>
      </c>
      <c r="Y90" s="37">
        <f>IF($A90="","",IF(OR(LOWER($Q90)="critique",LOWER($U90)="oui",LOWER($V90)="oui"),"oui","non"))</f>
      </c>
      <c r="Z90" s="37">
        <f>IF($A90="","",IF(AND($S90&lt;&gt;"",LOWER($S90)&lt;&gt;"tranchée",LOWER($S90)&lt;&gt;"sans objet",LOWER($S90)&lt;&gt;"clos"),"oui","non"))</f>
      </c>
      <c r="AA90" s="37">
        <f>IF($A90="","",IF($P90&lt;&gt;"","oui","non"))</f>
      </c>
      <c r="AB90" s="37">
        <f>IF($A90="","",IF(OR(LOWER($F90)="non réouvrable",LOWER($R90)="forte"),"oui","non"))</f>
      </c>
    </row>
    <row r="91" spans="1:28" x14ac:dyDescent="0.25">
      <c r="A91" s="23">
        <f>IFERROR(INDEX(tblTasks[ID],ROW()-6),"")</f>
      </c>
      <c r="B91" s="24">
        <f>=IF($A91="","",INDEX(tblTasks[Sujet],ROW()-6))</f>
      </c>
      <c r="C91" s="23">
        <f>=IF($A91="","",INDEX(tblTasks[Lot_Domaine],ROW()-6))</f>
      </c>
      <c r="D91" s="23">
        <f>=IF($A91="","",INDEX(tblTasks[Agent_source],ROW()-6))</f>
      </c>
      <c r="E91" s="23">
        <f>=IF($A91="","",INDEX(tblTasks[Responsable],ROW()-6))</f>
      </c>
      <c r="F91" s="23">
        <f>=IF($A91="","",INDEX(tblTasks[Statut],ROW()-6))</f>
      </c>
      <c r="G91" s="25">
        <f>=IF($A91="","",INDEX(tblTasks[Date_debut_prevue],ROW()-6))</f>
      </c>
      <c r="H91" s="25">
        <f>=IF($A91="","",INDEX(tblTasks[Date_fin_prevue],ROW()-6))</f>
      </c>
      <c r="I91" s="36">
        <f>=IF($A91="","",INDEX(tblTasks[Duree_jours],ROW()-6))</f>
      </c>
      <c r="J91" s="25">
        <f>=IF($A91="","",INDEX(tblTasks[Date_debut_reelle],ROW()-6))</f>
      </c>
      <c r="K91" s="25">
        <f>=IF($A91="","",INDEX(tblTasks[Date_fin_reelle],ROW()-6))</f>
      </c>
      <c r="L91" s="23">
        <f>=IF($A91="","",INDEX(tblTasks[Blocage],ROW()-6))</f>
      </c>
      <c r="M91" s="23">
        <f>=IF($A91="","",INDEX(tblTasks[Depend_de],ROW()-6))</f>
      </c>
      <c r="N91" s="23">
        <f>=IF($A91="","",INDEX(tblTasks[Non_negociable],ROW()-6))</f>
      </c>
      <c r="O91" s="23">
        <f>=IF($A91="","",INDEX(tblTasks[Seuil_de_reprise],ROW()-6))</f>
      </c>
      <c r="P91" s="23">
        <f>=IF($A91="","",INDEX(tblTasks[Donnee_manquante],ROW()-6))</f>
      </c>
      <c r="Q91" s="23">
        <f>=IF($A91="","",INDEX(tblTasks[Niveau_criticite],ROW()-6))</f>
      </c>
      <c r="R91" s="23">
        <f>=IF($A91="","",INDEX(tblTasks[Irreversibilite],ROW()-6))</f>
      </c>
      <c r="S91" s="23">
        <f>=IF($A91="","",INDEX(tblTasks[Decision_Emmanuel],ROW()-6))</f>
      </c>
      <c r="T91" s="24">
        <f>=IF($A91="","",INDEX(tblTasks[Commentaire_EKT],ROW()-6))</f>
      </c>
      <c r="U91" s="23">
        <f>=IF($A91="","",INDEX(tblTasks[Goulot],ROW()-6))</f>
      </c>
      <c r="V91" s="23">
        <f>=IF($A91="","",INDEX(tblTasks[Point_de_bascule],ROW()-6))</f>
      </c>
      <c r="W91" s="37">
        <f>IF($A91="","",IF(AND(OR(param_filtre_statut="tous",LOWER($F91)=LOWER(param_filtre_statut)),OR(param_filtre_agent="tous",LOWER($D91)=LOWER(param_filtre_agent),LOWER($E91)=LOWER(param_filtre_agent)),OR(param_filtre_criticite="toutes",LOWER($Q91)=LOWER(param_filtre_criticite))),"oui","non"))</f>
      </c>
      <c r="X91" s="37">
        <f>IF($A91="","",IF(OR(LOWER($F91)="bloqué",LOWER($L91)="oui"),"oui","non"))</f>
      </c>
      <c r="Y91" s="37">
        <f>IF($A91="","",IF(OR(LOWER($Q91)="critique",LOWER($U91)="oui",LOWER($V91)="oui"),"oui","non"))</f>
      </c>
      <c r="Z91" s="37">
        <f>IF($A91="","",IF(AND($S91&lt;&gt;"",LOWER($S91)&lt;&gt;"tranchée",LOWER($S91)&lt;&gt;"sans objet",LOWER($S91)&lt;&gt;"clos"),"oui","non"))</f>
      </c>
      <c r="AA91" s="37">
        <f>IF($A91="","",IF($P91&lt;&gt;"","oui","non"))</f>
      </c>
      <c r="AB91" s="37">
        <f>IF($A91="","",IF(OR(LOWER($F91)="non réouvrable",LOWER($R91)="forte"),"oui","non"))</f>
      </c>
    </row>
    <row r="92" spans="1:28" x14ac:dyDescent="0.25">
      <c r="A92" s="23">
        <f>IFERROR(INDEX(tblTasks[ID],ROW()-6),"")</f>
      </c>
      <c r="B92" s="24">
        <f>=IF($A92="","",INDEX(tblTasks[Sujet],ROW()-6))</f>
      </c>
      <c r="C92" s="23">
        <f>=IF($A92="","",INDEX(tblTasks[Lot_Domaine],ROW()-6))</f>
      </c>
      <c r="D92" s="23">
        <f>=IF($A92="","",INDEX(tblTasks[Agent_source],ROW()-6))</f>
      </c>
      <c r="E92" s="23">
        <f>=IF($A92="","",INDEX(tblTasks[Responsable],ROW()-6))</f>
      </c>
      <c r="F92" s="23">
        <f>=IF($A92="","",INDEX(tblTasks[Statut],ROW()-6))</f>
      </c>
      <c r="G92" s="25">
        <f>=IF($A92="","",INDEX(tblTasks[Date_debut_prevue],ROW()-6))</f>
      </c>
      <c r="H92" s="25">
        <f>=IF($A92="","",INDEX(tblTasks[Date_fin_prevue],ROW()-6))</f>
      </c>
      <c r="I92" s="36">
        <f>=IF($A92="","",INDEX(tblTasks[Duree_jours],ROW()-6))</f>
      </c>
      <c r="J92" s="25">
        <f>=IF($A92="","",INDEX(tblTasks[Date_debut_reelle],ROW()-6))</f>
      </c>
      <c r="K92" s="25">
        <f>=IF($A92="","",INDEX(tblTasks[Date_fin_reelle],ROW()-6))</f>
      </c>
      <c r="L92" s="23">
        <f>=IF($A92="","",INDEX(tblTasks[Blocage],ROW()-6))</f>
      </c>
      <c r="M92" s="23">
        <f>=IF($A92="","",INDEX(tblTasks[Depend_de],ROW()-6))</f>
      </c>
      <c r="N92" s="23">
        <f>=IF($A92="","",INDEX(tblTasks[Non_negociable],ROW()-6))</f>
      </c>
      <c r="O92" s="23">
        <f>=IF($A92="","",INDEX(tblTasks[Seuil_de_reprise],ROW()-6))</f>
      </c>
      <c r="P92" s="23">
        <f>=IF($A92="","",INDEX(tblTasks[Donnee_manquante],ROW()-6))</f>
      </c>
      <c r="Q92" s="23">
        <f>=IF($A92="","",INDEX(tblTasks[Niveau_criticite],ROW()-6))</f>
      </c>
      <c r="R92" s="23">
        <f>=IF($A92="","",INDEX(tblTasks[Irreversibilite],ROW()-6))</f>
      </c>
      <c r="S92" s="23">
        <f>=IF($A92="","",INDEX(tblTasks[Decision_Emmanuel],ROW()-6))</f>
      </c>
      <c r="T92" s="24">
        <f>=IF($A92="","",INDEX(tblTasks[Commentaire_EKT],ROW()-6))</f>
      </c>
      <c r="U92" s="23">
        <f>=IF($A92="","",INDEX(tblTasks[Goulot],ROW()-6))</f>
      </c>
      <c r="V92" s="23">
        <f>=IF($A92="","",INDEX(tblTasks[Point_de_bascule],ROW()-6))</f>
      </c>
      <c r="W92" s="37">
        <f>IF($A92="","",IF(AND(OR(param_filtre_statut="tous",LOWER($F92)=LOWER(param_filtre_statut)),OR(param_filtre_agent="tous",LOWER($D92)=LOWER(param_filtre_agent),LOWER($E92)=LOWER(param_filtre_agent)),OR(param_filtre_criticite="toutes",LOWER($Q92)=LOWER(param_filtre_criticite))),"oui","non"))</f>
      </c>
      <c r="X92" s="37">
        <f>IF($A92="","",IF(OR(LOWER($F92)="bloqué",LOWER($L92)="oui"),"oui","non"))</f>
      </c>
      <c r="Y92" s="37">
        <f>IF($A92="","",IF(OR(LOWER($Q92)="critique",LOWER($U92)="oui",LOWER($V92)="oui"),"oui","non"))</f>
      </c>
      <c r="Z92" s="37">
        <f>IF($A92="","",IF(AND($S92&lt;&gt;"",LOWER($S92)&lt;&gt;"tranchée",LOWER($S92)&lt;&gt;"sans objet",LOWER($S92)&lt;&gt;"clos"),"oui","non"))</f>
      </c>
      <c r="AA92" s="37">
        <f>IF($A92="","",IF($P92&lt;&gt;"","oui","non"))</f>
      </c>
      <c r="AB92" s="37">
        <f>IF($A92="","",IF(OR(LOWER($F92)="non réouvrable",LOWER($R92)="forte"),"oui","non"))</f>
      </c>
    </row>
    <row r="93" spans="1:28" x14ac:dyDescent="0.25">
      <c r="A93" s="23">
        <f>IFERROR(INDEX(tblTasks[ID],ROW()-6),"")</f>
      </c>
      <c r="B93" s="24">
        <f>=IF($A93="","",INDEX(tblTasks[Sujet],ROW()-6))</f>
      </c>
      <c r="C93" s="23">
        <f>=IF($A93="","",INDEX(tblTasks[Lot_Domaine],ROW()-6))</f>
      </c>
      <c r="D93" s="23">
        <f>=IF($A93="","",INDEX(tblTasks[Agent_source],ROW()-6))</f>
      </c>
      <c r="E93" s="23">
        <f>=IF($A93="","",INDEX(tblTasks[Responsable],ROW()-6))</f>
      </c>
      <c r="F93" s="23">
        <f>=IF($A93="","",INDEX(tblTasks[Statut],ROW()-6))</f>
      </c>
      <c r="G93" s="25">
        <f>=IF($A93="","",INDEX(tblTasks[Date_debut_prevue],ROW()-6))</f>
      </c>
      <c r="H93" s="25">
        <f>=IF($A93="","",INDEX(tblTasks[Date_fin_prevue],ROW()-6))</f>
      </c>
      <c r="I93" s="36">
        <f>=IF($A93="","",INDEX(tblTasks[Duree_jours],ROW()-6))</f>
      </c>
      <c r="J93" s="25">
        <f>=IF($A93="","",INDEX(tblTasks[Date_debut_reelle],ROW()-6))</f>
      </c>
      <c r="K93" s="25">
        <f>=IF($A93="","",INDEX(tblTasks[Date_fin_reelle],ROW()-6))</f>
      </c>
      <c r="L93" s="23">
        <f>=IF($A93="","",INDEX(tblTasks[Blocage],ROW()-6))</f>
      </c>
      <c r="M93" s="23">
        <f>=IF($A93="","",INDEX(tblTasks[Depend_de],ROW()-6))</f>
      </c>
      <c r="N93" s="23">
        <f>=IF($A93="","",INDEX(tblTasks[Non_negociable],ROW()-6))</f>
      </c>
      <c r="O93" s="23">
        <f>=IF($A93="","",INDEX(tblTasks[Seuil_de_reprise],ROW()-6))</f>
      </c>
      <c r="P93" s="23">
        <f>=IF($A93="","",INDEX(tblTasks[Donnee_manquante],ROW()-6))</f>
      </c>
      <c r="Q93" s="23">
        <f>=IF($A93="","",INDEX(tblTasks[Niveau_criticite],ROW()-6))</f>
      </c>
      <c r="R93" s="23">
        <f>=IF($A93="","",INDEX(tblTasks[Irreversibilite],ROW()-6))</f>
      </c>
      <c r="S93" s="23">
        <f>=IF($A93="","",INDEX(tblTasks[Decision_Emmanuel],ROW()-6))</f>
      </c>
      <c r="T93" s="24">
        <f>=IF($A93="","",INDEX(tblTasks[Commentaire_EKT],ROW()-6))</f>
      </c>
      <c r="U93" s="23">
        <f>=IF($A93="","",INDEX(tblTasks[Goulot],ROW()-6))</f>
      </c>
      <c r="V93" s="23">
        <f>=IF($A93="","",INDEX(tblTasks[Point_de_bascule],ROW()-6))</f>
      </c>
      <c r="W93" s="37">
        <f>IF($A93="","",IF(AND(OR(param_filtre_statut="tous",LOWER($F93)=LOWER(param_filtre_statut)),OR(param_filtre_agent="tous",LOWER($D93)=LOWER(param_filtre_agent),LOWER($E93)=LOWER(param_filtre_agent)),OR(param_filtre_criticite="toutes",LOWER($Q93)=LOWER(param_filtre_criticite))),"oui","non"))</f>
      </c>
      <c r="X93" s="37">
        <f>IF($A93="","",IF(OR(LOWER($F93)="bloqué",LOWER($L93)="oui"),"oui","non"))</f>
      </c>
      <c r="Y93" s="37">
        <f>IF($A93="","",IF(OR(LOWER($Q93)="critique",LOWER($U93)="oui",LOWER($V93)="oui"),"oui","non"))</f>
      </c>
      <c r="Z93" s="37">
        <f>IF($A93="","",IF(AND($S93&lt;&gt;"",LOWER($S93)&lt;&gt;"tranchée",LOWER($S93)&lt;&gt;"sans objet",LOWER($S93)&lt;&gt;"clos"),"oui","non"))</f>
      </c>
      <c r="AA93" s="37">
        <f>IF($A93="","",IF($P93&lt;&gt;"","oui","non"))</f>
      </c>
      <c r="AB93" s="37">
        <f>IF($A93="","",IF(OR(LOWER($F93)="non réouvrable",LOWER($R93)="forte"),"oui","non"))</f>
      </c>
    </row>
    <row r="94" spans="1:28" x14ac:dyDescent="0.25">
      <c r="A94" s="23">
        <f>IFERROR(INDEX(tblTasks[ID],ROW()-6),"")</f>
      </c>
      <c r="B94" s="24">
        <f>=IF($A94="","",INDEX(tblTasks[Sujet],ROW()-6))</f>
      </c>
      <c r="C94" s="23">
        <f>=IF($A94="","",INDEX(tblTasks[Lot_Domaine],ROW()-6))</f>
      </c>
      <c r="D94" s="23">
        <f>=IF($A94="","",INDEX(tblTasks[Agent_source],ROW()-6))</f>
      </c>
      <c r="E94" s="23">
        <f>=IF($A94="","",INDEX(tblTasks[Responsable],ROW()-6))</f>
      </c>
      <c r="F94" s="23">
        <f>=IF($A94="","",INDEX(tblTasks[Statut],ROW()-6))</f>
      </c>
      <c r="G94" s="25">
        <f>=IF($A94="","",INDEX(tblTasks[Date_debut_prevue],ROW()-6))</f>
      </c>
      <c r="H94" s="25">
        <f>=IF($A94="","",INDEX(tblTasks[Date_fin_prevue],ROW()-6))</f>
      </c>
      <c r="I94" s="36">
        <f>=IF($A94="","",INDEX(tblTasks[Duree_jours],ROW()-6))</f>
      </c>
      <c r="J94" s="25">
        <f>=IF($A94="","",INDEX(tblTasks[Date_debut_reelle],ROW()-6))</f>
      </c>
      <c r="K94" s="25">
        <f>=IF($A94="","",INDEX(tblTasks[Date_fin_reelle],ROW()-6))</f>
      </c>
      <c r="L94" s="23">
        <f>=IF($A94="","",INDEX(tblTasks[Blocage],ROW()-6))</f>
      </c>
      <c r="M94" s="23">
        <f>=IF($A94="","",INDEX(tblTasks[Depend_de],ROW()-6))</f>
      </c>
      <c r="N94" s="23">
        <f>=IF($A94="","",INDEX(tblTasks[Non_negociable],ROW()-6))</f>
      </c>
      <c r="O94" s="23">
        <f>=IF($A94="","",INDEX(tblTasks[Seuil_de_reprise],ROW()-6))</f>
      </c>
      <c r="P94" s="23">
        <f>=IF($A94="","",INDEX(tblTasks[Donnee_manquante],ROW()-6))</f>
      </c>
      <c r="Q94" s="23">
        <f>=IF($A94="","",INDEX(tblTasks[Niveau_criticite],ROW()-6))</f>
      </c>
      <c r="R94" s="23">
        <f>=IF($A94="","",INDEX(tblTasks[Irreversibilite],ROW()-6))</f>
      </c>
      <c r="S94" s="23">
        <f>=IF($A94="","",INDEX(tblTasks[Decision_Emmanuel],ROW()-6))</f>
      </c>
      <c r="T94" s="24">
        <f>=IF($A94="","",INDEX(tblTasks[Commentaire_EKT],ROW()-6))</f>
      </c>
      <c r="U94" s="23">
        <f>=IF($A94="","",INDEX(tblTasks[Goulot],ROW()-6))</f>
      </c>
      <c r="V94" s="23">
        <f>=IF($A94="","",INDEX(tblTasks[Point_de_bascule],ROW()-6))</f>
      </c>
      <c r="W94" s="37">
        <f>IF($A94="","",IF(AND(OR(param_filtre_statut="tous",LOWER($F94)=LOWER(param_filtre_statut)),OR(param_filtre_agent="tous",LOWER($D94)=LOWER(param_filtre_agent),LOWER($E94)=LOWER(param_filtre_agent)),OR(param_filtre_criticite="toutes",LOWER($Q94)=LOWER(param_filtre_criticite))),"oui","non"))</f>
      </c>
      <c r="X94" s="37">
        <f>IF($A94="","",IF(OR(LOWER($F94)="bloqué",LOWER($L94)="oui"),"oui","non"))</f>
      </c>
      <c r="Y94" s="37">
        <f>IF($A94="","",IF(OR(LOWER($Q94)="critique",LOWER($U94)="oui",LOWER($V94)="oui"),"oui","non"))</f>
      </c>
      <c r="Z94" s="37">
        <f>IF($A94="","",IF(AND($S94&lt;&gt;"",LOWER($S94)&lt;&gt;"tranchée",LOWER($S94)&lt;&gt;"sans objet",LOWER($S94)&lt;&gt;"clos"),"oui","non"))</f>
      </c>
      <c r="AA94" s="37">
        <f>IF($A94="","",IF($P94&lt;&gt;"","oui","non"))</f>
      </c>
      <c r="AB94" s="37">
        <f>IF($A94="","",IF(OR(LOWER($F94)="non réouvrable",LOWER($R94)="forte"),"oui","non"))</f>
      </c>
    </row>
    <row r="95" spans="1:28" x14ac:dyDescent="0.25">
      <c r="A95" s="23">
        <f>IFERROR(INDEX(tblTasks[ID],ROW()-6),"")</f>
      </c>
      <c r="B95" s="24">
        <f>=IF($A95="","",INDEX(tblTasks[Sujet],ROW()-6))</f>
      </c>
      <c r="C95" s="23">
        <f>=IF($A95="","",INDEX(tblTasks[Lot_Domaine],ROW()-6))</f>
      </c>
      <c r="D95" s="23">
        <f>=IF($A95="","",INDEX(tblTasks[Agent_source],ROW()-6))</f>
      </c>
      <c r="E95" s="23">
        <f>=IF($A95="","",INDEX(tblTasks[Responsable],ROW()-6))</f>
      </c>
      <c r="F95" s="23">
        <f>=IF($A95="","",INDEX(tblTasks[Statut],ROW()-6))</f>
      </c>
      <c r="G95" s="25">
        <f>=IF($A95="","",INDEX(tblTasks[Date_debut_prevue],ROW()-6))</f>
      </c>
      <c r="H95" s="25">
        <f>=IF($A95="","",INDEX(tblTasks[Date_fin_prevue],ROW()-6))</f>
      </c>
      <c r="I95" s="36">
        <f>=IF($A95="","",INDEX(tblTasks[Duree_jours],ROW()-6))</f>
      </c>
      <c r="J95" s="25">
        <f>=IF($A95="","",INDEX(tblTasks[Date_debut_reelle],ROW()-6))</f>
      </c>
      <c r="K95" s="25">
        <f>=IF($A95="","",INDEX(tblTasks[Date_fin_reelle],ROW()-6))</f>
      </c>
      <c r="L95" s="23">
        <f>=IF($A95="","",INDEX(tblTasks[Blocage],ROW()-6))</f>
      </c>
      <c r="M95" s="23">
        <f>=IF($A95="","",INDEX(tblTasks[Depend_de],ROW()-6))</f>
      </c>
      <c r="N95" s="23">
        <f>=IF($A95="","",INDEX(tblTasks[Non_negociable],ROW()-6))</f>
      </c>
      <c r="O95" s="23">
        <f>=IF($A95="","",INDEX(tblTasks[Seuil_de_reprise],ROW()-6))</f>
      </c>
      <c r="P95" s="23">
        <f>=IF($A95="","",INDEX(tblTasks[Donnee_manquante],ROW()-6))</f>
      </c>
      <c r="Q95" s="23">
        <f>=IF($A95="","",INDEX(tblTasks[Niveau_criticite],ROW()-6))</f>
      </c>
      <c r="R95" s="23">
        <f>=IF($A95="","",INDEX(tblTasks[Irreversibilite],ROW()-6))</f>
      </c>
      <c r="S95" s="23">
        <f>=IF($A95="","",INDEX(tblTasks[Decision_Emmanuel],ROW()-6))</f>
      </c>
      <c r="T95" s="24">
        <f>=IF($A95="","",INDEX(tblTasks[Commentaire_EKT],ROW()-6))</f>
      </c>
      <c r="U95" s="23">
        <f>=IF($A95="","",INDEX(tblTasks[Goulot],ROW()-6))</f>
      </c>
      <c r="V95" s="23">
        <f>=IF($A95="","",INDEX(tblTasks[Point_de_bascule],ROW()-6))</f>
      </c>
      <c r="W95" s="37">
        <f>IF($A95="","",IF(AND(OR(param_filtre_statut="tous",LOWER($F95)=LOWER(param_filtre_statut)),OR(param_filtre_agent="tous",LOWER($D95)=LOWER(param_filtre_agent),LOWER($E95)=LOWER(param_filtre_agent)),OR(param_filtre_criticite="toutes",LOWER($Q95)=LOWER(param_filtre_criticite))),"oui","non"))</f>
      </c>
      <c r="X95" s="37">
        <f>IF($A95="","",IF(OR(LOWER($F95)="bloqué",LOWER($L95)="oui"),"oui","non"))</f>
      </c>
      <c r="Y95" s="37">
        <f>IF($A95="","",IF(OR(LOWER($Q95)="critique",LOWER($U95)="oui",LOWER($V95)="oui"),"oui","non"))</f>
      </c>
      <c r="Z95" s="37">
        <f>IF($A95="","",IF(AND($S95&lt;&gt;"",LOWER($S95)&lt;&gt;"tranchée",LOWER($S95)&lt;&gt;"sans objet",LOWER($S95)&lt;&gt;"clos"),"oui","non"))</f>
      </c>
      <c r="AA95" s="37">
        <f>IF($A95="","",IF($P95&lt;&gt;"","oui","non"))</f>
      </c>
      <c r="AB95" s="37">
        <f>IF($A95="","",IF(OR(LOWER($F95)="non réouvrable",LOWER($R95)="forte"),"oui","non"))</f>
      </c>
    </row>
    <row r="96" spans="1:28" x14ac:dyDescent="0.25">
      <c r="A96" s="23">
        <f>IFERROR(INDEX(tblTasks[ID],ROW()-6),"")</f>
      </c>
      <c r="B96" s="24">
        <f>=IF($A96="","",INDEX(tblTasks[Sujet],ROW()-6))</f>
      </c>
      <c r="C96" s="23">
        <f>=IF($A96="","",INDEX(tblTasks[Lot_Domaine],ROW()-6))</f>
      </c>
      <c r="D96" s="23">
        <f>=IF($A96="","",INDEX(tblTasks[Agent_source],ROW()-6))</f>
      </c>
      <c r="E96" s="23">
        <f>=IF($A96="","",INDEX(tblTasks[Responsable],ROW()-6))</f>
      </c>
      <c r="F96" s="23">
        <f>=IF($A96="","",INDEX(tblTasks[Statut],ROW()-6))</f>
      </c>
      <c r="G96" s="25">
        <f>=IF($A96="","",INDEX(tblTasks[Date_debut_prevue],ROW()-6))</f>
      </c>
      <c r="H96" s="25">
        <f>=IF($A96="","",INDEX(tblTasks[Date_fin_prevue],ROW()-6))</f>
      </c>
      <c r="I96" s="36">
        <f>=IF($A96="","",INDEX(tblTasks[Duree_jours],ROW()-6))</f>
      </c>
      <c r="J96" s="25">
        <f>=IF($A96="","",INDEX(tblTasks[Date_debut_reelle],ROW()-6))</f>
      </c>
      <c r="K96" s="25">
        <f>=IF($A96="","",INDEX(tblTasks[Date_fin_reelle],ROW()-6))</f>
      </c>
      <c r="L96" s="23">
        <f>=IF($A96="","",INDEX(tblTasks[Blocage],ROW()-6))</f>
      </c>
      <c r="M96" s="23">
        <f>=IF($A96="","",INDEX(tblTasks[Depend_de],ROW()-6))</f>
      </c>
      <c r="N96" s="23">
        <f>=IF($A96="","",INDEX(tblTasks[Non_negociable],ROW()-6))</f>
      </c>
      <c r="O96" s="23">
        <f>=IF($A96="","",INDEX(tblTasks[Seuil_de_reprise],ROW()-6))</f>
      </c>
      <c r="P96" s="23">
        <f>=IF($A96="","",INDEX(tblTasks[Donnee_manquante],ROW()-6))</f>
      </c>
      <c r="Q96" s="23">
        <f>=IF($A96="","",INDEX(tblTasks[Niveau_criticite],ROW()-6))</f>
      </c>
      <c r="R96" s="23">
        <f>=IF($A96="","",INDEX(tblTasks[Irreversibilite],ROW()-6))</f>
      </c>
      <c r="S96" s="23">
        <f>=IF($A96="","",INDEX(tblTasks[Decision_Emmanuel],ROW()-6))</f>
      </c>
      <c r="T96" s="24">
        <f>=IF($A96="","",INDEX(tblTasks[Commentaire_EKT],ROW()-6))</f>
      </c>
      <c r="U96" s="23">
        <f>=IF($A96="","",INDEX(tblTasks[Goulot],ROW()-6))</f>
      </c>
      <c r="V96" s="23">
        <f>=IF($A96="","",INDEX(tblTasks[Point_de_bascule],ROW()-6))</f>
      </c>
      <c r="W96" s="37">
        <f>IF($A96="","",IF(AND(OR(param_filtre_statut="tous",LOWER($F96)=LOWER(param_filtre_statut)),OR(param_filtre_agent="tous",LOWER($D96)=LOWER(param_filtre_agent),LOWER($E96)=LOWER(param_filtre_agent)),OR(param_filtre_criticite="toutes",LOWER($Q96)=LOWER(param_filtre_criticite))),"oui","non"))</f>
      </c>
      <c r="X96" s="37">
        <f>IF($A96="","",IF(OR(LOWER($F96)="bloqué",LOWER($L96)="oui"),"oui","non"))</f>
      </c>
      <c r="Y96" s="37">
        <f>IF($A96="","",IF(OR(LOWER($Q96)="critique",LOWER($U96)="oui",LOWER($V96)="oui"),"oui","non"))</f>
      </c>
      <c r="Z96" s="37">
        <f>IF($A96="","",IF(AND($S96&lt;&gt;"",LOWER($S96)&lt;&gt;"tranchée",LOWER($S96)&lt;&gt;"sans objet",LOWER($S96)&lt;&gt;"clos"),"oui","non"))</f>
      </c>
      <c r="AA96" s="37">
        <f>IF($A96="","",IF($P96&lt;&gt;"","oui","non"))</f>
      </c>
      <c r="AB96" s="37">
        <f>IF($A96="","",IF(OR(LOWER($F96)="non réouvrable",LOWER($R96)="forte"),"oui","non"))</f>
      </c>
    </row>
    <row r="97" spans="1:28" x14ac:dyDescent="0.25">
      <c r="A97" s="23">
        <f>IFERROR(INDEX(tblTasks[ID],ROW()-6),"")</f>
      </c>
      <c r="B97" s="24">
        <f>=IF($A97="","",INDEX(tblTasks[Sujet],ROW()-6))</f>
      </c>
      <c r="C97" s="23">
        <f>=IF($A97="","",INDEX(tblTasks[Lot_Domaine],ROW()-6))</f>
      </c>
      <c r="D97" s="23">
        <f>=IF($A97="","",INDEX(tblTasks[Agent_source],ROW()-6))</f>
      </c>
      <c r="E97" s="23">
        <f>=IF($A97="","",INDEX(tblTasks[Responsable],ROW()-6))</f>
      </c>
      <c r="F97" s="23">
        <f>=IF($A97="","",INDEX(tblTasks[Statut],ROW()-6))</f>
      </c>
      <c r="G97" s="25">
        <f>=IF($A97="","",INDEX(tblTasks[Date_debut_prevue],ROW()-6))</f>
      </c>
      <c r="H97" s="25">
        <f>=IF($A97="","",INDEX(tblTasks[Date_fin_prevue],ROW()-6))</f>
      </c>
      <c r="I97" s="36">
        <f>=IF($A97="","",INDEX(tblTasks[Duree_jours],ROW()-6))</f>
      </c>
      <c r="J97" s="25">
        <f>=IF($A97="","",INDEX(tblTasks[Date_debut_reelle],ROW()-6))</f>
      </c>
      <c r="K97" s="25">
        <f>=IF($A97="","",INDEX(tblTasks[Date_fin_reelle],ROW()-6))</f>
      </c>
      <c r="L97" s="23">
        <f>=IF($A97="","",INDEX(tblTasks[Blocage],ROW()-6))</f>
      </c>
      <c r="M97" s="23">
        <f>=IF($A97="","",INDEX(tblTasks[Depend_de],ROW()-6))</f>
      </c>
      <c r="N97" s="23">
        <f>=IF($A97="","",INDEX(tblTasks[Non_negociable],ROW()-6))</f>
      </c>
      <c r="O97" s="23">
        <f>=IF($A97="","",INDEX(tblTasks[Seuil_de_reprise],ROW()-6))</f>
      </c>
      <c r="P97" s="23">
        <f>=IF($A97="","",INDEX(tblTasks[Donnee_manquante],ROW()-6))</f>
      </c>
      <c r="Q97" s="23">
        <f>=IF($A97="","",INDEX(tblTasks[Niveau_criticite],ROW()-6))</f>
      </c>
      <c r="R97" s="23">
        <f>=IF($A97="","",INDEX(tblTasks[Irreversibilite],ROW()-6))</f>
      </c>
      <c r="S97" s="23">
        <f>=IF($A97="","",INDEX(tblTasks[Decision_Emmanuel],ROW()-6))</f>
      </c>
      <c r="T97" s="24">
        <f>=IF($A97="","",INDEX(tblTasks[Commentaire_EKT],ROW()-6))</f>
      </c>
      <c r="U97" s="23">
        <f>=IF($A97="","",INDEX(tblTasks[Goulot],ROW()-6))</f>
      </c>
      <c r="V97" s="23">
        <f>=IF($A97="","",INDEX(tblTasks[Point_de_bascule],ROW()-6))</f>
      </c>
      <c r="W97" s="37">
        <f>IF($A97="","",IF(AND(OR(param_filtre_statut="tous",LOWER($F97)=LOWER(param_filtre_statut)),OR(param_filtre_agent="tous",LOWER($D97)=LOWER(param_filtre_agent),LOWER($E97)=LOWER(param_filtre_agent)),OR(param_filtre_criticite="toutes",LOWER($Q97)=LOWER(param_filtre_criticite))),"oui","non"))</f>
      </c>
      <c r="X97" s="37">
        <f>IF($A97="","",IF(OR(LOWER($F97)="bloqué",LOWER($L97)="oui"),"oui","non"))</f>
      </c>
      <c r="Y97" s="37">
        <f>IF($A97="","",IF(OR(LOWER($Q97)="critique",LOWER($U97)="oui",LOWER($V97)="oui"),"oui","non"))</f>
      </c>
      <c r="Z97" s="37">
        <f>IF($A97="","",IF(AND($S97&lt;&gt;"",LOWER($S97)&lt;&gt;"tranchée",LOWER($S97)&lt;&gt;"sans objet",LOWER($S97)&lt;&gt;"clos"),"oui","non"))</f>
      </c>
      <c r="AA97" s="37">
        <f>IF($A97="","",IF($P97&lt;&gt;"","oui","non"))</f>
      </c>
      <c r="AB97" s="37">
        <f>IF($A97="","",IF(OR(LOWER($F97)="non réouvrable",LOWER($R97)="forte"),"oui","non"))</f>
      </c>
    </row>
    <row r="98" spans="1:28" x14ac:dyDescent="0.25">
      <c r="A98" s="23">
        <f>IFERROR(INDEX(tblTasks[ID],ROW()-6),"")</f>
      </c>
      <c r="B98" s="24">
        <f>=IF($A98="","",INDEX(tblTasks[Sujet],ROW()-6))</f>
      </c>
      <c r="C98" s="23">
        <f>=IF($A98="","",INDEX(tblTasks[Lot_Domaine],ROW()-6))</f>
      </c>
      <c r="D98" s="23">
        <f>=IF($A98="","",INDEX(tblTasks[Agent_source],ROW()-6))</f>
      </c>
      <c r="E98" s="23">
        <f>=IF($A98="","",INDEX(tblTasks[Responsable],ROW()-6))</f>
      </c>
      <c r="F98" s="23">
        <f>=IF($A98="","",INDEX(tblTasks[Statut],ROW()-6))</f>
      </c>
      <c r="G98" s="25">
        <f>=IF($A98="","",INDEX(tblTasks[Date_debut_prevue],ROW()-6))</f>
      </c>
      <c r="H98" s="25">
        <f>=IF($A98="","",INDEX(tblTasks[Date_fin_prevue],ROW()-6))</f>
      </c>
      <c r="I98" s="36">
        <f>=IF($A98="","",INDEX(tblTasks[Duree_jours],ROW()-6))</f>
      </c>
      <c r="J98" s="25">
        <f>=IF($A98="","",INDEX(tblTasks[Date_debut_reelle],ROW()-6))</f>
      </c>
      <c r="K98" s="25">
        <f>=IF($A98="","",INDEX(tblTasks[Date_fin_reelle],ROW()-6))</f>
      </c>
      <c r="L98" s="23">
        <f>=IF($A98="","",INDEX(tblTasks[Blocage],ROW()-6))</f>
      </c>
      <c r="M98" s="23">
        <f>=IF($A98="","",INDEX(tblTasks[Depend_de],ROW()-6))</f>
      </c>
      <c r="N98" s="23">
        <f>=IF($A98="","",INDEX(tblTasks[Non_negociable],ROW()-6))</f>
      </c>
      <c r="O98" s="23">
        <f>=IF($A98="","",INDEX(tblTasks[Seuil_de_reprise],ROW()-6))</f>
      </c>
      <c r="P98" s="23">
        <f>=IF($A98="","",INDEX(tblTasks[Donnee_manquante],ROW()-6))</f>
      </c>
      <c r="Q98" s="23">
        <f>=IF($A98="","",INDEX(tblTasks[Niveau_criticite],ROW()-6))</f>
      </c>
      <c r="R98" s="23">
        <f>=IF($A98="","",INDEX(tblTasks[Irreversibilite],ROW()-6))</f>
      </c>
      <c r="S98" s="23">
        <f>=IF($A98="","",INDEX(tblTasks[Decision_Emmanuel],ROW()-6))</f>
      </c>
      <c r="T98" s="24">
        <f>=IF($A98="","",INDEX(tblTasks[Commentaire_EKT],ROW()-6))</f>
      </c>
      <c r="U98" s="23">
        <f>=IF($A98="","",INDEX(tblTasks[Goulot],ROW()-6))</f>
      </c>
      <c r="V98" s="23">
        <f>=IF($A98="","",INDEX(tblTasks[Point_de_bascule],ROW()-6))</f>
      </c>
      <c r="W98" s="37">
        <f>IF($A98="","",IF(AND(OR(param_filtre_statut="tous",LOWER($F98)=LOWER(param_filtre_statut)),OR(param_filtre_agent="tous",LOWER($D98)=LOWER(param_filtre_agent),LOWER($E98)=LOWER(param_filtre_agent)),OR(param_filtre_criticite="toutes",LOWER($Q98)=LOWER(param_filtre_criticite))),"oui","non"))</f>
      </c>
      <c r="X98" s="37">
        <f>IF($A98="","",IF(OR(LOWER($F98)="bloqué",LOWER($L98)="oui"),"oui","non"))</f>
      </c>
      <c r="Y98" s="37">
        <f>IF($A98="","",IF(OR(LOWER($Q98)="critique",LOWER($U98)="oui",LOWER($V98)="oui"),"oui","non"))</f>
      </c>
      <c r="Z98" s="37">
        <f>IF($A98="","",IF(AND($S98&lt;&gt;"",LOWER($S98)&lt;&gt;"tranchée",LOWER($S98)&lt;&gt;"sans objet",LOWER($S98)&lt;&gt;"clos"),"oui","non"))</f>
      </c>
      <c r="AA98" s="37">
        <f>IF($A98="","",IF($P98&lt;&gt;"","oui","non"))</f>
      </c>
      <c r="AB98" s="37">
        <f>IF($A98="","",IF(OR(LOWER($F98)="non réouvrable",LOWER($R98)="forte"),"oui","non"))</f>
      </c>
    </row>
    <row r="99" spans="1:28" x14ac:dyDescent="0.25">
      <c r="A99" s="23">
        <f>IFERROR(INDEX(tblTasks[ID],ROW()-6),"")</f>
      </c>
      <c r="B99" s="24">
        <f>=IF($A99="","",INDEX(tblTasks[Sujet],ROW()-6))</f>
      </c>
      <c r="C99" s="23">
        <f>=IF($A99="","",INDEX(tblTasks[Lot_Domaine],ROW()-6))</f>
      </c>
      <c r="D99" s="23">
        <f>=IF($A99="","",INDEX(tblTasks[Agent_source],ROW()-6))</f>
      </c>
      <c r="E99" s="23">
        <f>=IF($A99="","",INDEX(tblTasks[Responsable],ROW()-6))</f>
      </c>
      <c r="F99" s="23">
        <f>=IF($A99="","",INDEX(tblTasks[Statut],ROW()-6))</f>
      </c>
      <c r="G99" s="25">
        <f>=IF($A99="","",INDEX(tblTasks[Date_debut_prevue],ROW()-6))</f>
      </c>
      <c r="H99" s="25">
        <f>=IF($A99="","",INDEX(tblTasks[Date_fin_prevue],ROW()-6))</f>
      </c>
      <c r="I99" s="36">
        <f>=IF($A99="","",INDEX(tblTasks[Duree_jours],ROW()-6))</f>
      </c>
      <c r="J99" s="25">
        <f>=IF($A99="","",INDEX(tblTasks[Date_debut_reelle],ROW()-6))</f>
      </c>
      <c r="K99" s="25">
        <f>=IF($A99="","",INDEX(tblTasks[Date_fin_reelle],ROW()-6))</f>
      </c>
      <c r="L99" s="23">
        <f>=IF($A99="","",INDEX(tblTasks[Blocage],ROW()-6))</f>
      </c>
      <c r="M99" s="23">
        <f>=IF($A99="","",INDEX(tblTasks[Depend_de],ROW()-6))</f>
      </c>
      <c r="N99" s="23">
        <f>=IF($A99="","",INDEX(tblTasks[Non_negociable],ROW()-6))</f>
      </c>
      <c r="O99" s="23">
        <f>=IF($A99="","",INDEX(tblTasks[Seuil_de_reprise],ROW()-6))</f>
      </c>
      <c r="P99" s="23">
        <f>=IF($A99="","",INDEX(tblTasks[Donnee_manquante],ROW()-6))</f>
      </c>
      <c r="Q99" s="23">
        <f>=IF($A99="","",INDEX(tblTasks[Niveau_criticite],ROW()-6))</f>
      </c>
      <c r="R99" s="23">
        <f>=IF($A99="","",INDEX(tblTasks[Irreversibilite],ROW()-6))</f>
      </c>
      <c r="S99" s="23">
        <f>=IF($A99="","",INDEX(tblTasks[Decision_Emmanuel],ROW()-6))</f>
      </c>
      <c r="T99" s="24">
        <f>=IF($A99="","",INDEX(tblTasks[Commentaire_EKT],ROW()-6))</f>
      </c>
      <c r="U99" s="23">
        <f>=IF($A99="","",INDEX(tblTasks[Goulot],ROW()-6))</f>
      </c>
      <c r="V99" s="23">
        <f>=IF($A99="","",INDEX(tblTasks[Point_de_bascule],ROW()-6))</f>
      </c>
      <c r="W99" s="37">
        <f>IF($A99="","",IF(AND(OR(param_filtre_statut="tous",LOWER($F99)=LOWER(param_filtre_statut)),OR(param_filtre_agent="tous",LOWER($D99)=LOWER(param_filtre_agent),LOWER($E99)=LOWER(param_filtre_agent)),OR(param_filtre_criticite="toutes",LOWER($Q99)=LOWER(param_filtre_criticite))),"oui","non"))</f>
      </c>
      <c r="X99" s="37">
        <f>IF($A99="","",IF(OR(LOWER($F99)="bloqué",LOWER($L99)="oui"),"oui","non"))</f>
      </c>
      <c r="Y99" s="37">
        <f>IF($A99="","",IF(OR(LOWER($Q99)="critique",LOWER($U99)="oui",LOWER($V99)="oui"),"oui","non"))</f>
      </c>
      <c r="Z99" s="37">
        <f>IF($A99="","",IF(AND($S99&lt;&gt;"",LOWER($S99)&lt;&gt;"tranchée",LOWER($S99)&lt;&gt;"sans objet",LOWER($S99)&lt;&gt;"clos"),"oui","non"))</f>
      </c>
      <c r="AA99" s="37">
        <f>IF($A99="","",IF($P99&lt;&gt;"","oui","non"))</f>
      </c>
      <c r="AB99" s="37">
        <f>IF($A99="","",IF(OR(LOWER($F99)="non réouvrable",LOWER($R99)="forte"),"oui","non"))</f>
      </c>
    </row>
    <row r="100" spans="1:28" x14ac:dyDescent="0.25">
      <c r="A100" s="23">
        <f>IFERROR(INDEX(tblTasks[ID],ROW()-6),"")</f>
      </c>
      <c r="B100" s="24">
        <f>=IF($A100="","",INDEX(tblTasks[Sujet],ROW()-6))</f>
      </c>
      <c r="C100" s="23">
        <f>=IF($A100="","",INDEX(tblTasks[Lot_Domaine],ROW()-6))</f>
      </c>
      <c r="D100" s="23">
        <f>=IF($A100="","",INDEX(tblTasks[Agent_source],ROW()-6))</f>
      </c>
      <c r="E100" s="23">
        <f>=IF($A100="","",INDEX(tblTasks[Responsable],ROW()-6))</f>
      </c>
      <c r="F100" s="23">
        <f>=IF($A100="","",INDEX(tblTasks[Statut],ROW()-6))</f>
      </c>
      <c r="G100" s="25">
        <f>=IF($A100="","",INDEX(tblTasks[Date_debut_prevue],ROW()-6))</f>
      </c>
      <c r="H100" s="25">
        <f>=IF($A100="","",INDEX(tblTasks[Date_fin_prevue],ROW()-6))</f>
      </c>
      <c r="I100" s="36">
        <f>=IF($A100="","",INDEX(tblTasks[Duree_jours],ROW()-6))</f>
      </c>
      <c r="J100" s="25">
        <f>=IF($A100="","",INDEX(tblTasks[Date_debut_reelle],ROW()-6))</f>
      </c>
      <c r="K100" s="25">
        <f>=IF($A100="","",INDEX(tblTasks[Date_fin_reelle],ROW()-6))</f>
      </c>
      <c r="L100" s="23">
        <f>=IF($A100="","",INDEX(tblTasks[Blocage],ROW()-6))</f>
      </c>
      <c r="M100" s="23">
        <f>=IF($A100="","",INDEX(tblTasks[Depend_de],ROW()-6))</f>
      </c>
      <c r="N100" s="23">
        <f>=IF($A100="","",INDEX(tblTasks[Non_negociable],ROW()-6))</f>
      </c>
      <c r="O100" s="23">
        <f>=IF($A100="","",INDEX(tblTasks[Seuil_de_reprise],ROW()-6))</f>
      </c>
      <c r="P100" s="23">
        <f>=IF($A100="","",INDEX(tblTasks[Donnee_manquante],ROW()-6))</f>
      </c>
      <c r="Q100" s="23">
        <f>=IF($A100="","",INDEX(tblTasks[Niveau_criticite],ROW()-6))</f>
      </c>
      <c r="R100" s="23">
        <f>=IF($A100="","",INDEX(tblTasks[Irreversibilite],ROW()-6))</f>
      </c>
      <c r="S100" s="23">
        <f>=IF($A100="","",INDEX(tblTasks[Decision_Emmanuel],ROW()-6))</f>
      </c>
      <c r="T100" s="24">
        <f>=IF($A100="","",INDEX(tblTasks[Commentaire_EKT],ROW()-6))</f>
      </c>
      <c r="U100" s="23">
        <f>=IF($A100="","",INDEX(tblTasks[Goulot],ROW()-6))</f>
      </c>
      <c r="V100" s="23">
        <f>=IF($A100="","",INDEX(tblTasks[Point_de_bascule],ROW()-6))</f>
      </c>
      <c r="W100" s="37">
        <f>IF($A100="","",IF(AND(OR(param_filtre_statut="tous",LOWER($F100)=LOWER(param_filtre_statut)),OR(param_filtre_agent="tous",LOWER($D100)=LOWER(param_filtre_agent),LOWER($E100)=LOWER(param_filtre_agent)),OR(param_filtre_criticite="toutes",LOWER($Q100)=LOWER(param_filtre_criticite))),"oui","non"))</f>
      </c>
      <c r="X100" s="37">
        <f>IF($A100="","",IF(OR(LOWER($F100)="bloqué",LOWER($L100)="oui"),"oui","non"))</f>
      </c>
      <c r="Y100" s="37">
        <f>IF($A100="","",IF(OR(LOWER($Q100)="critique",LOWER($U100)="oui",LOWER($V100)="oui"),"oui","non"))</f>
      </c>
      <c r="Z100" s="37">
        <f>IF($A100="","",IF(AND($S100&lt;&gt;"",LOWER($S100)&lt;&gt;"tranchée",LOWER($S100)&lt;&gt;"sans objet",LOWER($S100)&lt;&gt;"clos"),"oui","non"))</f>
      </c>
      <c r="AA100" s="37">
        <f>IF($A100="","",IF($P100&lt;&gt;"","oui","non"))</f>
      </c>
      <c r="AB100" s="37">
        <f>IF($A100="","",IF(OR(LOWER($F100)="non réouvrable",LOWER($R100)="forte"),"oui","non"))</f>
      </c>
    </row>
    <row r="101" spans="1:28" x14ac:dyDescent="0.25">
      <c r="A101" s="23">
        <f>IFERROR(INDEX(tblTasks[ID],ROW()-6),"")</f>
      </c>
      <c r="B101" s="24">
        <f>=IF($A101="","",INDEX(tblTasks[Sujet],ROW()-6))</f>
      </c>
      <c r="C101" s="23">
        <f>=IF($A101="","",INDEX(tblTasks[Lot_Domaine],ROW()-6))</f>
      </c>
      <c r="D101" s="23">
        <f>=IF($A101="","",INDEX(tblTasks[Agent_source],ROW()-6))</f>
      </c>
      <c r="E101" s="23">
        <f>=IF($A101="","",INDEX(tblTasks[Responsable],ROW()-6))</f>
      </c>
      <c r="F101" s="23">
        <f>=IF($A101="","",INDEX(tblTasks[Statut],ROW()-6))</f>
      </c>
      <c r="G101" s="25">
        <f>=IF($A101="","",INDEX(tblTasks[Date_debut_prevue],ROW()-6))</f>
      </c>
      <c r="H101" s="25">
        <f>=IF($A101="","",INDEX(tblTasks[Date_fin_prevue],ROW()-6))</f>
      </c>
      <c r="I101" s="36">
        <f>=IF($A101="","",INDEX(tblTasks[Duree_jours],ROW()-6))</f>
      </c>
      <c r="J101" s="25">
        <f>=IF($A101="","",INDEX(tblTasks[Date_debut_reelle],ROW()-6))</f>
      </c>
      <c r="K101" s="25">
        <f>=IF($A101="","",INDEX(tblTasks[Date_fin_reelle],ROW()-6))</f>
      </c>
      <c r="L101" s="23">
        <f>=IF($A101="","",INDEX(tblTasks[Blocage],ROW()-6))</f>
      </c>
      <c r="M101" s="23">
        <f>=IF($A101="","",INDEX(tblTasks[Depend_de],ROW()-6))</f>
      </c>
      <c r="N101" s="23">
        <f>=IF($A101="","",INDEX(tblTasks[Non_negociable],ROW()-6))</f>
      </c>
      <c r="O101" s="23">
        <f>=IF($A101="","",INDEX(tblTasks[Seuil_de_reprise],ROW()-6))</f>
      </c>
      <c r="P101" s="23">
        <f>=IF($A101="","",INDEX(tblTasks[Donnee_manquante],ROW()-6))</f>
      </c>
      <c r="Q101" s="23">
        <f>=IF($A101="","",INDEX(tblTasks[Niveau_criticite],ROW()-6))</f>
      </c>
      <c r="R101" s="23">
        <f>=IF($A101="","",INDEX(tblTasks[Irreversibilite],ROW()-6))</f>
      </c>
      <c r="S101" s="23">
        <f>=IF($A101="","",INDEX(tblTasks[Decision_Emmanuel],ROW()-6))</f>
      </c>
      <c r="T101" s="24">
        <f>=IF($A101="","",INDEX(tblTasks[Commentaire_EKT],ROW()-6))</f>
      </c>
      <c r="U101" s="23">
        <f>=IF($A101="","",INDEX(tblTasks[Goulot],ROW()-6))</f>
      </c>
      <c r="V101" s="23">
        <f>=IF($A101="","",INDEX(tblTasks[Point_de_bascule],ROW()-6))</f>
      </c>
      <c r="W101" s="37">
        <f>IF($A101="","",IF(AND(OR(param_filtre_statut="tous",LOWER($F101)=LOWER(param_filtre_statut)),OR(param_filtre_agent="tous",LOWER($D101)=LOWER(param_filtre_agent),LOWER($E101)=LOWER(param_filtre_agent)),OR(param_filtre_criticite="toutes",LOWER($Q101)=LOWER(param_filtre_criticite))),"oui","non"))</f>
      </c>
      <c r="X101" s="37">
        <f>IF($A101="","",IF(OR(LOWER($F101)="bloqué",LOWER($L101)="oui"),"oui","non"))</f>
      </c>
      <c r="Y101" s="37">
        <f>IF($A101="","",IF(OR(LOWER($Q101)="critique",LOWER($U101)="oui",LOWER($V101)="oui"),"oui","non"))</f>
      </c>
      <c r="Z101" s="37">
        <f>IF($A101="","",IF(AND($S101&lt;&gt;"",LOWER($S101)&lt;&gt;"tranchée",LOWER($S101)&lt;&gt;"sans objet",LOWER($S101)&lt;&gt;"clos"),"oui","non"))</f>
      </c>
      <c r="AA101" s="37">
        <f>IF($A101="","",IF($P101&lt;&gt;"","oui","non"))</f>
      </c>
      <c r="AB101" s="37">
        <f>IF($A101="","",IF(OR(LOWER($F101)="non réouvrable",LOWER($R101)="forte"),"oui","non"))</f>
      </c>
    </row>
    <row r="102" spans="1:28" x14ac:dyDescent="0.25">
      <c r="A102" s="23">
        <f>IFERROR(INDEX(tblTasks[ID],ROW()-6),"")</f>
      </c>
      <c r="B102" s="24">
        <f>=IF($A102="","",INDEX(tblTasks[Sujet],ROW()-6))</f>
      </c>
      <c r="C102" s="23">
        <f>=IF($A102="","",INDEX(tblTasks[Lot_Domaine],ROW()-6))</f>
      </c>
      <c r="D102" s="23">
        <f>=IF($A102="","",INDEX(tblTasks[Agent_source],ROW()-6))</f>
      </c>
      <c r="E102" s="23">
        <f>=IF($A102="","",INDEX(tblTasks[Responsable],ROW()-6))</f>
      </c>
      <c r="F102" s="23">
        <f>=IF($A102="","",INDEX(tblTasks[Statut],ROW()-6))</f>
      </c>
      <c r="G102" s="25">
        <f>=IF($A102="","",INDEX(tblTasks[Date_debut_prevue],ROW()-6))</f>
      </c>
      <c r="H102" s="25">
        <f>=IF($A102="","",INDEX(tblTasks[Date_fin_prevue],ROW()-6))</f>
      </c>
      <c r="I102" s="36">
        <f>=IF($A102="","",INDEX(tblTasks[Duree_jours],ROW()-6))</f>
      </c>
      <c r="J102" s="25">
        <f>=IF($A102="","",INDEX(tblTasks[Date_debut_reelle],ROW()-6))</f>
      </c>
      <c r="K102" s="25">
        <f>=IF($A102="","",INDEX(tblTasks[Date_fin_reelle],ROW()-6))</f>
      </c>
      <c r="L102" s="23">
        <f>=IF($A102="","",INDEX(tblTasks[Blocage],ROW()-6))</f>
      </c>
      <c r="M102" s="23">
        <f>=IF($A102="","",INDEX(tblTasks[Depend_de],ROW()-6))</f>
      </c>
      <c r="N102" s="23">
        <f>=IF($A102="","",INDEX(tblTasks[Non_negociable],ROW()-6))</f>
      </c>
      <c r="O102" s="23">
        <f>=IF($A102="","",INDEX(tblTasks[Seuil_de_reprise],ROW()-6))</f>
      </c>
      <c r="P102" s="23">
        <f>=IF($A102="","",INDEX(tblTasks[Donnee_manquante],ROW()-6))</f>
      </c>
      <c r="Q102" s="23">
        <f>=IF($A102="","",INDEX(tblTasks[Niveau_criticite],ROW()-6))</f>
      </c>
      <c r="R102" s="23">
        <f>=IF($A102="","",INDEX(tblTasks[Irreversibilite],ROW()-6))</f>
      </c>
      <c r="S102" s="23">
        <f>=IF($A102="","",INDEX(tblTasks[Decision_Emmanuel],ROW()-6))</f>
      </c>
      <c r="T102" s="24">
        <f>=IF($A102="","",INDEX(tblTasks[Commentaire_EKT],ROW()-6))</f>
      </c>
      <c r="U102" s="23">
        <f>=IF($A102="","",INDEX(tblTasks[Goulot],ROW()-6))</f>
      </c>
      <c r="V102" s="23">
        <f>=IF($A102="","",INDEX(tblTasks[Point_de_bascule],ROW()-6))</f>
      </c>
      <c r="W102" s="37">
        <f>IF($A102="","",IF(AND(OR(param_filtre_statut="tous",LOWER($F102)=LOWER(param_filtre_statut)),OR(param_filtre_agent="tous",LOWER($D102)=LOWER(param_filtre_agent),LOWER($E102)=LOWER(param_filtre_agent)),OR(param_filtre_criticite="toutes",LOWER($Q102)=LOWER(param_filtre_criticite))),"oui","non"))</f>
      </c>
      <c r="X102" s="37">
        <f>IF($A102="","",IF(OR(LOWER($F102)="bloqué",LOWER($L102)="oui"),"oui","non"))</f>
      </c>
      <c r="Y102" s="37">
        <f>IF($A102="","",IF(OR(LOWER($Q102)="critique",LOWER($U102)="oui",LOWER($V102)="oui"),"oui","non"))</f>
      </c>
      <c r="Z102" s="37">
        <f>IF($A102="","",IF(AND($S102&lt;&gt;"",LOWER($S102)&lt;&gt;"tranchée",LOWER($S102)&lt;&gt;"sans objet",LOWER($S102)&lt;&gt;"clos"),"oui","non"))</f>
      </c>
      <c r="AA102" s="37">
        <f>IF($A102="","",IF($P102&lt;&gt;"","oui","non"))</f>
      </c>
      <c r="AB102" s="37">
        <f>IF($A102="","",IF(OR(LOWER($F102)="non réouvrable",LOWER($R102)="forte"),"oui","non"))</f>
      </c>
    </row>
    <row r="103" spans="1:28" x14ac:dyDescent="0.25">
      <c r="A103" s="23">
        <f>IFERROR(INDEX(tblTasks[ID],ROW()-6),"")</f>
      </c>
      <c r="B103" s="24">
        <f>=IF($A103="","",INDEX(tblTasks[Sujet],ROW()-6))</f>
      </c>
      <c r="C103" s="23">
        <f>=IF($A103="","",INDEX(tblTasks[Lot_Domaine],ROW()-6))</f>
      </c>
      <c r="D103" s="23">
        <f>=IF($A103="","",INDEX(tblTasks[Agent_source],ROW()-6))</f>
      </c>
      <c r="E103" s="23">
        <f>=IF($A103="","",INDEX(tblTasks[Responsable],ROW()-6))</f>
      </c>
      <c r="F103" s="23">
        <f>=IF($A103="","",INDEX(tblTasks[Statut],ROW()-6))</f>
      </c>
      <c r="G103" s="25">
        <f>=IF($A103="","",INDEX(tblTasks[Date_debut_prevue],ROW()-6))</f>
      </c>
      <c r="H103" s="25">
        <f>=IF($A103="","",INDEX(tblTasks[Date_fin_prevue],ROW()-6))</f>
      </c>
      <c r="I103" s="36">
        <f>=IF($A103="","",INDEX(tblTasks[Duree_jours],ROW()-6))</f>
      </c>
      <c r="J103" s="25">
        <f>=IF($A103="","",INDEX(tblTasks[Date_debut_reelle],ROW()-6))</f>
      </c>
      <c r="K103" s="25">
        <f>=IF($A103="","",INDEX(tblTasks[Date_fin_reelle],ROW()-6))</f>
      </c>
      <c r="L103" s="23">
        <f>=IF($A103="","",INDEX(tblTasks[Blocage],ROW()-6))</f>
      </c>
      <c r="M103" s="23">
        <f>=IF($A103="","",INDEX(tblTasks[Depend_de],ROW()-6))</f>
      </c>
      <c r="N103" s="23">
        <f>=IF($A103="","",INDEX(tblTasks[Non_negociable],ROW()-6))</f>
      </c>
      <c r="O103" s="23">
        <f>=IF($A103="","",INDEX(tblTasks[Seuil_de_reprise],ROW()-6))</f>
      </c>
      <c r="P103" s="23">
        <f>=IF($A103="","",INDEX(tblTasks[Donnee_manquante],ROW()-6))</f>
      </c>
      <c r="Q103" s="23">
        <f>=IF($A103="","",INDEX(tblTasks[Niveau_criticite],ROW()-6))</f>
      </c>
      <c r="R103" s="23">
        <f>=IF($A103="","",INDEX(tblTasks[Irreversibilite],ROW()-6))</f>
      </c>
      <c r="S103" s="23">
        <f>=IF($A103="","",INDEX(tblTasks[Decision_Emmanuel],ROW()-6))</f>
      </c>
      <c r="T103" s="24">
        <f>=IF($A103="","",INDEX(tblTasks[Commentaire_EKT],ROW()-6))</f>
      </c>
      <c r="U103" s="23">
        <f>=IF($A103="","",INDEX(tblTasks[Goulot],ROW()-6))</f>
      </c>
      <c r="V103" s="23">
        <f>=IF($A103="","",INDEX(tblTasks[Point_de_bascule],ROW()-6))</f>
      </c>
      <c r="W103" s="37">
        <f>IF($A103="","",IF(AND(OR(param_filtre_statut="tous",LOWER($F103)=LOWER(param_filtre_statut)),OR(param_filtre_agent="tous",LOWER($D103)=LOWER(param_filtre_agent),LOWER($E103)=LOWER(param_filtre_agent)),OR(param_filtre_criticite="toutes",LOWER($Q103)=LOWER(param_filtre_criticite))),"oui","non"))</f>
      </c>
      <c r="X103" s="37">
        <f>IF($A103="","",IF(OR(LOWER($F103)="bloqué",LOWER($L103)="oui"),"oui","non"))</f>
      </c>
      <c r="Y103" s="37">
        <f>IF($A103="","",IF(OR(LOWER($Q103)="critique",LOWER($U103)="oui",LOWER($V103)="oui"),"oui","non"))</f>
      </c>
      <c r="Z103" s="37">
        <f>IF($A103="","",IF(AND($S103&lt;&gt;"",LOWER($S103)&lt;&gt;"tranchée",LOWER($S103)&lt;&gt;"sans objet",LOWER($S103)&lt;&gt;"clos"),"oui","non"))</f>
      </c>
      <c r="AA103" s="37">
        <f>IF($A103="","",IF($P103&lt;&gt;"","oui","non"))</f>
      </c>
      <c r="AB103" s="37">
        <f>IF($A103="","",IF(OR(LOWER($F103)="non réouvrable",LOWER($R103)="forte"),"oui","non"))</f>
      </c>
    </row>
    <row r="104" spans="1:28" x14ac:dyDescent="0.25">
      <c r="A104" s="23">
        <f>IFERROR(INDEX(tblTasks[ID],ROW()-6),"")</f>
      </c>
      <c r="B104" s="24">
        <f>=IF($A104="","",INDEX(tblTasks[Sujet],ROW()-6))</f>
      </c>
      <c r="C104" s="23">
        <f>=IF($A104="","",INDEX(tblTasks[Lot_Domaine],ROW()-6))</f>
      </c>
      <c r="D104" s="23">
        <f>=IF($A104="","",INDEX(tblTasks[Agent_source],ROW()-6))</f>
      </c>
      <c r="E104" s="23">
        <f>=IF($A104="","",INDEX(tblTasks[Responsable],ROW()-6))</f>
      </c>
      <c r="F104" s="23">
        <f>=IF($A104="","",INDEX(tblTasks[Statut],ROW()-6))</f>
      </c>
      <c r="G104" s="25">
        <f>=IF($A104="","",INDEX(tblTasks[Date_debut_prevue],ROW()-6))</f>
      </c>
      <c r="H104" s="25">
        <f>=IF($A104="","",INDEX(tblTasks[Date_fin_prevue],ROW()-6))</f>
      </c>
      <c r="I104" s="36">
        <f>=IF($A104="","",INDEX(tblTasks[Duree_jours],ROW()-6))</f>
      </c>
      <c r="J104" s="25">
        <f>=IF($A104="","",INDEX(tblTasks[Date_debut_reelle],ROW()-6))</f>
      </c>
      <c r="K104" s="25">
        <f>=IF($A104="","",INDEX(tblTasks[Date_fin_reelle],ROW()-6))</f>
      </c>
      <c r="L104" s="23">
        <f>=IF($A104="","",INDEX(tblTasks[Blocage],ROW()-6))</f>
      </c>
      <c r="M104" s="23">
        <f>=IF($A104="","",INDEX(tblTasks[Depend_de],ROW()-6))</f>
      </c>
      <c r="N104" s="23">
        <f>=IF($A104="","",INDEX(tblTasks[Non_negociable],ROW()-6))</f>
      </c>
      <c r="O104" s="23">
        <f>=IF($A104="","",INDEX(tblTasks[Seuil_de_reprise],ROW()-6))</f>
      </c>
      <c r="P104" s="23">
        <f>=IF($A104="","",INDEX(tblTasks[Donnee_manquante],ROW()-6))</f>
      </c>
      <c r="Q104" s="23">
        <f>=IF($A104="","",INDEX(tblTasks[Niveau_criticite],ROW()-6))</f>
      </c>
      <c r="R104" s="23">
        <f>=IF($A104="","",INDEX(tblTasks[Irreversibilite],ROW()-6))</f>
      </c>
      <c r="S104" s="23">
        <f>=IF($A104="","",INDEX(tblTasks[Decision_Emmanuel],ROW()-6))</f>
      </c>
      <c r="T104" s="24">
        <f>=IF($A104="","",INDEX(tblTasks[Commentaire_EKT],ROW()-6))</f>
      </c>
      <c r="U104" s="23">
        <f>=IF($A104="","",INDEX(tblTasks[Goulot],ROW()-6))</f>
      </c>
      <c r="V104" s="23">
        <f>=IF($A104="","",INDEX(tblTasks[Point_de_bascule],ROW()-6))</f>
      </c>
      <c r="W104" s="37">
        <f>IF($A104="","",IF(AND(OR(param_filtre_statut="tous",LOWER($F104)=LOWER(param_filtre_statut)),OR(param_filtre_agent="tous",LOWER($D104)=LOWER(param_filtre_agent),LOWER($E104)=LOWER(param_filtre_agent)),OR(param_filtre_criticite="toutes",LOWER($Q104)=LOWER(param_filtre_criticite))),"oui","non"))</f>
      </c>
      <c r="X104" s="37">
        <f>IF($A104="","",IF(OR(LOWER($F104)="bloqué",LOWER($L104)="oui"),"oui","non"))</f>
      </c>
      <c r="Y104" s="37">
        <f>IF($A104="","",IF(OR(LOWER($Q104)="critique",LOWER($U104)="oui",LOWER($V104)="oui"),"oui","non"))</f>
      </c>
      <c r="Z104" s="37">
        <f>IF($A104="","",IF(AND($S104&lt;&gt;"",LOWER($S104)&lt;&gt;"tranchée",LOWER($S104)&lt;&gt;"sans objet",LOWER($S104)&lt;&gt;"clos"),"oui","non"))</f>
      </c>
      <c r="AA104" s="37">
        <f>IF($A104="","",IF($P104&lt;&gt;"","oui","non"))</f>
      </c>
      <c r="AB104" s="37">
        <f>IF($A104="","",IF(OR(LOWER($F104)="non réouvrable",LOWER($R104)="forte"),"oui","non"))</f>
      </c>
    </row>
    <row r="105" spans="1:28" x14ac:dyDescent="0.25">
      <c r="A105" s="23">
        <f>IFERROR(INDEX(tblTasks[ID],ROW()-6),"")</f>
      </c>
      <c r="B105" s="24">
        <f>=IF($A105="","",INDEX(tblTasks[Sujet],ROW()-6))</f>
      </c>
      <c r="C105" s="23">
        <f>=IF($A105="","",INDEX(tblTasks[Lot_Domaine],ROW()-6))</f>
      </c>
      <c r="D105" s="23">
        <f>=IF($A105="","",INDEX(tblTasks[Agent_source],ROW()-6))</f>
      </c>
      <c r="E105" s="23">
        <f>=IF($A105="","",INDEX(tblTasks[Responsable],ROW()-6))</f>
      </c>
      <c r="F105" s="23">
        <f>=IF($A105="","",INDEX(tblTasks[Statut],ROW()-6))</f>
      </c>
      <c r="G105" s="25">
        <f>=IF($A105="","",INDEX(tblTasks[Date_debut_prevue],ROW()-6))</f>
      </c>
      <c r="H105" s="25">
        <f>=IF($A105="","",INDEX(tblTasks[Date_fin_prevue],ROW()-6))</f>
      </c>
      <c r="I105" s="36">
        <f>=IF($A105="","",INDEX(tblTasks[Duree_jours],ROW()-6))</f>
      </c>
      <c r="J105" s="25">
        <f>=IF($A105="","",INDEX(tblTasks[Date_debut_reelle],ROW()-6))</f>
      </c>
      <c r="K105" s="25">
        <f>=IF($A105="","",INDEX(tblTasks[Date_fin_reelle],ROW()-6))</f>
      </c>
      <c r="L105" s="23">
        <f>=IF($A105="","",INDEX(tblTasks[Blocage],ROW()-6))</f>
      </c>
      <c r="M105" s="23">
        <f>=IF($A105="","",INDEX(tblTasks[Depend_de],ROW()-6))</f>
      </c>
      <c r="N105" s="23">
        <f>=IF($A105="","",INDEX(tblTasks[Non_negociable],ROW()-6))</f>
      </c>
      <c r="O105" s="23">
        <f>=IF($A105="","",INDEX(tblTasks[Seuil_de_reprise],ROW()-6))</f>
      </c>
      <c r="P105" s="23">
        <f>=IF($A105="","",INDEX(tblTasks[Donnee_manquante],ROW()-6))</f>
      </c>
      <c r="Q105" s="23">
        <f>=IF($A105="","",INDEX(tblTasks[Niveau_criticite],ROW()-6))</f>
      </c>
      <c r="R105" s="23">
        <f>=IF($A105="","",INDEX(tblTasks[Irreversibilite],ROW()-6))</f>
      </c>
      <c r="S105" s="23">
        <f>=IF($A105="","",INDEX(tblTasks[Decision_Emmanuel],ROW()-6))</f>
      </c>
      <c r="T105" s="24">
        <f>=IF($A105="","",INDEX(tblTasks[Commentaire_EKT],ROW()-6))</f>
      </c>
      <c r="U105" s="23">
        <f>=IF($A105="","",INDEX(tblTasks[Goulot],ROW()-6))</f>
      </c>
      <c r="V105" s="23">
        <f>=IF($A105="","",INDEX(tblTasks[Point_de_bascule],ROW()-6))</f>
      </c>
      <c r="W105" s="37">
        <f>IF($A105="","",IF(AND(OR(param_filtre_statut="tous",LOWER($F105)=LOWER(param_filtre_statut)),OR(param_filtre_agent="tous",LOWER($D105)=LOWER(param_filtre_agent),LOWER($E105)=LOWER(param_filtre_agent)),OR(param_filtre_criticite="toutes",LOWER($Q105)=LOWER(param_filtre_criticite))),"oui","non"))</f>
      </c>
      <c r="X105" s="37">
        <f>IF($A105="","",IF(OR(LOWER($F105)="bloqué",LOWER($L105)="oui"),"oui","non"))</f>
      </c>
      <c r="Y105" s="37">
        <f>IF($A105="","",IF(OR(LOWER($Q105)="critique",LOWER($U105)="oui",LOWER($V105)="oui"),"oui","non"))</f>
      </c>
      <c r="Z105" s="37">
        <f>IF($A105="","",IF(AND($S105&lt;&gt;"",LOWER($S105)&lt;&gt;"tranchée",LOWER($S105)&lt;&gt;"sans objet",LOWER($S105)&lt;&gt;"clos"),"oui","non"))</f>
      </c>
      <c r="AA105" s="37">
        <f>IF($A105="","",IF($P105&lt;&gt;"","oui","non"))</f>
      </c>
      <c r="AB105" s="37">
        <f>IF($A105="","",IF(OR(LOWER($F105)="non réouvrable",LOWER($R105)="forte"),"oui","non"))</f>
      </c>
    </row>
    <row r="106" spans="1:28" x14ac:dyDescent="0.25">
      <c r="A106" s="23">
        <f>IFERROR(INDEX(tblTasks[ID],ROW()-6),"")</f>
      </c>
      <c r="B106" s="24">
        <f>=IF($A106="","",INDEX(tblTasks[Sujet],ROW()-6))</f>
      </c>
      <c r="C106" s="23">
        <f>=IF($A106="","",INDEX(tblTasks[Lot_Domaine],ROW()-6))</f>
      </c>
      <c r="D106" s="23">
        <f>=IF($A106="","",INDEX(tblTasks[Agent_source],ROW()-6))</f>
      </c>
      <c r="E106" s="23">
        <f>=IF($A106="","",INDEX(tblTasks[Responsable],ROW()-6))</f>
      </c>
      <c r="F106" s="23">
        <f>=IF($A106="","",INDEX(tblTasks[Statut],ROW()-6))</f>
      </c>
      <c r="G106" s="25">
        <f>=IF($A106="","",INDEX(tblTasks[Date_debut_prevue],ROW()-6))</f>
      </c>
      <c r="H106" s="25">
        <f>=IF($A106="","",INDEX(tblTasks[Date_fin_prevue],ROW()-6))</f>
      </c>
      <c r="I106" s="36">
        <f>=IF($A106="","",INDEX(tblTasks[Duree_jours],ROW()-6))</f>
      </c>
      <c r="J106" s="25">
        <f>=IF($A106="","",INDEX(tblTasks[Date_debut_reelle],ROW()-6))</f>
      </c>
      <c r="K106" s="25">
        <f>=IF($A106="","",INDEX(tblTasks[Date_fin_reelle],ROW()-6))</f>
      </c>
      <c r="L106" s="23">
        <f>=IF($A106="","",INDEX(tblTasks[Blocage],ROW()-6))</f>
      </c>
      <c r="M106" s="23">
        <f>=IF($A106="","",INDEX(tblTasks[Depend_de],ROW()-6))</f>
      </c>
      <c r="N106" s="23">
        <f>=IF($A106="","",INDEX(tblTasks[Non_negociable],ROW()-6))</f>
      </c>
      <c r="O106" s="23">
        <f>=IF($A106="","",INDEX(tblTasks[Seuil_de_reprise],ROW()-6))</f>
      </c>
      <c r="P106" s="23">
        <f>=IF($A106="","",INDEX(tblTasks[Donnee_manquante],ROW()-6))</f>
      </c>
      <c r="Q106" s="23">
        <f>=IF($A106="","",INDEX(tblTasks[Niveau_criticite],ROW()-6))</f>
      </c>
      <c r="R106" s="23">
        <f>=IF($A106="","",INDEX(tblTasks[Irreversibilite],ROW()-6))</f>
      </c>
      <c r="S106" s="23">
        <f>=IF($A106="","",INDEX(tblTasks[Decision_Emmanuel],ROW()-6))</f>
      </c>
      <c r="T106" s="24">
        <f>=IF($A106="","",INDEX(tblTasks[Commentaire_EKT],ROW()-6))</f>
      </c>
      <c r="U106" s="23">
        <f>=IF($A106="","",INDEX(tblTasks[Goulot],ROW()-6))</f>
      </c>
      <c r="V106" s="23">
        <f>=IF($A106="","",INDEX(tblTasks[Point_de_bascule],ROW()-6))</f>
      </c>
      <c r="W106" s="37">
        <f>IF($A106="","",IF(AND(OR(param_filtre_statut="tous",LOWER($F106)=LOWER(param_filtre_statut)),OR(param_filtre_agent="tous",LOWER($D106)=LOWER(param_filtre_agent),LOWER($E106)=LOWER(param_filtre_agent)),OR(param_filtre_criticite="toutes",LOWER($Q106)=LOWER(param_filtre_criticite))),"oui","non"))</f>
      </c>
      <c r="X106" s="37">
        <f>IF($A106="","",IF(OR(LOWER($F106)="bloqué",LOWER($L106)="oui"),"oui","non"))</f>
      </c>
      <c r="Y106" s="37">
        <f>IF($A106="","",IF(OR(LOWER($Q106)="critique",LOWER($U106)="oui",LOWER($V106)="oui"),"oui","non"))</f>
      </c>
      <c r="Z106" s="37">
        <f>IF($A106="","",IF(AND($S106&lt;&gt;"",LOWER($S106)&lt;&gt;"tranchée",LOWER($S106)&lt;&gt;"sans objet",LOWER($S106)&lt;&gt;"clos"),"oui","non"))</f>
      </c>
      <c r="AA106" s="37">
        <f>IF($A106="","",IF($P106&lt;&gt;"","oui","non"))</f>
      </c>
      <c r="AB106" s="37">
        <f>IF($A106="","",IF(OR(LOWER($F106)="non réouvrable",LOWER($R106)="forte"),"oui","non"))</f>
      </c>
    </row>
    <row r="107" spans="1:28" x14ac:dyDescent="0.25">
      <c r="A107" s="23">
        <f>IFERROR(INDEX(tblTasks[ID],ROW()-6),"")</f>
      </c>
      <c r="B107" s="24">
        <f>=IF($A107="","",INDEX(tblTasks[Sujet],ROW()-6))</f>
      </c>
      <c r="C107" s="23">
        <f>=IF($A107="","",INDEX(tblTasks[Lot_Domaine],ROW()-6))</f>
      </c>
      <c r="D107" s="23">
        <f>=IF($A107="","",INDEX(tblTasks[Agent_source],ROW()-6))</f>
      </c>
      <c r="E107" s="23">
        <f>=IF($A107="","",INDEX(tblTasks[Responsable],ROW()-6))</f>
      </c>
      <c r="F107" s="23">
        <f>=IF($A107="","",INDEX(tblTasks[Statut],ROW()-6))</f>
      </c>
      <c r="G107" s="25">
        <f>=IF($A107="","",INDEX(tblTasks[Date_debut_prevue],ROW()-6))</f>
      </c>
      <c r="H107" s="25">
        <f>=IF($A107="","",INDEX(tblTasks[Date_fin_prevue],ROW()-6))</f>
      </c>
      <c r="I107" s="36">
        <f>=IF($A107="","",INDEX(tblTasks[Duree_jours],ROW()-6))</f>
      </c>
      <c r="J107" s="25">
        <f>=IF($A107="","",INDEX(tblTasks[Date_debut_reelle],ROW()-6))</f>
      </c>
      <c r="K107" s="25">
        <f>=IF($A107="","",INDEX(tblTasks[Date_fin_reelle],ROW()-6))</f>
      </c>
      <c r="L107" s="23">
        <f>=IF($A107="","",INDEX(tblTasks[Blocage],ROW()-6))</f>
      </c>
      <c r="M107" s="23">
        <f>=IF($A107="","",INDEX(tblTasks[Depend_de],ROW()-6))</f>
      </c>
      <c r="N107" s="23">
        <f>=IF($A107="","",INDEX(tblTasks[Non_negociable],ROW()-6))</f>
      </c>
      <c r="O107" s="23">
        <f>=IF($A107="","",INDEX(tblTasks[Seuil_de_reprise],ROW()-6))</f>
      </c>
      <c r="P107" s="23">
        <f>=IF($A107="","",INDEX(tblTasks[Donnee_manquante],ROW()-6))</f>
      </c>
      <c r="Q107" s="23">
        <f>=IF($A107="","",INDEX(tblTasks[Niveau_criticite],ROW()-6))</f>
      </c>
      <c r="R107" s="23">
        <f>=IF($A107="","",INDEX(tblTasks[Irreversibilite],ROW()-6))</f>
      </c>
      <c r="S107" s="23">
        <f>=IF($A107="","",INDEX(tblTasks[Decision_Emmanuel],ROW()-6))</f>
      </c>
      <c r="T107" s="24">
        <f>=IF($A107="","",INDEX(tblTasks[Commentaire_EKT],ROW()-6))</f>
      </c>
      <c r="U107" s="23">
        <f>=IF($A107="","",INDEX(tblTasks[Goulot],ROW()-6))</f>
      </c>
      <c r="V107" s="23">
        <f>=IF($A107="","",INDEX(tblTasks[Point_de_bascule],ROW()-6))</f>
      </c>
      <c r="W107" s="37">
        <f>IF($A107="","",IF(AND(OR(param_filtre_statut="tous",LOWER($F107)=LOWER(param_filtre_statut)),OR(param_filtre_agent="tous",LOWER($D107)=LOWER(param_filtre_agent),LOWER($E107)=LOWER(param_filtre_agent)),OR(param_filtre_criticite="toutes",LOWER($Q107)=LOWER(param_filtre_criticite))),"oui","non"))</f>
      </c>
      <c r="X107" s="37">
        <f>IF($A107="","",IF(OR(LOWER($F107)="bloqué",LOWER($L107)="oui"),"oui","non"))</f>
      </c>
      <c r="Y107" s="37">
        <f>IF($A107="","",IF(OR(LOWER($Q107)="critique",LOWER($U107)="oui",LOWER($V107)="oui"),"oui","non"))</f>
      </c>
      <c r="Z107" s="37">
        <f>IF($A107="","",IF(AND($S107&lt;&gt;"",LOWER($S107)&lt;&gt;"tranchée",LOWER($S107)&lt;&gt;"sans objet",LOWER($S107)&lt;&gt;"clos"),"oui","non"))</f>
      </c>
      <c r="AA107" s="37">
        <f>IF($A107="","",IF($P107&lt;&gt;"","oui","non"))</f>
      </c>
      <c r="AB107" s="37">
        <f>IF($A107="","",IF(OR(LOWER($F107)="non réouvrable",LOWER($R107)="forte"),"oui","non"))</f>
      </c>
    </row>
    <row r="108" spans="1:28" x14ac:dyDescent="0.25">
      <c r="A108" s="23">
        <f>IFERROR(INDEX(tblTasks[ID],ROW()-6),"")</f>
      </c>
      <c r="B108" s="24">
        <f>=IF($A108="","",INDEX(tblTasks[Sujet],ROW()-6))</f>
      </c>
      <c r="C108" s="23">
        <f>=IF($A108="","",INDEX(tblTasks[Lot_Domaine],ROW()-6))</f>
      </c>
      <c r="D108" s="23">
        <f>=IF($A108="","",INDEX(tblTasks[Agent_source],ROW()-6))</f>
      </c>
      <c r="E108" s="23">
        <f>=IF($A108="","",INDEX(tblTasks[Responsable],ROW()-6))</f>
      </c>
      <c r="F108" s="23">
        <f>=IF($A108="","",INDEX(tblTasks[Statut],ROW()-6))</f>
      </c>
      <c r="G108" s="25">
        <f>=IF($A108="","",INDEX(tblTasks[Date_debut_prevue],ROW()-6))</f>
      </c>
      <c r="H108" s="25">
        <f>=IF($A108="","",INDEX(tblTasks[Date_fin_prevue],ROW()-6))</f>
      </c>
      <c r="I108" s="36">
        <f>=IF($A108="","",INDEX(tblTasks[Duree_jours],ROW()-6))</f>
      </c>
      <c r="J108" s="25">
        <f>=IF($A108="","",INDEX(tblTasks[Date_debut_reelle],ROW()-6))</f>
      </c>
      <c r="K108" s="25">
        <f>=IF($A108="","",INDEX(tblTasks[Date_fin_reelle],ROW()-6))</f>
      </c>
      <c r="L108" s="23">
        <f>=IF($A108="","",INDEX(tblTasks[Blocage],ROW()-6))</f>
      </c>
      <c r="M108" s="23">
        <f>=IF($A108="","",INDEX(tblTasks[Depend_de],ROW()-6))</f>
      </c>
      <c r="N108" s="23">
        <f>=IF($A108="","",INDEX(tblTasks[Non_negociable],ROW()-6))</f>
      </c>
      <c r="O108" s="23">
        <f>=IF($A108="","",INDEX(tblTasks[Seuil_de_reprise],ROW()-6))</f>
      </c>
      <c r="P108" s="23">
        <f>=IF($A108="","",INDEX(tblTasks[Donnee_manquante],ROW()-6))</f>
      </c>
      <c r="Q108" s="23">
        <f>=IF($A108="","",INDEX(tblTasks[Niveau_criticite],ROW()-6))</f>
      </c>
      <c r="R108" s="23">
        <f>=IF($A108="","",INDEX(tblTasks[Irreversibilite],ROW()-6))</f>
      </c>
      <c r="S108" s="23">
        <f>=IF($A108="","",INDEX(tblTasks[Decision_Emmanuel],ROW()-6))</f>
      </c>
      <c r="T108" s="24">
        <f>=IF($A108="","",INDEX(tblTasks[Commentaire_EKT],ROW()-6))</f>
      </c>
      <c r="U108" s="23">
        <f>=IF($A108="","",INDEX(tblTasks[Goulot],ROW()-6))</f>
      </c>
      <c r="V108" s="23">
        <f>=IF($A108="","",INDEX(tblTasks[Point_de_bascule],ROW()-6))</f>
      </c>
      <c r="W108" s="37">
        <f>IF($A108="","",IF(AND(OR(param_filtre_statut="tous",LOWER($F108)=LOWER(param_filtre_statut)),OR(param_filtre_agent="tous",LOWER($D108)=LOWER(param_filtre_agent),LOWER($E108)=LOWER(param_filtre_agent)),OR(param_filtre_criticite="toutes",LOWER($Q108)=LOWER(param_filtre_criticite))),"oui","non"))</f>
      </c>
      <c r="X108" s="37">
        <f>IF($A108="","",IF(OR(LOWER($F108)="bloqué",LOWER($L108)="oui"),"oui","non"))</f>
      </c>
      <c r="Y108" s="37">
        <f>IF($A108="","",IF(OR(LOWER($Q108)="critique",LOWER($U108)="oui",LOWER($V108)="oui"),"oui","non"))</f>
      </c>
      <c r="Z108" s="37">
        <f>IF($A108="","",IF(AND($S108&lt;&gt;"",LOWER($S108)&lt;&gt;"tranchée",LOWER($S108)&lt;&gt;"sans objet",LOWER($S108)&lt;&gt;"clos"),"oui","non"))</f>
      </c>
      <c r="AA108" s="37">
        <f>IF($A108="","",IF($P108&lt;&gt;"","oui","non"))</f>
      </c>
      <c r="AB108" s="37">
        <f>IF($A108="","",IF(OR(LOWER($F108)="non réouvrable",LOWER($R108)="forte"),"oui","non"))</f>
      </c>
    </row>
    <row r="109" spans="1:28" x14ac:dyDescent="0.25">
      <c r="A109" s="23">
        <f>IFERROR(INDEX(tblTasks[ID],ROW()-6),"")</f>
      </c>
      <c r="B109" s="24">
        <f>=IF($A109="","",INDEX(tblTasks[Sujet],ROW()-6))</f>
      </c>
      <c r="C109" s="23">
        <f>=IF($A109="","",INDEX(tblTasks[Lot_Domaine],ROW()-6))</f>
      </c>
      <c r="D109" s="23">
        <f>=IF($A109="","",INDEX(tblTasks[Agent_source],ROW()-6))</f>
      </c>
      <c r="E109" s="23">
        <f>=IF($A109="","",INDEX(tblTasks[Responsable],ROW()-6))</f>
      </c>
      <c r="F109" s="23">
        <f>=IF($A109="","",INDEX(tblTasks[Statut],ROW()-6))</f>
      </c>
      <c r="G109" s="25">
        <f>=IF($A109="","",INDEX(tblTasks[Date_debut_prevue],ROW()-6))</f>
      </c>
      <c r="H109" s="25">
        <f>=IF($A109="","",INDEX(tblTasks[Date_fin_prevue],ROW()-6))</f>
      </c>
      <c r="I109" s="36">
        <f>=IF($A109="","",INDEX(tblTasks[Duree_jours],ROW()-6))</f>
      </c>
      <c r="J109" s="25">
        <f>=IF($A109="","",INDEX(tblTasks[Date_debut_reelle],ROW()-6))</f>
      </c>
      <c r="K109" s="25">
        <f>=IF($A109="","",INDEX(tblTasks[Date_fin_reelle],ROW()-6))</f>
      </c>
      <c r="L109" s="23">
        <f>=IF($A109="","",INDEX(tblTasks[Blocage],ROW()-6))</f>
      </c>
      <c r="M109" s="23">
        <f>=IF($A109="","",INDEX(tblTasks[Depend_de],ROW()-6))</f>
      </c>
      <c r="N109" s="23">
        <f>=IF($A109="","",INDEX(tblTasks[Non_negociable],ROW()-6))</f>
      </c>
      <c r="O109" s="23">
        <f>=IF($A109="","",INDEX(tblTasks[Seuil_de_reprise],ROW()-6))</f>
      </c>
      <c r="P109" s="23">
        <f>=IF($A109="","",INDEX(tblTasks[Donnee_manquante],ROW()-6))</f>
      </c>
      <c r="Q109" s="23">
        <f>=IF($A109="","",INDEX(tblTasks[Niveau_criticite],ROW()-6))</f>
      </c>
      <c r="R109" s="23">
        <f>=IF($A109="","",INDEX(tblTasks[Irreversibilite],ROW()-6))</f>
      </c>
      <c r="S109" s="23">
        <f>=IF($A109="","",INDEX(tblTasks[Decision_Emmanuel],ROW()-6))</f>
      </c>
      <c r="T109" s="24">
        <f>=IF($A109="","",INDEX(tblTasks[Commentaire_EKT],ROW()-6))</f>
      </c>
      <c r="U109" s="23">
        <f>=IF($A109="","",INDEX(tblTasks[Goulot],ROW()-6))</f>
      </c>
      <c r="V109" s="23">
        <f>=IF($A109="","",INDEX(tblTasks[Point_de_bascule],ROW()-6))</f>
      </c>
      <c r="W109" s="37">
        <f>IF($A109="","",IF(AND(OR(param_filtre_statut="tous",LOWER($F109)=LOWER(param_filtre_statut)),OR(param_filtre_agent="tous",LOWER($D109)=LOWER(param_filtre_agent),LOWER($E109)=LOWER(param_filtre_agent)),OR(param_filtre_criticite="toutes",LOWER($Q109)=LOWER(param_filtre_criticite))),"oui","non"))</f>
      </c>
      <c r="X109" s="37">
        <f>IF($A109="","",IF(OR(LOWER($F109)="bloqué",LOWER($L109)="oui"),"oui","non"))</f>
      </c>
      <c r="Y109" s="37">
        <f>IF($A109="","",IF(OR(LOWER($Q109)="critique",LOWER($U109)="oui",LOWER($V109)="oui"),"oui","non"))</f>
      </c>
      <c r="Z109" s="37">
        <f>IF($A109="","",IF(AND($S109&lt;&gt;"",LOWER($S109)&lt;&gt;"tranchée",LOWER($S109)&lt;&gt;"sans objet",LOWER($S109)&lt;&gt;"clos"),"oui","non"))</f>
      </c>
      <c r="AA109" s="37">
        <f>IF($A109="","",IF($P109&lt;&gt;"","oui","non"))</f>
      </c>
      <c r="AB109" s="37">
        <f>IF($A109="","",IF(OR(LOWER($F109)="non réouvrable",LOWER($R109)="forte"),"oui","non"))</f>
      </c>
    </row>
    <row r="110" spans="1:28" x14ac:dyDescent="0.25">
      <c r="A110" s="23">
        <f>IFERROR(INDEX(tblTasks[ID],ROW()-6),"")</f>
      </c>
      <c r="B110" s="24">
        <f>=IF($A110="","",INDEX(tblTasks[Sujet],ROW()-6))</f>
      </c>
      <c r="C110" s="23">
        <f>=IF($A110="","",INDEX(tblTasks[Lot_Domaine],ROW()-6))</f>
      </c>
      <c r="D110" s="23">
        <f>=IF($A110="","",INDEX(tblTasks[Agent_source],ROW()-6))</f>
      </c>
      <c r="E110" s="23">
        <f>=IF($A110="","",INDEX(tblTasks[Responsable],ROW()-6))</f>
      </c>
      <c r="F110" s="23">
        <f>=IF($A110="","",INDEX(tblTasks[Statut],ROW()-6))</f>
      </c>
      <c r="G110" s="25">
        <f>=IF($A110="","",INDEX(tblTasks[Date_debut_prevue],ROW()-6))</f>
      </c>
      <c r="H110" s="25">
        <f>=IF($A110="","",INDEX(tblTasks[Date_fin_prevue],ROW()-6))</f>
      </c>
      <c r="I110" s="36">
        <f>=IF($A110="","",INDEX(tblTasks[Duree_jours],ROW()-6))</f>
      </c>
      <c r="J110" s="25">
        <f>=IF($A110="","",INDEX(tblTasks[Date_debut_reelle],ROW()-6))</f>
      </c>
      <c r="K110" s="25">
        <f>=IF($A110="","",INDEX(tblTasks[Date_fin_reelle],ROW()-6))</f>
      </c>
      <c r="L110" s="23">
        <f>=IF($A110="","",INDEX(tblTasks[Blocage],ROW()-6))</f>
      </c>
      <c r="M110" s="23">
        <f>=IF($A110="","",INDEX(tblTasks[Depend_de],ROW()-6))</f>
      </c>
      <c r="N110" s="23">
        <f>=IF($A110="","",INDEX(tblTasks[Non_negociable],ROW()-6))</f>
      </c>
      <c r="O110" s="23">
        <f>=IF($A110="","",INDEX(tblTasks[Seuil_de_reprise],ROW()-6))</f>
      </c>
      <c r="P110" s="23">
        <f>=IF($A110="","",INDEX(tblTasks[Donnee_manquante],ROW()-6))</f>
      </c>
      <c r="Q110" s="23">
        <f>=IF($A110="","",INDEX(tblTasks[Niveau_criticite],ROW()-6))</f>
      </c>
      <c r="R110" s="23">
        <f>=IF($A110="","",INDEX(tblTasks[Irreversibilite],ROW()-6))</f>
      </c>
      <c r="S110" s="23">
        <f>=IF($A110="","",INDEX(tblTasks[Decision_Emmanuel],ROW()-6))</f>
      </c>
      <c r="T110" s="24">
        <f>=IF($A110="","",INDEX(tblTasks[Commentaire_EKT],ROW()-6))</f>
      </c>
      <c r="U110" s="23">
        <f>=IF($A110="","",INDEX(tblTasks[Goulot],ROW()-6))</f>
      </c>
      <c r="V110" s="23">
        <f>=IF($A110="","",INDEX(tblTasks[Point_de_bascule],ROW()-6))</f>
      </c>
      <c r="W110" s="37">
        <f>IF($A110="","",IF(AND(OR(param_filtre_statut="tous",LOWER($F110)=LOWER(param_filtre_statut)),OR(param_filtre_agent="tous",LOWER($D110)=LOWER(param_filtre_agent),LOWER($E110)=LOWER(param_filtre_agent)),OR(param_filtre_criticite="toutes",LOWER($Q110)=LOWER(param_filtre_criticite))),"oui","non"))</f>
      </c>
      <c r="X110" s="37">
        <f>IF($A110="","",IF(OR(LOWER($F110)="bloqué",LOWER($L110)="oui"),"oui","non"))</f>
      </c>
      <c r="Y110" s="37">
        <f>IF($A110="","",IF(OR(LOWER($Q110)="critique",LOWER($U110)="oui",LOWER($V110)="oui"),"oui","non"))</f>
      </c>
      <c r="Z110" s="37">
        <f>IF($A110="","",IF(AND($S110&lt;&gt;"",LOWER($S110)&lt;&gt;"tranchée",LOWER($S110)&lt;&gt;"sans objet",LOWER($S110)&lt;&gt;"clos"),"oui","non"))</f>
      </c>
      <c r="AA110" s="37">
        <f>IF($A110="","",IF($P110&lt;&gt;"","oui","non"))</f>
      </c>
      <c r="AB110" s="37">
        <f>IF($A110="","",IF(OR(LOWER($F110)="non réouvrable",LOWER($R110)="forte"),"oui","non"))</f>
      </c>
    </row>
    <row r="111" spans="1:28" x14ac:dyDescent="0.25">
      <c r="A111" s="23">
        <f>IFERROR(INDEX(tblTasks[ID],ROW()-6),"")</f>
      </c>
      <c r="B111" s="24">
        <f>=IF($A111="","",INDEX(tblTasks[Sujet],ROW()-6))</f>
      </c>
      <c r="C111" s="23">
        <f>=IF($A111="","",INDEX(tblTasks[Lot_Domaine],ROW()-6))</f>
      </c>
      <c r="D111" s="23">
        <f>=IF($A111="","",INDEX(tblTasks[Agent_source],ROW()-6))</f>
      </c>
      <c r="E111" s="23">
        <f>=IF($A111="","",INDEX(tblTasks[Responsable],ROW()-6))</f>
      </c>
      <c r="F111" s="23">
        <f>=IF($A111="","",INDEX(tblTasks[Statut],ROW()-6))</f>
      </c>
      <c r="G111" s="25">
        <f>=IF($A111="","",INDEX(tblTasks[Date_debut_prevue],ROW()-6))</f>
      </c>
      <c r="H111" s="25">
        <f>=IF($A111="","",INDEX(tblTasks[Date_fin_prevue],ROW()-6))</f>
      </c>
      <c r="I111" s="36">
        <f>=IF($A111="","",INDEX(tblTasks[Duree_jours],ROW()-6))</f>
      </c>
      <c r="J111" s="25">
        <f>=IF($A111="","",INDEX(tblTasks[Date_debut_reelle],ROW()-6))</f>
      </c>
      <c r="K111" s="25">
        <f>=IF($A111="","",INDEX(tblTasks[Date_fin_reelle],ROW()-6))</f>
      </c>
      <c r="L111" s="23">
        <f>=IF($A111="","",INDEX(tblTasks[Blocage],ROW()-6))</f>
      </c>
      <c r="M111" s="23">
        <f>=IF($A111="","",INDEX(tblTasks[Depend_de],ROW()-6))</f>
      </c>
      <c r="N111" s="23">
        <f>=IF($A111="","",INDEX(tblTasks[Non_negociable],ROW()-6))</f>
      </c>
      <c r="O111" s="23">
        <f>=IF($A111="","",INDEX(tblTasks[Seuil_de_reprise],ROW()-6))</f>
      </c>
      <c r="P111" s="23">
        <f>=IF($A111="","",INDEX(tblTasks[Donnee_manquante],ROW()-6))</f>
      </c>
      <c r="Q111" s="23">
        <f>=IF($A111="","",INDEX(tblTasks[Niveau_criticite],ROW()-6))</f>
      </c>
      <c r="R111" s="23">
        <f>=IF($A111="","",INDEX(tblTasks[Irreversibilite],ROW()-6))</f>
      </c>
      <c r="S111" s="23">
        <f>=IF($A111="","",INDEX(tblTasks[Decision_Emmanuel],ROW()-6))</f>
      </c>
      <c r="T111" s="24">
        <f>=IF($A111="","",INDEX(tblTasks[Commentaire_EKT],ROW()-6))</f>
      </c>
      <c r="U111" s="23">
        <f>=IF($A111="","",INDEX(tblTasks[Goulot],ROW()-6))</f>
      </c>
      <c r="V111" s="23">
        <f>=IF($A111="","",INDEX(tblTasks[Point_de_bascule],ROW()-6))</f>
      </c>
      <c r="W111" s="37">
        <f>IF($A111="","",IF(AND(OR(param_filtre_statut="tous",LOWER($F111)=LOWER(param_filtre_statut)),OR(param_filtre_agent="tous",LOWER($D111)=LOWER(param_filtre_agent),LOWER($E111)=LOWER(param_filtre_agent)),OR(param_filtre_criticite="toutes",LOWER($Q111)=LOWER(param_filtre_criticite))),"oui","non"))</f>
      </c>
      <c r="X111" s="37">
        <f>IF($A111="","",IF(OR(LOWER($F111)="bloqué",LOWER($L111)="oui"),"oui","non"))</f>
      </c>
      <c r="Y111" s="37">
        <f>IF($A111="","",IF(OR(LOWER($Q111)="critique",LOWER($U111)="oui",LOWER($V111)="oui"),"oui","non"))</f>
      </c>
      <c r="Z111" s="37">
        <f>IF($A111="","",IF(AND($S111&lt;&gt;"",LOWER($S111)&lt;&gt;"tranchée",LOWER($S111)&lt;&gt;"sans objet",LOWER($S111)&lt;&gt;"clos"),"oui","non"))</f>
      </c>
      <c r="AA111" s="37">
        <f>IF($A111="","",IF($P111&lt;&gt;"","oui","non"))</f>
      </c>
      <c r="AB111" s="37">
        <f>IF($A111="","",IF(OR(LOWER($F111)="non réouvrable",LOWER($R111)="forte"),"oui","non"))</f>
      </c>
    </row>
    <row r="112" spans="1:28" x14ac:dyDescent="0.25">
      <c r="A112" s="23">
        <f>IFERROR(INDEX(tblTasks[ID],ROW()-6),"")</f>
      </c>
      <c r="B112" s="24">
        <f>=IF($A112="","",INDEX(tblTasks[Sujet],ROW()-6))</f>
      </c>
      <c r="C112" s="23">
        <f>=IF($A112="","",INDEX(tblTasks[Lot_Domaine],ROW()-6))</f>
      </c>
      <c r="D112" s="23">
        <f>=IF($A112="","",INDEX(tblTasks[Agent_source],ROW()-6))</f>
      </c>
      <c r="E112" s="23">
        <f>=IF($A112="","",INDEX(tblTasks[Responsable],ROW()-6))</f>
      </c>
      <c r="F112" s="23">
        <f>=IF($A112="","",INDEX(tblTasks[Statut],ROW()-6))</f>
      </c>
      <c r="G112" s="25">
        <f>=IF($A112="","",INDEX(tblTasks[Date_debut_prevue],ROW()-6))</f>
      </c>
      <c r="H112" s="25">
        <f>=IF($A112="","",INDEX(tblTasks[Date_fin_prevue],ROW()-6))</f>
      </c>
      <c r="I112" s="36">
        <f>=IF($A112="","",INDEX(tblTasks[Duree_jours],ROW()-6))</f>
      </c>
      <c r="J112" s="25">
        <f>=IF($A112="","",INDEX(tblTasks[Date_debut_reelle],ROW()-6))</f>
      </c>
      <c r="K112" s="25">
        <f>=IF($A112="","",INDEX(tblTasks[Date_fin_reelle],ROW()-6))</f>
      </c>
      <c r="L112" s="23">
        <f>=IF($A112="","",INDEX(tblTasks[Blocage],ROW()-6))</f>
      </c>
      <c r="M112" s="23">
        <f>=IF($A112="","",INDEX(tblTasks[Depend_de],ROW()-6))</f>
      </c>
      <c r="N112" s="23">
        <f>=IF($A112="","",INDEX(tblTasks[Non_negociable],ROW()-6))</f>
      </c>
      <c r="O112" s="23">
        <f>=IF($A112="","",INDEX(tblTasks[Seuil_de_reprise],ROW()-6))</f>
      </c>
      <c r="P112" s="23">
        <f>=IF($A112="","",INDEX(tblTasks[Donnee_manquante],ROW()-6))</f>
      </c>
      <c r="Q112" s="23">
        <f>=IF($A112="","",INDEX(tblTasks[Niveau_criticite],ROW()-6))</f>
      </c>
      <c r="R112" s="23">
        <f>=IF($A112="","",INDEX(tblTasks[Irreversibilite],ROW()-6))</f>
      </c>
      <c r="S112" s="23">
        <f>=IF($A112="","",INDEX(tblTasks[Decision_Emmanuel],ROW()-6))</f>
      </c>
      <c r="T112" s="24">
        <f>=IF($A112="","",INDEX(tblTasks[Commentaire_EKT],ROW()-6))</f>
      </c>
      <c r="U112" s="23">
        <f>=IF($A112="","",INDEX(tblTasks[Goulot],ROW()-6))</f>
      </c>
      <c r="V112" s="23">
        <f>=IF($A112="","",INDEX(tblTasks[Point_de_bascule],ROW()-6))</f>
      </c>
      <c r="W112" s="37">
        <f>IF($A112="","",IF(AND(OR(param_filtre_statut="tous",LOWER($F112)=LOWER(param_filtre_statut)),OR(param_filtre_agent="tous",LOWER($D112)=LOWER(param_filtre_agent),LOWER($E112)=LOWER(param_filtre_agent)),OR(param_filtre_criticite="toutes",LOWER($Q112)=LOWER(param_filtre_criticite))),"oui","non"))</f>
      </c>
      <c r="X112" s="37">
        <f>IF($A112="","",IF(OR(LOWER($F112)="bloqué",LOWER($L112)="oui"),"oui","non"))</f>
      </c>
      <c r="Y112" s="37">
        <f>IF($A112="","",IF(OR(LOWER($Q112)="critique",LOWER($U112)="oui",LOWER($V112)="oui"),"oui","non"))</f>
      </c>
      <c r="Z112" s="37">
        <f>IF($A112="","",IF(AND($S112&lt;&gt;"",LOWER($S112)&lt;&gt;"tranchée",LOWER($S112)&lt;&gt;"sans objet",LOWER($S112)&lt;&gt;"clos"),"oui","non"))</f>
      </c>
      <c r="AA112" s="37">
        <f>IF($A112="","",IF($P112&lt;&gt;"","oui","non"))</f>
      </c>
      <c r="AB112" s="37">
        <f>IF($A112="","",IF(OR(LOWER($F112)="non réouvrable",LOWER($R112)="forte"),"oui","non"))</f>
      </c>
    </row>
    <row r="113" spans="1:28" x14ac:dyDescent="0.25">
      <c r="A113" s="23">
        <f>IFERROR(INDEX(tblTasks[ID],ROW()-6),"")</f>
      </c>
      <c r="B113" s="24">
        <f>=IF($A113="","",INDEX(tblTasks[Sujet],ROW()-6))</f>
      </c>
      <c r="C113" s="23">
        <f>=IF($A113="","",INDEX(tblTasks[Lot_Domaine],ROW()-6))</f>
      </c>
      <c r="D113" s="23">
        <f>=IF($A113="","",INDEX(tblTasks[Agent_source],ROW()-6))</f>
      </c>
      <c r="E113" s="23">
        <f>=IF($A113="","",INDEX(tblTasks[Responsable],ROW()-6))</f>
      </c>
      <c r="F113" s="23">
        <f>=IF($A113="","",INDEX(tblTasks[Statut],ROW()-6))</f>
      </c>
      <c r="G113" s="25">
        <f>=IF($A113="","",INDEX(tblTasks[Date_debut_prevue],ROW()-6))</f>
      </c>
      <c r="H113" s="25">
        <f>=IF($A113="","",INDEX(tblTasks[Date_fin_prevue],ROW()-6))</f>
      </c>
      <c r="I113" s="36">
        <f>=IF($A113="","",INDEX(tblTasks[Duree_jours],ROW()-6))</f>
      </c>
      <c r="J113" s="25">
        <f>=IF($A113="","",INDEX(tblTasks[Date_debut_reelle],ROW()-6))</f>
      </c>
      <c r="K113" s="25">
        <f>=IF($A113="","",INDEX(tblTasks[Date_fin_reelle],ROW()-6))</f>
      </c>
      <c r="L113" s="23">
        <f>=IF($A113="","",INDEX(tblTasks[Blocage],ROW()-6))</f>
      </c>
      <c r="M113" s="23">
        <f>=IF($A113="","",INDEX(tblTasks[Depend_de],ROW()-6))</f>
      </c>
      <c r="N113" s="23">
        <f>=IF($A113="","",INDEX(tblTasks[Non_negociable],ROW()-6))</f>
      </c>
      <c r="O113" s="23">
        <f>=IF($A113="","",INDEX(tblTasks[Seuil_de_reprise],ROW()-6))</f>
      </c>
      <c r="P113" s="23">
        <f>=IF($A113="","",INDEX(tblTasks[Donnee_manquante],ROW()-6))</f>
      </c>
      <c r="Q113" s="23">
        <f>=IF($A113="","",INDEX(tblTasks[Niveau_criticite],ROW()-6))</f>
      </c>
      <c r="R113" s="23">
        <f>=IF($A113="","",INDEX(tblTasks[Irreversibilite],ROW()-6))</f>
      </c>
      <c r="S113" s="23">
        <f>=IF($A113="","",INDEX(tblTasks[Decision_Emmanuel],ROW()-6))</f>
      </c>
      <c r="T113" s="24">
        <f>=IF($A113="","",INDEX(tblTasks[Commentaire_EKT],ROW()-6))</f>
      </c>
      <c r="U113" s="23">
        <f>=IF($A113="","",INDEX(tblTasks[Goulot],ROW()-6))</f>
      </c>
      <c r="V113" s="23">
        <f>=IF($A113="","",INDEX(tblTasks[Point_de_bascule],ROW()-6))</f>
      </c>
      <c r="W113" s="37">
        <f>IF($A113="","",IF(AND(OR(param_filtre_statut="tous",LOWER($F113)=LOWER(param_filtre_statut)),OR(param_filtre_agent="tous",LOWER($D113)=LOWER(param_filtre_agent),LOWER($E113)=LOWER(param_filtre_agent)),OR(param_filtre_criticite="toutes",LOWER($Q113)=LOWER(param_filtre_criticite))),"oui","non"))</f>
      </c>
      <c r="X113" s="37">
        <f>IF($A113="","",IF(OR(LOWER($F113)="bloqué",LOWER($L113)="oui"),"oui","non"))</f>
      </c>
      <c r="Y113" s="37">
        <f>IF($A113="","",IF(OR(LOWER($Q113)="critique",LOWER($U113)="oui",LOWER($V113)="oui"),"oui","non"))</f>
      </c>
      <c r="Z113" s="37">
        <f>IF($A113="","",IF(AND($S113&lt;&gt;"",LOWER($S113)&lt;&gt;"tranchée",LOWER($S113)&lt;&gt;"sans objet",LOWER($S113)&lt;&gt;"clos"),"oui","non"))</f>
      </c>
      <c r="AA113" s="37">
        <f>IF($A113="","",IF($P113&lt;&gt;"","oui","non"))</f>
      </c>
      <c r="AB113" s="37">
        <f>IF($A113="","",IF(OR(LOWER($F113)="non réouvrable",LOWER($R113)="forte"),"oui","non"))</f>
      </c>
    </row>
    <row r="114" spans="1:28" x14ac:dyDescent="0.25">
      <c r="A114" s="23">
        <f>IFERROR(INDEX(tblTasks[ID],ROW()-6),"")</f>
      </c>
      <c r="B114" s="24">
        <f>=IF($A114="","",INDEX(tblTasks[Sujet],ROW()-6))</f>
      </c>
      <c r="C114" s="23">
        <f>=IF($A114="","",INDEX(tblTasks[Lot_Domaine],ROW()-6))</f>
      </c>
      <c r="D114" s="23">
        <f>=IF($A114="","",INDEX(tblTasks[Agent_source],ROW()-6))</f>
      </c>
      <c r="E114" s="23">
        <f>=IF($A114="","",INDEX(tblTasks[Responsable],ROW()-6))</f>
      </c>
      <c r="F114" s="23">
        <f>=IF($A114="","",INDEX(tblTasks[Statut],ROW()-6))</f>
      </c>
      <c r="G114" s="25">
        <f>=IF($A114="","",INDEX(tblTasks[Date_debut_prevue],ROW()-6))</f>
      </c>
      <c r="H114" s="25">
        <f>=IF($A114="","",INDEX(tblTasks[Date_fin_prevue],ROW()-6))</f>
      </c>
      <c r="I114" s="36">
        <f>=IF($A114="","",INDEX(tblTasks[Duree_jours],ROW()-6))</f>
      </c>
      <c r="J114" s="25">
        <f>=IF($A114="","",INDEX(tblTasks[Date_debut_reelle],ROW()-6))</f>
      </c>
      <c r="K114" s="25">
        <f>=IF($A114="","",INDEX(tblTasks[Date_fin_reelle],ROW()-6))</f>
      </c>
      <c r="L114" s="23">
        <f>=IF($A114="","",INDEX(tblTasks[Blocage],ROW()-6))</f>
      </c>
      <c r="M114" s="23">
        <f>=IF($A114="","",INDEX(tblTasks[Depend_de],ROW()-6))</f>
      </c>
      <c r="N114" s="23">
        <f>=IF($A114="","",INDEX(tblTasks[Non_negociable],ROW()-6))</f>
      </c>
      <c r="O114" s="23">
        <f>=IF($A114="","",INDEX(tblTasks[Seuil_de_reprise],ROW()-6))</f>
      </c>
      <c r="P114" s="23">
        <f>=IF($A114="","",INDEX(tblTasks[Donnee_manquante],ROW()-6))</f>
      </c>
      <c r="Q114" s="23">
        <f>=IF($A114="","",INDEX(tblTasks[Niveau_criticite],ROW()-6))</f>
      </c>
      <c r="R114" s="23">
        <f>=IF($A114="","",INDEX(tblTasks[Irreversibilite],ROW()-6))</f>
      </c>
      <c r="S114" s="23">
        <f>=IF($A114="","",INDEX(tblTasks[Decision_Emmanuel],ROW()-6))</f>
      </c>
      <c r="T114" s="24">
        <f>=IF($A114="","",INDEX(tblTasks[Commentaire_EKT],ROW()-6))</f>
      </c>
      <c r="U114" s="23">
        <f>=IF($A114="","",INDEX(tblTasks[Goulot],ROW()-6))</f>
      </c>
      <c r="V114" s="23">
        <f>=IF($A114="","",INDEX(tblTasks[Point_de_bascule],ROW()-6))</f>
      </c>
      <c r="W114" s="37">
        <f>IF($A114="","",IF(AND(OR(param_filtre_statut="tous",LOWER($F114)=LOWER(param_filtre_statut)),OR(param_filtre_agent="tous",LOWER($D114)=LOWER(param_filtre_agent),LOWER($E114)=LOWER(param_filtre_agent)),OR(param_filtre_criticite="toutes",LOWER($Q114)=LOWER(param_filtre_criticite))),"oui","non"))</f>
      </c>
      <c r="X114" s="37">
        <f>IF($A114="","",IF(OR(LOWER($F114)="bloqué",LOWER($L114)="oui"),"oui","non"))</f>
      </c>
      <c r="Y114" s="37">
        <f>IF($A114="","",IF(OR(LOWER($Q114)="critique",LOWER($U114)="oui",LOWER($V114)="oui"),"oui","non"))</f>
      </c>
      <c r="Z114" s="37">
        <f>IF($A114="","",IF(AND($S114&lt;&gt;"",LOWER($S114)&lt;&gt;"tranchée",LOWER($S114)&lt;&gt;"sans objet",LOWER($S114)&lt;&gt;"clos"),"oui","non"))</f>
      </c>
      <c r="AA114" s="37">
        <f>IF($A114="","",IF($P114&lt;&gt;"","oui","non"))</f>
      </c>
      <c r="AB114" s="37">
        <f>IF($A114="","",IF(OR(LOWER($F114)="non réouvrable",LOWER($R114)="forte"),"oui","non"))</f>
      </c>
    </row>
    <row r="115" spans="1:28" x14ac:dyDescent="0.25">
      <c r="A115" s="23">
        <f>IFERROR(INDEX(tblTasks[ID],ROW()-6),"")</f>
      </c>
      <c r="B115" s="24">
        <f>=IF($A115="","",INDEX(tblTasks[Sujet],ROW()-6))</f>
      </c>
      <c r="C115" s="23">
        <f>=IF($A115="","",INDEX(tblTasks[Lot_Domaine],ROW()-6))</f>
      </c>
      <c r="D115" s="23">
        <f>=IF($A115="","",INDEX(tblTasks[Agent_source],ROW()-6))</f>
      </c>
      <c r="E115" s="23">
        <f>=IF($A115="","",INDEX(tblTasks[Responsable],ROW()-6))</f>
      </c>
      <c r="F115" s="23">
        <f>=IF($A115="","",INDEX(tblTasks[Statut],ROW()-6))</f>
      </c>
      <c r="G115" s="25">
        <f>=IF($A115="","",INDEX(tblTasks[Date_debut_prevue],ROW()-6))</f>
      </c>
      <c r="H115" s="25">
        <f>=IF($A115="","",INDEX(tblTasks[Date_fin_prevue],ROW()-6))</f>
      </c>
      <c r="I115" s="36">
        <f>=IF($A115="","",INDEX(tblTasks[Duree_jours],ROW()-6))</f>
      </c>
      <c r="J115" s="25">
        <f>=IF($A115="","",INDEX(tblTasks[Date_debut_reelle],ROW()-6))</f>
      </c>
      <c r="K115" s="25">
        <f>=IF($A115="","",INDEX(tblTasks[Date_fin_reelle],ROW()-6))</f>
      </c>
      <c r="L115" s="23">
        <f>=IF($A115="","",INDEX(tblTasks[Blocage],ROW()-6))</f>
      </c>
      <c r="M115" s="23">
        <f>=IF($A115="","",INDEX(tblTasks[Depend_de],ROW()-6))</f>
      </c>
      <c r="N115" s="23">
        <f>=IF($A115="","",INDEX(tblTasks[Non_negociable],ROW()-6))</f>
      </c>
      <c r="O115" s="23">
        <f>=IF($A115="","",INDEX(tblTasks[Seuil_de_reprise],ROW()-6))</f>
      </c>
      <c r="P115" s="23">
        <f>=IF($A115="","",INDEX(tblTasks[Donnee_manquante],ROW()-6))</f>
      </c>
      <c r="Q115" s="23">
        <f>=IF($A115="","",INDEX(tblTasks[Niveau_criticite],ROW()-6))</f>
      </c>
      <c r="R115" s="23">
        <f>=IF($A115="","",INDEX(tblTasks[Irreversibilite],ROW()-6))</f>
      </c>
      <c r="S115" s="23">
        <f>=IF($A115="","",INDEX(tblTasks[Decision_Emmanuel],ROW()-6))</f>
      </c>
      <c r="T115" s="24">
        <f>=IF($A115="","",INDEX(tblTasks[Commentaire_EKT],ROW()-6))</f>
      </c>
      <c r="U115" s="23">
        <f>=IF($A115="","",INDEX(tblTasks[Goulot],ROW()-6))</f>
      </c>
      <c r="V115" s="23">
        <f>=IF($A115="","",INDEX(tblTasks[Point_de_bascule],ROW()-6))</f>
      </c>
      <c r="W115" s="37">
        <f>IF($A115="","",IF(AND(OR(param_filtre_statut="tous",LOWER($F115)=LOWER(param_filtre_statut)),OR(param_filtre_agent="tous",LOWER($D115)=LOWER(param_filtre_agent),LOWER($E115)=LOWER(param_filtre_agent)),OR(param_filtre_criticite="toutes",LOWER($Q115)=LOWER(param_filtre_criticite))),"oui","non"))</f>
      </c>
      <c r="X115" s="37">
        <f>IF($A115="","",IF(OR(LOWER($F115)="bloqué",LOWER($L115)="oui"),"oui","non"))</f>
      </c>
      <c r="Y115" s="37">
        <f>IF($A115="","",IF(OR(LOWER($Q115)="critique",LOWER($U115)="oui",LOWER($V115)="oui"),"oui","non"))</f>
      </c>
      <c r="Z115" s="37">
        <f>IF($A115="","",IF(AND($S115&lt;&gt;"",LOWER($S115)&lt;&gt;"tranchée",LOWER($S115)&lt;&gt;"sans objet",LOWER($S115)&lt;&gt;"clos"),"oui","non"))</f>
      </c>
      <c r="AA115" s="37">
        <f>IF($A115="","",IF($P115&lt;&gt;"","oui","non"))</f>
      </c>
      <c r="AB115" s="37">
        <f>IF($A115="","",IF(OR(LOWER($F115)="non réouvrable",LOWER($R115)="forte"),"oui","non"))</f>
      </c>
    </row>
    <row r="116" spans="1:28" x14ac:dyDescent="0.25">
      <c r="A116" s="23">
        <f>IFERROR(INDEX(tblTasks[ID],ROW()-6),"")</f>
      </c>
      <c r="B116" s="24">
        <f>=IF($A116="","",INDEX(tblTasks[Sujet],ROW()-6))</f>
      </c>
      <c r="C116" s="23">
        <f>=IF($A116="","",INDEX(tblTasks[Lot_Domaine],ROW()-6))</f>
      </c>
      <c r="D116" s="23">
        <f>=IF($A116="","",INDEX(tblTasks[Agent_source],ROW()-6))</f>
      </c>
      <c r="E116" s="23">
        <f>=IF($A116="","",INDEX(tblTasks[Responsable],ROW()-6))</f>
      </c>
      <c r="F116" s="23">
        <f>=IF($A116="","",INDEX(tblTasks[Statut],ROW()-6))</f>
      </c>
      <c r="G116" s="25">
        <f>=IF($A116="","",INDEX(tblTasks[Date_debut_prevue],ROW()-6))</f>
      </c>
      <c r="H116" s="25">
        <f>=IF($A116="","",INDEX(tblTasks[Date_fin_prevue],ROW()-6))</f>
      </c>
      <c r="I116" s="36">
        <f>=IF($A116="","",INDEX(tblTasks[Duree_jours],ROW()-6))</f>
      </c>
      <c r="J116" s="25">
        <f>=IF($A116="","",INDEX(tblTasks[Date_debut_reelle],ROW()-6))</f>
      </c>
      <c r="K116" s="25">
        <f>=IF($A116="","",INDEX(tblTasks[Date_fin_reelle],ROW()-6))</f>
      </c>
      <c r="L116" s="23">
        <f>=IF($A116="","",INDEX(tblTasks[Blocage],ROW()-6))</f>
      </c>
      <c r="M116" s="23">
        <f>=IF($A116="","",INDEX(tblTasks[Depend_de],ROW()-6))</f>
      </c>
      <c r="N116" s="23">
        <f>=IF($A116="","",INDEX(tblTasks[Non_negociable],ROW()-6))</f>
      </c>
      <c r="O116" s="23">
        <f>=IF($A116="","",INDEX(tblTasks[Seuil_de_reprise],ROW()-6))</f>
      </c>
      <c r="P116" s="23">
        <f>=IF($A116="","",INDEX(tblTasks[Donnee_manquante],ROW()-6))</f>
      </c>
      <c r="Q116" s="23">
        <f>=IF($A116="","",INDEX(tblTasks[Niveau_criticite],ROW()-6))</f>
      </c>
      <c r="R116" s="23">
        <f>=IF($A116="","",INDEX(tblTasks[Irreversibilite],ROW()-6))</f>
      </c>
      <c r="S116" s="23">
        <f>=IF($A116="","",INDEX(tblTasks[Decision_Emmanuel],ROW()-6))</f>
      </c>
      <c r="T116" s="24">
        <f>=IF($A116="","",INDEX(tblTasks[Commentaire_EKT],ROW()-6))</f>
      </c>
      <c r="U116" s="23">
        <f>=IF($A116="","",INDEX(tblTasks[Goulot],ROW()-6))</f>
      </c>
      <c r="V116" s="23">
        <f>=IF($A116="","",INDEX(tblTasks[Point_de_bascule],ROW()-6))</f>
      </c>
      <c r="W116" s="37">
        <f>IF($A116="","",IF(AND(OR(param_filtre_statut="tous",LOWER($F116)=LOWER(param_filtre_statut)),OR(param_filtre_agent="tous",LOWER($D116)=LOWER(param_filtre_agent),LOWER($E116)=LOWER(param_filtre_agent)),OR(param_filtre_criticite="toutes",LOWER($Q116)=LOWER(param_filtre_criticite))),"oui","non"))</f>
      </c>
      <c r="X116" s="37">
        <f>IF($A116="","",IF(OR(LOWER($F116)="bloqué",LOWER($L116)="oui"),"oui","non"))</f>
      </c>
      <c r="Y116" s="37">
        <f>IF($A116="","",IF(OR(LOWER($Q116)="critique",LOWER($U116)="oui",LOWER($V116)="oui"),"oui","non"))</f>
      </c>
      <c r="Z116" s="37">
        <f>IF($A116="","",IF(AND($S116&lt;&gt;"",LOWER($S116)&lt;&gt;"tranchée",LOWER($S116)&lt;&gt;"sans objet",LOWER($S116)&lt;&gt;"clos"),"oui","non"))</f>
      </c>
      <c r="AA116" s="37">
        <f>IF($A116="","",IF($P116&lt;&gt;"","oui","non"))</f>
      </c>
      <c r="AB116" s="37">
        <f>IF($A116="","",IF(OR(LOWER($F116)="non réouvrable",LOWER($R116)="forte"),"oui","non"))</f>
      </c>
    </row>
    <row r="117" spans="1:28" x14ac:dyDescent="0.25">
      <c r="A117" s="23">
        <f>IFERROR(INDEX(tblTasks[ID],ROW()-6),"")</f>
      </c>
      <c r="B117" s="24">
        <f>=IF($A117="","",INDEX(tblTasks[Sujet],ROW()-6))</f>
      </c>
      <c r="C117" s="23">
        <f>=IF($A117="","",INDEX(tblTasks[Lot_Domaine],ROW()-6))</f>
      </c>
      <c r="D117" s="23">
        <f>=IF($A117="","",INDEX(tblTasks[Agent_source],ROW()-6))</f>
      </c>
      <c r="E117" s="23">
        <f>=IF($A117="","",INDEX(tblTasks[Responsable],ROW()-6))</f>
      </c>
      <c r="F117" s="23">
        <f>=IF($A117="","",INDEX(tblTasks[Statut],ROW()-6))</f>
      </c>
      <c r="G117" s="25">
        <f>=IF($A117="","",INDEX(tblTasks[Date_debut_prevue],ROW()-6))</f>
      </c>
      <c r="H117" s="25">
        <f>=IF($A117="","",INDEX(tblTasks[Date_fin_prevue],ROW()-6))</f>
      </c>
      <c r="I117" s="36">
        <f>=IF($A117="","",INDEX(tblTasks[Duree_jours],ROW()-6))</f>
      </c>
      <c r="J117" s="25">
        <f>=IF($A117="","",INDEX(tblTasks[Date_debut_reelle],ROW()-6))</f>
      </c>
      <c r="K117" s="25">
        <f>=IF($A117="","",INDEX(tblTasks[Date_fin_reelle],ROW()-6))</f>
      </c>
      <c r="L117" s="23">
        <f>=IF($A117="","",INDEX(tblTasks[Blocage],ROW()-6))</f>
      </c>
      <c r="M117" s="23">
        <f>=IF($A117="","",INDEX(tblTasks[Depend_de],ROW()-6))</f>
      </c>
      <c r="N117" s="23">
        <f>=IF($A117="","",INDEX(tblTasks[Non_negociable],ROW()-6))</f>
      </c>
      <c r="O117" s="23">
        <f>=IF($A117="","",INDEX(tblTasks[Seuil_de_reprise],ROW()-6))</f>
      </c>
      <c r="P117" s="23">
        <f>=IF($A117="","",INDEX(tblTasks[Donnee_manquante],ROW()-6))</f>
      </c>
      <c r="Q117" s="23">
        <f>=IF($A117="","",INDEX(tblTasks[Niveau_criticite],ROW()-6))</f>
      </c>
      <c r="R117" s="23">
        <f>=IF($A117="","",INDEX(tblTasks[Irreversibilite],ROW()-6))</f>
      </c>
      <c r="S117" s="23">
        <f>=IF($A117="","",INDEX(tblTasks[Decision_Emmanuel],ROW()-6))</f>
      </c>
      <c r="T117" s="24">
        <f>=IF($A117="","",INDEX(tblTasks[Commentaire_EKT],ROW()-6))</f>
      </c>
      <c r="U117" s="23">
        <f>=IF($A117="","",INDEX(tblTasks[Goulot],ROW()-6))</f>
      </c>
      <c r="V117" s="23">
        <f>=IF($A117="","",INDEX(tblTasks[Point_de_bascule],ROW()-6))</f>
      </c>
      <c r="W117" s="37">
        <f>IF($A117="","",IF(AND(OR(param_filtre_statut="tous",LOWER($F117)=LOWER(param_filtre_statut)),OR(param_filtre_agent="tous",LOWER($D117)=LOWER(param_filtre_agent),LOWER($E117)=LOWER(param_filtre_agent)),OR(param_filtre_criticite="toutes",LOWER($Q117)=LOWER(param_filtre_criticite))),"oui","non"))</f>
      </c>
      <c r="X117" s="37">
        <f>IF($A117="","",IF(OR(LOWER($F117)="bloqué",LOWER($L117)="oui"),"oui","non"))</f>
      </c>
      <c r="Y117" s="37">
        <f>IF($A117="","",IF(OR(LOWER($Q117)="critique",LOWER($U117)="oui",LOWER($V117)="oui"),"oui","non"))</f>
      </c>
      <c r="Z117" s="37">
        <f>IF($A117="","",IF(AND($S117&lt;&gt;"",LOWER($S117)&lt;&gt;"tranchée",LOWER($S117)&lt;&gt;"sans objet",LOWER($S117)&lt;&gt;"clos"),"oui","non"))</f>
      </c>
      <c r="AA117" s="37">
        <f>IF($A117="","",IF($P117&lt;&gt;"","oui","non"))</f>
      </c>
      <c r="AB117" s="37">
        <f>IF($A117="","",IF(OR(LOWER($F117)="non réouvrable",LOWER($R117)="forte"),"oui","non"))</f>
      </c>
    </row>
    <row r="118" spans="1:28" x14ac:dyDescent="0.25">
      <c r="A118" s="23">
        <f>IFERROR(INDEX(tblTasks[ID],ROW()-6),"")</f>
      </c>
      <c r="B118" s="24">
        <f>=IF($A118="","",INDEX(tblTasks[Sujet],ROW()-6))</f>
      </c>
      <c r="C118" s="23">
        <f>=IF($A118="","",INDEX(tblTasks[Lot_Domaine],ROW()-6))</f>
      </c>
      <c r="D118" s="23">
        <f>=IF($A118="","",INDEX(tblTasks[Agent_source],ROW()-6))</f>
      </c>
      <c r="E118" s="23">
        <f>=IF($A118="","",INDEX(tblTasks[Responsable],ROW()-6))</f>
      </c>
      <c r="F118" s="23">
        <f>=IF($A118="","",INDEX(tblTasks[Statut],ROW()-6))</f>
      </c>
      <c r="G118" s="25">
        <f>=IF($A118="","",INDEX(tblTasks[Date_debut_prevue],ROW()-6))</f>
      </c>
      <c r="H118" s="25">
        <f>=IF($A118="","",INDEX(tblTasks[Date_fin_prevue],ROW()-6))</f>
      </c>
      <c r="I118" s="36">
        <f>=IF($A118="","",INDEX(tblTasks[Duree_jours],ROW()-6))</f>
      </c>
      <c r="J118" s="25">
        <f>=IF($A118="","",INDEX(tblTasks[Date_debut_reelle],ROW()-6))</f>
      </c>
      <c r="K118" s="25">
        <f>=IF($A118="","",INDEX(tblTasks[Date_fin_reelle],ROW()-6))</f>
      </c>
      <c r="L118" s="23">
        <f>=IF($A118="","",INDEX(tblTasks[Blocage],ROW()-6))</f>
      </c>
      <c r="M118" s="23">
        <f>=IF($A118="","",INDEX(tblTasks[Depend_de],ROW()-6))</f>
      </c>
      <c r="N118" s="23">
        <f>=IF($A118="","",INDEX(tblTasks[Non_negociable],ROW()-6))</f>
      </c>
      <c r="O118" s="23">
        <f>=IF($A118="","",INDEX(tblTasks[Seuil_de_reprise],ROW()-6))</f>
      </c>
      <c r="P118" s="23">
        <f>=IF($A118="","",INDEX(tblTasks[Donnee_manquante],ROW()-6))</f>
      </c>
      <c r="Q118" s="23">
        <f>=IF($A118="","",INDEX(tblTasks[Niveau_criticite],ROW()-6))</f>
      </c>
      <c r="R118" s="23">
        <f>=IF($A118="","",INDEX(tblTasks[Irreversibilite],ROW()-6))</f>
      </c>
      <c r="S118" s="23">
        <f>=IF($A118="","",INDEX(tblTasks[Decision_Emmanuel],ROW()-6))</f>
      </c>
      <c r="T118" s="24">
        <f>=IF($A118="","",INDEX(tblTasks[Commentaire_EKT],ROW()-6))</f>
      </c>
      <c r="U118" s="23">
        <f>=IF($A118="","",INDEX(tblTasks[Goulot],ROW()-6))</f>
      </c>
      <c r="V118" s="23">
        <f>=IF($A118="","",INDEX(tblTasks[Point_de_bascule],ROW()-6))</f>
      </c>
      <c r="W118" s="37">
        <f>IF($A118="","",IF(AND(OR(param_filtre_statut="tous",LOWER($F118)=LOWER(param_filtre_statut)),OR(param_filtre_agent="tous",LOWER($D118)=LOWER(param_filtre_agent),LOWER($E118)=LOWER(param_filtre_agent)),OR(param_filtre_criticite="toutes",LOWER($Q118)=LOWER(param_filtre_criticite))),"oui","non"))</f>
      </c>
      <c r="X118" s="37">
        <f>IF($A118="","",IF(OR(LOWER($F118)="bloqué",LOWER($L118)="oui"),"oui","non"))</f>
      </c>
      <c r="Y118" s="37">
        <f>IF($A118="","",IF(OR(LOWER($Q118)="critique",LOWER($U118)="oui",LOWER($V118)="oui"),"oui","non"))</f>
      </c>
      <c r="Z118" s="37">
        <f>IF($A118="","",IF(AND($S118&lt;&gt;"",LOWER($S118)&lt;&gt;"tranchée",LOWER($S118)&lt;&gt;"sans objet",LOWER($S118)&lt;&gt;"clos"),"oui","non"))</f>
      </c>
      <c r="AA118" s="37">
        <f>IF($A118="","",IF($P118&lt;&gt;"","oui","non"))</f>
      </c>
      <c r="AB118" s="37">
        <f>IF($A118="","",IF(OR(LOWER($F118)="non réouvrable",LOWER($R118)="forte"),"oui","non"))</f>
      </c>
    </row>
    <row r="119" spans="1:28" x14ac:dyDescent="0.25">
      <c r="A119" s="23">
        <f>IFERROR(INDEX(tblTasks[ID],ROW()-6),"")</f>
      </c>
      <c r="B119" s="24">
        <f>=IF($A119="","",INDEX(tblTasks[Sujet],ROW()-6))</f>
      </c>
      <c r="C119" s="23">
        <f>=IF($A119="","",INDEX(tblTasks[Lot_Domaine],ROW()-6))</f>
      </c>
      <c r="D119" s="23">
        <f>=IF($A119="","",INDEX(tblTasks[Agent_source],ROW()-6))</f>
      </c>
      <c r="E119" s="23">
        <f>=IF($A119="","",INDEX(tblTasks[Responsable],ROW()-6))</f>
      </c>
      <c r="F119" s="23">
        <f>=IF($A119="","",INDEX(tblTasks[Statut],ROW()-6))</f>
      </c>
      <c r="G119" s="25">
        <f>=IF($A119="","",INDEX(tblTasks[Date_debut_prevue],ROW()-6))</f>
      </c>
      <c r="H119" s="25">
        <f>=IF($A119="","",INDEX(tblTasks[Date_fin_prevue],ROW()-6))</f>
      </c>
      <c r="I119" s="36">
        <f>=IF($A119="","",INDEX(tblTasks[Duree_jours],ROW()-6))</f>
      </c>
      <c r="J119" s="25">
        <f>=IF($A119="","",INDEX(tblTasks[Date_debut_reelle],ROW()-6))</f>
      </c>
      <c r="K119" s="25">
        <f>=IF($A119="","",INDEX(tblTasks[Date_fin_reelle],ROW()-6))</f>
      </c>
      <c r="L119" s="23">
        <f>=IF($A119="","",INDEX(tblTasks[Blocage],ROW()-6))</f>
      </c>
      <c r="M119" s="23">
        <f>=IF($A119="","",INDEX(tblTasks[Depend_de],ROW()-6))</f>
      </c>
      <c r="N119" s="23">
        <f>=IF($A119="","",INDEX(tblTasks[Non_negociable],ROW()-6))</f>
      </c>
      <c r="O119" s="23">
        <f>=IF($A119="","",INDEX(tblTasks[Seuil_de_reprise],ROW()-6))</f>
      </c>
      <c r="P119" s="23">
        <f>=IF($A119="","",INDEX(tblTasks[Donnee_manquante],ROW()-6))</f>
      </c>
      <c r="Q119" s="23">
        <f>=IF($A119="","",INDEX(tblTasks[Niveau_criticite],ROW()-6))</f>
      </c>
      <c r="R119" s="23">
        <f>=IF($A119="","",INDEX(tblTasks[Irreversibilite],ROW()-6))</f>
      </c>
      <c r="S119" s="23">
        <f>=IF($A119="","",INDEX(tblTasks[Decision_Emmanuel],ROW()-6))</f>
      </c>
      <c r="T119" s="24">
        <f>=IF($A119="","",INDEX(tblTasks[Commentaire_EKT],ROW()-6))</f>
      </c>
      <c r="U119" s="23">
        <f>=IF($A119="","",INDEX(tblTasks[Goulot],ROW()-6))</f>
      </c>
      <c r="V119" s="23">
        <f>=IF($A119="","",INDEX(tblTasks[Point_de_bascule],ROW()-6))</f>
      </c>
      <c r="W119" s="37">
        <f>IF($A119="","",IF(AND(OR(param_filtre_statut="tous",LOWER($F119)=LOWER(param_filtre_statut)),OR(param_filtre_agent="tous",LOWER($D119)=LOWER(param_filtre_agent),LOWER($E119)=LOWER(param_filtre_agent)),OR(param_filtre_criticite="toutes",LOWER($Q119)=LOWER(param_filtre_criticite))),"oui","non"))</f>
      </c>
      <c r="X119" s="37">
        <f>IF($A119="","",IF(OR(LOWER($F119)="bloqué",LOWER($L119)="oui"),"oui","non"))</f>
      </c>
      <c r="Y119" s="37">
        <f>IF($A119="","",IF(OR(LOWER($Q119)="critique",LOWER($U119)="oui",LOWER($V119)="oui"),"oui","non"))</f>
      </c>
      <c r="Z119" s="37">
        <f>IF($A119="","",IF(AND($S119&lt;&gt;"",LOWER($S119)&lt;&gt;"tranchée",LOWER($S119)&lt;&gt;"sans objet",LOWER($S119)&lt;&gt;"clos"),"oui","non"))</f>
      </c>
      <c r="AA119" s="37">
        <f>IF($A119="","",IF($P119&lt;&gt;"","oui","non"))</f>
      </c>
      <c r="AB119" s="37">
        <f>IF($A119="","",IF(OR(LOWER($F119)="non réouvrable",LOWER($R119)="forte"),"oui","non"))</f>
      </c>
    </row>
    <row r="120" spans="1:28" x14ac:dyDescent="0.25">
      <c r="A120" s="23">
        <f>IFERROR(INDEX(tblTasks[ID],ROW()-6),"")</f>
      </c>
      <c r="B120" s="24">
        <f>=IF($A120="","",INDEX(tblTasks[Sujet],ROW()-6))</f>
      </c>
      <c r="C120" s="23">
        <f>=IF($A120="","",INDEX(tblTasks[Lot_Domaine],ROW()-6))</f>
      </c>
      <c r="D120" s="23">
        <f>=IF($A120="","",INDEX(tblTasks[Agent_source],ROW()-6))</f>
      </c>
      <c r="E120" s="23">
        <f>=IF($A120="","",INDEX(tblTasks[Responsable],ROW()-6))</f>
      </c>
      <c r="F120" s="23">
        <f>=IF($A120="","",INDEX(tblTasks[Statut],ROW()-6))</f>
      </c>
      <c r="G120" s="25">
        <f>=IF($A120="","",INDEX(tblTasks[Date_debut_prevue],ROW()-6))</f>
      </c>
      <c r="H120" s="25">
        <f>=IF($A120="","",INDEX(tblTasks[Date_fin_prevue],ROW()-6))</f>
      </c>
      <c r="I120" s="36">
        <f>=IF($A120="","",INDEX(tblTasks[Duree_jours],ROW()-6))</f>
      </c>
      <c r="J120" s="25">
        <f>=IF($A120="","",INDEX(tblTasks[Date_debut_reelle],ROW()-6))</f>
      </c>
      <c r="K120" s="25">
        <f>=IF($A120="","",INDEX(tblTasks[Date_fin_reelle],ROW()-6))</f>
      </c>
      <c r="L120" s="23">
        <f>=IF($A120="","",INDEX(tblTasks[Blocage],ROW()-6))</f>
      </c>
      <c r="M120" s="23">
        <f>=IF($A120="","",INDEX(tblTasks[Depend_de],ROW()-6))</f>
      </c>
      <c r="N120" s="23">
        <f>=IF($A120="","",INDEX(tblTasks[Non_negociable],ROW()-6))</f>
      </c>
      <c r="O120" s="23">
        <f>=IF($A120="","",INDEX(tblTasks[Seuil_de_reprise],ROW()-6))</f>
      </c>
      <c r="P120" s="23">
        <f>=IF($A120="","",INDEX(tblTasks[Donnee_manquante],ROW()-6))</f>
      </c>
      <c r="Q120" s="23">
        <f>=IF($A120="","",INDEX(tblTasks[Niveau_criticite],ROW()-6))</f>
      </c>
      <c r="R120" s="23">
        <f>=IF($A120="","",INDEX(tblTasks[Irreversibilite],ROW()-6))</f>
      </c>
      <c r="S120" s="23">
        <f>=IF($A120="","",INDEX(tblTasks[Decision_Emmanuel],ROW()-6))</f>
      </c>
      <c r="T120" s="24">
        <f>=IF($A120="","",INDEX(tblTasks[Commentaire_EKT],ROW()-6))</f>
      </c>
      <c r="U120" s="23">
        <f>=IF($A120="","",INDEX(tblTasks[Goulot],ROW()-6))</f>
      </c>
      <c r="V120" s="23">
        <f>=IF($A120="","",INDEX(tblTasks[Point_de_bascule],ROW()-6))</f>
      </c>
      <c r="W120" s="37">
        <f>IF($A120="","",IF(AND(OR(param_filtre_statut="tous",LOWER($F120)=LOWER(param_filtre_statut)),OR(param_filtre_agent="tous",LOWER($D120)=LOWER(param_filtre_agent),LOWER($E120)=LOWER(param_filtre_agent)),OR(param_filtre_criticite="toutes",LOWER($Q120)=LOWER(param_filtre_criticite))),"oui","non"))</f>
      </c>
      <c r="X120" s="37">
        <f>IF($A120="","",IF(OR(LOWER($F120)="bloqué",LOWER($L120)="oui"),"oui","non"))</f>
      </c>
      <c r="Y120" s="37">
        <f>IF($A120="","",IF(OR(LOWER($Q120)="critique",LOWER($U120)="oui",LOWER($V120)="oui"),"oui","non"))</f>
      </c>
      <c r="Z120" s="37">
        <f>IF($A120="","",IF(AND($S120&lt;&gt;"",LOWER($S120)&lt;&gt;"tranchée",LOWER($S120)&lt;&gt;"sans objet",LOWER($S120)&lt;&gt;"clos"),"oui","non"))</f>
      </c>
      <c r="AA120" s="37">
        <f>IF($A120="","",IF($P120&lt;&gt;"","oui","non"))</f>
      </c>
      <c r="AB120" s="37">
        <f>IF($A120="","",IF(OR(LOWER($F120)="non réouvrable",LOWER($R120)="forte"),"oui","non"))</f>
      </c>
    </row>
    <row r="121" spans="1:28" x14ac:dyDescent="0.25">
      <c r="A121" s="23">
        <f>IFERROR(INDEX(tblTasks[ID],ROW()-6),"")</f>
      </c>
      <c r="B121" s="24">
        <f>=IF($A121="","",INDEX(tblTasks[Sujet],ROW()-6))</f>
      </c>
      <c r="C121" s="23">
        <f>=IF($A121="","",INDEX(tblTasks[Lot_Domaine],ROW()-6))</f>
      </c>
      <c r="D121" s="23">
        <f>=IF($A121="","",INDEX(tblTasks[Agent_source],ROW()-6))</f>
      </c>
      <c r="E121" s="23">
        <f>=IF($A121="","",INDEX(tblTasks[Responsable],ROW()-6))</f>
      </c>
      <c r="F121" s="23">
        <f>=IF($A121="","",INDEX(tblTasks[Statut],ROW()-6))</f>
      </c>
      <c r="G121" s="25">
        <f>=IF($A121="","",INDEX(tblTasks[Date_debut_prevue],ROW()-6))</f>
      </c>
      <c r="H121" s="25">
        <f>=IF($A121="","",INDEX(tblTasks[Date_fin_prevue],ROW()-6))</f>
      </c>
      <c r="I121" s="36">
        <f>=IF($A121="","",INDEX(tblTasks[Duree_jours],ROW()-6))</f>
      </c>
      <c r="J121" s="25">
        <f>=IF($A121="","",INDEX(tblTasks[Date_debut_reelle],ROW()-6))</f>
      </c>
      <c r="K121" s="25">
        <f>=IF($A121="","",INDEX(tblTasks[Date_fin_reelle],ROW()-6))</f>
      </c>
      <c r="L121" s="23">
        <f>=IF($A121="","",INDEX(tblTasks[Blocage],ROW()-6))</f>
      </c>
      <c r="M121" s="23">
        <f>=IF($A121="","",INDEX(tblTasks[Depend_de],ROW()-6))</f>
      </c>
      <c r="N121" s="23">
        <f>=IF($A121="","",INDEX(tblTasks[Non_negociable],ROW()-6))</f>
      </c>
      <c r="O121" s="23">
        <f>=IF($A121="","",INDEX(tblTasks[Seuil_de_reprise],ROW()-6))</f>
      </c>
      <c r="P121" s="23">
        <f>=IF($A121="","",INDEX(tblTasks[Donnee_manquante],ROW()-6))</f>
      </c>
      <c r="Q121" s="23">
        <f>=IF($A121="","",INDEX(tblTasks[Niveau_criticite],ROW()-6))</f>
      </c>
      <c r="R121" s="23">
        <f>=IF($A121="","",INDEX(tblTasks[Irreversibilite],ROW()-6))</f>
      </c>
      <c r="S121" s="23">
        <f>=IF($A121="","",INDEX(tblTasks[Decision_Emmanuel],ROW()-6))</f>
      </c>
      <c r="T121" s="24">
        <f>=IF($A121="","",INDEX(tblTasks[Commentaire_EKT],ROW()-6))</f>
      </c>
      <c r="U121" s="23">
        <f>=IF($A121="","",INDEX(tblTasks[Goulot],ROW()-6))</f>
      </c>
      <c r="V121" s="23">
        <f>=IF($A121="","",INDEX(tblTasks[Point_de_bascule],ROW()-6))</f>
      </c>
      <c r="W121" s="37">
        <f>IF($A121="","",IF(AND(OR(param_filtre_statut="tous",LOWER($F121)=LOWER(param_filtre_statut)),OR(param_filtre_agent="tous",LOWER($D121)=LOWER(param_filtre_agent),LOWER($E121)=LOWER(param_filtre_agent)),OR(param_filtre_criticite="toutes",LOWER($Q121)=LOWER(param_filtre_criticite))),"oui","non"))</f>
      </c>
      <c r="X121" s="37">
        <f>IF($A121="","",IF(OR(LOWER($F121)="bloqué",LOWER($L121)="oui"),"oui","non"))</f>
      </c>
      <c r="Y121" s="37">
        <f>IF($A121="","",IF(OR(LOWER($Q121)="critique",LOWER($U121)="oui",LOWER($V121)="oui"),"oui","non"))</f>
      </c>
      <c r="Z121" s="37">
        <f>IF($A121="","",IF(AND($S121&lt;&gt;"",LOWER($S121)&lt;&gt;"tranchée",LOWER($S121)&lt;&gt;"sans objet",LOWER($S121)&lt;&gt;"clos"),"oui","non"))</f>
      </c>
      <c r="AA121" s="37">
        <f>IF($A121="","",IF($P121&lt;&gt;"","oui","non"))</f>
      </c>
      <c r="AB121" s="37">
        <f>IF($A121="","",IF(OR(LOWER($F121)="non réouvrable",LOWER($R121)="forte"),"oui","non"))</f>
      </c>
    </row>
    <row r="122" spans="1:28" x14ac:dyDescent="0.25">
      <c r="A122" s="23">
        <f>IFERROR(INDEX(tblTasks[ID],ROW()-6),"")</f>
      </c>
      <c r="B122" s="24">
        <f>=IF($A122="","",INDEX(tblTasks[Sujet],ROW()-6))</f>
      </c>
      <c r="C122" s="23">
        <f>=IF($A122="","",INDEX(tblTasks[Lot_Domaine],ROW()-6))</f>
      </c>
      <c r="D122" s="23">
        <f>=IF($A122="","",INDEX(tblTasks[Agent_source],ROW()-6))</f>
      </c>
      <c r="E122" s="23">
        <f>=IF($A122="","",INDEX(tblTasks[Responsable],ROW()-6))</f>
      </c>
      <c r="F122" s="23">
        <f>=IF($A122="","",INDEX(tblTasks[Statut],ROW()-6))</f>
      </c>
      <c r="G122" s="25">
        <f>=IF($A122="","",INDEX(tblTasks[Date_debut_prevue],ROW()-6))</f>
      </c>
      <c r="H122" s="25">
        <f>=IF($A122="","",INDEX(tblTasks[Date_fin_prevue],ROW()-6))</f>
      </c>
      <c r="I122" s="36">
        <f>=IF($A122="","",INDEX(tblTasks[Duree_jours],ROW()-6))</f>
      </c>
      <c r="J122" s="25">
        <f>=IF($A122="","",INDEX(tblTasks[Date_debut_reelle],ROW()-6))</f>
      </c>
      <c r="K122" s="25">
        <f>=IF($A122="","",INDEX(tblTasks[Date_fin_reelle],ROW()-6))</f>
      </c>
      <c r="L122" s="23">
        <f>=IF($A122="","",INDEX(tblTasks[Blocage],ROW()-6))</f>
      </c>
      <c r="M122" s="23">
        <f>=IF($A122="","",INDEX(tblTasks[Depend_de],ROW()-6))</f>
      </c>
      <c r="N122" s="23">
        <f>=IF($A122="","",INDEX(tblTasks[Non_negociable],ROW()-6))</f>
      </c>
      <c r="O122" s="23">
        <f>=IF($A122="","",INDEX(tblTasks[Seuil_de_reprise],ROW()-6))</f>
      </c>
      <c r="P122" s="23">
        <f>=IF($A122="","",INDEX(tblTasks[Donnee_manquante],ROW()-6))</f>
      </c>
      <c r="Q122" s="23">
        <f>=IF($A122="","",INDEX(tblTasks[Niveau_criticite],ROW()-6))</f>
      </c>
      <c r="R122" s="23">
        <f>=IF($A122="","",INDEX(tblTasks[Irreversibilite],ROW()-6))</f>
      </c>
      <c r="S122" s="23">
        <f>=IF($A122="","",INDEX(tblTasks[Decision_Emmanuel],ROW()-6))</f>
      </c>
      <c r="T122" s="24">
        <f>=IF($A122="","",INDEX(tblTasks[Commentaire_EKT],ROW()-6))</f>
      </c>
      <c r="U122" s="23">
        <f>=IF($A122="","",INDEX(tblTasks[Goulot],ROW()-6))</f>
      </c>
      <c r="V122" s="23">
        <f>=IF($A122="","",INDEX(tblTasks[Point_de_bascule],ROW()-6))</f>
      </c>
      <c r="W122" s="37">
        <f>IF($A122="","",IF(AND(OR(param_filtre_statut="tous",LOWER($F122)=LOWER(param_filtre_statut)),OR(param_filtre_agent="tous",LOWER($D122)=LOWER(param_filtre_agent),LOWER($E122)=LOWER(param_filtre_agent)),OR(param_filtre_criticite="toutes",LOWER($Q122)=LOWER(param_filtre_criticite))),"oui","non"))</f>
      </c>
      <c r="X122" s="37">
        <f>IF($A122="","",IF(OR(LOWER($F122)="bloqué",LOWER($L122)="oui"),"oui","non"))</f>
      </c>
      <c r="Y122" s="37">
        <f>IF($A122="","",IF(OR(LOWER($Q122)="critique",LOWER($U122)="oui",LOWER($V122)="oui"),"oui","non"))</f>
      </c>
      <c r="Z122" s="37">
        <f>IF($A122="","",IF(AND($S122&lt;&gt;"",LOWER($S122)&lt;&gt;"tranchée",LOWER($S122)&lt;&gt;"sans objet",LOWER($S122)&lt;&gt;"clos"),"oui","non"))</f>
      </c>
      <c r="AA122" s="37">
        <f>IF($A122="","",IF($P122&lt;&gt;"","oui","non"))</f>
      </c>
      <c r="AB122" s="37">
        <f>IF($A122="","",IF(OR(LOWER($F122)="non réouvrable",LOWER($R122)="forte"),"oui","non"))</f>
      </c>
    </row>
    <row r="123" spans="1:28" x14ac:dyDescent="0.25">
      <c r="A123" s="23">
        <f>IFERROR(INDEX(tblTasks[ID],ROW()-6),"")</f>
      </c>
      <c r="B123" s="24">
        <f>=IF($A123="","",INDEX(tblTasks[Sujet],ROW()-6))</f>
      </c>
      <c r="C123" s="23">
        <f>=IF($A123="","",INDEX(tblTasks[Lot_Domaine],ROW()-6))</f>
      </c>
      <c r="D123" s="23">
        <f>=IF($A123="","",INDEX(tblTasks[Agent_source],ROW()-6))</f>
      </c>
      <c r="E123" s="23">
        <f>=IF($A123="","",INDEX(tblTasks[Responsable],ROW()-6))</f>
      </c>
      <c r="F123" s="23">
        <f>=IF($A123="","",INDEX(tblTasks[Statut],ROW()-6))</f>
      </c>
      <c r="G123" s="25">
        <f>=IF($A123="","",INDEX(tblTasks[Date_debut_prevue],ROW()-6))</f>
      </c>
      <c r="H123" s="25">
        <f>=IF($A123="","",INDEX(tblTasks[Date_fin_prevue],ROW()-6))</f>
      </c>
      <c r="I123" s="36">
        <f>=IF($A123="","",INDEX(tblTasks[Duree_jours],ROW()-6))</f>
      </c>
      <c r="J123" s="25">
        <f>=IF($A123="","",INDEX(tblTasks[Date_debut_reelle],ROW()-6))</f>
      </c>
      <c r="K123" s="25">
        <f>=IF($A123="","",INDEX(tblTasks[Date_fin_reelle],ROW()-6))</f>
      </c>
      <c r="L123" s="23">
        <f>=IF($A123="","",INDEX(tblTasks[Blocage],ROW()-6))</f>
      </c>
      <c r="M123" s="23">
        <f>=IF($A123="","",INDEX(tblTasks[Depend_de],ROW()-6))</f>
      </c>
      <c r="N123" s="23">
        <f>=IF($A123="","",INDEX(tblTasks[Non_negociable],ROW()-6))</f>
      </c>
      <c r="O123" s="23">
        <f>=IF($A123="","",INDEX(tblTasks[Seuil_de_reprise],ROW()-6))</f>
      </c>
      <c r="P123" s="23">
        <f>=IF($A123="","",INDEX(tblTasks[Donnee_manquante],ROW()-6))</f>
      </c>
      <c r="Q123" s="23">
        <f>=IF($A123="","",INDEX(tblTasks[Niveau_criticite],ROW()-6))</f>
      </c>
      <c r="R123" s="23">
        <f>=IF($A123="","",INDEX(tblTasks[Irreversibilite],ROW()-6))</f>
      </c>
      <c r="S123" s="23">
        <f>=IF($A123="","",INDEX(tblTasks[Decision_Emmanuel],ROW()-6))</f>
      </c>
      <c r="T123" s="24">
        <f>=IF($A123="","",INDEX(tblTasks[Commentaire_EKT],ROW()-6))</f>
      </c>
      <c r="U123" s="23">
        <f>=IF($A123="","",INDEX(tblTasks[Goulot],ROW()-6))</f>
      </c>
      <c r="V123" s="23">
        <f>=IF($A123="","",INDEX(tblTasks[Point_de_bascule],ROW()-6))</f>
      </c>
      <c r="W123" s="37">
        <f>IF($A123="","",IF(AND(OR(param_filtre_statut="tous",LOWER($F123)=LOWER(param_filtre_statut)),OR(param_filtre_agent="tous",LOWER($D123)=LOWER(param_filtre_agent),LOWER($E123)=LOWER(param_filtre_agent)),OR(param_filtre_criticite="toutes",LOWER($Q123)=LOWER(param_filtre_criticite))),"oui","non"))</f>
      </c>
      <c r="X123" s="37">
        <f>IF($A123="","",IF(OR(LOWER($F123)="bloqué",LOWER($L123)="oui"),"oui","non"))</f>
      </c>
      <c r="Y123" s="37">
        <f>IF($A123="","",IF(OR(LOWER($Q123)="critique",LOWER($U123)="oui",LOWER($V123)="oui"),"oui","non"))</f>
      </c>
      <c r="Z123" s="37">
        <f>IF($A123="","",IF(AND($S123&lt;&gt;"",LOWER($S123)&lt;&gt;"tranchée",LOWER($S123)&lt;&gt;"sans objet",LOWER($S123)&lt;&gt;"clos"),"oui","non"))</f>
      </c>
      <c r="AA123" s="37">
        <f>IF($A123="","",IF($P123&lt;&gt;"","oui","non"))</f>
      </c>
      <c r="AB123" s="37">
        <f>IF($A123="","",IF(OR(LOWER($F123)="non réouvrable",LOWER($R123)="forte"),"oui","non"))</f>
      </c>
    </row>
    <row r="124" spans="1:28" x14ac:dyDescent="0.25">
      <c r="A124" s="23">
        <f>IFERROR(INDEX(tblTasks[ID],ROW()-6),"")</f>
      </c>
      <c r="B124" s="24">
        <f>=IF($A124="","",INDEX(tblTasks[Sujet],ROW()-6))</f>
      </c>
      <c r="C124" s="23">
        <f>=IF($A124="","",INDEX(tblTasks[Lot_Domaine],ROW()-6))</f>
      </c>
      <c r="D124" s="23">
        <f>=IF($A124="","",INDEX(tblTasks[Agent_source],ROW()-6))</f>
      </c>
      <c r="E124" s="23">
        <f>=IF($A124="","",INDEX(tblTasks[Responsable],ROW()-6))</f>
      </c>
      <c r="F124" s="23">
        <f>=IF($A124="","",INDEX(tblTasks[Statut],ROW()-6))</f>
      </c>
      <c r="G124" s="25">
        <f>=IF($A124="","",INDEX(tblTasks[Date_debut_prevue],ROW()-6))</f>
      </c>
      <c r="H124" s="25">
        <f>=IF($A124="","",INDEX(tblTasks[Date_fin_prevue],ROW()-6))</f>
      </c>
      <c r="I124" s="36">
        <f>=IF($A124="","",INDEX(tblTasks[Duree_jours],ROW()-6))</f>
      </c>
      <c r="J124" s="25">
        <f>=IF($A124="","",INDEX(tblTasks[Date_debut_reelle],ROW()-6))</f>
      </c>
      <c r="K124" s="25">
        <f>=IF($A124="","",INDEX(tblTasks[Date_fin_reelle],ROW()-6))</f>
      </c>
      <c r="L124" s="23">
        <f>=IF($A124="","",INDEX(tblTasks[Blocage],ROW()-6))</f>
      </c>
      <c r="M124" s="23">
        <f>=IF($A124="","",INDEX(tblTasks[Depend_de],ROW()-6))</f>
      </c>
      <c r="N124" s="23">
        <f>=IF($A124="","",INDEX(tblTasks[Non_negociable],ROW()-6))</f>
      </c>
      <c r="O124" s="23">
        <f>=IF($A124="","",INDEX(tblTasks[Seuil_de_reprise],ROW()-6))</f>
      </c>
      <c r="P124" s="23">
        <f>=IF($A124="","",INDEX(tblTasks[Donnee_manquante],ROW()-6))</f>
      </c>
      <c r="Q124" s="23">
        <f>=IF($A124="","",INDEX(tblTasks[Niveau_criticite],ROW()-6))</f>
      </c>
      <c r="R124" s="23">
        <f>=IF($A124="","",INDEX(tblTasks[Irreversibilite],ROW()-6))</f>
      </c>
      <c r="S124" s="23">
        <f>=IF($A124="","",INDEX(tblTasks[Decision_Emmanuel],ROW()-6))</f>
      </c>
      <c r="T124" s="24">
        <f>=IF($A124="","",INDEX(tblTasks[Commentaire_EKT],ROW()-6))</f>
      </c>
      <c r="U124" s="23">
        <f>=IF($A124="","",INDEX(tblTasks[Goulot],ROW()-6))</f>
      </c>
      <c r="V124" s="23">
        <f>=IF($A124="","",INDEX(tblTasks[Point_de_bascule],ROW()-6))</f>
      </c>
      <c r="W124" s="37">
        <f>IF($A124="","",IF(AND(OR(param_filtre_statut="tous",LOWER($F124)=LOWER(param_filtre_statut)),OR(param_filtre_agent="tous",LOWER($D124)=LOWER(param_filtre_agent),LOWER($E124)=LOWER(param_filtre_agent)),OR(param_filtre_criticite="toutes",LOWER($Q124)=LOWER(param_filtre_criticite))),"oui","non"))</f>
      </c>
      <c r="X124" s="37">
        <f>IF($A124="","",IF(OR(LOWER($F124)="bloqué",LOWER($L124)="oui"),"oui","non"))</f>
      </c>
      <c r="Y124" s="37">
        <f>IF($A124="","",IF(OR(LOWER($Q124)="critique",LOWER($U124)="oui",LOWER($V124)="oui"),"oui","non"))</f>
      </c>
      <c r="Z124" s="37">
        <f>IF($A124="","",IF(AND($S124&lt;&gt;"",LOWER($S124)&lt;&gt;"tranchée",LOWER($S124)&lt;&gt;"sans objet",LOWER($S124)&lt;&gt;"clos"),"oui","non"))</f>
      </c>
      <c r="AA124" s="37">
        <f>IF($A124="","",IF($P124&lt;&gt;"","oui","non"))</f>
      </c>
      <c r="AB124" s="37">
        <f>IF($A124="","",IF(OR(LOWER($F124)="non réouvrable",LOWER($R124)="forte"),"oui","non"))</f>
      </c>
    </row>
    <row r="125" spans="1:28" x14ac:dyDescent="0.25">
      <c r="A125" s="23">
        <f>IFERROR(INDEX(tblTasks[ID],ROW()-6),"")</f>
      </c>
      <c r="B125" s="24">
        <f>=IF($A125="","",INDEX(tblTasks[Sujet],ROW()-6))</f>
      </c>
      <c r="C125" s="23">
        <f>=IF($A125="","",INDEX(tblTasks[Lot_Domaine],ROW()-6))</f>
      </c>
      <c r="D125" s="23">
        <f>=IF($A125="","",INDEX(tblTasks[Agent_source],ROW()-6))</f>
      </c>
      <c r="E125" s="23">
        <f>=IF($A125="","",INDEX(tblTasks[Responsable],ROW()-6))</f>
      </c>
      <c r="F125" s="23">
        <f>=IF($A125="","",INDEX(tblTasks[Statut],ROW()-6))</f>
      </c>
      <c r="G125" s="25">
        <f>=IF($A125="","",INDEX(tblTasks[Date_debut_prevue],ROW()-6))</f>
      </c>
      <c r="H125" s="25">
        <f>=IF($A125="","",INDEX(tblTasks[Date_fin_prevue],ROW()-6))</f>
      </c>
      <c r="I125" s="36">
        <f>=IF($A125="","",INDEX(tblTasks[Duree_jours],ROW()-6))</f>
      </c>
      <c r="J125" s="25">
        <f>=IF($A125="","",INDEX(tblTasks[Date_debut_reelle],ROW()-6))</f>
      </c>
      <c r="K125" s="25">
        <f>=IF($A125="","",INDEX(tblTasks[Date_fin_reelle],ROW()-6))</f>
      </c>
      <c r="L125" s="23">
        <f>=IF($A125="","",INDEX(tblTasks[Blocage],ROW()-6))</f>
      </c>
      <c r="M125" s="23">
        <f>=IF($A125="","",INDEX(tblTasks[Depend_de],ROW()-6))</f>
      </c>
      <c r="N125" s="23">
        <f>=IF($A125="","",INDEX(tblTasks[Non_negociable],ROW()-6))</f>
      </c>
      <c r="O125" s="23">
        <f>=IF($A125="","",INDEX(tblTasks[Seuil_de_reprise],ROW()-6))</f>
      </c>
      <c r="P125" s="23">
        <f>=IF($A125="","",INDEX(tblTasks[Donnee_manquante],ROW()-6))</f>
      </c>
      <c r="Q125" s="23">
        <f>=IF($A125="","",INDEX(tblTasks[Niveau_criticite],ROW()-6))</f>
      </c>
      <c r="R125" s="23">
        <f>=IF($A125="","",INDEX(tblTasks[Irreversibilite],ROW()-6))</f>
      </c>
      <c r="S125" s="23">
        <f>=IF($A125="","",INDEX(tblTasks[Decision_Emmanuel],ROW()-6))</f>
      </c>
      <c r="T125" s="24">
        <f>=IF($A125="","",INDEX(tblTasks[Commentaire_EKT],ROW()-6))</f>
      </c>
      <c r="U125" s="23">
        <f>=IF($A125="","",INDEX(tblTasks[Goulot],ROW()-6))</f>
      </c>
      <c r="V125" s="23">
        <f>=IF($A125="","",INDEX(tblTasks[Point_de_bascule],ROW()-6))</f>
      </c>
      <c r="W125" s="37">
        <f>IF($A125="","",IF(AND(OR(param_filtre_statut="tous",LOWER($F125)=LOWER(param_filtre_statut)),OR(param_filtre_agent="tous",LOWER($D125)=LOWER(param_filtre_agent),LOWER($E125)=LOWER(param_filtre_agent)),OR(param_filtre_criticite="toutes",LOWER($Q125)=LOWER(param_filtre_criticite))),"oui","non"))</f>
      </c>
      <c r="X125" s="37">
        <f>IF($A125="","",IF(OR(LOWER($F125)="bloqué",LOWER($L125)="oui"),"oui","non"))</f>
      </c>
      <c r="Y125" s="37">
        <f>IF($A125="","",IF(OR(LOWER($Q125)="critique",LOWER($U125)="oui",LOWER($V125)="oui"),"oui","non"))</f>
      </c>
      <c r="Z125" s="37">
        <f>IF($A125="","",IF(AND($S125&lt;&gt;"",LOWER($S125)&lt;&gt;"tranchée",LOWER($S125)&lt;&gt;"sans objet",LOWER($S125)&lt;&gt;"clos"),"oui","non"))</f>
      </c>
      <c r="AA125" s="37">
        <f>IF($A125="","",IF($P125&lt;&gt;"","oui","non"))</f>
      </c>
      <c r="AB125" s="37">
        <f>IF($A125="","",IF(OR(LOWER($F125)="non réouvrable",LOWER($R125)="forte"),"oui","non"))</f>
      </c>
    </row>
    <row r="126" spans="1:28" x14ac:dyDescent="0.25">
      <c r="A126" s="23">
        <f>IFERROR(INDEX(tblTasks[ID],ROW()-6),"")</f>
      </c>
      <c r="B126" s="24">
        <f>=IF($A126="","",INDEX(tblTasks[Sujet],ROW()-6))</f>
      </c>
      <c r="C126" s="23">
        <f>=IF($A126="","",INDEX(tblTasks[Lot_Domaine],ROW()-6))</f>
      </c>
      <c r="D126" s="23">
        <f>=IF($A126="","",INDEX(tblTasks[Agent_source],ROW()-6))</f>
      </c>
      <c r="E126" s="23">
        <f>=IF($A126="","",INDEX(tblTasks[Responsable],ROW()-6))</f>
      </c>
      <c r="F126" s="23">
        <f>=IF($A126="","",INDEX(tblTasks[Statut],ROW()-6))</f>
      </c>
      <c r="G126" s="25">
        <f>=IF($A126="","",INDEX(tblTasks[Date_debut_prevue],ROW()-6))</f>
      </c>
      <c r="H126" s="25">
        <f>=IF($A126="","",INDEX(tblTasks[Date_fin_prevue],ROW()-6))</f>
      </c>
      <c r="I126" s="36">
        <f>=IF($A126="","",INDEX(tblTasks[Duree_jours],ROW()-6))</f>
      </c>
      <c r="J126" s="25">
        <f>=IF($A126="","",INDEX(tblTasks[Date_debut_reelle],ROW()-6))</f>
      </c>
      <c r="K126" s="25">
        <f>=IF($A126="","",INDEX(tblTasks[Date_fin_reelle],ROW()-6))</f>
      </c>
      <c r="L126" s="23">
        <f>=IF($A126="","",INDEX(tblTasks[Blocage],ROW()-6))</f>
      </c>
      <c r="M126" s="23">
        <f>=IF($A126="","",INDEX(tblTasks[Depend_de],ROW()-6))</f>
      </c>
      <c r="N126" s="23">
        <f>=IF($A126="","",INDEX(tblTasks[Non_negociable],ROW()-6))</f>
      </c>
      <c r="O126" s="23">
        <f>=IF($A126="","",INDEX(tblTasks[Seuil_de_reprise],ROW()-6))</f>
      </c>
      <c r="P126" s="23">
        <f>=IF($A126="","",INDEX(tblTasks[Donnee_manquante],ROW()-6))</f>
      </c>
      <c r="Q126" s="23">
        <f>=IF($A126="","",INDEX(tblTasks[Niveau_criticite],ROW()-6))</f>
      </c>
      <c r="R126" s="23">
        <f>=IF($A126="","",INDEX(tblTasks[Irreversibilite],ROW()-6))</f>
      </c>
      <c r="S126" s="23">
        <f>=IF($A126="","",INDEX(tblTasks[Decision_Emmanuel],ROW()-6))</f>
      </c>
      <c r="T126" s="24">
        <f>=IF($A126="","",INDEX(tblTasks[Commentaire_EKT],ROW()-6))</f>
      </c>
      <c r="U126" s="23">
        <f>=IF($A126="","",INDEX(tblTasks[Goulot],ROW()-6))</f>
      </c>
      <c r="V126" s="23">
        <f>=IF($A126="","",INDEX(tblTasks[Point_de_bascule],ROW()-6))</f>
      </c>
      <c r="W126" s="37">
        <f>IF($A126="","",IF(AND(OR(param_filtre_statut="tous",LOWER($F126)=LOWER(param_filtre_statut)),OR(param_filtre_agent="tous",LOWER($D126)=LOWER(param_filtre_agent),LOWER($E126)=LOWER(param_filtre_agent)),OR(param_filtre_criticite="toutes",LOWER($Q126)=LOWER(param_filtre_criticite))),"oui","non"))</f>
      </c>
      <c r="X126" s="37">
        <f>IF($A126="","",IF(OR(LOWER($F126)="bloqué",LOWER($L126)="oui"),"oui","non"))</f>
      </c>
      <c r="Y126" s="37">
        <f>IF($A126="","",IF(OR(LOWER($Q126)="critique",LOWER($U126)="oui",LOWER($V126)="oui"),"oui","non"))</f>
      </c>
      <c r="Z126" s="37">
        <f>IF($A126="","",IF(AND($S126&lt;&gt;"",LOWER($S126)&lt;&gt;"tranchée",LOWER($S126)&lt;&gt;"sans objet",LOWER($S126)&lt;&gt;"clos"),"oui","non"))</f>
      </c>
      <c r="AA126" s="37">
        <f>IF($A126="","",IF($P126&lt;&gt;"","oui","non"))</f>
      </c>
      <c r="AB126" s="37">
        <f>IF($A126="","",IF(OR(LOWER($F126)="non réouvrable",LOWER($R126)="forte"),"oui","non"))</f>
      </c>
    </row>
    <row r="127" spans="1:28" x14ac:dyDescent="0.25">
      <c r="A127" s="23">
        <f>IFERROR(INDEX(tblTasks[ID],ROW()-6),"")</f>
      </c>
      <c r="B127" s="24">
        <f>=IF($A127="","",INDEX(tblTasks[Sujet],ROW()-6))</f>
      </c>
      <c r="C127" s="23">
        <f>=IF($A127="","",INDEX(tblTasks[Lot_Domaine],ROW()-6))</f>
      </c>
      <c r="D127" s="23">
        <f>=IF($A127="","",INDEX(tblTasks[Agent_source],ROW()-6))</f>
      </c>
      <c r="E127" s="23">
        <f>=IF($A127="","",INDEX(tblTasks[Responsable],ROW()-6))</f>
      </c>
      <c r="F127" s="23">
        <f>=IF($A127="","",INDEX(tblTasks[Statut],ROW()-6))</f>
      </c>
      <c r="G127" s="25">
        <f>=IF($A127="","",INDEX(tblTasks[Date_debut_prevue],ROW()-6))</f>
      </c>
      <c r="H127" s="25">
        <f>=IF($A127="","",INDEX(tblTasks[Date_fin_prevue],ROW()-6))</f>
      </c>
      <c r="I127" s="36">
        <f>=IF($A127="","",INDEX(tblTasks[Duree_jours],ROW()-6))</f>
      </c>
      <c r="J127" s="25">
        <f>=IF($A127="","",INDEX(tblTasks[Date_debut_reelle],ROW()-6))</f>
      </c>
      <c r="K127" s="25">
        <f>=IF($A127="","",INDEX(tblTasks[Date_fin_reelle],ROW()-6))</f>
      </c>
      <c r="L127" s="23">
        <f>=IF($A127="","",INDEX(tblTasks[Blocage],ROW()-6))</f>
      </c>
      <c r="M127" s="23">
        <f>=IF($A127="","",INDEX(tblTasks[Depend_de],ROW()-6))</f>
      </c>
      <c r="N127" s="23">
        <f>=IF($A127="","",INDEX(tblTasks[Non_negociable],ROW()-6))</f>
      </c>
      <c r="O127" s="23">
        <f>=IF($A127="","",INDEX(tblTasks[Seuil_de_reprise],ROW()-6))</f>
      </c>
      <c r="P127" s="23">
        <f>=IF($A127="","",INDEX(tblTasks[Donnee_manquante],ROW()-6))</f>
      </c>
      <c r="Q127" s="23">
        <f>=IF($A127="","",INDEX(tblTasks[Niveau_criticite],ROW()-6))</f>
      </c>
      <c r="R127" s="23">
        <f>=IF($A127="","",INDEX(tblTasks[Irreversibilite],ROW()-6))</f>
      </c>
      <c r="S127" s="23">
        <f>=IF($A127="","",INDEX(tblTasks[Decision_Emmanuel],ROW()-6))</f>
      </c>
      <c r="T127" s="24">
        <f>=IF($A127="","",INDEX(tblTasks[Commentaire_EKT],ROW()-6))</f>
      </c>
      <c r="U127" s="23">
        <f>=IF($A127="","",INDEX(tblTasks[Goulot],ROW()-6))</f>
      </c>
      <c r="V127" s="23">
        <f>=IF($A127="","",INDEX(tblTasks[Point_de_bascule],ROW()-6))</f>
      </c>
      <c r="W127" s="37">
        <f>IF($A127="","",IF(AND(OR(param_filtre_statut="tous",LOWER($F127)=LOWER(param_filtre_statut)),OR(param_filtre_agent="tous",LOWER($D127)=LOWER(param_filtre_agent),LOWER($E127)=LOWER(param_filtre_agent)),OR(param_filtre_criticite="toutes",LOWER($Q127)=LOWER(param_filtre_criticite))),"oui","non"))</f>
      </c>
      <c r="X127" s="37">
        <f>IF($A127="","",IF(OR(LOWER($F127)="bloqué",LOWER($L127)="oui"),"oui","non"))</f>
      </c>
      <c r="Y127" s="37">
        <f>IF($A127="","",IF(OR(LOWER($Q127)="critique",LOWER($U127)="oui",LOWER($V127)="oui"),"oui","non"))</f>
      </c>
      <c r="Z127" s="37">
        <f>IF($A127="","",IF(AND($S127&lt;&gt;"",LOWER($S127)&lt;&gt;"tranchée",LOWER($S127)&lt;&gt;"sans objet",LOWER($S127)&lt;&gt;"clos"),"oui","non"))</f>
      </c>
      <c r="AA127" s="37">
        <f>IF($A127="","",IF($P127&lt;&gt;"","oui","non"))</f>
      </c>
      <c r="AB127" s="37">
        <f>IF($A127="","",IF(OR(LOWER($F127)="non réouvrable",LOWER($R127)="forte"),"oui","non"))</f>
      </c>
    </row>
    <row r="128" spans="1:28" x14ac:dyDescent="0.25">
      <c r="A128" s="23">
        <f>IFERROR(INDEX(tblTasks[ID],ROW()-6),"")</f>
      </c>
      <c r="B128" s="24">
        <f>=IF($A128="","",INDEX(tblTasks[Sujet],ROW()-6))</f>
      </c>
      <c r="C128" s="23">
        <f>=IF($A128="","",INDEX(tblTasks[Lot_Domaine],ROW()-6))</f>
      </c>
      <c r="D128" s="23">
        <f>=IF($A128="","",INDEX(tblTasks[Agent_source],ROW()-6))</f>
      </c>
      <c r="E128" s="23">
        <f>=IF($A128="","",INDEX(tblTasks[Responsable],ROW()-6))</f>
      </c>
      <c r="F128" s="23">
        <f>=IF($A128="","",INDEX(tblTasks[Statut],ROW()-6))</f>
      </c>
      <c r="G128" s="25">
        <f>=IF($A128="","",INDEX(tblTasks[Date_debut_prevue],ROW()-6))</f>
      </c>
      <c r="H128" s="25">
        <f>=IF($A128="","",INDEX(tblTasks[Date_fin_prevue],ROW()-6))</f>
      </c>
      <c r="I128" s="36">
        <f>=IF($A128="","",INDEX(tblTasks[Duree_jours],ROW()-6))</f>
      </c>
      <c r="J128" s="25">
        <f>=IF($A128="","",INDEX(tblTasks[Date_debut_reelle],ROW()-6))</f>
      </c>
      <c r="K128" s="25">
        <f>=IF($A128="","",INDEX(tblTasks[Date_fin_reelle],ROW()-6))</f>
      </c>
      <c r="L128" s="23">
        <f>=IF($A128="","",INDEX(tblTasks[Blocage],ROW()-6))</f>
      </c>
      <c r="M128" s="23">
        <f>=IF($A128="","",INDEX(tblTasks[Depend_de],ROW()-6))</f>
      </c>
      <c r="N128" s="23">
        <f>=IF($A128="","",INDEX(tblTasks[Non_negociable],ROW()-6))</f>
      </c>
      <c r="O128" s="23">
        <f>=IF($A128="","",INDEX(tblTasks[Seuil_de_reprise],ROW()-6))</f>
      </c>
      <c r="P128" s="23">
        <f>=IF($A128="","",INDEX(tblTasks[Donnee_manquante],ROW()-6))</f>
      </c>
      <c r="Q128" s="23">
        <f>=IF($A128="","",INDEX(tblTasks[Niveau_criticite],ROW()-6))</f>
      </c>
      <c r="R128" s="23">
        <f>=IF($A128="","",INDEX(tblTasks[Irreversibilite],ROW()-6))</f>
      </c>
      <c r="S128" s="23">
        <f>=IF($A128="","",INDEX(tblTasks[Decision_Emmanuel],ROW()-6))</f>
      </c>
      <c r="T128" s="24">
        <f>=IF($A128="","",INDEX(tblTasks[Commentaire_EKT],ROW()-6))</f>
      </c>
      <c r="U128" s="23">
        <f>=IF($A128="","",INDEX(tblTasks[Goulot],ROW()-6))</f>
      </c>
      <c r="V128" s="23">
        <f>=IF($A128="","",INDEX(tblTasks[Point_de_bascule],ROW()-6))</f>
      </c>
      <c r="W128" s="37">
        <f>IF($A128="","",IF(AND(OR(param_filtre_statut="tous",LOWER($F128)=LOWER(param_filtre_statut)),OR(param_filtre_agent="tous",LOWER($D128)=LOWER(param_filtre_agent),LOWER($E128)=LOWER(param_filtre_agent)),OR(param_filtre_criticite="toutes",LOWER($Q128)=LOWER(param_filtre_criticite))),"oui","non"))</f>
      </c>
      <c r="X128" s="37">
        <f>IF($A128="","",IF(OR(LOWER($F128)="bloqué",LOWER($L128)="oui"),"oui","non"))</f>
      </c>
      <c r="Y128" s="37">
        <f>IF($A128="","",IF(OR(LOWER($Q128)="critique",LOWER($U128)="oui",LOWER($V128)="oui"),"oui","non"))</f>
      </c>
      <c r="Z128" s="37">
        <f>IF($A128="","",IF(AND($S128&lt;&gt;"",LOWER($S128)&lt;&gt;"tranchée",LOWER($S128)&lt;&gt;"sans objet",LOWER($S128)&lt;&gt;"clos"),"oui","non"))</f>
      </c>
      <c r="AA128" s="37">
        <f>IF($A128="","",IF($P128&lt;&gt;"","oui","non"))</f>
      </c>
      <c r="AB128" s="37">
        <f>IF($A128="","",IF(OR(LOWER($F128)="non réouvrable",LOWER($R128)="forte"),"oui","non"))</f>
      </c>
    </row>
    <row r="129" spans="1:28" x14ac:dyDescent="0.25">
      <c r="A129" s="23">
        <f>IFERROR(INDEX(tblTasks[ID],ROW()-6),"")</f>
      </c>
      <c r="B129" s="24">
        <f>=IF($A129="","",INDEX(tblTasks[Sujet],ROW()-6))</f>
      </c>
      <c r="C129" s="23">
        <f>=IF($A129="","",INDEX(tblTasks[Lot_Domaine],ROW()-6))</f>
      </c>
      <c r="D129" s="23">
        <f>=IF($A129="","",INDEX(tblTasks[Agent_source],ROW()-6))</f>
      </c>
      <c r="E129" s="23">
        <f>=IF($A129="","",INDEX(tblTasks[Responsable],ROW()-6))</f>
      </c>
      <c r="F129" s="23">
        <f>=IF($A129="","",INDEX(tblTasks[Statut],ROW()-6))</f>
      </c>
      <c r="G129" s="25">
        <f>=IF($A129="","",INDEX(tblTasks[Date_debut_prevue],ROW()-6))</f>
      </c>
      <c r="H129" s="25">
        <f>=IF($A129="","",INDEX(tblTasks[Date_fin_prevue],ROW()-6))</f>
      </c>
      <c r="I129" s="36">
        <f>=IF($A129="","",INDEX(tblTasks[Duree_jours],ROW()-6))</f>
      </c>
      <c r="J129" s="25">
        <f>=IF($A129="","",INDEX(tblTasks[Date_debut_reelle],ROW()-6))</f>
      </c>
      <c r="K129" s="25">
        <f>=IF($A129="","",INDEX(tblTasks[Date_fin_reelle],ROW()-6))</f>
      </c>
      <c r="L129" s="23">
        <f>=IF($A129="","",INDEX(tblTasks[Blocage],ROW()-6))</f>
      </c>
      <c r="M129" s="23">
        <f>=IF($A129="","",INDEX(tblTasks[Depend_de],ROW()-6))</f>
      </c>
      <c r="N129" s="23">
        <f>=IF($A129="","",INDEX(tblTasks[Non_negociable],ROW()-6))</f>
      </c>
      <c r="O129" s="23">
        <f>=IF($A129="","",INDEX(tblTasks[Seuil_de_reprise],ROW()-6))</f>
      </c>
      <c r="P129" s="23">
        <f>=IF($A129="","",INDEX(tblTasks[Donnee_manquante],ROW()-6))</f>
      </c>
      <c r="Q129" s="23">
        <f>=IF($A129="","",INDEX(tblTasks[Niveau_criticite],ROW()-6))</f>
      </c>
      <c r="R129" s="23">
        <f>=IF($A129="","",INDEX(tblTasks[Irreversibilite],ROW()-6))</f>
      </c>
      <c r="S129" s="23">
        <f>=IF($A129="","",INDEX(tblTasks[Decision_Emmanuel],ROW()-6))</f>
      </c>
      <c r="T129" s="24">
        <f>=IF($A129="","",INDEX(tblTasks[Commentaire_EKT],ROW()-6))</f>
      </c>
      <c r="U129" s="23">
        <f>=IF($A129="","",INDEX(tblTasks[Goulot],ROW()-6))</f>
      </c>
      <c r="V129" s="23">
        <f>=IF($A129="","",INDEX(tblTasks[Point_de_bascule],ROW()-6))</f>
      </c>
      <c r="W129" s="37">
        <f>IF($A129="","",IF(AND(OR(param_filtre_statut="tous",LOWER($F129)=LOWER(param_filtre_statut)),OR(param_filtre_agent="tous",LOWER($D129)=LOWER(param_filtre_agent),LOWER($E129)=LOWER(param_filtre_agent)),OR(param_filtre_criticite="toutes",LOWER($Q129)=LOWER(param_filtre_criticite))),"oui","non"))</f>
      </c>
      <c r="X129" s="37">
        <f>IF($A129="","",IF(OR(LOWER($F129)="bloqué",LOWER($L129)="oui"),"oui","non"))</f>
      </c>
      <c r="Y129" s="37">
        <f>IF($A129="","",IF(OR(LOWER($Q129)="critique",LOWER($U129)="oui",LOWER($V129)="oui"),"oui","non"))</f>
      </c>
      <c r="Z129" s="37">
        <f>IF($A129="","",IF(AND($S129&lt;&gt;"",LOWER($S129)&lt;&gt;"tranchée",LOWER($S129)&lt;&gt;"sans objet",LOWER($S129)&lt;&gt;"clos"),"oui","non"))</f>
      </c>
      <c r="AA129" s="37">
        <f>IF($A129="","",IF($P129&lt;&gt;"","oui","non"))</f>
      </c>
      <c r="AB129" s="37">
        <f>IF($A129="","",IF(OR(LOWER($F129)="non réouvrable",LOWER($R129)="forte"),"oui","non"))</f>
      </c>
    </row>
    <row r="130" spans="1:28" x14ac:dyDescent="0.25">
      <c r="A130" s="23">
        <f>IFERROR(INDEX(tblTasks[ID],ROW()-6),"")</f>
      </c>
      <c r="B130" s="24">
        <f>=IF($A130="","",INDEX(tblTasks[Sujet],ROW()-6))</f>
      </c>
      <c r="C130" s="23">
        <f>=IF($A130="","",INDEX(tblTasks[Lot_Domaine],ROW()-6))</f>
      </c>
      <c r="D130" s="23">
        <f>=IF($A130="","",INDEX(tblTasks[Agent_source],ROW()-6))</f>
      </c>
      <c r="E130" s="23">
        <f>=IF($A130="","",INDEX(tblTasks[Responsable],ROW()-6))</f>
      </c>
      <c r="F130" s="23">
        <f>=IF($A130="","",INDEX(tblTasks[Statut],ROW()-6))</f>
      </c>
      <c r="G130" s="25">
        <f>=IF($A130="","",INDEX(tblTasks[Date_debut_prevue],ROW()-6))</f>
      </c>
      <c r="H130" s="25">
        <f>=IF($A130="","",INDEX(tblTasks[Date_fin_prevue],ROW()-6))</f>
      </c>
      <c r="I130" s="36">
        <f>=IF($A130="","",INDEX(tblTasks[Duree_jours],ROW()-6))</f>
      </c>
      <c r="J130" s="25">
        <f>=IF($A130="","",INDEX(tblTasks[Date_debut_reelle],ROW()-6))</f>
      </c>
      <c r="K130" s="25">
        <f>=IF($A130="","",INDEX(tblTasks[Date_fin_reelle],ROW()-6))</f>
      </c>
      <c r="L130" s="23">
        <f>=IF($A130="","",INDEX(tblTasks[Blocage],ROW()-6))</f>
      </c>
      <c r="M130" s="23">
        <f>=IF($A130="","",INDEX(tblTasks[Depend_de],ROW()-6))</f>
      </c>
      <c r="N130" s="23">
        <f>=IF($A130="","",INDEX(tblTasks[Non_negociable],ROW()-6))</f>
      </c>
      <c r="O130" s="23">
        <f>=IF($A130="","",INDEX(tblTasks[Seuil_de_reprise],ROW()-6))</f>
      </c>
      <c r="P130" s="23">
        <f>=IF($A130="","",INDEX(tblTasks[Donnee_manquante],ROW()-6))</f>
      </c>
      <c r="Q130" s="23">
        <f>=IF($A130="","",INDEX(tblTasks[Niveau_criticite],ROW()-6))</f>
      </c>
      <c r="R130" s="23">
        <f>=IF($A130="","",INDEX(tblTasks[Irreversibilite],ROW()-6))</f>
      </c>
      <c r="S130" s="23">
        <f>=IF($A130="","",INDEX(tblTasks[Decision_Emmanuel],ROW()-6))</f>
      </c>
      <c r="T130" s="24">
        <f>=IF($A130="","",INDEX(tblTasks[Commentaire_EKT],ROW()-6))</f>
      </c>
      <c r="U130" s="23">
        <f>=IF($A130="","",INDEX(tblTasks[Goulot],ROW()-6))</f>
      </c>
      <c r="V130" s="23">
        <f>=IF($A130="","",INDEX(tblTasks[Point_de_bascule],ROW()-6))</f>
      </c>
      <c r="W130" s="37">
        <f>IF($A130="","",IF(AND(OR(param_filtre_statut="tous",LOWER($F130)=LOWER(param_filtre_statut)),OR(param_filtre_agent="tous",LOWER($D130)=LOWER(param_filtre_agent),LOWER($E130)=LOWER(param_filtre_agent)),OR(param_filtre_criticite="toutes",LOWER($Q130)=LOWER(param_filtre_criticite))),"oui","non"))</f>
      </c>
      <c r="X130" s="37">
        <f>IF($A130="","",IF(OR(LOWER($F130)="bloqué",LOWER($L130)="oui"),"oui","non"))</f>
      </c>
      <c r="Y130" s="37">
        <f>IF($A130="","",IF(OR(LOWER($Q130)="critique",LOWER($U130)="oui",LOWER($V130)="oui"),"oui","non"))</f>
      </c>
      <c r="Z130" s="37">
        <f>IF($A130="","",IF(AND($S130&lt;&gt;"",LOWER($S130)&lt;&gt;"tranchée",LOWER($S130)&lt;&gt;"sans objet",LOWER($S130)&lt;&gt;"clos"),"oui","non"))</f>
      </c>
      <c r="AA130" s="37">
        <f>IF($A130="","",IF($P130&lt;&gt;"","oui","non"))</f>
      </c>
      <c r="AB130" s="37">
        <f>IF($A130="","",IF(OR(LOWER($F130)="non réouvrable",LOWER($R130)="forte"),"oui","non"))</f>
      </c>
    </row>
    <row r="131" spans="1:28" x14ac:dyDescent="0.25">
      <c r="A131" s="23">
        <f>IFERROR(INDEX(tblTasks[ID],ROW()-6),"")</f>
      </c>
      <c r="B131" s="24">
        <f>=IF($A131="","",INDEX(tblTasks[Sujet],ROW()-6))</f>
      </c>
      <c r="C131" s="23">
        <f>=IF($A131="","",INDEX(tblTasks[Lot_Domaine],ROW()-6))</f>
      </c>
      <c r="D131" s="23">
        <f>=IF($A131="","",INDEX(tblTasks[Agent_source],ROW()-6))</f>
      </c>
      <c r="E131" s="23">
        <f>=IF($A131="","",INDEX(tblTasks[Responsable],ROW()-6))</f>
      </c>
      <c r="F131" s="23">
        <f>=IF($A131="","",INDEX(tblTasks[Statut],ROW()-6))</f>
      </c>
      <c r="G131" s="25">
        <f>=IF($A131="","",INDEX(tblTasks[Date_debut_prevue],ROW()-6))</f>
      </c>
      <c r="H131" s="25">
        <f>=IF($A131="","",INDEX(tblTasks[Date_fin_prevue],ROW()-6))</f>
      </c>
      <c r="I131" s="36">
        <f>=IF($A131="","",INDEX(tblTasks[Duree_jours],ROW()-6))</f>
      </c>
      <c r="J131" s="25">
        <f>=IF($A131="","",INDEX(tblTasks[Date_debut_reelle],ROW()-6))</f>
      </c>
      <c r="K131" s="25">
        <f>=IF($A131="","",INDEX(tblTasks[Date_fin_reelle],ROW()-6))</f>
      </c>
      <c r="L131" s="23">
        <f>=IF($A131="","",INDEX(tblTasks[Blocage],ROW()-6))</f>
      </c>
      <c r="M131" s="23">
        <f>=IF($A131="","",INDEX(tblTasks[Depend_de],ROW()-6))</f>
      </c>
      <c r="N131" s="23">
        <f>=IF($A131="","",INDEX(tblTasks[Non_negociable],ROW()-6))</f>
      </c>
      <c r="O131" s="23">
        <f>=IF($A131="","",INDEX(tblTasks[Seuil_de_reprise],ROW()-6))</f>
      </c>
      <c r="P131" s="23">
        <f>=IF($A131="","",INDEX(tblTasks[Donnee_manquante],ROW()-6))</f>
      </c>
      <c r="Q131" s="23">
        <f>=IF($A131="","",INDEX(tblTasks[Niveau_criticite],ROW()-6))</f>
      </c>
      <c r="R131" s="23">
        <f>=IF($A131="","",INDEX(tblTasks[Irreversibilite],ROW()-6))</f>
      </c>
      <c r="S131" s="23">
        <f>=IF($A131="","",INDEX(tblTasks[Decision_Emmanuel],ROW()-6))</f>
      </c>
      <c r="T131" s="24">
        <f>=IF($A131="","",INDEX(tblTasks[Commentaire_EKT],ROW()-6))</f>
      </c>
      <c r="U131" s="23">
        <f>=IF($A131="","",INDEX(tblTasks[Goulot],ROW()-6))</f>
      </c>
      <c r="V131" s="23">
        <f>=IF($A131="","",INDEX(tblTasks[Point_de_bascule],ROW()-6))</f>
      </c>
      <c r="W131" s="37">
        <f>IF($A131="","",IF(AND(OR(param_filtre_statut="tous",LOWER($F131)=LOWER(param_filtre_statut)),OR(param_filtre_agent="tous",LOWER($D131)=LOWER(param_filtre_agent),LOWER($E131)=LOWER(param_filtre_agent)),OR(param_filtre_criticite="toutes",LOWER($Q131)=LOWER(param_filtre_criticite))),"oui","non"))</f>
      </c>
      <c r="X131" s="37">
        <f>IF($A131="","",IF(OR(LOWER($F131)="bloqué",LOWER($L131)="oui"),"oui","non"))</f>
      </c>
      <c r="Y131" s="37">
        <f>IF($A131="","",IF(OR(LOWER($Q131)="critique",LOWER($U131)="oui",LOWER($V131)="oui"),"oui","non"))</f>
      </c>
      <c r="Z131" s="37">
        <f>IF($A131="","",IF(AND($S131&lt;&gt;"",LOWER($S131)&lt;&gt;"tranchée",LOWER($S131)&lt;&gt;"sans objet",LOWER($S131)&lt;&gt;"clos"),"oui","non"))</f>
      </c>
      <c r="AA131" s="37">
        <f>IF($A131="","",IF($P131&lt;&gt;"","oui","non"))</f>
      </c>
      <c r="AB131" s="37">
        <f>IF($A131="","",IF(OR(LOWER($F131)="non réouvrable",LOWER($R131)="forte"),"oui","non"))</f>
      </c>
    </row>
    <row r="132" spans="1:28" x14ac:dyDescent="0.25">
      <c r="A132" s="23">
        <f>IFERROR(INDEX(tblTasks[ID],ROW()-6),"")</f>
      </c>
      <c r="B132" s="24">
        <f>=IF($A132="","",INDEX(tblTasks[Sujet],ROW()-6))</f>
      </c>
      <c r="C132" s="23">
        <f>=IF($A132="","",INDEX(tblTasks[Lot_Domaine],ROW()-6))</f>
      </c>
      <c r="D132" s="23">
        <f>=IF($A132="","",INDEX(tblTasks[Agent_source],ROW()-6))</f>
      </c>
      <c r="E132" s="23">
        <f>=IF($A132="","",INDEX(tblTasks[Responsable],ROW()-6))</f>
      </c>
      <c r="F132" s="23">
        <f>=IF($A132="","",INDEX(tblTasks[Statut],ROW()-6))</f>
      </c>
      <c r="G132" s="25">
        <f>=IF($A132="","",INDEX(tblTasks[Date_debut_prevue],ROW()-6))</f>
      </c>
      <c r="H132" s="25">
        <f>=IF($A132="","",INDEX(tblTasks[Date_fin_prevue],ROW()-6))</f>
      </c>
      <c r="I132" s="36">
        <f>=IF($A132="","",INDEX(tblTasks[Duree_jours],ROW()-6))</f>
      </c>
      <c r="J132" s="25">
        <f>=IF($A132="","",INDEX(tblTasks[Date_debut_reelle],ROW()-6))</f>
      </c>
      <c r="K132" s="25">
        <f>=IF($A132="","",INDEX(tblTasks[Date_fin_reelle],ROW()-6))</f>
      </c>
      <c r="L132" s="23">
        <f>=IF($A132="","",INDEX(tblTasks[Blocage],ROW()-6))</f>
      </c>
      <c r="M132" s="23">
        <f>=IF($A132="","",INDEX(tblTasks[Depend_de],ROW()-6))</f>
      </c>
      <c r="N132" s="23">
        <f>=IF($A132="","",INDEX(tblTasks[Non_negociable],ROW()-6))</f>
      </c>
      <c r="O132" s="23">
        <f>=IF($A132="","",INDEX(tblTasks[Seuil_de_reprise],ROW()-6))</f>
      </c>
      <c r="P132" s="23">
        <f>=IF($A132="","",INDEX(tblTasks[Donnee_manquante],ROW()-6))</f>
      </c>
      <c r="Q132" s="23">
        <f>=IF($A132="","",INDEX(tblTasks[Niveau_criticite],ROW()-6))</f>
      </c>
      <c r="R132" s="23">
        <f>=IF($A132="","",INDEX(tblTasks[Irreversibilite],ROW()-6))</f>
      </c>
      <c r="S132" s="23">
        <f>=IF($A132="","",INDEX(tblTasks[Decision_Emmanuel],ROW()-6))</f>
      </c>
      <c r="T132" s="24">
        <f>=IF($A132="","",INDEX(tblTasks[Commentaire_EKT],ROW()-6))</f>
      </c>
      <c r="U132" s="23">
        <f>=IF($A132="","",INDEX(tblTasks[Goulot],ROW()-6))</f>
      </c>
      <c r="V132" s="23">
        <f>=IF($A132="","",INDEX(tblTasks[Point_de_bascule],ROW()-6))</f>
      </c>
      <c r="W132" s="37">
        <f>IF($A132="","",IF(AND(OR(param_filtre_statut="tous",LOWER($F132)=LOWER(param_filtre_statut)),OR(param_filtre_agent="tous",LOWER($D132)=LOWER(param_filtre_agent),LOWER($E132)=LOWER(param_filtre_agent)),OR(param_filtre_criticite="toutes",LOWER($Q132)=LOWER(param_filtre_criticite))),"oui","non"))</f>
      </c>
      <c r="X132" s="37">
        <f>IF($A132="","",IF(OR(LOWER($F132)="bloqué",LOWER($L132)="oui"),"oui","non"))</f>
      </c>
      <c r="Y132" s="37">
        <f>IF($A132="","",IF(OR(LOWER($Q132)="critique",LOWER($U132)="oui",LOWER($V132)="oui"),"oui","non"))</f>
      </c>
      <c r="Z132" s="37">
        <f>IF($A132="","",IF(AND($S132&lt;&gt;"",LOWER($S132)&lt;&gt;"tranchée",LOWER($S132)&lt;&gt;"sans objet",LOWER($S132)&lt;&gt;"clos"),"oui","non"))</f>
      </c>
      <c r="AA132" s="37">
        <f>IF($A132="","",IF($P132&lt;&gt;"","oui","non"))</f>
      </c>
      <c r="AB132" s="37">
        <f>IF($A132="","",IF(OR(LOWER($F132)="non réouvrable",LOWER($R132)="forte"),"oui","non"))</f>
      </c>
    </row>
    <row r="133" spans="1:28" x14ac:dyDescent="0.25">
      <c r="A133" s="23">
        <f>IFERROR(INDEX(tblTasks[ID],ROW()-6),"")</f>
      </c>
      <c r="B133" s="24">
        <f>=IF($A133="","",INDEX(tblTasks[Sujet],ROW()-6))</f>
      </c>
      <c r="C133" s="23">
        <f>=IF($A133="","",INDEX(tblTasks[Lot_Domaine],ROW()-6))</f>
      </c>
      <c r="D133" s="23">
        <f>=IF($A133="","",INDEX(tblTasks[Agent_source],ROW()-6))</f>
      </c>
      <c r="E133" s="23">
        <f>=IF($A133="","",INDEX(tblTasks[Responsable],ROW()-6))</f>
      </c>
      <c r="F133" s="23">
        <f>=IF($A133="","",INDEX(tblTasks[Statut],ROW()-6))</f>
      </c>
      <c r="G133" s="25">
        <f>=IF($A133="","",INDEX(tblTasks[Date_debut_prevue],ROW()-6))</f>
      </c>
      <c r="H133" s="25">
        <f>=IF($A133="","",INDEX(tblTasks[Date_fin_prevue],ROW()-6))</f>
      </c>
      <c r="I133" s="36">
        <f>=IF($A133="","",INDEX(tblTasks[Duree_jours],ROW()-6))</f>
      </c>
      <c r="J133" s="25">
        <f>=IF($A133="","",INDEX(tblTasks[Date_debut_reelle],ROW()-6))</f>
      </c>
      <c r="K133" s="25">
        <f>=IF($A133="","",INDEX(tblTasks[Date_fin_reelle],ROW()-6))</f>
      </c>
      <c r="L133" s="23">
        <f>=IF($A133="","",INDEX(tblTasks[Blocage],ROW()-6))</f>
      </c>
      <c r="M133" s="23">
        <f>=IF($A133="","",INDEX(tblTasks[Depend_de],ROW()-6))</f>
      </c>
      <c r="N133" s="23">
        <f>=IF($A133="","",INDEX(tblTasks[Non_negociable],ROW()-6))</f>
      </c>
      <c r="O133" s="23">
        <f>=IF($A133="","",INDEX(tblTasks[Seuil_de_reprise],ROW()-6))</f>
      </c>
      <c r="P133" s="23">
        <f>=IF($A133="","",INDEX(tblTasks[Donnee_manquante],ROW()-6))</f>
      </c>
      <c r="Q133" s="23">
        <f>=IF($A133="","",INDEX(tblTasks[Niveau_criticite],ROW()-6))</f>
      </c>
      <c r="R133" s="23">
        <f>=IF($A133="","",INDEX(tblTasks[Irreversibilite],ROW()-6))</f>
      </c>
      <c r="S133" s="23">
        <f>=IF($A133="","",INDEX(tblTasks[Decision_Emmanuel],ROW()-6))</f>
      </c>
      <c r="T133" s="24">
        <f>=IF($A133="","",INDEX(tblTasks[Commentaire_EKT],ROW()-6))</f>
      </c>
      <c r="U133" s="23">
        <f>=IF($A133="","",INDEX(tblTasks[Goulot],ROW()-6))</f>
      </c>
      <c r="V133" s="23">
        <f>=IF($A133="","",INDEX(tblTasks[Point_de_bascule],ROW()-6))</f>
      </c>
      <c r="W133" s="37">
        <f>IF($A133="","",IF(AND(OR(param_filtre_statut="tous",LOWER($F133)=LOWER(param_filtre_statut)),OR(param_filtre_agent="tous",LOWER($D133)=LOWER(param_filtre_agent),LOWER($E133)=LOWER(param_filtre_agent)),OR(param_filtre_criticite="toutes",LOWER($Q133)=LOWER(param_filtre_criticite))),"oui","non"))</f>
      </c>
      <c r="X133" s="37">
        <f>IF($A133="","",IF(OR(LOWER($F133)="bloqué",LOWER($L133)="oui"),"oui","non"))</f>
      </c>
      <c r="Y133" s="37">
        <f>IF($A133="","",IF(OR(LOWER($Q133)="critique",LOWER($U133)="oui",LOWER($V133)="oui"),"oui","non"))</f>
      </c>
      <c r="Z133" s="37">
        <f>IF($A133="","",IF(AND($S133&lt;&gt;"",LOWER($S133)&lt;&gt;"tranchée",LOWER($S133)&lt;&gt;"sans objet",LOWER($S133)&lt;&gt;"clos"),"oui","non"))</f>
      </c>
      <c r="AA133" s="37">
        <f>IF($A133="","",IF($P133&lt;&gt;"","oui","non"))</f>
      </c>
      <c r="AB133" s="37">
        <f>IF($A133="","",IF(OR(LOWER($F133)="non réouvrable",LOWER($R133)="forte"),"oui","non"))</f>
      </c>
    </row>
    <row r="134" spans="1:28" x14ac:dyDescent="0.25">
      <c r="A134" s="23">
        <f>IFERROR(INDEX(tblTasks[ID],ROW()-6),"")</f>
      </c>
      <c r="B134" s="24">
        <f>=IF($A134="","",INDEX(tblTasks[Sujet],ROW()-6))</f>
      </c>
      <c r="C134" s="23">
        <f>=IF($A134="","",INDEX(tblTasks[Lot_Domaine],ROW()-6))</f>
      </c>
      <c r="D134" s="23">
        <f>=IF($A134="","",INDEX(tblTasks[Agent_source],ROW()-6))</f>
      </c>
      <c r="E134" s="23">
        <f>=IF($A134="","",INDEX(tblTasks[Responsable],ROW()-6))</f>
      </c>
      <c r="F134" s="23">
        <f>=IF($A134="","",INDEX(tblTasks[Statut],ROW()-6))</f>
      </c>
      <c r="G134" s="25">
        <f>=IF($A134="","",INDEX(tblTasks[Date_debut_prevue],ROW()-6))</f>
      </c>
      <c r="H134" s="25">
        <f>=IF($A134="","",INDEX(tblTasks[Date_fin_prevue],ROW()-6))</f>
      </c>
      <c r="I134" s="36">
        <f>=IF($A134="","",INDEX(tblTasks[Duree_jours],ROW()-6))</f>
      </c>
      <c r="J134" s="25">
        <f>=IF($A134="","",INDEX(tblTasks[Date_debut_reelle],ROW()-6))</f>
      </c>
      <c r="K134" s="25">
        <f>=IF($A134="","",INDEX(tblTasks[Date_fin_reelle],ROW()-6))</f>
      </c>
      <c r="L134" s="23">
        <f>=IF($A134="","",INDEX(tblTasks[Blocage],ROW()-6))</f>
      </c>
      <c r="M134" s="23">
        <f>=IF($A134="","",INDEX(tblTasks[Depend_de],ROW()-6))</f>
      </c>
      <c r="N134" s="23">
        <f>=IF($A134="","",INDEX(tblTasks[Non_negociable],ROW()-6))</f>
      </c>
      <c r="O134" s="23">
        <f>=IF($A134="","",INDEX(tblTasks[Seuil_de_reprise],ROW()-6))</f>
      </c>
      <c r="P134" s="23">
        <f>=IF($A134="","",INDEX(tblTasks[Donnee_manquante],ROW()-6))</f>
      </c>
      <c r="Q134" s="23">
        <f>=IF($A134="","",INDEX(tblTasks[Niveau_criticite],ROW()-6))</f>
      </c>
      <c r="R134" s="23">
        <f>=IF($A134="","",INDEX(tblTasks[Irreversibilite],ROW()-6))</f>
      </c>
      <c r="S134" s="23">
        <f>=IF($A134="","",INDEX(tblTasks[Decision_Emmanuel],ROW()-6))</f>
      </c>
      <c r="T134" s="24">
        <f>=IF($A134="","",INDEX(tblTasks[Commentaire_EKT],ROW()-6))</f>
      </c>
      <c r="U134" s="23">
        <f>=IF($A134="","",INDEX(tblTasks[Goulot],ROW()-6))</f>
      </c>
      <c r="V134" s="23">
        <f>=IF($A134="","",INDEX(tblTasks[Point_de_bascule],ROW()-6))</f>
      </c>
      <c r="W134" s="37">
        <f>IF($A134="","",IF(AND(OR(param_filtre_statut="tous",LOWER($F134)=LOWER(param_filtre_statut)),OR(param_filtre_agent="tous",LOWER($D134)=LOWER(param_filtre_agent),LOWER($E134)=LOWER(param_filtre_agent)),OR(param_filtre_criticite="toutes",LOWER($Q134)=LOWER(param_filtre_criticite))),"oui","non"))</f>
      </c>
      <c r="X134" s="37">
        <f>IF($A134="","",IF(OR(LOWER($F134)="bloqué",LOWER($L134)="oui"),"oui","non"))</f>
      </c>
      <c r="Y134" s="37">
        <f>IF($A134="","",IF(OR(LOWER($Q134)="critique",LOWER($U134)="oui",LOWER($V134)="oui"),"oui","non"))</f>
      </c>
      <c r="Z134" s="37">
        <f>IF($A134="","",IF(AND($S134&lt;&gt;"",LOWER($S134)&lt;&gt;"tranchée",LOWER($S134)&lt;&gt;"sans objet",LOWER($S134)&lt;&gt;"clos"),"oui","non"))</f>
      </c>
      <c r="AA134" s="37">
        <f>IF($A134="","",IF($P134&lt;&gt;"","oui","non"))</f>
      </c>
      <c r="AB134" s="37">
        <f>IF($A134="","",IF(OR(LOWER($F134)="non réouvrable",LOWER($R134)="forte"),"oui","non"))</f>
      </c>
    </row>
    <row r="135" spans="1:28" x14ac:dyDescent="0.25">
      <c r="A135" s="23">
        <f>IFERROR(INDEX(tblTasks[ID],ROW()-6),"")</f>
      </c>
      <c r="B135" s="24">
        <f>=IF($A135="","",INDEX(tblTasks[Sujet],ROW()-6))</f>
      </c>
      <c r="C135" s="23">
        <f>=IF($A135="","",INDEX(tblTasks[Lot_Domaine],ROW()-6))</f>
      </c>
      <c r="D135" s="23">
        <f>=IF($A135="","",INDEX(tblTasks[Agent_source],ROW()-6))</f>
      </c>
      <c r="E135" s="23">
        <f>=IF($A135="","",INDEX(tblTasks[Responsable],ROW()-6))</f>
      </c>
      <c r="F135" s="23">
        <f>=IF($A135="","",INDEX(tblTasks[Statut],ROW()-6))</f>
      </c>
      <c r="G135" s="25">
        <f>=IF($A135="","",INDEX(tblTasks[Date_debut_prevue],ROW()-6))</f>
      </c>
      <c r="H135" s="25">
        <f>=IF($A135="","",INDEX(tblTasks[Date_fin_prevue],ROW()-6))</f>
      </c>
      <c r="I135" s="36">
        <f>=IF($A135="","",INDEX(tblTasks[Duree_jours],ROW()-6))</f>
      </c>
      <c r="J135" s="25">
        <f>=IF($A135="","",INDEX(tblTasks[Date_debut_reelle],ROW()-6))</f>
      </c>
      <c r="K135" s="25">
        <f>=IF($A135="","",INDEX(tblTasks[Date_fin_reelle],ROW()-6))</f>
      </c>
      <c r="L135" s="23">
        <f>=IF($A135="","",INDEX(tblTasks[Blocage],ROW()-6))</f>
      </c>
      <c r="M135" s="23">
        <f>=IF($A135="","",INDEX(tblTasks[Depend_de],ROW()-6))</f>
      </c>
      <c r="N135" s="23">
        <f>=IF($A135="","",INDEX(tblTasks[Non_negociable],ROW()-6))</f>
      </c>
      <c r="O135" s="23">
        <f>=IF($A135="","",INDEX(tblTasks[Seuil_de_reprise],ROW()-6))</f>
      </c>
      <c r="P135" s="23">
        <f>=IF($A135="","",INDEX(tblTasks[Donnee_manquante],ROW()-6))</f>
      </c>
      <c r="Q135" s="23">
        <f>=IF($A135="","",INDEX(tblTasks[Niveau_criticite],ROW()-6))</f>
      </c>
      <c r="R135" s="23">
        <f>=IF($A135="","",INDEX(tblTasks[Irreversibilite],ROW()-6))</f>
      </c>
      <c r="S135" s="23">
        <f>=IF($A135="","",INDEX(tblTasks[Decision_Emmanuel],ROW()-6))</f>
      </c>
      <c r="T135" s="24">
        <f>=IF($A135="","",INDEX(tblTasks[Commentaire_EKT],ROW()-6))</f>
      </c>
      <c r="U135" s="23">
        <f>=IF($A135="","",INDEX(tblTasks[Goulot],ROW()-6))</f>
      </c>
      <c r="V135" s="23">
        <f>=IF($A135="","",INDEX(tblTasks[Point_de_bascule],ROW()-6))</f>
      </c>
      <c r="W135" s="37">
        <f>IF($A135="","",IF(AND(OR(param_filtre_statut="tous",LOWER($F135)=LOWER(param_filtre_statut)),OR(param_filtre_agent="tous",LOWER($D135)=LOWER(param_filtre_agent),LOWER($E135)=LOWER(param_filtre_agent)),OR(param_filtre_criticite="toutes",LOWER($Q135)=LOWER(param_filtre_criticite))),"oui","non"))</f>
      </c>
      <c r="X135" s="37">
        <f>IF($A135="","",IF(OR(LOWER($F135)="bloqué",LOWER($L135)="oui"),"oui","non"))</f>
      </c>
      <c r="Y135" s="37">
        <f>IF($A135="","",IF(OR(LOWER($Q135)="critique",LOWER($U135)="oui",LOWER($V135)="oui"),"oui","non"))</f>
      </c>
      <c r="Z135" s="37">
        <f>IF($A135="","",IF(AND($S135&lt;&gt;"",LOWER($S135)&lt;&gt;"tranchée",LOWER($S135)&lt;&gt;"sans objet",LOWER($S135)&lt;&gt;"clos"),"oui","non"))</f>
      </c>
      <c r="AA135" s="37">
        <f>IF($A135="","",IF($P135&lt;&gt;"","oui","non"))</f>
      </c>
      <c r="AB135" s="37">
        <f>IF($A135="","",IF(OR(LOWER($F135)="non réouvrable",LOWER($R135)="forte"),"oui","non"))</f>
      </c>
    </row>
    <row r="136" spans="1:28" x14ac:dyDescent="0.25">
      <c r="A136" s="23">
        <f>IFERROR(INDEX(tblTasks[ID],ROW()-6),"")</f>
      </c>
      <c r="B136" s="24">
        <f>=IF($A136="","",INDEX(tblTasks[Sujet],ROW()-6))</f>
      </c>
      <c r="C136" s="23">
        <f>=IF($A136="","",INDEX(tblTasks[Lot_Domaine],ROW()-6))</f>
      </c>
      <c r="D136" s="23">
        <f>=IF($A136="","",INDEX(tblTasks[Agent_source],ROW()-6))</f>
      </c>
      <c r="E136" s="23">
        <f>=IF($A136="","",INDEX(tblTasks[Responsable],ROW()-6))</f>
      </c>
      <c r="F136" s="23">
        <f>=IF($A136="","",INDEX(tblTasks[Statut],ROW()-6))</f>
      </c>
      <c r="G136" s="25">
        <f>=IF($A136="","",INDEX(tblTasks[Date_debut_prevue],ROW()-6))</f>
      </c>
      <c r="H136" s="25">
        <f>=IF($A136="","",INDEX(tblTasks[Date_fin_prevue],ROW()-6))</f>
      </c>
      <c r="I136" s="36">
        <f>=IF($A136="","",INDEX(tblTasks[Duree_jours],ROW()-6))</f>
      </c>
      <c r="J136" s="25">
        <f>=IF($A136="","",INDEX(tblTasks[Date_debut_reelle],ROW()-6))</f>
      </c>
      <c r="K136" s="25">
        <f>=IF($A136="","",INDEX(tblTasks[Date_fin_reelle],ROW()-6))</f>
      </c>
      <c r="L136" s="23">
        <f>=IF($A136="","",INDEX(tblTasks[Blocage],ROW()-6))</f>
      </c>
      <c r="M136" s="23">
        <f>=IF($A136="","",INDEX(tblTasks[Depend_de],ROW()-6))</f>
      </c>
      <c r="N136" s="23">
        <f>=IF($A136="","",INDEX(tblTasks[Non_negociable],ROW()-6))</f>
      </c>
      <c r="O136" s="23">
        <f>=IF($A136="","",INDEX(tblTasks[Seuil_de_reprise],ROW()-6))</f>
      </c>
      <c r="P136" s="23">
        <f>=IF($A136="","",INDEX(tblTasks[Donnee_manquante],ROW()-6))</f>
      </c>
      <c r="Q136" s="23">
        <f>=IF($A136="","",INDEX(tblTasks[Niveau_criticite],ROW()-6))</f>
      </c>
      <c r="R136" s="23">
        <f>=IF($A136="","",INDEX(tblTasks[Irreversibilite],ROW()-6))</f>
      </c>
      <c r="S136" s="23">
        <f>=IF($A136="","",INDEX(tblTasks[Decision_Emmanuel],ROW()-6))</f>
      </c>
      <c r="T136" s="24">
        <f>=IF($A136="","",INDEX(tblTasks[Commentaire_EKT],ROW()-6))</f>
      </c>
      <c r="U136" s="23">
        <f>=IF($A136="","",INDEX(tblTasks[Goulot],ROW()-6))</f>
      </c>
      <c r="V136" s="23">
        <f>=IF($A136="","",INDEX(tblTasks[Point_de_bascule],ROW()-6))</f>
      </c>
      <c r="W136" s="37">
        <f>IF($A136="","",IF(AND(OR(param_filtre_statut="tous",LOWER($F136)=LOWER(param_filtre_statut)),OR(param_filtre_agent="tous",LOWER($D136)=LOWER(param_filtre_agent),LOWER($E136)=LOWER(param_filtre_agent)),OR(param_filtre_criticite="toutes",LOWER($Q136)=LOWER(param_filtre_criticite))),"oui","non"))</f>
      </c>
      <c r="X136" s="37">
        <f>IF($A136="","",IF(OR(LOWER($F136)="bloqué",LOWER($L136)="oui"),"oui","non"))</f>
      </c>
      <c r="Y136" s="37">
        <f>IF($A136="","",IF(OR(LOWER($Q136)="critique",LOWER($U136)="oui",LOWER($V136)="oui"),"oui","non"))</f>
      </c>
      <c r="Z136" s="37">
        <f>IF($A136="","",IF(AND($S136&lt;&gt;"",LOWER($S136)&lt;&gt;"tranchée",LOWER($S136)&lt;&gt;"sans objet",LOWER($S136)&lt;&gt;"clos"),"oui","non"))</f>
      </c>
      <c r="AA136" s="37">
        <f>IF($A136="","",IF($P136&lt;&gt;"","oui","non"))</f>
      </c>
      <c r="AB136" s="37">
        <f>IF($A136="","",IF(OR(LOWER($F136)="non réouvrable",LOWER($R136)="forte"),"oui","non"))</f>
      </c>
    </row>
    <row r="137" spans="1:28" x14ac:dyDescent="0.25">
      <c r="A137" s="23">
        <f>IFERROR(INDEX(tblTasks[ID],ROW()-6),"")</f>
      </c>
      <c r="B137" s="24">
        <f>=IF($A137="","",INDEX(tblTasks[Sujet],ROW()-6))</f>
      </c>
      <c r="C137" s="23">
        <f>=IF($A137="","",INDEX(tblTasks[Lot_Domaine],ROW()-6))</f>
      </c>
      <c r="D137" s="23">
        <f>=IF($A137="","",INDEX(tblTasks[Agent_source],ROW()-6))</f>
      </c>
      <c r="E137" s="23">
        <f>=IF($A137="","",INDEX(tblTasks[Responsable],ROW()-6))</f>
      </c>
      <c r="F137" s="23">
        <f>=IF($A137="","",INDEX(tblTasks[Statut],ROW()-6))</f>
      </c>
      <c r="G137" s="25">
        <f>=IF($A137="","",INDEX(tblTasks[Date_debut_prevue],ROW()-6))</f>
      </c>
      <c r="H137" s="25">
        <f>=IF($A137="","",INDEX(tblTasks[Date_fin_prevue],ROW()-6))</f>
      </c>
      <c r="I137" s="36">
        <f>=IF($A137="","",INDEX(tblTasks[Duree_jours],ROW()-6))</f>
      </c>
      <c r="J137" s="25">
        <f>=IF($A137="","",INDEX(tblTasks[Date_debut_reelle],ROW()-6))</f>
      </c>
      <c r="K137" s="25">
        <f>=IF($A137="","",INDEX(tblTasks[Date_fin_reelle],ROW()-6))</f>
      </c>
      <c r="L137" s="23">
        <f>=IF($A137="","",INDEX(tblTasks[Blocage],ROW()-6))</f>
      </c>
      <c r="M137" s="23">
        <f>=IF($A137="","",INDEX(tblTasks[Depend_de],ROW()-6))</f>
      </c>
      <c r="N137" s="23">
        <f>=IF($A137="","",INDEX(tblTasks[Non_negociable],ROW()-6))</f>
      </c>
      <c r="O137" s="23">
        <f>=IF($A137="","",INDEX(tblTasks[Seuil_de_reprise],ROW()-6))</f>
      </c>
      <c r="P137" s="23">
        <f>=IF($A137="","",INDEX(tblTasks[Donnee_manquante],ROW()-6))</f>
      </c>
      <c r="Q137" s="23">
        <f>=IF($A137="","",INDEX(tblTasks[Niveau_criticite],ROW()-6))</f>
      </c>
      <c r="R137" s="23">
        <f>=IF($A137="","",INDEX(tblTasks[Irreversibilite],ROW()-6))</f>
      </c>
      <c r="S137" s="23">
        <f>=IF($A137="","",INDEX(tblTasks[Decision_Emmanuel],ROW()-6))</f>
      </c>
      <c r="T137" s="24">
        <f>=IF($A137="","",INDEX(tblTasks[Commentaire_EKT],ROW()-6))</f>
      </c>
      <c r="U137" s="23">
        <f>=IF($A137="","",INDEX(tblTasks[Goulot],ROW()-6))</f>
      </c>
      <c r="V137" s="23">
        <f>=IF($A137="","",INDEX(tblTasks[Point_de_bascule],ROW()-6))</f>
      </c>
      <c r="W137" s="37">
        <f>IF($A137="","",IF(AND(OR(param_filtre_statut="tous",LOWER($F137)=LOWER(param_filtre_statut)),OR(param_filtre_agent="tous",LOWER($D137)=LOWER(param_filtre_agent),LOWER($E137)=LOWER(param_filtre_agent)),OR(param_filtre_criticite="toutes",LOWER($Q137)=LOWER(param_filtre_criticite))),"oui","non"))</f>
      </c>
      <c r="X137" s="37">
        <f>IF($A137="","",IF(OR(LOWER($F137)="bloqué",LOWER($L137)="oui"),"oui","non"))</f>
      </c>
      <c r="Y137" s="37">
        <f>IF($A137="","",IF(OR(LOWER($Q137)="critique",LOWER($U137)="oui",LOWER($V137)="oui"),"oui","non"))</f>
      </c>
      <c r="Z137" s="37">
        <f>IF($A137="","",IF(AND($S137&lt;&gt;"",LOWER($S137)&lt;&gt;"tranchée",LOWER($S137)&lt;&gt;"sans objet",LOWER($S137)&lt;&gt;"clos"),"oui","non"))</f>
      </c>
      <c r="AA137" s="37">
        <f>IF($A137="","",IF($P137&lt;&gt;"","oui","non"))</f>
      </c>
      <c r="AB137" s="37">
        <f>IF($A137="","",IF(OR(LOWER($F137)="non réouvrable",LOWER($R137)="forte"),"oui","non"))</f>
      </c>
    </row>
    <row r="138" spans="1:28" x14ac:dyDescent="0.25">
      <c r="A138" s="23">
        <f>IFERROR(INDEX(tblTasks[ID],ROW()-6),"")</f>
      </c>
      <c r="B138" s="24">
        <f>=IF($A138="","",INDEX(tblTasks[Sujet],ROW()-6))</f>
      </c>
      <c r="C138" s="23">
        <f>=IF($A138="","",INDEX(tblTasks[Lot_Domaine],ROW()-6))</f>
      </c>
      <c r="D138" s="23">
        <f>=IF($A138="","",INDEX(tblTasks[Agent_source],ROW()-6))</f>
      </c>
      <c r="E138" s="23">
        <f>=IF($A138="","",INDEX(tblTasks[Responsable],ROW()-6))</f>
      </c>
      <c r="F138" s="23">
        <f>=IF($A138="","",INDEX(tblTasks[Statut],ROW()-6))</f>
      </c>
      <c r="G138" s="25">
        <f>=IF($A138="","",INDEX(tblTasks[Date_debut_prevue],ROW()-6))</f>
      </c>
      <c r="H138" s="25">
        <f>=IF($A138="","",INDEX(tblTasks[Date_fin_prevue],ROW()-6))</f>
      </c>
      <c r="I138" s="36">
        <f>=IF($A138="","",INDEX(tblTasks[Duree_jours],ROW()-6))</f>
      </c>
      <c r="J138" s="25">
        <f>=IF($A138="","",INDEX(tblTasks[Date_debut_reelle],ROW()-6))</f>
      </c>
      <c r="K138" s="25">
        <f>=IF($A138="","",INDEX(tblTasks[Date_fin_reelle],ROW()-6))</f>
      </c>
      <c r="L138" s="23">
        <f>=IF($A138="","",INDEX(tblTasks[Blocage],ROW()-6))</f>
      </c>
      <c r="M138" s="23">
        <f>=IF($A138="","",INDEX(tblTasks[Depend_de],ROW()-6))</f>
      </c>
      <c r="N138" s="23">
        <f>=IF($A138="","",INDEX(tblTasks[Non_negociable],ROW()-6))</f>
      </c>
      <c r="O138" s="23">
        <f>=IF($A138="","",INDEX(tblTasks[Seuil_de_reprise],ROW()-6))</f>
      </c>
      <c r="P138" s="23">
        <f>=IF($A138="","",INDEX(tblTasks[Donnee_manquante],ROW()-6))</f>
      </c>
      <c r="Q138" s="23">
        <f>=IF($A138="","",INDEX(tblTasks[Niveau_criticite],ROW()-6))</f>
      </c>
      <c r="R138" s="23">
        <f>=IF($A138="","",INDEX(tblTasks[Irreversibilite],ROW()-6))</f>
      </c>
      <c r="S138" s="23">
        <f>=IF($A138="","",INDEX(tblTasks[Decision_Emmanuel],ROW()-6))</f>
      </c>
      <c r="T138" s="24">
        <f>=IF($A138="","",INDEX(tblTasks[Commentaire_EKT],ROW()-6))</f>
      </c>
      <c r="U138" s="23">
        <f>=IF($A138="","",INDEX(tblTasks[Goulot],ROW()-6))</f>
      </c>
      <c r="V138" s="23">
        <f>=IF($A138="","",INDEX(tblTasks[Point_de_bascule],ROW()-6))</f>
      </c>
      <c r="W138" s="37">
        <f>IF($A138="","",IF(AND(OR(param_filtre_statut="tous",LOWER($F138)=LOWER(param_filtre_statut)),OR(param_filtre_agent="tous",LOWER($D138)=LOWER(param_filtre_agent),LOWER($E138)=LOWER(param_filtre_agent)),OR(param_filtre_criticite="toutes",LOWER($Q138)=LOWER(param_filtre_criticite))),"oui","non"))</f>
      </c>
      <c r="X138" s="37">
        <f>IF($A138="","",IF(OR(LOWER($F138)="bloqué",LOWER($L138)="oui"),"oui","non"))</f>
      </c>
      <c r="Y138" s="37">
        <f>IF($A138="","",IF(OR(LOWER($Q138)="critique",LOWER($U138)="oui",LOWER($V138)="oui"),"oui","non"))</f>
      </c>
      <c r="Z138" s="37">
        <f>IF($A138="","",IF(AND($S138&lt;&gt;"",LOWER($S138)&lt;&gt;"tranchée",LOWER($S138)&lt;&gt;"sans objet",LOWER($S138)&lt;&gt;"clos"),"oui","non"))</f>
      </c>
      <c r="AA138" s="37">
        <f>IF($A138="","",IF($P138&lt;&gt;"","oui","non"))</f>
      </c>
      <c r="AB138" s="37">
        <f>IF($A138="","",IF(OR(LOWER($F138)="non réouvrable",LOWER($R138)="forte"),"oui","non"))</f>
      </c>
    </row>
    <row r="139" spans="1:28" x14ac:dyDescent="0.25">
      <c r="A139" s="23">
        <f>IFERROR(INDEX(tblTasks[ID],ROW()-6),"")</f>
      </c>
      <c r="B139" s="24">
        <f>=IF($A139="","",INDEX(tblTasks[Sujet],ROW()-6))</f>
      </c>
      <c r="C139" s="23">
        <f>=IF($A139="","",INDEX(tblTasks[Lot_Domaine],ROW()-6))</f>
      </c>
      <c r="D139" s="23">
        <f>=IF($A139="","",INDEX(tblTasks[Agent_source],ROW()-6))</f>
      </c>
      <c r="E139" s="23">
        <f>=IF($A139="","",INDEX(tblTasks[Responsable],ROW()-6))</f>
      </c>
      <c r="F139" s="23">
        <f>=IF($A139="","",INDEX(tblTasks[Statut],ROW()-6))</f>
      </c>
      <c r="G139" s="25">
        <f>=IF($A139="","",INDEX(tblTasks[Date_debut_prevue],ROW()-6))</f>
      </c>
      <c r="H139" s="25">
        <f>=IF($A139="","",INDEX(tblTasks[Date_fin_prevue],ROW()-6))</f>
      </c>
      <c r="I139" s="36">
        <f>=IF($A139="","",INDEX(tblTasks[Duree_jours],ROW()-6))</f>
      </c>
      <c r="J139" s="25">
        <f>=IF($A139="","",INDEX(tblTasks[Date_debut_reelle],ROW()-6))</f>
      </c>
      <c r="K139" s="25">
        <f>=IF($A139="","",INDEX(tblTasks[Date_fin_reelle],ROW()-6))</f>
      </c>
      <c r="L139" s="23">
        <f>=IF($A139="","",INDEX(tblTasks[Blocage],ROW()-6))</f>
      </c>
      <c r="M139" s="23">
        <f>=IF($A139="","",INDEX(tblTasks[Depend_de],ROW()-6))</f>
      </c>
      <c r="N139" s="23">
        <f>=IF($A139="","",INDEX(tblTasks[Non_negociable],ROW()-6))</f>
      </c>
      <c r="O139" s="23">
        <f>=IF($A139="","",INDEX(tblTasks[Seuil_de_reprise],ROW()-6))</f>
      </c>
      <c r="P139" s="23">
        <f>=IF($A139="","",INDEX(tblTasks[Donnee_manquante],ROW()-6))</f>
      </c>
      <c r="Q139" s="23">
        <f>=IF($A139="","",INDEX(tblTasks[Niveau_criticite],ROW()-6))</f>
      </c>
      <c r="R139" s="23">
        <f>=IF($A139="","",INDEX(tblTasks[Irreversibilite],ROW()-6))</f>
      </c>
      <c r="S139" s="23">
        <f>=IF($A139="","",INDEX(tblTasks[Decision_Emmanuel],ROW()-6))</f>
      </c>
      <c r="T139" s="24">
        <f>=IF($A139="","",INDEX(tblTasks[Commentaire_EKT],ROW()-6))</f>
      </c>
      <c r="U139" s="23">
        <f>=IF($A139="","",INDEX(tblTasks[Goulot],ROW()-6))</f>
      </c>
      <c r="V139" s="23">
        <f>=IF($A139="","",INDEX(tblTasks[Point_de_bascule],ROW()-6))</f>
      </c>
      <c r="W139" s="37">
        <f>IF($A139="","",IF(AND(OR(param_filtre_statut="tous",LOWER($F139)=LOWER(param_filtre_statut)),OR(param_filtre_agent="tous",LOWER($D139)=LOWER(param_filtre_agent),LOWER($E139)=LOWER(param_filtre_agent)),OR(param_filtre_criticite="toutes",LOWER($Q139)=LOWER(param_filtre_criticite))),"oui","non"))</f>
      </c>
      <c r="X139" s="37">
        <f>IF($A139="","",IF(OR(LOWER($F139)="bloqué",LOWER($L139)="oui"),"oui","non"))</f>
      </c>
      <c r="Y139" s="37">
        <f>IF($A139="","",IF(OR(LOWER($Q139)="critique",LOWER($U139)="oui",LOWER($V139)="oui"),"oui","non"))</f>
      </c>
      <c r="Z139" s="37">
        <f>IF($A139="","",IF(AND($S139&lt;&gt;"",LOWER($S139)&lt;&gt;"tranchée",LOWER($S139)&lt;&gt;"sans objet",LOWER($S139)&lt;&gt;"clos"),"oui","non"))</f>
      </c>
      <c r="AA139" s="37">
        <f>IF($A139="","",IF($P139&lt;&gt;"","oui","non"))</f>
      </c>
      <c r="AB139" s="37">
        <f>IF($A139="","",IF(OR(LOWER($F139)="non réouvrable",LOWER($R139)="forte"),"oui","non"))</f>
      </c>
    </row>
    <row r="140" spans="1:28" x14ac:dyDescent="0.25">
      <c r="A140" s="23">
        <f>IFERROR(INDEX(tblTasks[ID],ROW()-6),"")</f>
      </c>
      <c r="B140" s="24">
        <f>=IF($A140="","",INDEX(tblTasks[Sujet],ROW()-6))</f>
      </c>
      <c r="C140" s="23">
        <f>=IF($A140="","",INDEX(tblTasks[Lot_Domaine],ROW()-6))</f>
      </c>
      <c r="D140" s="23">
        <f>=IF($A140="","",INDEX(tblTasks[Agent_source],ROW()-6))</f>
      </c>
      <c r="E140" s="23">
        <f>=IF($A140="","",INDEX(tblTasks[Responsable],ROW()-6))</f>
      </c>
      <c r="F140" s="23">
        <f>=IF($A140="","",INDEX(tblTasks[Statut],ROW()-6))</f>
      </c>
      <c r="G140" s="25">
        <f>=IF($A140="","",INDEX(tblTasks[Date_debut_prevue],ROW()-6))</f>
      </c>
      <c r="H140" s="25">
        <f>=IF($A140="","",INDEX(tblTasks[Date_fin_prevue],ROW()-6))</f>
      </c>
      <c r="I140" s="36">
        <f>=IF($A140="","",INDEX(tblTasks[Duree_jours],ROW()-6))</f>
      </c>
      <c r="J140" s="25">
        <f>=IF($A140="","",INDEX(tblTasks[Date_debut_reelle],ROW()-6))</f>
      </c>
      <c r="K140" s="25">
        <f>=IF($A140="","",INDEX(tblTasks[Date_fin_reelle],ROW()-6))</f>
      </c>
      <c r="L140" s="23">
        <f>=IF($A140="","",INDEX(tblTasks[Blocage],ROW()-6))</f>
      </c>
      <c r="M140" s="23">
        <f>=IF($A140="","",INDEX(tblTasks[Depend_de],ROW()-6))</f>
      </c>
      <c r="N140" s="23">
        <f>=IF($A140="","",INDEX(tblTasks[Non_negociable],ROW()-6))</f>
      </c>
      <c r="O140" s="23">
        <f>=IF($A140="","",INDEX(tblTasks[Seuil_de_reprise],ROW()-6))</f>
      </c>
      <c r="P140" s="23">
        <f>=IF($A140="","",INDEX(tblTasks[Donnee_manquante],ROW()-6))</f>
      </c>
      <c r="Q140" s="23">
        <f>=IF($A140="","",INDEX(tblTasks[Niveau_criticite],ROW()-6))</f>
      </c>
      <c r="R140" s="23">
        <f>=IF($A140="","",INDEX(tblTasks[Irreversibilite],ROW()-6))</f>
      </c>
      <c r="S140" s="23">
        <f>=IF($A140="","",INDEX(tblTasks[Decision_Emmanuel],ROW()-6))</f>
      </c>
      <c r="T140" s="24">
        <f>=IF($A140="","",INDEX(tblTasks[Commentaire_EKT],ROW()-6))</f>
      </c>
      <c r="U140" s="23">
        <f>=IF($A140="","",INDEX(tblTasks[Goulot],ROW()-6))</f>
      </c>
      <c r="V140" s="23">
        <f>=IF($A140="","",INDEX(tblTasks[Point_de_bascule],ROW()-6))</f>
      </c>
      <c r="W140" s="37">
        <f>IF($A140="","",IF(AND(OR(param_filtre_statut="tous",LOWER($F140)=LOWER(param_filtre_statut)),OR(param_filtre_agent="tous",LOWER($D140)=LOWER(param_filtre_agent),LOWER($E140)=LOWER(param_filtre_agent)),OR(param_filtre_criticite="toutes",LOWER($Q140)=LOWER(param_filtre_criticite))),"oui","non"))</f>
      </c>
      <c r="X140" s="37">
        <f>IF($A140="","",IF(OR(LOWER($F140)="bloqué",LOWER($L140)="oui"),"oui","non"))</f>
      </c>
      <c r="Y140" s="37">
        <f>IF($A140="","",IF(OR(LOWER($Q140)="critique",LOWER($U140)="oui",LOWER($V140)="oui"),"oui","non"))</f>
      </c>
      <c r="Z140" s="37">
        <f>IF($A140="","",IF(AND($S140&lt;&gt;"",LOWER($S140)&lt;&gt;"tranchée",LOWER($S140)&lt;&gt;"sans objet",LOWER($S140)&lt;&gt;"clos"),"oui","non"))</f>
      </c>
      <c r="AA140" s="37">
        <f>IF($A140="","",IF($P140&lt;&gt;"","oui","non"))</f>
      </c>
      <c r="AB140" s="37">
        <f>IF($A140="","",IF(OR(LOWER($F140)="non réouvrable",LOWER($R140)="forte"),"oui","non"))</f>
      </c>
    </row>
    <row r="141" spans="1:28" x14ac:dyDescent="0.25">
      <c r="A141" s="23">
        <f>IFERROR(INDEX(tblTasks[ID],ROW()-6),"")</f>
      </c>
      <c r="B141" s="24">
        <f>=IF($A141="","",INDEX(tblTasks[Sujet],ROW()-6))</f>
      </c>
      <c r="C141" s="23">
        <f>=IF($A141="","",INDEX(tblTasks[Lot_Domaine],ROW()-6))</f>
      </c>
      <c r="D141" s="23">
        <f>=IF($A141="","",INDEX(tblTasks[Agent_source],ROW()-6))</f>
      </c>
      <c r="E141" s="23">
        <f>=IF($A141="","",INDEX(tblTasks[Responsable],ROW()-6))</f>
      </c>
      <c r="F141" s="23">
        <f>=IF($A141="","",INDEX(tblTasks[Statut],ROW()-6))</f>
      </c>
      <c r="G141" s="25">
        <f>=IF($A141="","",INDEX(tblTasks[Date_debut_prevue],ROW()-6))</f>
      </c>
      <c r="H141" s="25">
        <f>=IF($A141="","",INDEX(tblTasks[Date_fin_prevue],ROW()-6))</f>
      </c>
      <c r="I141" s="36">
        <f>=IF($A141="","",INDEX(tblTasks[Duree_jours],ROW()-6))</f>
      </c>
      <c r="J141" s="25">
        <f>=IF($A141="","",INDEX(tblTasks[Date_debut_reelle],ROW()-6))</f>
      </c>
      <c r="K141" s="25">
        <f>=IF($A141="","",INDEX(tblTasks[Date_fin_reelle],ROW()-6))</f>
      </c>
      <c r="L141" s="23">
        <f>=IF($A141="","",INDEX(tblTasks[Blocage],ROW()-6))</f>
      </c>
      <c r="M141" s="23">
        <f>=IF($A141="","",INDEX(tblTasks[Depend_de],ROW()-6))</f>
      </c>
      <c r="N141" s="23">
        <f>=IF($A141="","",INDEX(tblTasks[Non_negociable],ROW()-6))</f>
      </c>
      <c r="O141" s="23">
        <f>=IF($A141="","",INDEX(tblTasks[Seuil_de_reprise],ROW()-6))</f>
      </c>
      <c r="P141" s="23">
        <f>=IF($A141="","",INDEX(tblTasks[Donnee_manquante],ROW()-6))</f>
      </c>
      <c r="Q141" s="23">
        <f>=IF($A141="","",INDEX(tblTasks[Niveau_criticite],ROW()-6))</f>
      </c>
      <c r="R141" s="23">
        <f>=IF($A141="","",INDEX(tblTasks[Irreversibilite],ROW()-6))</f>
      </c>
      <c r="S141" s="23">
        <f>=IF($A141="","",INDEX(tblTasks[Decision_Emmanuel],ROW()-6))</f>
      </c>
      <c r="T141" s="24">
        <f>=IF($A141="","",INDEX(tblTasks[Commentaire_EKT],ROW()-6))</f>
      </c>
      <c r="U141" s="23">
        <f>=IF($A141="","",INDEX(tblTasks[Goulot],ROW()-6))</f>
      </c>
      <c r="V141" s="23">
        <f>=IF($A141="","",INDEX(tblTasks[Point_de_bascule],ROW()-6))</f>
      </c>
      <c r="W141" s="37">
        <f>IF($A141="","",IF(AND(OR(param_filtre_statut="tous",LOWER($F141)=LOWER(param_filtre_statut)),OR(param_filtre_agent="tous",LOWER($D141)=LOWER(param_filtre_agent),LOWER($E141)=LOWER(param_filtre_agent)),OR(param_filtre_criticite="toutes",LOWER($Q141)=LOWER(param_filtre_criticite))),"oui","non"))</f>
      </c>
      <c r="X141" s="37">
        <f>IF($A141="","",IF(OR(LOWER($F141)="bloqué",LOWER($L141)="oui"),"oui","non"))</f>
      </c>
      <c r="Y141" s="37">
        <f>IF($A141="","",IF(OR(LOWER($Q141)="critique",LOWER($U141)="oui",LOWER($V141)="oui"),"oui","non"))</f>
      </c>
      <c r="Z141" s="37">
        <f>IF($A141="","",IF(AND($S141&lt;&gt;"",LOWER($S141)&lt;&gt;"tranchée",LOWER($S141)&lt;&gt;"sans objet",LOWER($S141)&lt;&gt;"clos"),"oui","non"))</f>
      </c>
      <c r="AA141" s="37">
        <f>IF($A141="","",IF($P141&lt;&gt;"","oui","non"))</f>
      </c>
      <c r="AB141" s="37">
        <f>IF($A141="","",IF(OR(LOWER($F141)="non réouvrable",LOWER($R141)="forte"),"oui","non"))</f>
      </c>
    </row>
    <row r="142" spans="1:28" x14ac:dyDescent="0.25">
      <c r="A142" s="23">
        <f>IFERROR(INDEX(tblTasks[ID],ROW()-6),"")</f>
      </c>
      <c r="B142" s="24">
        <f>=IF($A142="","",INDEX(tblTasks[Sujet],ROW()-6))</f>
      </c>
      <c r="C142" s="23">
        <f>=IF($A142="","",INDEX(tblTasks[Lot_Domaine],ROW()-6))</f>
      </c>
      <c r="D142" s="23">
        <f>=IF($A142="","",INDEX(tblTasks[Agent_source],ROW()-6))</f>
      </c>
      <c r="E142" s="23">
        <f>=IF($A142="","",INDEX(tblTasks[Responsable],ROW()-6))</f>
      </c>
      <c r="F142" s="23">
        <f>=IF($A142="","",INDEX(tblTasks[Statut],ROW()-6))</f>
      </c>
      <c r="G142" s="25">
        <f>=IF($A142="","",INDEX(tblTasks[Date_debut_prevue],ROW()-6))</f>
      </c>
      <c r="H142" s="25">
        <f>=IF($A142="","",INDEX(tblTasks[Date_fin_prevue],ROW()-6))</f>
      </c>
      <c r="I142" s="36">
        <f>=IF($A142="","",INDEX(tblTasks[Duree_jours],ROW()-6))</f>
      </c>
      <c r="J142" s="25">
        <f>=IF($A142="","",INDEX(tblTasks[Date_debut_reelle],ROW()-6))</f>
      </c>
      <c r="K142" s="25">
        <f>=IF($A142="","",INDEX(tblTasks[Date_fin_reelle],ROW()-6))</f>
      </c>
      <c r="L142" s="23">
        <f>=IF($A142="","",INDEX(tblTasks[Blocage],ROW()-6))</f>
      </c>
      <c r="M142" s="23">
        <f>=IF($A142="","",INDEX(tblTasks[Depend_de],ROW()-6))</f>
      </c>
      <c r="N142" s="23">
        <f>=IF($A142="","",INDEX(tblTasks[Non_negociable],ROW()-6))</f>
      </c>
      <c r="O142" s="23">
        <f>=IF($A142="","",INDEX(tblTasks[Seuil_de_reprise],ROW()-6))</f>
      </c>
      <c r="P142" s="23">
        <f>=IF($A142="","",INDEX(tblTasks[Donnee_manquante],ROW()-6))</f>
      </c>
      <c r="Q142" s="23">
        <f>=IF($A142="","",INDEX(tblTasks[Niveau_criticite],ROW()-6))</f>
      </c>
      <c r="R142" s="23">
        <f>=IF($A142="","",INDEX(tblTasks[Irreversibilite],ROW()-6))</f>
      </c>
      <c r="S142" s="23">
        <f>=IF($A142="","",INDEX(tblTasks[Decision_Emmanuel],ROW()-6))</f>
      </c>
      <c r="T142" s="24">
        <f>=IF($A142="","",INDEX(tblTasks[Commentaire_EKT],ROW()-6))</f>
      </c>
      <c r="U142" s="23">
        <f>=IF($A142="","",INDEX(tblTasks[Goulot],ROW()-6))</f>
      </c>
      <c r="V142" s="23">
        <f>=IF($A142="","",INDEX(tblTasks[Point_de_bascule],ROW()-6))</f>
      </c>
      <c r="W142" s="37">
        <f>IF($A142="","",IF(AND(OR(param_filtre_statut="tous",LOWER($F142)=LOWER(param_filtre_statut)),OR(param_filtre_agent="tous",LOWER($D142)=LOWER(param_filtre_agent),LOWER($E142)=LOWER(param_filtre_agent)),OR(param_filtre_criticite="toutes",LOWER($Q142)=LOWER(param_filtre_criticite))),"oui","non"))</f>
      </c>
      <c r="X142" s="37">
        <f>IF($A142="","",IF(OR(LOWER($F142)="bloqué",LOWER($L142)="oui"),"oui","non"))</f>
      </c>
      <c r="Y142" s="37">
        <f>IF($A142="","",IF(OR(LOWER($Q142)="critique",LOWER($U142)="oui",LOWER($V142)="oui"),"oui","non"))</f>
      </c>
      <c r="Z142" s="37">
        <f>IF($A142="","",IF(AND($S142&lt;&gt;"",LOWER($S142)&lt;&gt;"tranchée",LOWER($S142)&lt;&gt;"sans objet",LOWER($S142)&lt;&gt;"clos"),"oui","non"))</f>
      </c>
      <c r="AA142" s="37">
        <f>IF($A142="","",IF($P142&lt;&gt;"","oui","non"))</f>
      </c>
      <c r="AB142" s="37">
        <f>IF($A142="","",IF(OR(LOWER($F142)="non réouvrable",LOWER($R142)="forte"),"oui","non"))</f>
      </c>
    </row>
    <row r="143" spans="1:28" x14ac:dyDescent="0.25">
      <c r="A143" s="23">
        <f>IFERROR(INDEX(tblTasks[ID],ROW()-6),"")</f>
      </c>
      <c r="B143" s="24">
        <f>=IF($A143="","",INDEX(tblTasks[Sujet],ROW()-6))</f>
      </c>
      <c r="C143" s="23">
        <f>=IF($A143="","",INDEX(tblTasks[Lot_Domaine],ROW()-6))</f>
      </c>
      <c r="D143" s="23">
        <f>=IF($A143="","",INDEX(tblTasks[Agent_source],ROW()-6))</f>
      </c>
      <c r="E143" s="23">
        <f>=IF($A143="","",INDEX(tblTasks[Responsable],ROW()-6))</f>
      </c>
      <c r="F143" s="23">
        <f>=IF($A143="","",INDEX(tblTasks[Statut],ROW()-6))</f>
      </c>
      <c r="G143" s="25">
        <f>=IF($A143="","",INDEX(tblTasks[Date_debut_prevue],ROW()-6))</f>
      </c>
      <c r="H143" s="25">
        <f>=IF($A143="","",INDEX(tblTasks[Date_fin_prevue],ROW()-6))</f>
      </c>
      <c r="I143" s="36">
        <f>=IF($A143="","",INDEX(tblTasks[Duree_jours],ROW()-6))</f>
      </c>
      <c r="J143" s="25">
        <f>=IF($A143="","",INDEX(tblTasks[Date_debut_reelle],ROW()-6))</f>
      </c>
      <c r="K143" s="25">
        <f>=IF($A143="","",INDEX(tblTasks[Date_fin_reelle],ROW()-6))</f>
      </c>
      <c r="L143" s="23">
        <f>=IF($A143="","",INDEX(tblTasks[Blocage],ROW()-6))</f>
      </c>
      <c r="M143" s="23">
        <f>=IF($A143="","",INDEX(tblTasks[Depend_de],ROW()-6))</f>
      </c>
      <c r="N143" s="23">
        <f>=IF($A143="","",INDEX(tblTasks[Non_negociable],ROW()-6))</f>
      </c>
      <c r="O143" s="23">
        <f>=IF($A143="","",INDEX(tblTasks[Seuil_de_reprise],ROW()-6))</f>
      </c>
      <c r="P143" s="23">
        <f>=IF($A143="","",INDEX(tblTasks[Donnee_manquante],ROW()-6))</f>
      </c>
      <c r="Q143" s="23">
        <f>=IF($A143="","",INDEX(tblTasks[Niveau_criticite],ROW()-6))</f>
      </c>
      <c r="R143" s="23">
        <f>=IF($A143="","",INDEX(tblTasks[Irreversibilite],ROW()-6))</f>
      </c>
      <c r="S143" s="23">
        <f>=IF($A143="","",INDEX(tblTasks[Decision_Emmanuel],ROW()-6))</f>
      </c>
      <c r="T143" s="24">
        <f>=IF($A143="","",INDEX(tblTasks[Commentaire_EKT],ROW()-6))</f>
      </c>
      <c r="U143" s="23">
        <f>=IF($A143="","",INDEX(tblTasks[Goulot],ROW()-6))</f>
      </c>
      <c r="V143" s="23">
        <f>=IF($A143="","",INDEX(tblTasks[Point_de_bascule],ROW()-6))</f>
      </c>
      <c r="W143" s="37">
        <f>IF($A143="","",IF(AND(OR(param_filtre_statut="tous",LOWER($F143)=LOWER(param_filtre_statut)),OR(param_filtre_agent="tous",LOWER($D143)=LOWER(param_filtre_agent),LOWER($E143)=LOWER(param_filtre_agent)),OR(param_filtre_criticite="toutes",LOWER($Q143)=LOWER(param_filtre_criticite))),"oui","non"))</f>
      </c>
      <c r="X143" s="37">
        <f>IF($A143="","",IF(OR(LOWER($F143)="bloqué",LOWER($L143)="oui"),"oui","non"))</f>
      </c>
      <c r="Y143" s="37">
        <f>IF($A143="","",IF(OR(LOWER($Q143)="critique",LOWER($U143)="oui",LOWER($V143)="oui"),"oui","non"))</f>
      </c>
      <c r="Z143" s="37">
        <f>IF($A143="","",IF(AND($S143&lt;&gt;"",LOWER($S143)&lt;&gt;"tranchée",LOWER($S143)&lt;&gt;"sans objet",LOWER($S143)&lt;&gt;"clos"),"oui","non"))</f>
      </c>
      <c r="AA143" s="37">
        <f>IF($A143="","",IF($P143&lt;&gt;"","oui","non"))</f>
      </c>
      <c r="AB143" s="37">
        <f>IF($A143="","",IF(OR(LOWER($F143)="non réouvrable",LOWER($R143)="forte"),"oui","non"))</f>
      </c>
    </row>
    <row r="144" spans="1:28" x14ac:dyDescent="0.25">
      <c r="A144" s="23">
        <f>IFERROR(INDEX(tblTasks[ID],ROW()-6),"")</f>
      </c>
      <c r="B144" s="24">
        <f>=IF($A144="","",INDEX(tblTasks[Sujet],ROW()-6))</f>
      </c>
      <c r="C144" s="23">
        <f>=IF($A144="","",INDEX(tblTasks[Lot_Domaine],ROW()-6))</f>
      </c>
      <c r="D144" s="23">
        <f>=IF($A144="","",INDEX(tblTasks[Agent_source],ROW()-6))</f>
      </c>
      <c r="E144" s="23">
        <f>=IF($A144="","",INDEX(tblTasks[Responsable],ROW()-6))</f>
      </c>
      <c r="F144" s="23">
        <f>=IF($A144="","",INDEX(tblTasks[Statut],ROW()-6))</f>
      </c>
      <c r="G144" s="25">
        <f>=IF($A144="","",INDEX(tblTasks[Date_debut_prevue],ROW()-6))</f>
      </c>
      <c r="H144" s="25">
        <f>=IF($A144="","",INDEX(tblTasks[Date_fin_prevue],ROW()-6))</f>
      </c>
      <c r="I144" s="36">
        <f>=IF($A144="","",INDEX(tblTasks[Duree_jours],ROW()-6))</f>
      </c>
      <c r="J144" s="25">
        <f>=IF($A144="","",INDEX(tblTasks[Date_debut_reelle],ROW()-6))</f>
      </c>
      <c r="K144" s="25">
        <f>=IF($A144="","",INDEX(tblTasks[Date_fin_reelle],ROW()-6))</f>
      </c>
      <c r="L144" s="23">
        <f>=IF($A144="","",INDEX(tblTasks[Blocage],ROW()-6))</f>
      </c>
      <c r="M144" s="23">
        <f>=IF($A144="","",INDEX(tblTasks[Depend_de],ROW()-6))</f>
      </c>
      <c r="N144" s="23">
        <f>=IF($A144="","",INDEX(tblTasks[Non_negociable],ROW()-6))</f>
      </c>
      <c r="O144" s="23">
        <f>=IF($A144="","",INDEX(tblTasks[Seuil_de_reprise],ROW()-6))</f>
      </c>
      <c r="P144" s="23">
        <f>=IF($A144="","",INDEX(tblTasks[Donnee_manquante],ROW()-6))</f>
      </c>
      <c r="Q144" s="23">
        <f>=IF($A144="","",INDEX(tblTasks[Niveau_criticite],ROW()-6))</f>
      </c>
      <c r="R144" s="23">
        <f>=IF($A144="","",INDEX(tblTasks[Irreversibilite],ROW()-6))</f>
      </c>
      <c r="S144" s="23">
        <f>=IF($A144="","",INDEX(tblTasks[Decision_Emmanuel],ROW()-6))</f>
      </c>
      <c r="T144" s="24">
        <f>=IF($A144="","",INDEX(tblTasks[Commentaire_EKT],ROW()-6))</f>
      </c>
      <c r="U144" s="23">
        <f>=IF($A144="","",INDEX(tblTasks[Goulot],ROW()-6))</f>
      </c>
      <c r="V144" s="23">
        <f>=IF($A144="","",INDEX(tblTasks[Point_de_bascule],ROW()-6))</f>
      </c>
      <c r="W144" s="37">
        <f>IF($A144="","",IF(AND(OR(param_filtre_statut="tous",LOWER($F144)=LOWER(param_filtre_statut)),OR(param_filtre_agent="tous",LOWER($D144)=LOWER(param_filtre_agent),LOWER($E144)=LOWER(param_filtre_agent)),OR(param_filtre_criticite="toutes",LOWER($Q144)=LOWER(param_filtre_criticite))),"oui","non"))</f>
      </c>
      <c r="X144" s="37">
        <f>IF($A144="","",IF(OR(LOWER($F144)="bloqué",LOWER($L144)="oui"),"oui","non"))</f>
      </c>
      <c r="Y144" s="37">
        <f>IF($A144="","",IF(OR(LOWER($Q144)="critique",LOWER($U144)="oui",LOWER($V144)="oui"),"oui","non"))</f>
      </c>
      <c r="Z144" s="37">
        <f>IF($A144="","",IF(AND($S144&lt;&gt;"",LOWER($S144)&lt;&gt;"tranchée",LOWER($S144)&lt;&gt;"sans objet",LOWER($S144)&lt;&gt;"clos"),"oui","non"))</f>
      </c>
      <c r="AA144" s="37">
        <f>IF($A144="","",IF($P144&lt;&gt;"","oui","non"))</f>
      </c>
      <c r="AB144" s="37">
        <f>IF($A144="","",IF(OR(LOWER($F144)="non réouvrable",LOWER($R144)="forte"),"oui","non"))</f>
      </c>
    </row>
    <row r="145" spans="1:28" x14ac:dyDescent="0.25">
      <c r="A145" s="23">
        <f>IFERROR(INDEX(tblTasks[ID],ROW()-6),"")</f>
      </c>
      <c r="B145" s="24">
        <f>=IF($A145="","",INDEX(tblTasks[Sujet],ROW()-6))</f>
      </c>
      <c r="C145" s="23">
        <f>=IF($A145="","",INDEX(tblTasks[Lot_Domaine],ROW()-6))</f>
      </c>
      <c r="D145" s="23">
        <f>=IF($A145="","",INDEX(tblTasks[Agent_source],ROW()-6))</f>
      </c>
      <c r="E145" s="23">
        <f>=IF($A145="","",INDEX(tblTasks[Responsable],ROW()-6))</f>
      </c>
      <c r="F145" s="23">
        <f>=IF($A145="","",INDEX(tblTasks[Statut],ROW()-6))</f>
      </c>
      <c r="G145" s="25">
        <f>=IF($A145="","",INDEX(tblTasks[Date_debut_prevue],ROW()-6))</f>
      </c>
      <c r="H145" s="25">
        <f>=IF($A145="","",INDEX(tblTasks[Date_fin_prevue],ROW()-6))</f>
      </c>
      <c r="I145" s="36">
        <f>=IF($A145="","",INDEX(tblTasks[Duree_jours],ROW()-6))</f>
      </c>
      <c r="J145" s="25">
        <f>=IF($A145="","",INDEX(tblTasks[Date_debut_reelle],ROW()-6))</f>
      </c>
      <c r="K145" s="25">
        <f>=IF($A145="","",INDEX(tblTasks[Date_fin_reelle],ROW()-6))</f>
      </c>
      <c r="L145" s="23">
        <f>=IF($A145="","",INDEX(tblTasks[Blocage],ROW()-6))</f>
      </c>
      <c r="M145" s="23">
        <f>=IF($A145="","",INDEX(tblTasks[Depend_de],ROW()-6))</f>
      </c>
      <c r="N145" s="23">
        <f>=IF($A145="","",INDEX(tblTasks[Non_negociable],ROW()-6))</f>
      </c>
      <c r="O145" s="23">
        <f>=IF($A145="","",INDEX(tblTasks[Seuil_de_reprise],ROW()-6))</f>
      </c>
      <c r="P145" s="23">
        <f>=IF($A145="","",INDEX(tblTasks[Donnee_manquante],ROW()-6))</f>
      </c>
      <c r="Q145" s="23">
        <f>=IF($A145="","",INDEX(tblTasks[Niveau_criticite],ROW()-6))</f>
      </c>
      <c r="R145" s="23">
        <f>=IF($A145="","",INDEX(tblTasks[Irreversibilite],ROW()-6))</f>
      </c>
      <c r="S145" s="23">
        <f>=IF($A145="","",INDEX(tblTasks[Decision_Emmanuel],ROW()-6))</f>
      </c>
      <c r="T145" s="24">
        <f>=IF($A145="","",INDEX(tblTasks[Commentaire_EKT],ROW()-6))</f>
      </c>
      <c r="U145" s="23">
        <f>=IF($A145="","",INDEX(tblTasks[Goulot],ROW()-6))</f>
      </c>
      <c r="V145" s="23">
        <f>=IF($A145="","",INDEX(tblTasks[Point_de_bascule],ROW()-6))</f>
      </c>
      <c r="W145" s="37">
        <f>IF($A145="","",IF(AND(OR(param_filtre_statut="tous",LOWER($F145)=LOWER(param_filtre_statut)),OR(param_filtre_agent="tous",LOWER($D145)=LOWER(param_filtre_agent),LOWER($E145)=LOWER(param_filtre_agent)),OR(param_filtre_criticite="toutes",LOWER($Q145)=LOWER(param_filtre_criticite))),"oui","non"))</f>
      </c>
      <c r="X145" s="37">
        <f>IF($A145="","",IF(OR(LOWER($F145)="bloqué",LOWER($L145)="oui"),"oui","non"))</f>
      </c>
      <c r="Y145" s="37">
        <f>IF($A145="","",IF(OR(LOWER($Q145)="critique",LOWER($U145)="oui",LOWER($V145)="oui"),"oui","non"))</f>
      </c>
      <c r="Z145" s="37">
        <f>IF($A145="","",IF(AND($S145&lt;&gt;"",LOWER($S145)&lt;&gt;"tranchée",LOWER($S145)&lt;&gt;"sans objet",LOWER($S145)&lt;&gt;"clos"),"oui","non"))</f>
      </c>
      <c r="AA145" s="37">
        <f>IF($A145="","",IF($P145&lt;&gt;"","oui","non"))</f>
      </c>
      <c r="AB145" s="37">
        <f>IF($A145="","",IF(OR(LOWER($F145)="non réouvrable",LOWER($R145)="forte"),"oui","non"))</f>
      </c>
    </row>
    <row r="146" spans="1:28" x14ac:dyDescent="0.25">
      <c r="A146" s="23">
        <f>IFERROR(INDEX(tblTasks[ID],ROW()-6),"")</f>
      </c>
      <c r="B146" s="24">
        <f>=IF($A146="","",INDEX(tblTasks[Sujet],ROW()-6))</f>
      </c>
      <c r="C146" s="23">
        <f>=IF($A146="","",INDEX(tblTasks[Lot_Domaine],ROW()-6))</f>
      </c>
      <c r="D146" s="23">
        <f>=IF($A146="","",INDEX(tblTasks[Agent_source],ROW()-6))</f>
      </c>
      <c r="E146" s="23">
        <f>=IF($A146="","",INDEX(tblTasks[Responsable],ROW()-6))</f>
      </c>
      <c r="F146" s="23">
        <f>=IF($A146="","",INDEX(tblTasks[Statut],ROW()-6))</f>
      </c>
      <c r="G146" s="25">
        <f>=IF($A146="","",INDEX(tblTasks[Date_debut_prevue],ROW()-6))</f>
      </c>
      <c r="H146" s="25">
        <f>=IF($A146="","",INDEX(tblTasks[Date_fin_prevue],ROW()-6))</f>
      </c>
      <c r="I146" s="36">
        <f>=IF($A146="","",INDEX(tblTasks[Duree_jours],ROW()-6))</f>
      </c>
      <c r="J146" s="25">
        <f>=IF($A146="","",INDEX(tblTasks[Date_debut_reelle],ROW()-6))</f>
      </c>
      <c r="K146" s="25">
        <f>=IF($A146="","",INDEX(tblTasks[Date_fin_reelle],ROW()-6))</f>
      </c>
      <c r="L146" s="23">
        <f>=IF($A146="","",INDEX(tblTasks[Blocage],ROW()-6))</f>
      </c>
      <c r="M146" s="23">
        <f>=IF($A146="","",INDEX(tblTasks[Depend_de],ROW()-6))</f>
      </c>
      <c r="N146" s="23">
        <f>=IF($A146="","",INDEX(tblTasks[Non_negociable],ROW()-6))</f>
      </c>
      <c r="O146" s="23">
        <f>=IF($A146="","",INDEX(tblTasks[Seuil_de_reprise],ROW()-6))</f>
      </c>
      <c r="P146" s="23">
        <f>=IF($A146="","",INDEX(tblTasks[Donnee_manquante],ROW()-6))</f>
      </c>
      <c r="Q146" s="23">
        <f>=IF($A146="","",INDEX(tblTasks[Niveau_criticite],ROW()-6))</f>
      </c>
      <c r="R146" s="23">
        <f>=IF($A146="","",INDEX(tblTasks[Irreversibilite],ROW()-6))</f>
      </c>
      <c r="S146" s="23">
        <f>=IF($A146="","",INDEX(tblTasks[Decision_Emmanuel],ROW()-6))</f>
      </c>
      <c r="T146" s="24">
        <f>=IF($A146="","",INDEX(tblTasks[Commentaire_EKT],ROW()-6))</f>
      </c>
      <c r="U146" s="23">
        <f>=IF($A146="","",INDEX(tblTasks[Goulot],ROW()-6))</f>
      </c>
      <c r="V146" s="23">
        <f>=IF($A146="","",INDEX(tblTasks[Point_de_bascule],ROW()-6))</f>
      </c>
      <c r="W146" s="37">
        <f>IF($A146="","",IF(AND(OR(param_filtre_statut="tous",LOWER($F146)=LOWER(param_filtre_statut)),OR(param_filtre_agent="tous",LOWER($D146)=LOWER(param_filtre_agent),LOWER($E146)=LOWER(param_filtre_agent)),OR(param_filtre_criticite="toutes",LOWER($Q146)=LOWER(param_filtre_criticite))),"oui","non"))</f>
      </c>
      <c r="X146" s="37">
        <f>IF($A146="","",IF(OR(LOWER($F146)="bloqué",LOWER($L146)="oui"),"oui","non"))</f>
      </c>
      <c r="Y146" s="37">
        <f>IF($A146="","",IF(OR(LOWER($Q146)="critique",LOWER($U146)="oui",LOWER($V146)="oui"),"oui","non"))</f>
      </c>
      <c r="Z146" s="37">
        <f>IF($A146="","",IF(AND($S146&lt;&gt;"",LOWER($S146)&lt;&gt;"tranchée",LOWER($S146)&lt;&gt;"sans objet",LOWER($S146)&lt;&gt;"clos"),"oui","non"))</f>
      </c>
      <c r="AA146" s="37">
        <f>IF($A146="","",IF($P146&lt;&gt;"","oui","non"))</f>
      </c>
      <c r="AB146" s="37">
        <f>IF($A146="","",IF(OR(LOWER($F146)="non réouvrable",LOWER($R146)="forte"),"oui","non"))</f>
      </c>
    </row>
    <row r="147" spans="1:28" x14ac:dyDescent="0.25">
      <c r="A147" s="23">
        <f>IFERROR(INDEX(tblTasks[ID],ROW()-6),"")</f>
      </c>
      <c r="B147" s="24">
        <f>=IF($A147="","",INDEX(tblTasks[Sujet],ROW()-6))</f>
      </c>
      <c r="C147" s="23">
        <f>=IF($A147="","",INDEX(tblTasks[Lot_Domaine],ROW()-6))</f>
      </c>
      <c r="D147" s="23">
        <f>=IF($A147="","",INDEX(tblTasks[Agent_source],ROW()-6))</f>
      </c>
      <c r="E147" s="23">
        <f>=IF($A147="","",INDEX(tblTasks[Responsable],ROW()-6))</f>
      </c>
      <c r="F147" s="23">
        <f>=IF($A147="","",INDEX(tblTasks[Statut],ROW()-6))</f>
      </c>
      <c r="G147" s="25">
        <f>=IF($A147="","",INDEX(tblTasks[Date_debut_prevue],ROW()-6))</f>
      </c>
      <c r="H147" s="25">
        <f>=IF($A147="","",INDEX(tblTasks[Date_fin_prevue],ROW()-6))</f>
      </c>
      <c r="I147" s="36">
        <f>=IF($A147="","",INDEX(tblTasks[Duree_jours],ROW()-6))</f>
      </c>
      <c r="J147" s="25">
        <f>=IF($A147="","",INDEX(tblTasks[Date_debut_reelle],ROW()-6))</f>
      </c>
      <c r="K147" s="25">
        <f>=IF($A147="","",INDEX(tblTasks[Date_fin_reelle],ROW()-6))</f>
      </c>
      <c r="L147" s="23">
        <f>=IF($A147="","",INDEX(tblTasks[Blocage],ROW()-6))</f>
      </c>
      <c r="M147" s="23">
        <f>=IF($A147="","",INDEX(tblTasks[Depend_de],ROW()-6))</f>
      </c>
      <c r="N147" s="23">
        <f>=IF($A147="","",INDEX(tblTasks[Non_negociable],ROW()-6))</f>
      </c>
      <c r="O147" s="23">
        <f>=IF($A147="","",INDEX(tblTasks[Seuil_de_reprise],ROW()-6))</f>
      </c>
      <c r="P147" s="23">
        <f>=IF($A147="","",INDEX(tblTasks[Donnee_manquante],ROW()-6))</f>
      </c>
      <c r="Q147" s="23">
        <f>=IF($A147="","",INDEX(tblTasks[Niveau_criticite],ROW()-6))</f>
      </c>
      <c r="R147" s="23">
        <f>=IF($A147="","",INDEX(tblTasks[Irreversibilite],ROW()-6))</f>
      </c>
      <c r="S147" s="23">
        <f>=IF($A147="","",INDEX(tblTasks[Decision_Emmanuel],ROW()-6))</f>
      </c>
      <c r="T147" s="24">
        <f>=IF($A147="","",INDEX(tblTasks[Commentaire_EKT],ROW()-6))</f>
      </c>
      <c r="U147" s="23">
        <f>=IF($A147="","",INDEX(tblTasks[Goulot],ROW()-6))</f>
      </c>
      <c r="V147" s="23">
        <f>=IF($A147="","",INDEX(tblTasks[Point_de_bascule],ROW()-6))</f>
      </c>
      <c r="W147" s="37">
        <f>IF($A147="","",IF(AND(OR(param_filtre_statut="tous",LOWER($F147)=LOWER(param_filtre_statut)),OR(param_filtre_agent="tous",LOWER($D147)=LOWER(param_filtre_agent),LOWER($E147)=LOWER(param_filtre_agent)),OR(param_filtre_criticite="toutes",LOWER($Q147)=LOWER(param_filtre_criticite))),"oui","non"))</f>
      </c>
      <c r="X147" s="37">
        <f>IF($A147="","",IF(OR(LOWER($F147)="bloqué",LOWER($L147)="oui"),"oui","non"))</f>
      </c>
      <c r="Y147" s="37">
        <f>IF($A147="","",IF(OR(LOWER($Q147)="critique",LOWER($U147)="oui",LOWER($V147)="oui"),"oui","non"))</f>
      </c>
      <c r="Z147" s="37">
        <f>IF($A147="","",IF(AND($S147&lt;&gt;"",LOWER($S147)&lt;&gt;"tranchée",LOWER($S147)&lt;&gt;"sans objet",LOWER($S147)&lt;&gt;"clos"),"oui","non"))</f>
      </c>
      <c r="AA147" s="37">
        <f>IF($A147="","",IF($P147&lt;&gt;"","oui","non"))</f>
      </c>
      <c r="AB147" s="37">
        <f>IF($A147="","",IF(OR(LOWER($F147)="non réouvrable",LOWER($R147)="forte"),"oui","non"))</f>
      </c>
    </row>
    <row r="148" spans="1:28" x14ac:dyDescent="0.25">
      <c r="A148" s="23">
        <f>IFERROR(INDEX(tblTasks[ID],ROW()-6),"")</f>
      </c>
      <c r="B148" s="24">
        <f>=IF($A148="","",INDEX(tblTasks[Sujet],ROW()-6))</f>
      </c>
      <c r="C148" s="23">
        <f>=IF($A148="","",INDEX(tblTasks[Lot_Domaine],ROW()-6))</f>
      </c>
      <c r="D148" s="23">
        <f>=IF($A148="","",INDEX(tblTasks[Agent_source],ROW()-6))</f>
      </c>
      <c r="E148" s="23">
        <f>=IF($A148="","",INDEX(tblTasks[Responsable],ROW()-6))</f>
      </c>
      <c r="F148" s="23">
        <f>=IF($A148="","",INDEX(tblTasks[Statut],ROW()-6))</f>
      </c>
      <c r="G148" s="25">
        <f>=IF($A148="","",INDEX(tblTasks[Date_debut_prevue],ROW()-6))</f>
      </c>
      <c r="H148" s="25">
        <f>=IF($A148="","",INDEX(tblTasks[Date_fin_prevue],ROW()-6))</f>
      </c>
      <c r="I148" s="36">
        <f>=IF($A148="","",INDEX(tblTasks[Duree_jours],ROW()-6))</f>
      </c>
      <c r="J148" s="25">
        <f>=IF($A148="","",INDEX(tblTasks[Date_debut_reelle],ROW()-6))</f>
      </c>
      <c r="K148" s="25">
        <f>=IF($A148="","",INDEX(tblTasks[Date_fin_reelle],ROW()-6))</f>
      </c>
      <c r="L148" s="23">
        <f>=IF($A148="","",INDEX(tblTasks[Blocage],ROW()-6))</f>
      </c>
      <c r="M148" s="23">
        <f>=IF($A148="","",INDEX(tblTasks[Depend_de],ROW()-6))</f>
      </c>
      <c r="N148" s="23">
        <f>=IF($A148="","",INDEX(tblTasks[Non_negociable],ROW()-6))</f>
      </c>
      <c r="O148" s="23">
        <f>=IF($A148="","",INDEX(tblTasks[Seuil_de_reprise],ROW()-6))</f>
      </c>
      <c r="P148" s="23">
        <f>=IF($A148="","",INDEX(tblTasks[Donnee_manquante],ROW()-6))</f>
      </c>
      <c r="Q148" s="23">
        <f>=IF($A148="","",INDEX(tblTasks[Niveau_criticite],ROW()-6))</f>
      </c>
      <c r="R148" s="23">
        <f>=IF($A148="","",INDEX(tblTasks[Irreversibilite],ROW()-6))</f>
      </c>
      <c r="S148" s="23">
        <f>=IF($A148="","",INDEX(tblTasks[Decision_Emmanuel],ROW()-6))</f>
      </c>
      <c r="T148" s="24">
        <f>=IF($A148="","",INDEX(tblTasks[Commentaire_EKT],ROW()-6))</f>
      </c>
      <c r="U148" s="23">
        <f>=IF($A148="","",INDEX(tblTasks[Goulot],ROW()-6))</f>
      </c>
      <c r="V148" s="23">
        <f>=IF($A148="","",INDEX(tblTasks[Point_de_bascule],ROW()-6))</f>
      </c>
      <c r="W148" s="37">
        <f>IF($A148="","",IF(AND(OR(param_filtre_statut="tous",LOWER($F148)=LOWER(param_filtre_statut)),OR(param_filtre_agent="tous",LOWER($D148)=LOWER(param_filtre_agent),LOWER($E148)=LOWER(param_filtre_agent)),OR(param_filtre_criticite="toutes",LOWER($Q148)=LOWER(param_filtre_criticite))),"oui","non"))</f>
      </c>
      <c r="X148" s="37">
        <f>IF($A148="","",IF(OR(LOWER($F148)="bloqué",LOWER($L148)="oui"),"oui","non"))</f>
      </c>
      <c r="Y148" s="37">
        <f>IF($A148="","",IF(OR(LOWER($Q148)="critique",LOWER($U148)="oui",LOWER($V148)="oui"),"oui","non"))</f>
      </c>
      <c r="Z148" s="37">
        <f>IF($A148="","",IF(AND($S148&lt;&gt;"",LOWER($S148)&lt;&gt;"tranchée",LOWER($S148)&lt;&gt;"sans objet",LOWER($S148)&lt;&gt;"clos"),"oui","non"))</f>
      </c>
      <c r="AA148" s="37">
        <f>IF($A148="","",IF($P148&lt;&gt;"","oui","non"))</f>
      </c>
      <c r="AB148" s="37">
        <f>IF($A148="","",IF(OR(LOWER($F148)="non réouvrable",LOWER($R148)="forte"),"oui","non"))</f>
      </c>
    </row>
    <row r="149" spans="1:28" x14ac:dyDescent="0.25">
      <c r="A149" s="23">
        <f>IFERROR(INDEX(tblTasks[ID],ROW()-6),"")</f>
      </c>
      <c r="B149" s="24">
        <f>=IF($A149="","",INDEX(tblTasks[Sujet],ROW()-6))</f>
      </c>
      <c r="C149" s="23">
        <f>=IF($A149="","",INDEX(tblTasks[Lot_Domaine],ROW()-6))</f>
      </c>
      <c r="D149" s="23">
        <f>=IF($A149="","",INDEX(tblTasks[Agent_source],ROW()-6))</f>
      </c>
      <c r="E149" s="23">
        <f>=IF($A149="","",INDEX(tblTasks[Responsable],ROW()-6))</f>
      </c>
      <c r="F149" s="23">
        <f>=IF($A149="","",INDEX(tblTasks[Statut],ROW()-6))</f>
      </c>
      <c r="G149" s="25">
        <f>=IF($A149="","",INDEX(tblTasks[Date_debut_prevue],ROW()-6))</f>
      </c>
      <c r="H149" s="25">
        <f>=IF($A149="","",INDEX(tblTasks[Date_fin_prevue],ROW()-6))</f>
      </c>
      <c r="I149" s="36">
        <f>=IF($A149="","",INDEX(tblTasks[Duree_jours],ROW()-6))</f>
      </c>
      <c r="J149" s="25">
        <f>=IF($A149="","",INDEX(tblTasks[Date_debut_reelle],ROW()-6))</f>
      </c>
      <c r="K149" s="25">
        <f>=IF($A149="","",INDEX(tblTasks[Date_fin_reelle],ROW()-6))</f>
      </c>
      <c r="L149" s="23">
        <f>=IF($A149="","",INDEX(tblTasks[Blocage],ROW()-6))</f>
      </c>
      <c r="M149" s="23">
        <f>=IF($A149="","",INDEX(tblTasks[Depend_de],ROW()-6))</f>
      </c>
      <c r="N149" s="23">
        <f>=IF($A149="","",INDEX(tblTasks[Non_negociable],ROW()-6))</f>
      </c>
      <c r="O149" s="23">
        <f>=IF($A149="","",INDEX(tblTasks[Seuil_de_reprise],ROW()-6))</f>
      </c>
      <c r="P149" s="23">
        <f>=IF($A149="","",INDEX(tblTasks[Donnee_manquante],ROW()-6))</f>
      </c>
      <c r="Q149" s="23">
        <f>=IF($A149="","",INDEX(tblTasks[Niveau_criticite],ROW()-6))</f>
      </c>
      <c r="R149" s="23">
        <f>=IF($A149="","",INDEX(tblTasks[Irreversibilite],ROW()-6))</f>
      </c>
      <c r="S149" s="23">
        <f>=IF($A149="","",INDEX(tblTasks[Decision_Emmanuel],ROW()-6))</f>
      </c>
      <c r="T149" s="24">
        <f>=IF($A149="","",INDEX(tblTasks[Commentaire_EKT],ROW()-6))</f>
      </c>
      <c r="U149" s="23">
        <f>=IF($A149="","",INDEX(tblTasks[Goulot],ROW()-6))</f>
      </c>
      <c r="V149" s="23">
        <f>=IF($A149="","",INDEX(tblTasks[Point_de_bascule],ROW()-6))</f>
      </c>
      <c r="W149" s="37">
        <f>IF($A149="","",IF(AND(OR(param_filtre_statut="tous",LOWER($F149)=LOWER(param_filtre_statut)),OR(param_filtre_agent="tous",LOWER($D149)=LOWER(param_filtre_agent),LOWER($E149)=LOWER(param_filtre_agent)),OR(param_filtre_criticite="toutes",LOWER($Q149)=LOWER(param_filtre_criticite))),"oui","non"))</f>
      </c>
      <c r="X149" s="37">
        <f>IF($A149="","",IF(OR(LOWER($F149)="bloqué",LOWER($L149)="oui"),"oui","non"))</f>
      </c>
      <c r="Y149" s="37">
        <f>IF($A149="","",IF(OR(LOWER($Q149)="critique",LOWER($U149)="oui",LOWER($V149)="oui"),"oui","non"))</f>
      </c>
      <c r="Z149" s="37">
        <f>IF($A149="","",IF(AND($S149&lt;&gt;"",LOWER($S149)&lt;&gt;"tranchée",LOWER($S149)&lt;&gt;"sans objet",LOWER($S149)&lt;&gt;"clos"),"oui","non"))</f>
      </c>
      <c r="AA149" s="37">
        <f>IF($A149="","",IF($P149&lt;&gt;"","oui","non"))</f>
      </c>
      <c r="AB149" s="37">
        <f>IF($A149="","",IF(OR(LOWER($F149)="non réouvrable",LOWER($R149)="forte"),"oui","non"))</f>
      </c>
    </row>
    <row r="150" spans="1:28" x14ac:dyDescent="0.25">
      <c r="A150" s="23">
        <f>IFERROR(INDEX(tblTasks[ID],ROW()-6),"")</f>
      </c>
      <c r="B150" s="24">
        <f>=IF($A150="","",INDEX(tblTasks[Sujet],ROW()-6))</f>
      </c>
      <c r="C150" s="23">
        <f>=IF($A150="","",INDEX(tblTasks[Lot_Domaine],ROW()-6))</f>
      </c>
      <c r="D150" s="23">
        <f>=IF($A150="","",INDEX(tblTasks[Agent_source],ROW()-6))</f>
      </c>
      <c r="E150" s="23">
        <f>=IF($A150="","",INDEX(tblTasks[Responsable],ROW()-6))</f>
      </c>
      <c r="F150" s="23">
        <f>=IF($A150="","",INDEX(tblTasks[Statut],ROW()-6))</f>
      </c>
      <c r="G150" s="25">
        <f>=IF($A150="","",INDEX(tblTasks[Date_debut_prevue],ROW()-6))</f>
      </c>
      <c r="H150" s="25">
        <f>=IF($A150="","",INDEX(tblTasks[Date_fin_prevue],ROW()-6))</f>
      </c>
      <c r="I150" s="36">
        <f>=IF($A150="","",INDEX(tblTasks[Duree_jours],ROW()-6))</f>
      </c>
      <c r="J150" s="25">
        <f>=IF($A150="","",INDEX(tblTasks[Date_debut_reelle],ROW()-6))</f>
      </c>
      <c r="K150" s="25">
        <f>=IF($A150="","",INDEX(tblTasks[Date_fin_reelle],ROW()-6))</f>
      </c>
      <c r="L150" s="23">
        <f>=IF($A150="","",INDEX(tblTasks[Blocage],ROW()-6))</f>
      </c>
      <c r="M150" s="23">
        <f>=IF($A150="","",INDEX(tblTasks[Depend_de],ROW()-6))</f>
      </c>
      <c r="N150" s="23">
        <f>=IF($A150="","",INDEX(tblTasks[Non_negociable],ROW()-6))</f>
      </c>
      <c r="O150" s="23">
        <f>=IF($A150="","",INDEX(tblTasks[Seuil_de_reprise],ROW()-6))</f>
      </c>
      <c r="P150" s="23">
        <f>=IF($A150="","",INDEX(tblTasks[Donnee_manquante],ROW()-6))</f>
      </c>
      <c r="Q150" s="23">
        <f>=IF($A150="","",INDEX(tblTasks[Niveau_criticite],ROW()-6))</f>
      </c>
      <c r="R150" s="23">
        <f>=IF($A150="","",INDEX(tblTasks[Irreversibilite],ROW()-6))</f>
      </c>
      <c r="S150" s="23">
        <f>=IF($A150="","",INDEX(tblTasks[Decision_Emmanuel],ROW()-6))</f>
      </c>
      <c r="T150" s="24">
        <f>=IF($A150="","",INDEX(tblTasks[Commentaire_EKT],ROW()-6))</f>
      </c>
      <c r="U150" s="23">
        <f>=IF($A150="","",INDEX(tblTasks[Goulot],ROW()-6))</f>
      </c>
      <c r="V150" s="23">
        <f>=IF($A150="","",INDEX(tblTasks[Point_de_bascule],ROW()-6))</f>
      </c>
      <c r="W150" s="37">
        <f>IF($A150="","",IF(AND(OR(param_filtre_statut="tous",LOWER($F150)=LOWER(param_filtre_statut)),OR(param_filtre_agent="tous",LOWER($D150)=LOWER(param_filtre_agent),LOWER($E150)=LOWER(param_filtre_agent)),OR(param_filtre_criticite="toutes",LOWER($Q150)=LOWER(param_filtre_criticite))),"oui","non"))</f>
      </c>
      <c r="X150" s="37">
        <f>IF($A150="","",IF(OR(LOWER($F150)="bloqué",LOWER($L150)="oui"),"oui","non"))</f>
      </c>
      <c r="Y150" s="37">
        <f>IF($A150="","",IF(OR(LOWER($Q150)="critique",LOWER($U150)="oui",LOWER($V150)="oui"),"oui","non"))</f>
      </c>
      <c r="Z150" s="37">
        <f>IF($A150="","",IF(AND($S150&lt;&gt;"",LOWER($S150)&lt;&gt;"tranchée",LOWER($S150)&lt;&gt;"sans objet",LOWER($S150)&lt;&gt;"clos"),"oui","non"))</f>
      </c>
      <c r="AA150" s="37">
        <f>IF($A150="","",IF($P150&lt;&gt;"","oui","non"))</f>
      </c>
      <c r="AB150" s="37">
        <f>IF($A150="","",IF(OR(LOWER($F150)="non réouvrable",LOWER($R150)="forte"),"oui","non"))</f>
      </c>
    </row>
    <row r="151" spans="1:28" x14ac:dyDescent="0.25">
      <c r="A151" s="23">
        <f>IFERROR(INDEX(tblTasks[ID],ROW()-6),"")</f>
      </c>
      <c r="B151" s="24">
        <f>=IF($A151="","",INDEX(tblTasks[Sujet],ROW()-6))</f>
      </c>
      <c r="C151" s="23">
        <f>=IF($A151="","",INDEX(tblTasks[Lot_Domaine],ROW()-6))</f>
      </c>
      <c r="D151" s="23">
        <f>=IF($A151="","",INDEX(tblTasks[Agent_source],ROW()-6))</f>
      </c>
      <c r="E151" s="23">
        <f>=IF($A151="","",INDEX(tblTasks[Responsable],ROW()-6))</f>
      </c>
      <c r="F151" s="23">
        <f>=IF($A151="","",INDEX(tblTasks[Statut],ROW()-6))</f>
      </c>
      <c r="G151" s="25">
        <f>=IF($A151="","",INDEX(tblTasks[Date_debut_prevue],ROW()-6))</f>
      </c>
      <c r="H151" s="25">
        <f>=IF($A151="","",INDEX(tblTasks[Date_fin_prevue],ROW()-6))</f>
      </c>
      <c r="I151" s="36">
        <f>=IF($A151="","",INDEX(tblTasks[Duree_jours],ROW()-6))</f>
      </c>
      <c r="J151" s="25">
        <f>=IF($A151="","",INDEX(tblTasks[Date_debut_reelle],ROW()-6))</f>
      </c>
      <c r="K151" s="25">
        <f>=IF($A151="","",INDEX(tblTasks[Date_fin_reelle],ROW()-6))</f>
      </c>
      <c r="L151" s="23">
        <f>=IF($A151="","",INDEX(tblTasks[Blocage],ROW()-6))</f>
      </c>
      <c r="M151" s="23">
        <f>=IF($A151="","",INDEX(tblTasks[Depend_de],ROW()-6))</f>
      </c>
      <c r="N151" s="23">
        <f>=IF($A151="","",INDEX(tblTasks[Non_negociable],ROW()-6))</f>
      </c>
      <c r="O151" s="23">
        <f>=IF($A151="","",INDEX(tblTasks[Seuil_de_reprise],ROW()-6))</f>
      </c>
      <c r="P151" s="23">
        <f>=IF($A151="","",INDEX(tblTasks[Donnee_manquante],ROW()-6))</f>
      </c>
      <c r="Q151" s="23">
        <f>=IF($A151="","",INDEX(tblTasks[Niveau_criticite],ROW()-6))</f>
      </c>
      <c r="R151" s="23">
        <f>=IF($A151="","",INDEX(tblTasks[Irreversibilite],ROW()-6))</f>
      </c>
      <c r="S151" s="23">
        <f>=IF($A151="","",INDEX(tblTasks[Decision_Emmanuel],ROW()-6))</f>
      </c>
      <c r="T151" s="24">
        <f>=IF($A151="","",INDEX(tblTasks[Commentaire_EKT],ROW()-6))</f>
      </c>
      <c r="U151" s="23">
        <f>=IF($A151="","",INDEX(tblTasks[Goulot],ROW()-6))</f>
      </c>
      <c r="V151" s="23">
        <f>=IF($A151="","",INDEX(tblTasks[Point_de_bascule],ROW()-6))</f>
      </c>
      <c r="W151" s="37">
        <f>IF($A151="","",IF(AND(OR(param_filtre_statut="tous",LOWER($F151)=LOWER(param_filtre_statut)),OR(param_filtre_agent="tous",LOWER($D151)=LOWER(param_filtre_agent),LOWER($E151)=LOWER(param_filtre_agent)),OR(param_filtre_criticite="toutes",LOWER($Q151)=LOWER(param_filtre_criticite))),"oui","non"))</f>
      </c>
      <c r="X151" s="37">
        <f>IF($A151="","",IF(OR(LOWER($F151)="bloqué",LOWER($L151)="oui"),"oui","non"))</f>
      </c>
      <c r="Y151" s="37">
        <f>IF($A151="","",IF(OR(LOWER($Q151)="critique",LOWER($U151)="oui",LOWER($V151)="oui"),"oui","non"))</f>
      </c>
      <c r="Z151" s="37">
        <f>IF($A151="","",IF(AND($S151&lt;&gt;"",LOWER($S151)&lt;&gt;"tranchée",LOWER($S151)&lt;&gt;"sans objet",LOWER($S151)&lt;&gt;"clos"),"oui","non"))</f>
      </c>
      <c r="AA151" s="37">
        <f>IF($A151="","",IF($P151&lt;&gt;"","oui","non"))</f>
      </c>
      <c r="AB151" s="37">
        <f>IF($A151="","",IF(OR(LOWER($F151)="non réouvrable",LOWER($R151)="forte"),"oui","non"))</f>
      </c>
    </row>
    <row r="152" spans="1:28" x14ac:dyDescent="0.25">
      <c r="A152" s="23">
        <f>IFERROR(INDEX(tblTasks[ID],ROW()-6),"")</f>
      </c>
      <c r="B152" s="24">
        <f>=IF($A152="","",INDEX(tblTasks[Sujet],ROW()-6))</f>
      </c>
      <c r="C152" s="23">
        <f>=IF($A152="","",INDEX(tblTasks[Lot_Domaine],ROW()-6))</f>
      </c>
      <c r="D152" s="23">
        <f>=IF($A152="","",INDEX(tblTasks[Agent_source],ROW()-6))</f>
      </c>
      <c r="E152" s="23">
        <f>=IF($A152="","",INDEX(tblTasks[Responsable],ROW()-6))</f>
      </c>
      <c r="F152" s="23">
        <f>=IF($A152="","",INDEX(tblTasks[Statut],ROW()-6))</f>
      </c>
      <c r="G152" s="25">
        <f>=IF($A152="","",INDEX(tblTasks[Date_debut_prevue],ROW()-6))</f>
      </c>
      <c r="H152" s="25">
        <f>=IF($A152="","",INDEX(tblTasks[Date_fin_prevue],ROW()-6))</f>
      </c>
      <c r="I152" s="36">
        <f>=IF($A152="","",INDEX(tblTasks[Duree_jours],ROW()-6))</f>
      </c>
      <c r="J152" s="25">
        <f>=IF($A152="","",INDEX(tblTasks[Date_debut_reelle],ROW()-6))</f>
      </c>
      <c r="K152" s="25">
        <f>=IF($A152="","",INDEX(tblTasks[Date_fin_reelle],ROW()-6))</f>
      </c>
      <c r="L152" s="23">
        <f>=IF($A152="","",INDEX(tblTasks[Blocage],ROW()-6))</f>
      </c>
      <c r="M152" s="23">
        <f>=IF($A152="","",INDEX(tblTasks[Depend_de],ROW()-6))</f>
      </c>
      <c r="N152" s="23">
        <f>=IF($A152="","",INDEX(tblTasks[Non_negociable],ROW()-6))</f>
      </c>
      <c r="O152" s="23">
        <f>=IF($A152="","",INDEX(tblTasks[Seuil_de_reprise],ROW()-6))</f>
      </c>
      <c r="P152" s="23">
        <f>=IF($A152="","",INDEX(tblTasks[Donnee_manquante],ROW()-6))</f>
      </c>
      <c r="Q152" s="23">
        <f>=IF($A152="","",INDEX(tblTasks[Niveau_criticite],ROW()-6))</f>
      </c>
      <c r="R152" s="23">
        <f>=IF($A152="","",INDEX(tblTasks[Irreversibilite],ROW()-6))</f>
      </c>
      <c r="S152" s="23">
        <f>=IF($A152="","",INDEX(tblTasks[Decision_Emmanuel],ROW()-6))</f>
      </c>
      <c r="T152" s="24">
        <f>=IF($A152="","",INDEX(tblTasks[Commentaire_EKT],ROW()-6))</f>
      </c>
      <c r="U152" s="23">
        <f>=IF($A152="","",INDEX(tblTasks[Goulot],ROW()-6))</f>
      </c>
      <c r="V152" s="23">
        <f>=IF($A152="","",INDEX(tblTasks[Point_de_bascule],ROW()-6))</f>
      </c>
      <c r="W152" s="37">
        <f>IF($A152="","",IF(AND(OR(param_filtre_statut="tous",LOWER($F152)=LOWER(param_filtre_statut)),OR(param_filtre_agent="tous",LOWER($D152)=LOWER(param_filtre_agent),LOWER($E152)=LOWER(param_filtre_agent)),OR(param_filtre_criticite="toutes",LOWER($Q152)=LOWER(param_filtre_criticite))),"oui","non"))</f>
      </c>
      <c r="X152" s="37">
        <f>IF($A152="","",IF(OR(LOWER($F152)="bloqué",LOWER($L152)="oui"),"oui","non"))</f>
      </c>
      <c r="Y152" s="37">
        <f>IF($A152="","",IF(OR(LOWER($Q152)="critique",LOWER($U152)="oui",LOWER($V152)="oui"),"oui","non"))</f>
      </c>
      <c r="Z152" s="37">
        <f>IF($A152="","",IF(AND($S152&lt;&gt;"",LOWER($S152)&lt;&gt;"tranchée",LOWER($S152)&lt;&gt;"sans objet",LOWER($S152)&lt;&gt;"clos"),"oui","non"))</f>
      </c>
      <c r="AA152" s="37">
        <f>IF($A152="","",IF($P152&lt;&gt;"","oui","non"))</f>
      </c>
      <c r="AB152" s="37">
        <f>IF($A152="","",IF(OR(LOWER($F152)="non réouvrable",LOWER($R152)="forte"),"oui","non"))</f>
      </c>
    </row>
    <row r="153" spans="1:28" x14ac:dyDescent="0.25">
      <c r="A153" s="23">
        <f>IFERROR(INDEX(tblTasks[ID],ROW()-6),"")</f>
      </c>
      <c r="B153" s="24">
        <f>=IF($A153="","",INDEX(tblTasks[Sujet],ROW()-6))</f>
      </c>
      <c r="C153" s="23">
        <f>=IF($A153="","",INDEX(tblTasks[Lot_Domaine],ROW()-6))</f>
      </c>
      <c r="D153" s="23">
        <f>=IF($A153="","",INDEX(tblTasks[Agent_source],ROW()-6))</f>
      </c>
      <c r="E153" s="23">
        <f>=IF($A153="","",INDEX(tblTasks[Responsable],ROW()-6))</f>
      </c>
      <c r="F153" s="23">
        <f>=IF($A153="","",INDEX(tblTasks[Statut],ROW()-6))</f>
      </c>
      <c r="G153" s="25">
        <f>=IF($A153="","",INDEX(tblTasks[Date_debut_prevue],ROW()-6))</f>
      </c>
      <c r="H153" s="25">
        <f>=IF($A153="","",INDEX(tblTasks[Date_fin_prevue],ROW()-6))</f>
      </c>
      <c r="I153" s="36">
        <f>=IF($A153="","",INDEX(tblTasks[Duree_jours],ROW()-6))</f>
      </c>
      <c r="J153" s="25">
        <f>=IF($A153="","",INDEX(tblTasks[Date_debut_reelle],ROW()-6))</f>
      </c>
      <c r="K153" s="25">
        <f>=IF($A153="","",INDEX(tblTasks[Date_fin_reelle],ROW()-6))</f>
      </c>
      <c r="L153" s="23">
        <f>=IF($A153="","",INDEX(tblTasks[Blocage],ROW()-6))</f>
      </c>
      <c r="M153" s="23">
        <f>=IF($A153="","",INDEX(tblTasks[Depend_de],ROW()-6))</f>
      </c>
      <c r="N153" s="23">
        <f>=IF($A153="","",INDEX(tblTasks[Non_negociable],ROW()-6))</f>
      </c>
      <c r="O153" s="23">
        <f>=IF($A153="","",INDEX(tblTasks[Seuil_de_reprise],ROW()-6))</f>
      </c>
      <c r="P153" s="23">
        <f>=IF($A153="","",INDEX(tblTasks[Donnee_manquante],ROW()-6))</f>
      </c>
      <c r="Q153" s="23">
        <f>=IF($A153="","",INDEX(tblTasks[Niveau_criticite],ROW()-6))</f>
      </c>
      <c r="R153" s="23">
        <f>=IF($A153="","",INDEX(tblTasks[Irreversibilite],ROW()-6))</f>
      </c>
      <c r="S153" s="23">
        <f>=IF($A153="","",INDEX(tblTasks[Decision_Emmanuel],ROW()-6))</f>
      </c>
      <c r="T153" s="24">
        <f>=IF($A153="","",INDEX(tblTasks[Commentaire_EKT],ROW()-6))</f>
      </c>
      <c r="U153" s="23">
        <f>=IF($A153="","",INDEX(tblTasks[Goulot],ROW()-6))</f>
      </c>
      <c r="V153" s="23">
        <f>=IF($A153="","",INDEX(tblTasks[Point_de_bascule],ROW()-6))</f>
      </c>
      <c r="W153" s="37">
        <f>IF($A153="","",IF(AND(OR(param_filtre_statut="tous",LOWER($F153)=LOWER(param_filtre_statut)),OR(param_filtre_agent="tous",LOWER($D153)=LOWER(param_filtre_agent),LOWER($E153)=LOWER(param_filtre_agent)),OR(param_filtre_criticite="toutes",LOWER($Q153)=LOWER(param_filtre_criticite))),"oui","non"))</f>
      </c>
      <c r="X153" s="37">
        <f>IF($A153="","",IF(OR(LOWER($F153)="bloqué",LOWER($L153)="oui"),"oui","non"))</f>
      </c>
      <c r="Y153" s="37">
        <f>IF($A153="","",IF(OR(LOWER($Q153)="critique",LOWER($U153)="oui",LOWER($V153)="oui"),"oui","non"))</f>
      </c>
      <c r="Z153" s="37">
        <f>IF($A153="","",IF(AND($S153&lt;&gt;"",LOWER($S153)&lt;&gt;"tranchée",LOWER($S153)&lt;&gt;"sans objet",LOWER($S153)&lt;&gt;"clos"),"oui","non"))</f>
      </c>
      <c r="AA153" s="37">
        <f>IF($A153="","",IF($P153&lt;&gt;"","oui","non"))</f>
      </c>
      <c r="AB153" s="37">
        <f>IF($A153="","",IF(OR(LOWER($F153)="non réouvrable",LOWER($R153)="forte"),"oui","non"))</f>
      </c>
    </row>
    <row r="154" spans="1:28" x14ac:dyDescent="0.25">
      <c r="A154" s="23">
        <f>IFERROR(INDEX(tblTasks[ID],ROW()-6),"")</f>
      </c>
      <c r="B154" s="24">
        <f>=IF($A154="","",INDEX(tblTasks[Sujet],ROW()-6))</f>
      </c>
      <c r="C154" s="23">
        <f>=IF($A154="","",INDEX(tblTasks[Lot_Domaine],ROW()-6))</f>
      </c>
      <c r="D154" s="23">
        <f>=IF($A154="","",INDEX(tblTasks[Agent_source],ROW()-6))</f>
      </c>
      <c r="E154" s="23">
        <f>=IF($A154="","",INDEX(tblTasks[Responsable],ROW()-6))</f>
      </c>
      <c r="F154" s="23">
        <f>=IF($A154="","",INDEX(tblTasks[Statut],ROW()-6))</f>
      </c>
      <c r="G154" s="25">
        <f>=IF($A154="","",INDEX(tblTasks[Date_debut_prevue],ROW()-6))</f>
      </c>
      <c r="H154" s="25">
        <f>=IF($A154="","",INDEX(tblTasks[Date_fin_prevue],ROW()-6))</f>
      </c>
      <c r="I154" s="36">
        <f>=IF($A154="","",INDEX(tblTasks[Duree_jours],ROW()-6))</f>
      </c>
      <c r="J154" s="25">
        <f>=IF($A154="","",INDEX(tblTasks[Date_debut_reelle],ROW()-6))</f>
      </c>
      <c r="K154" s="25">
        <f>=IF($A154="","",INDEX(tblTasks[Date_fin_reelle],ROW()-6))</f>
      </c>
      <c r="L154" s="23">
        <f>=IF($A154="","",INDEX(tblTasks[Blocage],ROW()-6))</f>
      </c>
      <c r="M154" s="23">
        <f>=IF($A154="","",INDEX(tblTasks[Depend_de],ROW()-6))</f>
      </c>
      <c r="N154" s="23">
        <f>=IF($A154="","",INDEX(tblTasks[Non_negociable],ROW()-6))</f>
      </c>
      <c r="O154" s="23">
        <f>=IF($A154="","",INDEX(tblTasks[Seuil_de_reprise],ROW()-6))</f>
      </c>
      <c r="P154" s="23">
        <f>=IF($A154="","",INDEX(tblTasks[Donnee_manquante],ROW()-6))</f>
      </c>
      <c r="Q154" s="23">
        <f>=IF($A154="","",INDEX(tblTasks[Niveau_criticite],ROW()-6))</f>
      </c>
      <c r="R154" s="23">
        <f>=IF($A154="","",INDEX(tblTasks[Irreversibilite],ROW()-6))</f>
      </c>
      <c r="S154" s="23">
        <f>=IF($A154="","",INDEX(tblTasks[Decision_Emmanuel],ROW()-6))</f>
      </c>
      <c r="T154" s="24">
        <f>=IF($A154="","",INDEX(tblTasks[Commentaire_EKT],ROW()-6))</f>
      </c>
      <c r="U154" s="23">
        <f>=IF($A154="","",INDEX(tblTasks[Goulot],ROW()-6))</f>
      </c>
      <c r="V154" s="23">
        <f>=IF($A154="","",INDEX(tblTasks[Point_de_bascule],ROW()-6))</f>
      </c>
      <c r="W154" s="37">
        <f>IF($A154="","",IF(AND(OR(param_filtre_statut="tous",LOWER($F154)=LOWER(param_filtre_statut)),OR(param_filtre_agent="tous",LOWER($D154)=LOWER(param_filtre_agent),LOWER($E154)=LOWER(param_filtre_agent)),OR(param_filtre_criticite="toutes",LOWER($Q154)=LOWER(param_filtre_criticite))),"oui","non"))</f>
      </c>
      <c r="X154" s="37">
        <f>IF($A154="","",IF(OR(LOWER($F154)="bloqué",LOWER($L154)="oui"),"oui","non"))</f>
      </c>
      <c r="Y154" s="37">
        <f>IF($A154="","",IF(OR(LOWER($Q154)="critique",LOWER($U154)="oui",LOWER($V154)="oui"),"oui","non"))</f>
      </c>
      <c r="Z154" s="37">
        <f>IF($A154="","",IF(AND($S154&lt;&gt;"",LOWER($S154)&lt;&gt;"tranchée",LOWER($S154)&lt;&gt;"sans objet",LOWER($S154)&lt;&gt;"clos"),"oui","non"))</f>
      </c>
      <c r="AA154" s="37">
        <f>IF($A154="","",IF($P154&lt;&gt;"","oui","non"))</f>
      </c>
      <c r="AB154" s="37">
        <f>IF($A154="","",IF(OR(LOWER($F154)="non réouvrable",LOWER($R154)="forte"),"oui","non"))</f>
      </c>
    </row>
    <row r="155" spans="1:28" x14ac:dyDescent="0.25">
      <c r="A155" s="23">
        <f>IFERROR(INDEX(tblTasks[ID],ROW()-6),"")</f>
      </c>
      <c r="B155" s="24">
        <f>=IF($A155="","",INDEX(tblTasks[Sujet],ROW()-6))</f>
      </c>
      <c r="C155" s="23">
        <f>=IF($A155="","",INDEX(tblTasks[Lot_Domaine],ROW()-6))</f>
      </c>
      <c r="D155" s="23">
        <f>=IF($A155="","",INDEX(tblTasks[Agent_source],ROW()-6))</f>
      </c>
      <c r="E155" s="23">
        <f>=IF($A155="","",INDEX(tblTasks[Responsable],ROW()-6))</f>
      </c>
      <c r="F155" s="23">
        <f>=IF($A155="","",INDEX(tblTasks[Statut],ROW()-6))</f>
      </c>
      <c r="G155" s="25">
        <f>=IF($A155="","",INDEX(tblTasks[Date_debut_prevue],ROW()-6))</f>
      </c>
      <c r="H155" s="25">
        <f>=IF($A155="","",INDEX(tblTasks[Date_fin_prevue],ROW()-6))</f>
      </c>
      <c r="I155" s="36">
        <f>=IF($A155="","",INDEX(tblTasks[Duree_jours],ROW()-6))</f>
      </c>
      <c r="J155" s="25">
        <f>=IF($A155="","",INDEX(tblTasks[Date_debut_reelle],ROW()-6))</f>
      </c>
      <c r="K155" s="25">
        <f>=IF($A155="","",INDEX(tblTasks[Date_fin_reelle],ROW()-6))</f>
      </c>
      <c r="L155" s="23">
        <f>=IF($A155="","",INDEX(tblTasks[Blocage],ROW()-6))</f>
      </c>
      <c r="M155" s="23">
        <f>=IF($A155="","",INDEX(tblTasks[Depend_de],ROW()-6))</f>
      </c>
      <c r="N155" s="23">
        <f>=IF($A155="","",INDEX(tblTasks[Non_negociable],ROW()-6))</f>
      </c>
      <c r="O155" s="23">
        <f>=IF($A155="","",INDEX(tblTasks[Seuil_de_reprise],ROW()-6))</f>
      </c>
      <c r="P155" s="23">
        <f>=IF($A155="","",INDEX(tblTasks[Donnee_manquante],ROW()-6))</f>
      </c>
      <c r="Q155" s="23">
        <f>=IF($A155="","",INDEX(tblTasks[Niveau_criticite],ROW()-6))</f>
      </c>
      <c r="R155" s="23">
        <f>=IF($A155="","",INDEX(tblTasks[Irreversibilite],ROW()-6))</f>
      </c>
      <c r="S155" s="23">
        <f>=IF($A155="","",INDEX(tblTasks[Decision_Emmanuel],ROW()-6))</f>
      </c>
      <c r="T155" s="24">
        <f>=IF($A155="","",INDEX(tblTasks[Commentaire_EKT],ROW()-6))</f>
      </c>
      <c r="U155" s="23">
        <f>=IF($A155="","",INDEX(tblTasks[Goulot],ROW()-6))</f>
      </c>
      <c r="V155" s="23">
        <f>=IF($A155="","",INDEX(tblTasks[Point_de_bascule],ROW()-6))</f>
      </c>
      <c r="W155" s="37">
        <f>IF($A155="","",IF(AND(OR(param_filtre_statut="tous",LOWER($F155)=LOWER(param_filtre_statut)),OR(param_filtre_agent="tous",LOWER($D155)=LOWER(param_filtre_agent),LOWER($E155)=LOWER(param_filtre_agent)),OR(param_filtre_criticite="toutes",LOWER($Q155)=LOWER(param_filtre_criticite))),"oui","non"))</f>
      </c>
      <c r="X155" s="37">
        <f>IF($A155="","",IF(OR(LOWER($F155)="bloqué",LOWER($L155)="oui"),"oui","non"))</f>
      </c>
      <c r="Y155" s="37">
        <f>IF($A155="","",IF(OR(LOWER($Q155)="critique",LOWER($U155)="oui",LOWER($V155)="oui"),"oui","non"))</f>
      </c>
      <c r="Z155" s="37">
        <f>IF($A155="","",IF(AND($S155&lt;&gt;"",LOWER($S155)&lt;&gt;"tranchée",LOWER($S155)&lt;&gt;"sans objet",LOWER($S155)&lt;&gt;"clos"),"oui","non"))</f>
      </c>
      <c r="AA155" s="37">
        <f>IF($A155="","",IF($P155&lt;&gt;"","oui","non"))</f>
      </c>
      <c r="AB155" s="37">
        <f>IF($A155="","",IF(OR(LOWER($F155)="non réouvrable",LOWER($R155)="forte"),"oui","non"))</f>
      </c>
    </row>
    <row r="156" spans="1:28" x14ac:dyDescent="0.25">
      <c r="A156" s="23">
        <f>IFERROR(INDEX(tblTasks[ID],ROW()-6),"")</f>
      </c>
      <c r="B156" s="24">
        <f>=IF($A156="","",INDEX(tblTasks[Sujet],ROW()-6))</f>
      </c>
      <c r="C156" s="23">
        <f>=IF($A156="","",INDEX(tblTasks[Lot_Domaine],ROW()-6))</f>
      </c>
      <c r="D156" s="23">
        <f>=IF($A156="","",INDEX(tblTasks[Agent_source],ROW()-6))</f>
      </c>
      <c r="E156" s="23">
        <f>=IF($A156="","",INDEX(tblTasks[Responsable],ROW()-6))</f>
      </c>
      <c r="F156" s="23">
        <f>=IF($A156="","",INDEX(tblTasks[Statut],ROW()-6))</f>
      </c>
      <c r="G156" s="25">
        <f>=IF($A156="","",INDEX(tblTasks[Date_debut_prevue],ROW()-6))</f>
      </c>
      <c r="H156" s="25">
        <f>=IF($A156="","",INDEX(tblTasks[Date_fin_prevue],ROW()-6))</f>
      </c>
      <c r="I156" s="36">
        <f>=IF($A156="","",INDEX(tblTasks[Duree_jours],ROW()-6))</f>
      </c>
      <c r="J156" s="25">
        <f>=IF($A156="","",INDEX(tblTasks[Date_debut_reelle],ROW()-6))</f>
      </c>
      <c r="K156" s="25">
        <f>=IF($A156="","",INDEX(tblTasks[Date_fin_reelle],ROW()-6))</f>
      </c>
      <c r="L156" s="23">
        <f>=IF($A156="","",INDEX(tblTasks[Blocage],ROW()-6))</f>
      </c>
      <c r="M156" s="23">
        <f>=IF($A156="","",INDEX(tblTasks[Depend_de],ROW()-6))</f>
      </c>
      <c r="N156" s="23">
        <f>=IF($A156="","",INDEX(tblTasks[Non_negociable],ROW()-6))</f>
      </c>
      <c r="O156" s="23">
        <f>=IF($A156="","",INDEX(tblTasks[Seuil_de_reprise],ROW()-6))</f>
      </c>
      <c r="P156" s="23">
        <f>=IF($A156="","",INDEX(tblTasks[Donnee_manquante],ROW()-6))</f>
      </c>
      <c r="Q156" s="23">
        <f>=IF($A156="","",INDEX(tblTasks[Niveau_criticite],ROW()-6))</f>
      </c>
      <c r="R156" s="23">
        <f>=IF($A156="","",INDEX(tblTasks[Irreversibilite],ROW()-6))</f>
      </c>
      <c r="S156" s="23">
        <f>=IF($A156="","",INDEX(tblTasks[Decision_Emmanuel],ROW()-6))</f>
      </c>
      <c r="T156" s="24">
        <f>=IF($A156="","",INDEX(tblTasks[Commentaire_EKT],ROW()-6))</f>
      </c>
      <c r="U156" s="23">
        <f>=IF($A156="","",INDEX(tblTasks[Goulot],ROW()-6))</f>
      </c>
      <c r="V156" s="23">
        <f>=IF($A156="","",INDEX(tblTasks[Point_de_bascule],ROW()-6))</f>
      </c>
      <c r="W156" s="37">
        <f>IF($A156="","",IF(AND(OR(param_filtre_statut="tous",LOWER($F156)=LOWER(param_filtre_statut)),OR(param_filtre_agent="tous",LOWER($D156)=LOWER(param_filtre_agent),LOWER($E156)=LOWER(param_filtre_agent)),OR(param_filtre_criticite="toutes",LOWER($Q156)=LOWER(param_filtre_criticite))),"oui","non"))</f>
      </c>
      <c r="X156" s="37">
        <f>IF($A156="","",IF(OR(LOWER($F156)="bloqué",LOWER($L156)="oui"),"oui","non"))</f>
      </c>
      <c r="Y156" s="37">
        <f>IF($A156="","",IF(OR(LOWER($Q156)="critique",LOWER($U156)="oui",LOWER($V156)="oui"),"oui","non"))</f>
      </c>
      <c r="Z156" s="37">
        <f>IF($A156="","",IF(AND($S156&lt;&gt;"",LOWER($S156)&lt;&gt;"tranchée",LOWER($S156)&lt;&gt;"sans objet",LOWER($S156)&lt;&gt;"clos"),"oui","non"))</f>
      </c>
      <c r="AA156" s="37">
        <f>IF($A156="","",IF($P156&lt;&gt;"","oui","non"))</f>
      </c>
      <c r="AB156" s="37">
        <f>IF($A156="","",IF(OR(LOWER($F156)="non réouvrable",LOWER($R156)="forte"),"oui","non"))</f>
      </c>
    </row>
    <row r="157" spans="1:28" x14ac:dyDescent="0.25">
      <c r="A157" s="23">
        <f>IFERROR(INDEX(tblTasks[ID],ROW()-6),"")</f>
      </c>
      <c r="B157" s="24">
        <f>=IF($A157="","",INDEX(tblTasks[Sujet],ROW()-6))</f>
      </c>
      <c r="C157" s="23">
        <f>=IF($A157="","",INDEX(tblTasks[Lot_Domaine],ROW()-6))</f>
      </c>
      <c r="D157" s="23">
        <f>=IF($A157="","",INDEX(tblTasks[Agent_source],ROW()-6))</f>
      </c>
      <c r="E157" s="23">
        <f>=IF($A157="","",INDEX(tblTasks[Responsable],ROW()-6))</f>
      </c>
      <c r="F157" s="23">
        <f>=IF($A157="","",INDEX(tblTasks[Statut],ROW()-6))</f>
      </c>
      <c r="G157" s="25">
        <f>=IF($A157="","",INDEX(tblTasks[Date_debut_prevue],ROW()-6))</f>
      </c>
      <c r="H157" s="25">
        <f>=IF($A157="","",INDEX(tblTasks[Date_fin_prevue],ROW()-6))</f>
      </c>
      <c r="I157" s="36">
        <f>=IF($A157="","",INDEX(tblTasks[Duree_jours],ROW()-6))</f>
      </c>
      <c r="J157" s="25">
        <f>=IF($A157="","",INDEX(tblTasks[Date_debut_reelle],ROW()-6))</f>
      </c>
      <c r="K157" s="25">
        <f>=IF($A157="","",INDEX(tblTasks[Date_fin_reelle],ROW()-6))</f>
      </c>
      <c r="L157" s="23">
        <f>=IF($A157="","",INDEX(tblTasks[Blocage],ROW()-6))</f>
      </c>
      <c r="M157" s="23">
        <f>=IF($A157="","",INDEX(tblTasks[Depend_de],ROW()-6))</f>
      </c>
      <c r="N157" s="23">
        <f>=IF($A157="","",INDEX(tblTasks[Non_negociable],ROW()-6))</f>
      </c>
      <c r="O157" s="23">
        <f>=IF($A157="","",INDEX(tblTasks[Seuil_de_reprise],ROW()-6))</f>
      </c>
      <c r="P157" s="23">
        <f>=IF($A157="","",INDEX(tblTasks[Donnee_manquante],ROW()-6))</f>
      </c>
      <c r="Q157" s="23">
        <f>=IF($A157="","",INDEX(tblTasks[Niveau_criticite],ROW()-6))</f>
      </c>
      <c r="R157" s="23">
        <f>=IF($A157="","",INDEX(tblTasks[Irreversibilite],ROW()-6))</f>
      </c>
      <c r="S157" s="23">
        <f>=IF($A157="","",INDEX(tblTasks[Decision_Emmanuel],ROW()-6))</f>
      </c>
      <c r="T157" s="24">
        <f>=IF($A157="","",INDEX(tblTasks[Commentaire_EKT],ROW()-6))</f>
      </c>
      <c r="U157" s="23">
        <f>=IF($A157="","",INDEX(tblTasks[Goulot],ROW()-6))</f>
      </c>
      <c r="V157" s="23">
        <f>=IF($A157="","",INDEX(tblTasks[Point_de_bascule],ROW()-6))</f>
      </c>
      <c r="W157" s="37">
        <f>IF($A157="","",IF(AND(OR(param_filtre_statut="tous",LOWER($F157)=LOWER(param_filtre_statut)),OR(param_filtre_agent="tous",LOWER($D157)=LOWER(param_filtre_agent),LOWER($E157)=LOWER(param_filtre_agent)),OR(param_filtre_criticite="toutes",LOWER($Q157)=LOWER(param_filtre_criticite))),"oui","non"))</f>
      </c>
      <c r="X157" s="37">
        <f>IF($A157="","",IF(OR(LOWER($F157)="bloqué",LOWER($L157)="oui"),"oui","non"))</f>
      </c>
      <c r="Y157" s="37">
        <f>IF($A157="","",IF(OR(LOWER($Q157)="critique",LOWER($U157)="oui",LOWER($V157)="oui"),"oui","non"))</f>
      </c>
      <c r="Z157" s="37">
        <f>IF($A157="","",IF(AND($S157&lt;&gt;"",LOWER($S157)&lt;&gt;"tranchée",LOWER($S157)&lt;&gt;"sans objet",LOWER($S157)&lt;&gt;"clos"),"oui","non"))</f>
      </c>
      <c r="AA157" s="37">
        <f>IF($A157="","",IF($P157&lt;&gt;"","oui","non"))</f>
      </c>
      <c r="AB157" s="37">
        <f>IF($A157="","",IF(OR(LOWER($F157)="non réouvrable",LOWER($R157)="forte"),"oui","non"))</f>
      </c>
    </row>
    <row r="158" spans="1:28" x14ac:dyDescent="0.25">
      <c r="A158" s="23">
        <f>IFERROR(INDEX(tblTasks[ID],ROW()-6),"")</f>
      </c>
      <c r="B158" s="24">
        <f>=IF($A158="","",INDEX(tblTasks[Sujet],ROW()-6))</f>
      </c>
      <c r="C158" s="23">
        <f>=IF($A158="","",INDEX(tblTasks[Lot_Domaine],ROW()-6))</f>
      </c>
      <c r="D158" s="23">
        <f>=IF($A158="","",INDEX(tblTasks[Agent_source],ROW()-6))</f>
      </c>
      <c r="E158" s="23">
        <f>=IF($A158="","",INDEX(tblTasks[Responsable],ROW()-6))</f>
      </c>
      <c r="F158" s="23">
        <f>=IF($A158="","",INDEX(tblTasks[Statut],ROW()-6))</f>
      </c>
      <c r="G158" s="25">
        <f>=IF($A158="","",INDEX(tblTasks[Date_debut_prevue],ROW()-6))</f>
      </c>
      <c r="H158" s="25">
        <f>=IF($A158="","",INDEX(tblTasks[Date_fin_prevue],ROW()-6))</f>
      </c>
      <c r="I158" s="36">
        <f>=IF($A158="","",INDEX(tblTasks[Duree_jours],ROW()-6))</f>
      </c>
      <c r="J158" s="25">
        <f>=IF($A158="","",INDEX(tblTasks[Date_debut_reelle],ROW()-6))</f>
      </c>
      <c r="K158" s="25">
        <f>=IF($A158="","",INDEX(tblTasks[Date_fin_reelle],ROW()-6))</f>
      </c>
      <c r="L158" s="23">
        <f>=IF($A158="","",INDEX(tblTasks[Blocage],ROW()-6))</f>
      </c>
      <c r="M158" s="23">
        <f>=IF($A158="","",INDEX(tblTasks[Depend_de],ROW()-6))</f>
      </c>
      <c r="N158" s="23">
        <f>=IF($A158="","",INDEX(tblTasks[Non_negociable],ROW()-6))</f>
      </c>
      <c r="O158" s="23">
        <f>=IF($A158="","",INDEX(tblTasks[Seuil_de_reprise],ROW()-6))</f>
      </c>
      <c r="P158" s="23">
        <f>=IF($A158="","",INDEX(tblTasks[Donnee_manquante],ROW()-6))</f>
      </c>
      <c r="Q158" s="23">
        <f>=IF($A158="","",INDEX(tblTasks[Niveau_criticite],ROW()-6))</f>
      </c>
      <c r="R158" s="23">
        <f>=IF($A158="","",INDEX(tblTasks[Irreversibilite],ROW()-6))</f>
      </c>
      <c r="S158" s="23">
        <f>=IF($A158="","",INDEX(tblTasks[Decision_Emmanuel],ROW()-6))</f>
      </c>
      <c r="T158" s="24">
        <f>=IF($A158="","",INDEX(tblTasks[Commentaire_EKT],ROW()-6))</f>
      </c>
      <c r="U158" s="23">
        <f>=IF($A158="","",INDEX(tblTasks[Goulot],ROW()-6))</f>
      </c>
      <c r="V158" s="23">
        <f>=IF($A158="","",INDEX(tblTasks[Point_de_bascule],ROW()-6))</f>
      </c>
      <c r="W158" s="37">
        <f>IF($A158="","",IF(AND(OR(param_filtre_statut="tous",LOWER($F158)=LOWER(param_filtre_statut)),OR(param_filtre_agent="tous",LOWER($D158)=LOWER(param_filtre_agent),LOWER($E158)=LOWER(param_filtre_agent)),OR(param_filtre_criticite="toutes",LOWER($Q158)=LOWER(param_filtre_criticite))),"oui","non"))</f>
      </c>
      <c r="X158" s="37">
        <f>IF($A158="","",IF(OR(LOWER($F158)="bloqué",LOWER($L158)="oui"),"oui","non"))</f>
      </c>
      <c r="Y158" s="37">
        <f>IF($A158="","",IF(OR(LOWER($Q158)="critique",LOWER($U158)="oui",LOWER($V158)="oui"),"oui","non"))</f>
      </c>
      <c r="Z158" s="37">
        <f>IF($A158="","",IF(AND($S158&lt;&gt;"",LOWER($S158)&lt;&gt;"tranchée",LOWER($S158)&lt;&gt;"sans objet",LOWER($S158)&lt;&gt;"clos"),"oui","non"))</f>
      </c>
      <c r="AA158" s="37">
        <f>IF($A158="","",IF($P158&lt;&gt;"","oui","non"))</f>
      </c>
      <c r="AB158" s="37">
        <f>IF($A158="","",IF(OR(LOWER($F158)="non réouvrable",LOWER($R158)="forte"),"oui","non"))</f>
      </c>
    </row>
    <row r="159" spans="1:28" x14ac:dyDescent="0.25">
      <c r="A159" s="23">
        <f>IFERROR(INDEX(tblTasks[ID],ROW()-6),"")</f>
      </c>
      <c r="B159" s="24">
        <f>=IF($A159="","",INDEX(tblTasks[Sujet],ROW()-6))</f>
      </c>
      <c r="C159" s="23">
        <f>=IF($A159="","",INDEX(tblTasks[Lot_Domaine],ROW()-6))</f>
      </c>
      <c r="D159" s="23">
        <f>=IF($A159="","",INDEX(tblTasks[Agent_source],ROW()-6))</f>
      </c>
      <c r="E159" s="23">
        <f>=IF($A159="","",INDEX(tblTasks[Responsable],ROW()-6))</f>
      </c>
      <c r="F159" s="23">
        <f>=IF($A159="","",INDEX(tblTasks[Statut],ROW()-6))</f>
      </c>
      <c r="G159" s="25">
        <f>=IF($A159="","",INDEX(tblTasks[Date_debut_prevue],ROW()-6))</f>
      </c>
      <c r="H159" s="25">
        <f>=IF($A159="","",INDEX(tblTasks[Date_fin_prevue],ROW()-6))</f>
      </c>
      <c r="I159" s="36">
        <f>=IF($A159="","",INDEX(tblTasks[Duree_jours],ROW()-6))</f>
      </c>
      <c r="J159" s="25">
        <f>=IF($A159="","",INDEX(tblTasks[Date_debut_reelle],ROW()-6))</f>
      </c>
      <c r="K159" s="25">
        <f>=IF($A159="","",INDEX(tblTasks[Date_fin_reelle],ROW()-6))</f>
      </c>
      <c r="L159" s="23">
        <f>=IF($A159="","",INDEX(tblTasks[Blocage],ROW()-6))</f>
      </c>
      <c r="M159" s="23">
        <f>=IF($A159="","",INDEX(tblTasks[Depend_de],ROW()-6))</f>
      </c>
      <c r="N159" s="23">
        <f>=IF($A159="","",INDEX(tblTasks[Non_negociable],ROW()-6))</f>
      </c>
      <c r="O159" s="23">
        <f>=IF($A159="","",INDEX(tblTasks[Seuil_de_reprise],ROW()-6))</f>
      </c>
      <c r="P159" s="23">
        <f>=IF($A159="","",INDEX(tblTasks[Donnee_manquante],ROW()-6))</f>
      </c>
      <c r="Q159" s="23">
        <f>=IF($A159="","",INDEX(tblTasks[Niveau_criticite],ROW()-6))</f>
      </c>
      <c r="R159" s="23">
        <f>=IF($A159="","",INDEX(tblTasks[Irreversibilite],ROW()-6))</f>
      </c>
      <c r="S159" s="23">
        <f>=IF($A159="","",INDEX(tblTasks[Decision_Emmanuel],ROW()-6))</f>
      </c>
      <c r="T159" s="24">
        <f>=IF($A159="","",INDEX(tblTasks[Commentaire_EKT],ROW()-6))</f>
      </c>
      <c r="U159" s="23">
        <f>=IF($A159="","",INDEX(tblTasks[Goulot],ROW()-6))</f>
      </c>
      <c r="V159" s="23">
        <f>=IF($A159="","",INDEX(tblTasks[Point_de_bascule],ROW()-6))</f>
      </c>
      <c r="W159" s="37">
        <f>IF($A159="","",IF(AND(OR(param_filtre_statut="tous",LOWER($F159)=LOWER(param_filtre_statut)),OR(param_filtre_agent="tous",LOWER($D159)=LOWER(param_filtre_agent),LOWER($E159)=LOWER(param_filtre_agent)),OR(param_filtre_criticite="toutes",LOWER($Q159)=LOWER(param_filtre_criticite))),"oui","non"))</f>
      </c>
      <c r="X159" s="37">
        <f>IF($A159="","",IF(OR(LOWER($F159)="bloqué",LOWER($L159)="oui"),"oui","non"))</f>
      </c>
      <c r="Y159" s="37">
        <f>IF($A159="","",IF(OR(LOWER($Q159)="critique",LOWER($U159)="oui",LOWER($V159)="oui"),"oui","non"))</f>
      </c>
      <c r="Z159" s="37">
        <f>IF($A159="","",IF(AND($S159&lt;&gt;"",LOWER($S159)&lt;&gt;"tranchée",LOWER($S159)&lt;&gt;"sans objet",LOWER($S159)&lt;&gt;"clos"),"oui","non"))</f>
      </c>
      <c r="AA159" s="37">
        <f>IF($A159="","",IF($P159&lt;&gt;"","oui","non"))</f>
      </c>
      <c r="AB159" s="37">
        <f>IF($A159="","",IF(OR(LOWER($F159)="non réouvrable",LOWER($R159)="forte"),"oui","non"))</f>
      </c>
    </row>
    <row r="160" spans="1:28" x14ac:dyDescent="0.25">
      <c r="A160" s="23">
        <f>IFERROR(INDEX(tblTasks[ID],ROW()-6),"")</f>
      </c>
      <c r="B160" s="24">
        <f>=IF($A160="","",INDEX(tblTasks[Sujet],ROW()-6))</f>
      </c>
      <c r="C160" s="23">
        <f>=IF($A160="","",INDEX(tblTasks[Lot_Domaine],ROW()-6))</f>
      </c>
      <c r="D160" s="23">
        <f>=IF($A160="","",INDEX(tblTasks[Agent_source],ROW()-6))</f>
      </c>
      <c r="E160" s="23">
        <f>=IF($A160="","",INDEX(tblTasks[Responsable],ROW()-6))</f>
      </c>
      <c r="F160" s="23">
        <f>=IF($A160="","",INDEX(tblTasks[Statut],ROW()-6))</f>
      </c>
      <c r="G160" s="25">
        <f>=IF($A160="","",INDEX(tblTasks[Date_debut_prevue],ROW()-6))</f>
      </c>
      <c r="H160" s="25">
        <f>=IF($A160="","",INDEX(tblTasks[Date_fin_prevue],ROW()-6))</f>
      </c>
      <c r="I160" s="36">
        <f>=IF($A160="","",INDEX(tblTasks[Duree_jours],ROW()-6))</f>
      </c>
      <c r="J160" s="25">
        <f>=IF($A160="","",INDEX(tblTasks[Date_debut_reelle],ROW()-6))</f>
      </c>
      <c r="K160" s="25">
        <f>=IF($A160="","",INDEX(tblTasks[Date_fin_reelle],ROW()-6))</f>
      </c>
      <c r="L160" s="23">
        <f>=IF($A160="","",INDEX(tblTasks[Blocage],ROW()-6))</f>
      </c>
      <c r="M160" s="23">
        <f>=IF($A160="","",INDEX(tblTasks[Depend_de],ROW()-6))</f>
      </c>
      <c r="N160" s="23">
        <f>=IF($A160="","",INDEX(tblTasks[Non_negociable],ROW()-6))</f>
      </c>
      <c r="O160" s="23">
        <f>=IF($A160="","",INDEX(tblTasks[Seuil_de_reprise],ROW()-6))</f>
      </c>
      <c r="P160" s="23">
        <f>=IF($A160="","",INDEX(tblTasks[Donnee_manquante],ROW()-6))</f>
      </c>
      <c r="Q160" s="23">
        <f>=IF($A160="","",INDEX(tblTasks[Niveau_criticite],ROW()-6))</f>
      </c>
      <c r="R160" s="23">
        <f>=IF($A160="","",INDEX(tblTasks[Irreversibilite],ROW()-6))</f>
      </c>
      <c r="S160" s="23">
        <f>=IF($A160="","",INDEX(tblTasks[Decision_Emmanuel],ROW()-6))</f>
      </c>
      <c r="T160" s="24">
        <f>=IF($A160="","",INDEX(tblTasks[Commentaire_EKT],ROW()-6))</f>
      </c>
      <c r="U160" s="23">
        <f>=IF($A160="","",INDEX(tblTasks[Goulot],ROW()-6))</f>
      </c>
      <c r="V160" s="23">
        <f>=IF($A160="","",INDEX(tblTasks[Point_de_bascule],ROW()-6))</f>
      </c>
      <c r="W160" s="37">
        <f>IF($A160="","",IF(AND(OR(param_filtre_statut="tous",LOWER($F160)=LOWER(param_filtre_statut)),OR(param_filtre_agent="tous",LOWER($D160)=LOWER(param_filtre_agent),LOWER($E160)=LOWER(param_filtre_agent)),OR(param_filtre_criticite="toutes",LOWER($Q160)=LOWER(param_filtre_criticite))),"oui","non"))</f>
      </c>
      <c r="X160" s="37">
        <f>IF($A160="","",IF(OR(LOWER($F160)="bloqué",LOWER($L160)="oui"),"oui","non"))</f>
      </c>
      <c r="Y160" s="37">
        <f>IF($A160="","",IF(OR(LOWER($Q160)="critique",LOWER($U160)="oui",LOWER($V160)="oui"),"oui","non"))</f>
      </c>
      <c r="Z160" s="37">
        <f>IF($A160="","",IF(AND($S160&lt;&gt;"",LOWER($S160)&lt;&gt;"tranchée",LOWER($S160)&lt;&gt;"sans objet",LOWER($S160)&lt;&gt;"clos"),"oui","non"))</f>
      </c>
      <c r="AA160" s="37">
        <f>IF($A160="","",IF($P160&lt;&gt;"","oui","non"))</f>
      </c>
      <c r="AB160" s="37">
        <f>IF($A160="","",IF(OR(LOWER($F160)="non réouvrable",LOWER($R160)="forte"),"oui","non"))</f>
      </c>
    </row>
    <row r="161" spans="1:28" x14ac:dyDescent="0.25">
      <c r="A161" s="23">
        <f>IFERROR(INDEX(tblTasks[ID],ROW()-6),"")</f>
      </c>
      <c r="B161" s="24">
        <f>=IF($A161="","",INDEX(tblTasks[Sujet],ROW()-6))</f>
      </c>
      <c r="C161" s="23">
        <f>=IF($A161="","",INDEX(tblTasks[Lot_Domaine],ROW()-6))</f>
      </c>
      <c r="D161" s="23">
        <f>=IF($A161="","",INDEX(tblTasks[Agent_source],ROW()-6))</f>
      </c>
      <c r="E161" s="23">
        <f>=IF($A161="","",INDEX(tblTasks[Responsable],ROW()-6))</f>
      </c>
      <c r="F161" s="23">
        <f>=IF($A161="","",INDEX(tblTasks[Statut],ROW()-6))</f>
      </c>
      <c r="G161" s="25">
        <f>=IF($A161="","",INDEX(tblTasks[Date_debut_prevue],ROW()-6))</f>
      </c>
      <c r="H161" s="25">
        <f>=IF($A161="","",INDEX(tblTasks[Date_fin_prevue],ROW()-6))</f>
      </c>
      <c r="I161" s="36">
        <f>=IF($A161="","",INDEX(tblTasks[Duree_jours],ROW()-6))</f>
      </c>
      <c r="J161" s="25">
        <f>=IF($A161="","",INDEX(tblTasks[Date_debut_reelle],ROW()-6))</f>
      </c>
      <c r="K161" s="25">
        <f>=IF($A161="","",INDEX(tblTasks[Date_fin_reelle],ROW()-6))</f>
      </c>
      <c r="L161" s="23">
        <f>=IF($A161="","",INDEX(tblTasks[Blocage],ROW()-6))</f>
      </c>
      <c r="M161" s="23">
        <f>=IF($A161="","",INDEX(tblTasks[Depend_de],ROW()-6))</f>
      </c>
      <c r="N161" s="23">
        <f>=IF($A161="","",INDEX(tblTasks[Non_negociable],ROW()-6))</f>
      </c>
      <c r="O161" s="23">
        <f>=IF($A161="","",INDEX(tblTasks[Seuil_de_reprise],ROW()-6))</f>
      </c>
      <c r="P161" s="23">
        <f>=IF($A161="","",INDEX(tblTasks[Donnee_manquante],ROW()-6))</f>
      </c>
      <c r="Q161" s="23">
        <f>=IF($A161="","",INDEX(tblTasks[Niveau_criticite],ROW()-6))</f>
      </c>
      <c r="R161" s="23">
        <f>=IF($A161="","",INDEX(tblTasks[Irreversibilite],ROW()-6))</f>
      </c>
      <c r="S161" s="23">
        <f>=IF($A161="","",INDEX(tblTasks[Decision_Emmanuel],ROW()-6))</f>
      </c>
      <c r="T161" s="24">
        <f>=IF($A161="","",INDEX(tblTasks[Commentaire_EKT],ROW()-6))</f>
      </c>
      <c r="U161" s="23">
        <f>=IF($A161="","",INDEX(tblTasks[Goulot],ROW()-6))</f>
      </c>
      <c r="V161" s="23">
        <f>=IF($A161="","",INDEX(tblTasks[Point_de_bascule],ROW()-6))</f>
      </c>
      <c r="W161" s="37">
        <f>IF($A161="","",IF(AND(OR(param_filtre_statut="tous",LOWER($F161)=LOWER(param_filtre_statut)),OR(param_filtre_agent="tous",LOWER($D161)=LOWER(param_filtre_agent),LOWER($E161)=LOWER(param_filtre_agent)),OR(param_filtre_criticite="toutes",LOWER($Q161)=LOWER(param_filtre_criticite))),"oui","non"))</f>
      </c>
      <c r="X161" s="37">
        <f>IF($A161="","",IF(OR(LOWER($F161)="bloqué",LOWER($L161)="oui"),"oui","non"))</f>
      </c>
      <c r="Y161" s="37">
        <f>IF($A161="","",IF(OR(LOWER($Q161)="critique",LOWER($U161)="oui",LOWER($V161)="oui"),"oui","non"))</f>
      </c>
      <c r="Z161" s="37">
        <f>IF($A161="","",IF(AND($S161&lt;&gt;"",LOWER($S161)&lt;&gt;"tranchée",LOWER($S161)&lt;&gt;"sans objet",LOWER($S161)&lt;&gt;"clos"),"oui","non"))</f>
      </c>
      <c r="AA161" s="37">
        <f>IF($A161="","",IF($P161&lt;&gt;"","oui","non"))</f>
      </c>
      <c r="AB161" s="37">
        <f>IF($A161="","",IF(OR(LOWER($F161)="non réouvrable",LOWER($R161)="forte"),"oui","non"))</f>
      </c>
    </row>
    <row r="162" spans="1:28" x14ac:dyDescent="0.25">
      <c r="A162" s="23">
        <f>IFERROR(INDEX(tblTasks[ID],ROW()-6),"")</f>
      </c>
      <c r="B162" s="24">
        <f>=IF($A162="","",INDEX(tblTasks[Sujet],ROW()-6))</f>
      </c>
      <c r="C162" s="23">
        <f>=IF($A162="","",INDEX(tblTasks[Lot_Domaine],ROW()-6))</f>
      </c>
      <c r="D162" s="23">
        <f>=IF($A162="","",INDEX(tblTasks[Agent_source],ROW()-6))</f>
      </c>
      <c r="E162" s="23">
        <f>=IF($A162="","",INDEX(tblTasks[Responsable],ROW()-6))</f>
      </c>
      <c r="F162" s="23">
        <f>=IF($A162="","",INDEX(tblTasks[Statut],ROW()-6))</f>
      </c>
      <c r="G162" s="25">
        <f>=IF($A162="","",INDEX(tblTasks[Date_debut_prevue],ROW()-6))</f>
      </c>
      <c r="H162" s="25">
        <f>=IF($A162="","",INDEX(tblTasks[Date_fin_prevue],ROW()-6))</f>
      </c>
      <c r="I162" s="36">
        <f>=IF($A162="","",INDEX(tblTasks[Duree_jours],ROW()-6))</f>
      </c>
      <c r="J162" s="25">
        <f>=IF($A162="","",INDEX(tblTasks[Date_debut_reelle],ROW()-6))</f>
      </c>
      <c r="K162" s="25">
        <f>=IF($A162="","",INDEX(tblTasks[Date_fin_reelle],ROW()-6))</f>
      </c>
      <c r="L162" s="23">
        <f>=IF($A162="","",INDEX(tblTasks[Blocage],ROW()-6))</f>
      </c>
      <c r="M162" s="23">
        <f>=IF($A162="","",INDEX(tblTasks[Depend_de],ROW()-6))</f>
      </c>
      <c r="N162" s="23">
        <f>=IF($A162="","",INDEX(tblTasks[Non_negociable],ROW()-6))</f>
      </c>
      <c r="O162" s="23">
        <f>=IF($A162="","",INDEX(tblTasks[Seuil_de_reprise],ROW()-6))</f>
      </c>
      <c r="P162" s="23">
        <f>=IF($A162="","",INDEX(tblTasks[Donnee_manquante],ROW()-6))</f>
      </c>
      <c r="Q162" s="23">
        <f>=IF($A162="","",INDEX(tblTasks[Niveau_criticite],ROW()-6))</f>
      </c>
      <c r="R162" s="23">
        <f>=IF($A162="","",INDEX(tblTasks[Irreversibilite],ROW()-6))</f>
      </c>
      <c r="S162" s="23">
        <f>=IF($A162="","",INDEX(tblTasks[Decision_Emmanuel],ROW()-6))</f>
      </c>
      <c r="T162" s="24">
        <f>=IF($A162="","",INDEX(tblTasks[Commentaire_EKT],ROW()-6))</f>
      </c>
      <c r="U162" s="23">
        <f>=IF($A162="","",INDEX(tblTasks[Goulot],ROW()-6))</f>
      </c>
      <c r="V162" s="23">
        <f>=IF($A162="","",INDEX(tblTasks[Point_de_bascule],ROW()-6))</f>
      </c>
      <c r="W162" s="37">
        <f>IF($A162="","",IF(AND(OR(param_filtre_statut="tous",LOWER($F162)=LOWER(param_filtre_statut)),OR(param_filtre_agent="tous",LOWER($D162)=LOWER(param_filtre_agent),LOWER($E162)=LOWER(param_filtre_agent)),OR(param_filtre_criticite="toutes",LOWER($Q162)=LOWER(param_filtre_criticite))),"oui","non"))</f>
      </c>
      <c r="X162" s="37">
        <f>IF($A162="","",IF(OR(LOWER($F162)="bloqué",LOWER($L162)="oui"),"oui","non"))</f>
      </c>
      <c r="Y162" s="37">
        <f>IF($A162="","",IF(OR(LOWER($Q162)="critique",LOWER($U162)="oui",LOWER($V162)="oui"),"oui","non"))</f>
      </c>
      <c r="Z162" s="37">
        <f>IF($A162="","",IF(AND($S162&lt;&gt;"",LOWER($S162)&lt;&gt;"tranchée",LOWER($S162)&lt;&gt;"sans objet",LOWER($S162)&lt;&gt;"clos"),"oui","non"))</f>
      </c>
      <c r="AA162" s="37">
        <f>IF($A162="","",IF($P162&lt;&gt;"","oui","non"))</f>
      </c>
      <c r="AB162" s="37">
        <f>IF($A162="","",IF(OR(LOWER($F162)="non réouvrable",LOWER($R162)="forte"),"oui","non"))</f>
      </c>
    </row>
    <row r="163" spans="1:28" x14ac:dyDescent="0.25">
      <c r="A163" s="23">
        <f>IFERROR(INDEX(tblTasks[ID],ROW()-6),"")</f>
      </c>
      <c r="B163" s="24">
        <f>=IF($A163="","",INDEX(tblTasks[Sujet],ROW()-6))</f>
      </c>
      <c r="C163" s="23">
        <f>=IF($A163="","",INDEX(tblTasks[Lot_Domaine],ROW()-6))</f>
      </c>
      <c r="D163" s="23">
        <f>=IF($A163="","",INDEX(tblTasks[Agent_source],ROW()-6))</f>
      </c>
      <c r="E163" s="23">
        <f>=IF($A163="","",INDEX(tblTasks[Responsable],ROW()-6))</f>
      </c>
      <c r="F163" s="23">
        <f>=IF($A163="","",INDEX(tblTasks[Statut],ROW()-6))</f>
      </c>
      <c r="G163" s="25">
        <f>=IF($A163="","",INDEX(tblTasks[Date_debut_prevue],ROW()-6))</f>
      </c>
      <c r="H163" s="25">
        <f>=IF($A163="","",INDEX(tblTasks[Date_fin_prevue],ROW()-6))</f>
      </c>
      <c r="I163" s="36">
        <f>=IF($A163="","",INDEX(tblTasks[Duree_jours],ROW()-6))</f>
      </c>
      <c r="J163" s="25">
        <f>=IF($A163="","",INDEX(tblTasks[Date_debut_reelle],ROW()-6))</f>
      </c>
      <c r="K163" s="25">
        <f>=IF($A163="","",INDEX(tblTasks[Date_fin_reelle],ROW()-6))</f>
      </c>
      <c r="L163" s="23">
        <f>=IF($A163="","",INDEX(tblTasks[Blocage],ROW()-6))</f>
      </c>
      <c r="M163" s="23">
        <f>=IF($A163="","",INDEX(tblTasks[Depend_de],ROW()-6))</f>
      </c>
      <c r="N163" s="23">
        <f>=IF($A163="","",INDEX(tblTasks[Non_negociable],ROW()-6))</f>
      </c>
      <c r="O163" s="23">
        <f>=IF($A163="","",INDEX(tblTasks[Seuil_de_reprise],ROW()-6))</f>
      </c>
      <c r="P163" s="23">
        <f>=IF($A163="","",INDEX(tblTasks[Donnee_manquante],ROW()-6))</f>
      </c>
      <c r="Q163" s="23">
        <f>=IF($A163="","",INDEX(tblTasks[Niveau_criticite],ROW()-6))</f>
      </c>
      <c r="R163" s="23">
        <f>=IF($A163="","",INDEX(tblTasks[Irreversibilite],ROW()-6))</f>
      </c>
      <c r="S163" s="23">
        <f>=IF($A163="","",INDEX(tblTasks[Decision_Emmanuel],ROW()-6))</f>
      </c>
      <c r="T163" s="24">
        <f>=IF($A163="","",INDEX(tblTasks[Commentaire_EKT],ROW()-6))</f>
      </c>
      <c r="U163" s="23">
        <f>=IF($A163="","",INDEX(tblTasks[Goulot],ROW()-6))</f>
      </c>
      <c r="V163" s="23">
        <f>=IF($A163="","",INDEX(tblTasks[Point_de_bascule],ROW()-6))</f>
      </c>
      <c r="W163" s="37">
        <f>IF($A163="","",IF(AND(OR(param_filtre_statut="tous",LOWER($F163)=LOWER(param_filtre_statut)),OR(param_filtre_agent="tous",LOWER($D163)=LOWER(param_filtre_agent),LOWER($E163)=LOWER(param_filtre_agent)),OR(param_filtre_criticite="toutes",LOWER($Q163)=LOWER(param_filtre_criticite))),"oui","non"))</f>
      </c>
      <c r="X163" s="37">
        <f>IF($A163="","",IF(OR(LOWER($F163)="bloqué",LOWER($L163)="oui"),"oui","non"))</f>
      </c>
      <c r="Y163" s="37">
        <f>IF($A163="","",IF(OR(LOWER($Q163)="critique",LOWER($U163)="oui",LOWER($V163)="oui"),"oui","non"))</f>
      </c>
      <c r="Z163" s="37">
        <f>IF($A163="","",IF(AND($S163&lt;&gt;"",LOWER($S163)&lt;&gt;"tranchée",LOWER($S163)&lt;&gt;"sans objet",LOWER($S163)&lt;&gt;"clos"),"oui","non"))</f>
      </c>
      <c r="AA163" s="37">
        <f>IF($A163="","",IF($P163&lt;&gt;"","oui","non"))</f>
      </c>
      <c r="AB163" s="37">
        <f>IF($A163="","",IF(OR(LOWER($F163)="non réouvrable",LOWER($R163)="forte"),"oui","non"))</f>
      </c>
    </row>
    <row r="164" spans="1:28" x14ac:dyDescent="0.25">
      <c r="A164" s="23">
        <f>IFERROR(INDEX(tblTasks[ID],ROW()-6),"")</f>
      </c>
      <c r="B164" s="24">
        <f>=IF($A164="","",INDEX(tblTasks[Sujet],ROW()-6))</f>
      </c>
      <c r="C164" s="23">
        <f>=IF($A164="","",INDEX(tblTasks[Lot_Domaine],ROW()-6))</f>
      </c>
      <c r="D164" s="23">
        <f>=IF($A164="","",INDEX(tblTasks[Agent_source],ROW()-6))</f>
      </c>
      <c r="E164" s="23">
        <f>=IF($A164="","",INDEX(tblTasks[Responsable],ROW()-6))</f>
      </c>
      <c r="F164" s="23">
        <f>=IF($A164="","",INDEX(tblTasks[Statut],ROW()-6))</f>
      </c>
      <c r="G164" s="25">
        <f>=IF($A164="","",INDEX(tblTasks[Date_debut_prevue],ROW()-6))</f>
      </c>
      <c r="H164" s="25">
        <f>=IF($A164="","",INDEX(tblTasks[Date_fin_prevue],ROW()-6))</f>
      </c>
      <c r="I164" s="36">
        <f>=IF($A164="","",INDEX(tblTasks[Duree_jours],ROW()-6))</f>
      </c>
      <c r="J164" s="25">
        <f>=IF($A164="","",INDEX(tblTasks[Date_debut_reelle],ROW()-6))</f>
      </c>
      <c r="K164" s="25">
        <f>=IF($A164="","",INDEX(tblTasks[Date_fin_reelle],ROW()-6))</f>
      </c>
      <c r="L164" s="23">
        <f>=IF($A164="","",INDEX(tblTasks[Blocage],ROW()-6))</f>
      </c>
      <c r="M164" s="23">
        <f>=IF($A164="","",INDEX(tblTasks[Depend_de],ROW()-6))</f>
      </c>
      <c r="N164" s="23">
        <f>=IF($A164="","",INDEX(tblTasks[Non_negociable],ROW()-6))</f>
      </c>
      <c r="O164" s="23">
        <f>=IF($A164="","",INDEX(tblTasks[Seuil_de_reprise],ROW()-6))</f>
      </c>
      <c r="P164" s="23">
        <f>=IF($A164="","",INDEX(tblTasks[Donnee_manquante],ROW()-6))</f>
      </c>
      <c r="Q164" s="23">
        <f>=IF($A164="","",INDEX(tblTasks[Niveau_criticite],ROW()-6))</f>
      </c>
      <c r="R164" s="23">
        <f>=IF($A164="","",INDEX(tblTasks[Irreversibilite],ROW()-6))</f>
      </c>
      <c r="S164" s="23">
        <f>=IF($A164="","",INDEX(tblTasks[Decision_Emmanuel],ROW()-6))</f>
      </c>
      <c r="T164" s="24">
        <f>=IF($A164="","",INDEX(tblTasks[Commentaire_EKT],ROW()-6))</f>
      </c>
      <c r="U164" s="23">
        <f>=IF($A164="","",INDEX(tblTasks[Goulot],ROW()-6))</f>
      </c>
      <c r="V164" s="23">
        <f>=IF($A164="","",INDEX(tblTasks[Point_de_bascule],ROW()-6))</f>
      </c>
      <c r="W164" s="37">
        <f>IF($A164="","",IF(AND(OR(param_filtre_statut="tous",LOWER($F164)=LOWER(param_filtre_statut)),OR(param_filtre_agent="tous",LOWER($D164)=LOWER(param_filtre_agent),LOWER($E164)=LOWER(param_filtre_agent)),OR(param_filtre_criticite="toutes",LOWER($Q164)=LOWER(param_filtre_criticite))),"oui","non"))</f>
      </c>
      <c r="X164" s="37">
        <f>IF($A164="","",IF(OR(LOWER($F164)="bloqué",LOWER($L164)="oui"),"oui","non"))</f>
      </c>
      <c r="Y164" s="37">
        <f>IF($A164="","",IF(OR(LOWER($Q164)="critique",LOWER($U164)="oui",LOWER($V164)="oui"),"oui","non"))</f>
      </c>
      <c r="Z164" s="37">
        <f>IF($A164="","",IF(AND($S164&lt;&gt;"",LOWER($S164)&lt;&gt;"tranchée",LOWER($S164)&lt;&gt;"sans objet",LOWER($S164)&lt;&gt;"clos"),"oui","non"))</f>
      </c>
      <c r="AA164" s="37">
        <f>IF($A164="","",IF($P164&lt;&gt;"","oui","non"))</f>
      </c>
      <c r="AB164" s="37">
        <f>IF($A164="","",IF(OR(LOWER($F164)="non réouvrable",LOWER($R164)="forte"),"oui","non"))</f>
      </c>
    </row>
    <row r="165" spans="1:28" x14ac:dyDescent="0.25">
      <c r="A165" s="23">
        <f>IFERROR(INDEX(tblTasks[ID],ROW()-6),"")</f>
      </c>
      <c r="B165" s="24">
        <f>=IF($A165="","",INDEX(tblTasks[Sujet],ROW()-6))</f>
      </c>
      <c r="C165" s="23">
        <f>=IF($A165="","",INDEX(tblTasks[Lot_Domaine],ROW()-6))</f>
      </c>
      <c r="D165" s="23">
        <f>=IF($A165="","",INDEX(tblTasks[Agent_source],ROW()-6))</f>
      </c>
      <c r="E165" s="23">
        <f>=IF($A165="","",INDEX(tblTasks[Responsable],ROW()-6))</f>
      </c>
      <c r="F165" s="23">
        <f>=IF($A165="","",INDEX(tblTasks[Statut],ROW()-6))</f>
      </c>
      <c r="G165" s="25">
        <f>=IF($A165="","",INDEX(tblTasks[Date_debut_prevue],ROW()-6))</f>
      </c>
      <c r="H165" s="25">
        <f>=IF($A165="","",INDEX(tblTasks[Date_fin_prevue],ROW()-6))</f>
      </c>
      <c r="I165" s="36">
        <f>=IF($A165="","",INDEX(tblTasks[Duree_jours],ROW()-6))</f>
      </c>
      <c r="J165" s="25">
        <f>=IF($A165="","",INDEX(tblTasks[Date_debut_reelle],ROW()-6))</f>
      </c>
      <c r="K165" s="25">
        <f>=IF($A165="","",INDEX(tblTasks[Date_fin_reelle],ROW()-6))</f>
      </c>
      <c r="L165" s="23">
        <f>=IF($A165="","",INDEX(tblTasks[Blocage],ROW()-6))</f>
      </c>
      <c r="M165" s="23">
        <f>=IF($A165="","",INDEX(tblTasks[Depend_de],ROW()-6))</f>
      </c>
      <c r="N165" s="23">
        <f>=IF($A165="","",INDEX(tblTasks[Non_negociable],ROW()-6))</f>
      </c>
      <c r="O165" s="23">
        <f>=IF($A165="","",INDEX(tblTasks[Seuil_de_reprise],ROW()-6))</f>
      </c>
      <c r="P165" s="23">
        <f>=IF($A165="","",INDEX(tblTasks[Donnee_manquante],ROW()-6))</f>
      </c>
      <c r="Q165" s="23">
        <f>=IF($A165="","",INDEX(tblTasks[Niveau_criticite],ROW()-6))</f>
      </c>
      <c r="R165" s="23">
        <f>=IF($A165="","",INDEX(tblTasks[Irreversibilite],ROW()-6))</f>
      </c>
      <c r="S165" s="23">
        <f>=IF($A165="","",INDEX(tblTasks[Decision_Emmanuel],ROW()-6))</f>
      </c>
      <c r="T165" s="24">
        <f>=IF($A165="","",INDEX(tblTasks[Commentaire_EKT],ROW()-6))</f>
      </c>
      <c r="U165" s="23">
        <f>=IF($A165="","",INDEX(tblTasks[Goulot],ROW()-6))</f>
      </c>
      <c r="V165" s="23">
        <f>=IF($A165="","",INDEX(tblTasks[Point_de_bascule],ROW()-6))</f>
      </c>
      <c r="W165" s="37">
        <f>IF($A165="","",IF(AND(OR(param_filtre_statut="tous",LOWER($F165)=LOWER(param_filtre_statut)),OR(param_filtre_agent="tous",LOWER($D165)=LOWER(param_filtre_agent),LOWER($E165)=LOWER(param_filtre_agent)),OR(param_filtre_criticite="toutes",LOWER($Q165)=LOWER(param_filtre_criticite))),"oui","non"))</f>
      </c>
      <c r="X165" s="37">
        <f>IF($A165="","",IF(OR(LOWER($F165)="bloqué",LOWER($L165)="oui"),"oui","non"))</f>
      </c>
      <c r="Y165" s="37">
        <f>IF($A165="","",IF(OR(LOWER($Q165)="critique",LOWER($U165)="oui",LOWER($V165)="oui"),"oui","non"))</f>
      </c>
      <c r="Z165" s="37">
        <f>IF($A165="","",IF(AND($S165&lt;&gt;"",LOWER($S165)&lt;&gt;"tranchée",LOWER($S165)&lt;&gt;"sans objet",LOWER($S165)&lt;&gt;"clos"),"oui","non"))</f>
      </c>
      <c r="AA165" s="37">
        <f>IF($A165="","",IF($P165&lt;&gt;"","oui","non"))</f>
      </c>
      <c r="AB165" s="37">
        <f>IF($A165="","",IF(OR(LOWER($F165)="non réouvrable",LOWER($R165)="forte"),"oui","non"))</f>
      </c>
    </row>
    <row r="166" spans="1:28" x14ac:dyDescent="0.25">
      <c r="A166" s="23">
        <f>IFERROR(INDEX(tblTasks[ID],ROW()-6),"")</f>
      </c>
      <c r="B166" s="24">
        <f>=IF($A166="","",INDEX(tblTasks[Sujet],ROW()-6))</f>
      </c>
      <c r="C166" s="23">
        <f>=IF($A166="","",INDEX(tblTasks[Lot_Domaine],ROW()-6))</f>
      </c>
      <c r="D166" s="23">
        <f>=IF($A166="","",INDEX(tblTasks[Agent_source],ROW()-6))</f>
      </c>
      <c r="E166" s="23">
        <f>=IF($A166="","",INDEX(tblTasks[Responsable],ROW()-6))</f>
      </c>
      <c r="F166" s="23">
        <f>=IF($A166="","",INDEX(tblTasks[Statut],ROW()-6))</f>
      </c>
      <c r="G166" s="25">
        <f>=IF($A166="","",INDEX(tblTasks[Date_debut_prevue],ROW()-6))</f>
      </c>
      <c r="H166" s="25">
        <f>=IF($A166="","",INDEX(tblTasks[Date_fin_prevue],ROW()-6))</f>
      </c>
      <c r="I166" s="36">
        <f>=IF($A166="","",INDEX(tblTasks[Duree_jours],ROW()-6))</f>
      </c>
      <c r="J166" s="25">
        <f>=IF($A166="","",INDEX(tblTasks[Date_debut_reelle],ROW()-6))</f>
      </c>
      <c r="K166" s="25">
        <f>=IF($A166="","",INDEX(tblTasks[Date_fin_reelle],ROW()-6))</f>
      </c>
      <c r="L166" s="23">
        <f>=IF($A166="","",INDEX(tblTasks[Blocage],ROW()-6))</f>
      </c>
      <c r="M166" s="23">
        <f>=IF($A166="","",INDEX(tblTasks[Depend_de],ROW()-6))</f>
      </c>
      <c r="N166" s="23">
        <f>=IF($A166="","",INDEX(tblTasks[Non_negociable],ROW()-6))</f>
      </c>
      <c r="O166" s="23">
        <f>=IF($A166="","",INDEX(tblTasks[Seuil_de_reprise],ROW()-6))</f>
      </c>
      <c r="P166" s="23">
        <f>=IF($A166="","",INDEX(tblTasks[Donnee_manquante],ROW()-6))</f>
      </c>
      <c r="Q166" s="23">
        <f>=IF($A166="","",INDEX(tblTasks[Niveau_criticite],ROW()-6))</f>
      </c>
      <c r="R166" s="23">
        <f>=IF($A166="","",INDEX(tblTasks[Irreversibilite],ROW()-6))</f>
      </c>
      <c r="S166" s="23">
        <f>=IF($A166="","",INDEX(tblTasks[Decision_Emmanuel],ROW()-6))</f>
      </c>
      <c r="T166" s="24">
        <f>=IF($A166="","",INDEX(tblTasks[Commentaire_EKT],ROW()-6))</f>
      </c>
      <c r="U166" s="23">
        <f>=IF($A166="","",INDEX(tblTasks[Goulot],ROW()-6))</f>
      </c>
      <c r="V166" s="23">
        <f>=IF($A166="","",INDEX(tblTasks[Point_de_bascule],ROW()-6))</f>
      </c>
      <c r="W166" s="37">
        <f>IF($A166="","",IF(AND(OR(param_filtre_statut="tous",LOWER($F166)=LOWER(param_filtre_statut)),OR(param_filtre_agent="tous",LOWER($D166)=LOWER(param_filtre_agent),LOWER($E166)=LOWER(param_filtre_agent)),OR(param_filtre_criticite="toutes",LOWER($Q166)=LOWER(param_filtre_criticite))),"oui","non"))</f>
      </c>
      <c r="X166" s="37">
        <f>IF($A166="","",IF(OR(LOWER($F166)="bloqué",LOWER($L166)="oui"),"oui","non"))</f>
      </c>
      <c r="Y166" s="37">
        <f>IF($A166="","",IF(OR(LOWER($Q166)="critique",LOWER($U166)="oui",LOWER($V166)="oui"),"oui","non"))</f>
      </c>
      <c r="Z166" s="37">
        <f>IF($A166="","",IF(AND($S166&lt;&gt;"",LOWER($S166)&lt;&gt;"tranchée",LOWER($S166)&lt;&gt;"sans objet",LOWER($S166)&lt;&gt;"clos"),"oui","non"))</f>
      </c>
      <c r="AA166" s="37">
        <f>IF($A166="","",IF($P166&lt;&gt;"","oui","non"))</f>
      </c>
      <c r="AB166" s="37">
        <f>IF($A166="","",IF(OR(LOWER($F166)="non réouvrable",LOWER($R166)="forte"),"oui","non"))</f>
      </c>
    </row>
    <row r="167" spans="1:28" x14ac:dyDescent="0.25">
      <c r="A167" s="23">
        <f>IFERROR(INDEX(tblTasks[ID],ROW()-6),"")</f>
      </c>
      <c r="B167" s="24">
        <f>=IF($A167="","",INDEX(tblTasks[Sujet],ROW()-6))</f>
      </c>
      <c r="C167" s="23">
        <f>=IF($A167="","",INDEX(tblTasks[Lot_Domaine],ROW()-6))</f>
      </c>
      <c r="D167" s="23">
        <f>=IF($A167="","",INDEX(tblTasks[Agent_source],ROW()-6))</f>
      </c>
      <c r="E167" s="23">
        <f>=IF($A167="","",INDEX(tblTasks[Responsable],ROW()-6))</f>
      </c>
      <c r="F167" s="23">
        <f>=IF($A167="","",INDEX(tblTasks[Statut],ROW()-6))</f>
      </c>
      <c r="G167" s="25">
        <f>=IF($A167="","",INDEX(tblTasks[Date_debut_prevue],ROW()-6))</f>
      </c>
      <c r="H167" s="25">
        <f>=IF($A167="","",INDEX(tblTasks[Date_fin_prevue],ROW()-6))</f>
      </c>
      <c r="I167" s="36">
        <f>=IF($A167="","",INDEX(tblTasks[Duree_jours],ROW()-6))</f>
      </c>
      <c r="J167" s="25">
        <f>=IF($A167="","",INDEX(tblTasks[Date_debut_reelle],ROW()-6))</f>
      </c>
      <c r="K167" s="25">
        <f>=IF($A167="","",INDEX(tblTasks[Date_fin_reelle],ROW()-6))</f>
      </c>
      <c r="L167" s="23">
        <f>=IF($A167="","",INDEX(tblTasks[Blocage],ROW()-6))</f>
      </c>
      <c r="M167" s="23">
        <f>=IF($A167="","",INDEX(tblTasks[Depend_de],ROW()-6))</f>
      </c>
      <c r="N167" s="23">
        <f>=IF($A167="","",INDEX(tblTasks[Non_negociable],ROW()-6))</f>
      </c>
      <c r="O167" s="23">
        <f>=IF($A167="","",INDEX(tblTasks[Seuil_de_reprise],ROW()-6))</f>
      </c>
      <c r="P167" s="23">
        <f>=IF($A167="","",INDEX(tblTasks[Donnee_manquante],ROW()-6))</f>
      </c>
      <c r="Q167" s="23">
        <f>=IF($A167="","",INDEX(tblTasks[Niveau_criticite],ROW()-6))</f>
      </c>
      <c r="R167" s="23">
        <f>=IF($A167="","",INDEX(tblTasks[Irreversibilite],ROW()-6))</f>
      </c>
      <c r="S167" s="23">
        <f>=IF($A167="","",INDEX(tblTasks[Decision_Emmanuel],ROW()-6))</f>
      </c>
      <c r="T167" s="24">
        <f>=IF($A167="","",INDEX(tblTasks[Commentaire_EKT],ROW()-6))</f>
      </c>
      <c r="U167" s="23">
        <f>=IF($A167="","",INDEX(tblTasks[Goulot],ROW()-6))</f>
      </c>
      <c r="V167" s="23">
        <f>=IF($A167="","",INDEX(tblTasks[Point_de_bascule],ROW()-6))</f>
      </c>
      <c r="W167" s="37">
        <f>IF($A167="","",IF(AND(OR(param_filtre_statut="tous",LOWER($F167)=LOWER(param_filtre_statut)),OR(param_filtre_agent="tous",LOWER($D167)=LOWER(param_filtre_agent),LOWER($E167)=LOWER(param_filtre_agent)),OR(param_filtre_criticite="toutes",LOWER($Q167)=LOWER(param_filtre_criticite))),"oui","non"))</f>
      </c>
      <c r="X167" s="37">
        <f>IF($A167="","",IF(OR(LOWER($F167)="bloqué",LOWER($L167)="oui"),"oui","non"))</f>
      </c>
      <c r="Y167" s="37">
        <f>IF($A167="","",IF(OR(LOWER($Q167)="critique",LOWER($U167)="oui",LOWER($V167)="oui"),"oui","non"))</f>
      </c>
      <c r="Z167" s="37">
        <f>IF($A167="","",IF(AND($S167&lt;&gt;"",LOWER($S167)&lt;&gt;"tranchée",LOWER($S167)&lt;&gt;"sans objet",LOWER($S167)&lt;&gt;"clos"),"oui","non"))</f>
      </c>
      <c r="AA167" s="37">
        <f>IF($A167="","",IF($P167&lt;&gt;"","oui","non"))</f>
      </c>
      <c r="AB167" s="37">
        <f>IF($A167="","",IF(OR(LOWER($F167)="non réouvrable",LOWER($R167)="forte"),"oui","non"))</f>
      </c>
    </row>
    <row r="168" spans="1:28" x14ac:dyDescent="0.25">
      <c r="A168" s="23">
        <f>IFERROR(INDEX(tblTasks[ID],ROW()-6),"")</f>
      </c>
      <c r="B168" s="24">
        <f>=IF($A168="","",INDEX(tblTasks[Sujet],ROW()-6))</f>
      </c>
      <c r="C168" s="23">
        <f>=IF($A168="","",INDEX(tblTasks[Lot_Domaine],ROW()-6))</f>
      </c>
      <c r="D168" s="23">
        <f>=IF($A168="","",INDEX(tblTasks[Agent_source],ROW()-6))</f>
      </c>
      <c r="E168" s="23">
        <f>=IF($A168="","",INDEX(tblTasks[Responsable],ROW()-6))</f>
      </c>
      <c r="F168" s="23">
        <f>=IF($A168="","",INDEX(tblTasks[Statut],ROW()-6))</f>
      </c>
      <c r="G168" s="25">
        <f>=IF($A168="","",INDEX(tblTasks[Date_debut_prevue],ROW()-6))</f>
      </c>
      <c r="H168" s="25">
        <f>=IF($A168="","",INDEX(tblTasks[Date_fin_prevue],ROW()-6))</f>
      </c>
      <c r="I168" s="36">
        <f>=IF($A168="","",INDEX(tblTasks[Duree_jours],ROW()-6))</f>
      </c>
      <c r="J168" s="25">
        <f>=IF($A168="","",INDEX(tblTasks[Date_debut_reelle],ROW()-6))</f>
      </c>
      <c r="K168" s="25">
        <f>=IF($A168="","",INDEX(tblTasks[Date_fin_reelle],ROW()-6))</f>
      </c>
      <c r="L168" s="23">
        <f>=IF($A168="","",INDEX(tblTasks[Blocage],ROW()-6))</f>
      </c>
      <c r="M168" s="23">
        <f>=IF($A168="","",INDEX(tblTasks[Depend_de],ROW()-6))</f>
      </c>
      <c r="N168" s="23">
        <f>=IF($A168="","",INDEX(tblTasks[Non_negociable],ROW()-6))</f>
      </c>
      <c r="O168" s="23">
        <f>=IF($A168="","",INDEX(tblTasks[Seuil_de_reprise],ROW()-6))</f>
      </c>
      <c r="P168" s="23">
        <f>=IF($A168="","",INDEX(tblTasks[Donnee_manquante],ROW()-6))</f>
      </c>
      <c r="Q168" s="23">
        <f>=IF($A168="","",INDEX(tblTasks[Niveau_criticite],ROW()-6))</f>
      </c>
      <c r="R168" s="23">
        <f>=IF($A168="","",INDEX(tblTasks[Irreversibilite],ROW()-6))</f>
      </c>
      <c r="S168" s="23">
        <f>=IF($A168="","",INDEX(tblTasks[Decision_Emmanuel],ROW()-6))</f>
      </c>
      <c r="T168" s="24">
        <f>=IF($A168="","",INDEX(tblTasks[Commentaire_EKT],ROW()-6))</f>
      </c>
      <c r="U168" s="23">
        <f>=IF($A168="","",INDEX(tblTasks[Goulot],ROW()-6))</f>
      </c>
      <c r="V168" s="23">
        <f>=IF($A168="","",INDEX(tblTasks[Point_de_bascule],ROW()-6))</f>
      </c>
      <c r="W168" s="37">
        <f>IF($A168="","",IF(AND(OR(param_filtre_statut="tous",LOWER($F168)=LOWER(param_filtre_statut)),OR(param_filtre_agent="tous",LOWER($D168)=LOWER(param_filtre_agent),LOWER($E168)=LOWER(param_filtre_agent)),OR(param_filtre_criticite="toutes",LOWER($Q168)=LOWER(param_filtre_criticite))),"oui","non"))</f>
      </c>
      <c r="X168" s="37">
        <f>IF($A168="","",IF(OR(LOWER($F168)="bloqué",LOWER($L168)="oui"),"oui","non"))</f>
      </c>
      <c r="Y168" s="37">
        <f>IF($A168="","",IF(OR(LOWER($Q168)="critique",LOWER($U168)="oui",LOWER($V168)="oui"),"oui","non"))</f>
      </c>
      <c r="Z168" s="37">
        <f>IF($A168="","",IF(AND($S168&lt;&gt;"",LOWER($S168)&lt;&gt;"tranchée",LOWER($S168)&lt;&gt;"sans objet",LOWER($S168)&lt;&gt;"clos"),"oui","non"))</f>
      </c>
      <c r="AA168" s="37">
        <f>IF($A168="","",IF($P168&lt;&gt;"","oui","non"))</f>
      </c>
      <c r="AB168" s="37">
        <f>IF($A168="","",IF(OR(LOWER($F168)="non réouvrable",LOWER($R168)="forte"),"oui","non"))</f>
      </c>
    </row>
    <row r="169" spans="1:28" x14ac:dyDescent="0.25">
      <c r="A169" s="23">
        <f>IFERROR(INDEX(tblTasks[ID],ROW()-6),"")</f>
      </c>
      <c r="B169" s="24">
        <f>=IF($A169="","",INDEX(tblTasks[Sujet],ROW()-6))</f>
      </c>
      <c r="C169" s="23">
        <f>=IF($A169="","",INDEX(tblTasks[Lot_Domaine],ROW()-6))</f>
      </c>
      <c r="D169" s="23">
        <f>=IF($A169="","",INDEX(tblTasks[Agent_source],ROW()-6))</f>
      </c>
      <c r="E169" s="23">
        <f>=IF($A169="","",INDEX(tblTasks[Responsable],ROW()-6))</f>
      </c>
      <c r="F169" s="23">
        <f>=IF($A169="","",INDEX(tblTasks[Statut],ROW()-6))</f>
      </c>
      <c r="G169" s="25">
        <f>=IF($A169="","",INDEX(tblTasks[Date_debut_prevue],ROW()-6))</f>
      </c>
      <c r="H169" s="25">
        <f>=IF($A169="","",INDEX(tblTasks[Date_fin_prevue],ROW()-6))</f>
      </c>
      <c r="I169" s="36">
        <f>=IF($A169="","",INDEX(tblTasks[Duree_jours],ROW()-6))</f>
      </c>
      <c r="J169" s="25">
        <f>=IF($A169="","",INDEX(tblTasks[Date_debut_reelle],ROW()-6))</f>
      </c>
      <c r="K169" s="25">
        <f>=IF($A169="","",INDEX(tblTasks[Date_fin_reelle],ROW()-6))</f>
      </c>
      <c r="L169" s="23">
        <f>=IF($A169="","",INDEX(tblTasks[Blocage],ROW()-6))</f>
      </c>
      <c r="M169" s="23">
        <f>=IF($A169="","",INDEX(tblTasks[Depend_de],ROW()-6))</f>
      </c>
      <c r="N169" s="23">
        <f>=IF($A169="","",INDEX(tblTasks[Non_negociable],ROW()-6))</f>
      </c>
      <c r="O169" s="23">
        <f>=IF($A169="","",INDEX(tblTasks[Seuil_de_reprise],ROW()-6))</f>
      </c>
      <c r="P169" s="23">
        <f>=IF($A169="","",INDEX(tblTasks[Donnee_manquante],ROW()-6))</f>
      </c>
      <c r="Q169" s="23">
        <f>=IF($A169="","",INDEX(tblTasks[Niveau_criticite],ROW()-6))</f>
      </c>
      <c r="R169" s="23">
        <f>=IF($A169="","",INDEX(tblTasks[Irreversibilite],ROW()-6))</f>
      </c>
      <c r="S169" s="23">
        <f>=IF($A169="","",INDEX(tblTasks[Decision_Emmanuel],ROW()-6))</f>
      </c>
      <c r="T169" s="24">
        <f>=IF($A169="","",INDEX(tblTasks[Commentaire_EKT],ROW()-6))</f>
      </c>
      <c r="U169" s="23">
        <f>=IF($A169="","",INDEX(tblTasks[Goulot],ROW()-6))</f>
      </c>
      <c r="V169" s="23">
        <f>=IF($A169="","",INDEX(tblTasks[Point_de_bascule],ROW()-6))</f>
      </c>
      <c r="W169" s="37">
        <f>IF($A169="","",IF(AND(OR(param_filtre_statut="tous",LOWER($F169)=LOWER(param_filtre_statut)),OR(param_filtre_agent="tous",LOWER($D169)=LOWER(param_filtre_agent),LOWER($E169)=LOWER(param_filtre_agent)),OR(param_filtre_criticite="toutes",LOWER($Q169)=LOWER(param_filtre_criticite))),"oui","non"))</f>
      </c>
      <c r="X169" s="37">
        <f>IF($A169="","",IF(OR(LOWER($F169)="bloqué",LOWER($L169)="oui"),"oui","non"))</f>
      </c>
      <c r="Y169" s="37">
        <f>IF($A169="","",IF(OR(LOWER($Q169)="critique",LOWER($U169)="oui",LOWER($V169)="oui"),"oui","non"))</f>
      </c>
      <c r="Z169" s="37">
        <f>IF($A169="","",IF(AND($S169&lt;&gt;"",LOWER($S169)&lt;&gt;"tranchée",LOWER($S169)&lt;&gt;"sans objet",LOWER($S169)&lt;&gt;"clos"),"oui","non"))</f>
      </c>
      <c r="AA169" s="37">
        <f>IF($A169="","",IF($P169&lt;&gt;"","oui","non"))</f>
      </c>
      <c r="AB169" s="37">
        <f>IF($A169="","",IF(OR(LOWER($F169)="non réouvrable",LOWER($R169)="forte"),"oui","non"))</f>
      </c>
    </row>
    <row r="170" spans="1:28" x14ac:dyDescent="0.25">
      <c r="A170" s="23">
        <f>IFERROR(INDEX(tblTasks[ID],ROW()-6),"")</f>
      </c>
      <c r="B170" s="24">
        <f>=IF($A170="","",INDEX(tblTasks[Sujet],ROW()-6))</f>
      </c>
      <c r="C170" s="23">
        <f>=IF($A170="","",INDEX(tblTasks[Lot_Domaine],ROW()-6))</f>
      </c>
      <c r="D170" s="23">
        <f>=IF($A170="","",INDEX(tblTasks[Agent_source],ROW()-6))</f>
      </c>
      <c r="E170" s="23">
        <f>=IF($A170="","",INDEX(tblTasks[Responsable],ROW()-6))</f>
      </c>
      <c r="F170" s="23">
        <f>=IF($A170="","",INDEX(tblTasks[Statut],ROW()-6))</f>
      </c>
      <c r="G170" s="25">
        <f>=IF($A170="","",INDEX(tblTasks[Date_debut_prevue],ROW()-6))</f>
      </c>
      <c r="H170" s="25">
        <f>=IF($A170="","",INDEX(tblTasks[Date_fin_prevue],ROW()-6))</f>
      </c>
      <c r="I170" s="36">
        <f>=IF($A170="","",INDEX(tblTasks[Duree_jours],ROW()-6))</f>
      </c>
      <c r="J170" s="25">
        <f>=IF($A170="","",INDEX(tblTasks[Date_debut_reelle],ROW()-6))</f>
      </c>
      <c r="K170" s="25">
        <f>=IF($A170="","",INDEX(tblTasks[Date_fin_reelle],ROW()-6))</f>
      </c>
      <c r="L170" s="23">
        <f>=IF($A170="","",INDEX(tblTasks[Blocage],ROW()-6))</f>
      </c>
      <c r="M170" s="23">
        <f>=IF($A170="","",INDEX(tblTasks[Depend_de],ROW()-6))</f>
      </c>
      <c r="N170" s="23">
        <f>=IF($A170="","",INDEX(tblTasks[Non_negociable],ROW()-6))</f>
      </c>
      <c r="O170" s="23">
        <f>=IF($A170="","",INDEX(tblTasks[Seuil_de_reprise],ROW()-6))</f>
      </c>
      <c r="P170" s="23">
        <f>=IF($A170="","",INDEX(tblTasks[Donnee_manquante],ROW()-6))</f>
      </c>
      <c r="Q170" s="23">
        <f>=IF($A170="","",INDEX(tblTasks[Niveau_criticite],ROW()-6))</f>
      </c>
      <c r="R170" s="23">
        <f>=IF($A170="","",INDEX(tblTasks[Irreversibilite],ROW()-6))</f>
      </c>
      <c r="S170" s="23">
        <f>=IF($A170="","",INDEX(tblTasks[Decision_Emmanuel],ROW()-6))</f>
      </c>
      <c r="T170" s="24">
        <f>=IF($A170="","",INDEX(tblTasks[Commentaire_EKT],ROW()-6))</f>
      </c>
      <c r="U170" s="23">
        <f>=IF($A170="","",INDEX(tblTasks[Goulot],ROW()-6))</f>
      </c>
      <c r="V170" s="23">
        <f>=IF($A170="","",INDEX(tblTasks[Point_de_bascule],ROW()-6))</f>
      </c>
      <c r="W170" s="37">
        <f>IF($A170="","",IF(AND(OR(param_filtre_statut="tous",LOWER($F170)=LOWER(param_filtre_statut)),OR(param_filtre_agent="tous",LOWER($D170)=LOWER(param_filtre_agent),LOWER($E170)=LOWER(param_filtre_agent)),OR(param_filtre_criticite="toutes",LOWER($Q170)=LOWER(param_filtre_criticite))),"oui","non"))</f>
      </c>
      <c r="X170" s="37">
        <f>IF($A170="","",IF(OR(LOWER($F170)="bloqué",LOWER($L170)="oui"),"oui","non"))</f>
      </c>
      <c r="Y170" s="37">
        <f>IF($A170="","",IF(OR(LOWER($Q170)="critique",LOWER($U170)="oui",LOWER($V170)="oui"),"oui","non"))</f>
      </c>
      <c r="Z170" s="37">
        <f>IF($A170="","",IF(AND($S170&lt;&gt;"",LOWER($S170)&lt;&gt;"tranchée",LOWER($S170)&lt;&gt;"sans objet",LOWER($S170)&lt;&gt;"clos"),"oui","non"))</f>
      </c>
      <c r="AA170" s="37">
        <f>IF($A170="","",IF($P170&lt;&gt;"","oui","non"))</f>
      </c>
      <c r="AB170" s="37">
        <f>IF($A170="","",IF(OR(LOWER($F170)="non réouvrable",LOWER($R170)="forte"),"oui","non"))</f>
      </c>
    </row>
    <row r="171" spans="1:28" x14ac:dyDescent="0.25">
      <c r="A171" s="23">
        <f>IFERROR(INDEX(tblTasks[ID],ROW()-6),"")</f>
      </c>
      <c r="B171" s="24">
        <f>=IF($A171="","",INDEX(tblTasks[Sujet],ROW()-6))</f>
      </c>
      <c r="C171" s="23">
        <f>=IF($A171="","",INDEX(tblTasks[Lot_Domaine],ROW()-6))</f>
      </c>
      <c r="D171" s="23">
        <f>=IF($A171="","",INDEX(tblTasks[Agent_source],ROW()-6))</f>
      </c>
      <c r="E171" s="23">
        <f>=IF($A171="","",INDEX(tblTasks[Responsable],ROW()-6))</f>
      </c>
      <c r="F171" s="23">
        <f>=IF($A171="","",INDEX(tblTasks[Statut],ROW()-6))</f>
      </c>
      <c r="G171" s="25">
        <f>=IF($A171="","",INDEX(tblTasks[Date_debut_prevue],ROW()-6))</f>
      </c>
      <c r="H171" s="25">
        <f>=IF($A171="","",INDEX(tblTasks[Date_fin_prevue],ROW()-6))</f>
      </c>
      <c r="I171" s="36">
        <f>=IF($A171="","",INDEX(tblTasks[Duree_jours],ROW()-6))</f>
      </c>
      <c r="J171" s="25">
        <f>=IF($A171="","",INDEX(tblTasks[Date_debut_reelle],ROW()-6))</f>
      </c>
      <c r="K171" s="25">
        <f>=IF($A171="","",INDEX(tblTasks[Date_fin_reelle],ROW()-6))</f>
      </c>
      <c r="L171" s="23">
        <f>=IF($A171="","",INDEX(tblTasks[Blocage],ROW()-6))</f>
      </c>
      <c r="M171" s="23">
        <f>=IF($A171="","",INDEX(tblTasks[Depend_de],ROW()-6))</f>
      </c>
      <c r="N171" s="23">
        <f>=IF($A171="","",INDEX(tblTasks[Non_negociable],ROW()-6))</f>
      </c>
      <c r="O171" s="23">
        <f>=IF($A171="","",INDEX(tblTasks[Seuil_de_reprise],ROW()-6))</f>
      </c>
      <c r="P171" s="23">
        <f>=IF($A171="","",INDEX(tblTasks[Donnee_manquante],ROW()-6))</f>
      </c>
      <c r="Q171" s="23">
        <f>=IF($A171="","",INDEX(tblTasks[Niveau_criticite],ROW()-6))</f>
      </c>
      <c r="R171" s="23">
        <f>=IF($A171="","",INDEX(tblTasks[Irreversibilite],ROW()-6))</f>
      </c>
      <c r="S171" s="23">
        <f>=IF($A171="","",INDEX(tblTasks[Decision_Emmanuel],ROW()-6))</f>
      </c>
      <c r="T171" s="24">
        <f>=IF($A171="","",INDEX(tblTasks[Commentaire_EKT],ROW()-6))</f>
      </c>
      <c r="U171" s="23">
        <f>=IF($A171="","",INDEX(tblTasks[Goulot],ROW()-6))</f>
      </c>
      <c r="V171" s="23">
        <f>=IF($A171="","",INDEX(tblTasks[Point_de_bascule],ROW()-6))</f>
      </c>
      <c r="W171" s="37">
        <f>IF($A171="","",IF(AND(OR(param_filtre_statut="tous",LOWER($F171)=LOWER(param_filtre_statut)),OR(param_filtre_agent="tous",LOWER($D171)=LOWER(param_filtre_agent),LOWER($E171)=LOWER(param_filtre_agent)),OR(param_filtre_criticite="toutes",LOWER($Q171)=LOWER(param_filtre_criticite))),"oui","non"))</f>
      </c>
      <c r="X171" s="37">
        <f>IF($A171="","",IF(OR(LOWER($F171)="bloqué",LOWER($L171)="oui"),"oui","non"))</f>
      </c>
      <c r="Y171" s="37">
        <f>IF($A171="","",IF(OR(LOWER($Q171)="critique",LOWER($U171)="oui",LOWER($V171)="oui"),"oui","non"))</f>
      </c>
      <c r="Z171" s="37">
        <f>IF($A171="","",IF(AND($S171&lt;&gt;"",LOWER($S171)&lt;&gt;"tranchée",LOWER($S171)&lt;&gt;"sans objet",LOWER($S171)&lt;&gt;"clos"),"oui","non"))</f>
      </c>
      <c r="AA171" s="37">
        <f>IF($A171="","",IF($P171&lt;&gt;"","oui","non"))</f>
      </c>
      <c r="AB171" s="37">
        <f>IF($A171="","",IF(OR(LOWER($F171)="non réouvrable",LOWER($R171)="forte"),"oui","non"))</f>
      </c>
    </row>
    <row r="172" spans="1:28" x14ac:dyDescent="0.25">
      <c r="A172" s="23">
        <f>IFERROR(INDEX(tblTasks[ID],ROW()-6),"")</f>
      </c>
      <c r="B172" s="24">
        <f>=IF($A172="","",INDEX(tblTasks[Sujet],ROW()-6))</f>
      </c>
      <c r="C172" s="23">
        <f>=IF($A172="","",INDEX(tblTasks[Lot_Domaine],ROW()-6))</f>
      </c>
      <c r="D172" s="23">
        <f>=IF($A172="","",INDEX(tblTasks[Agent_source],ROW()-6))</f>
      </c>
      <c r="E172" s="23">
        <f>=IF($A172="","",INDEX(tblTasks[Responsable],ROW()-6))</f>
      </c>
      <c r="F172" s="23">
        <f>=IF($A172="","",INDEX(tblTasks[Statut],ROW()-6))</f>
      </c>
      <c r="G172" s="25">
        <f>=IF($A172="","",INDEX(tblTasks[Date_debut_prevue],ROW()-6))</f>
      </c>
      <c r="H172" s="25">
        <f>=IF($A172="","",INDEX(tblTasks[Date_fin_prevue],ROW()-6))</f>
      </c>
      <c r="I172" s="36">
        <f>=IF($A172="","",INDEX(tblTasks[Duree_jours],ROW()-6))</f>
      </c>
      <c r="J172" s="25">
        <f>=IF($A172="","",INDEX(tblTasks[Date_debut_reelle],ROW()-6))</f>
      </c>
      <c r="K172" s="25">
        <f>=IF($A172="","",INDEX(tblTasks[Date_fin_reelle],ROW()-6))</f>
      </c>
      <c r="L172" s="23">
        <f>=IF($A172="","",INDEX(tblTasks[Blocage],ROW()-6))</f>
      </c>
      <c r="M172" s="23">
        <f>=IF($A172="","",INDEX(tblTasks[Depend_de],ROW()-6))</f>
      </c>
      <c r="N172" s="23">
        <f>=IF($A172="","",INDEX(tblTasks[Non_negociable],ROW()-6))</f>
      </c>
      <c r="O172" s="23">
        <f>=IF($A172="","",INDEX(tblTasks[Seuil_de_reprise],ROW()-6))</f>
      </c>
      <c r="P172" s="23">
        <f>=IF($A172="","",INDEX(tblTasks[Donnee_manquante],ROW()-6))</f>
      </c>
      <c r="Q172" s="23">
        <f>=IF($A172="","",INDEX(tblTasks[Niveau_criticite],ROW()-6))</f>
      </c>
      <c r="R172" s="23">
        <f>=IF($A172="","",INDEX(tblTasks[Irreversibilite],ROW()-6))</f>
      </c>
      <c r="S172" s="23">
        <f>=IF($A172="","",INDEX(tblTasks[Decision_Emmanuel],ROW()-6))</f>
      </c>
      <c r="T172" s="24">
        <f>=IF($A172="","",INDEX(tblTasks[Commentaire_EKT],ROW()-6))</f>
      </c>
      <c r="U172" s="23">
        <f>=IF($A172="","",INDEX(tblTasks[Goulot],ROW()-6))</f>
      </c>
      <c r="V172" s="23">
        <f>=IF($A172="","",INDEX(tblTasks[Point_de_bascule],ROW()-6))</f>
      </c>
      <c r="W172" s="37">
        <f>IF($A172="","",IF(AND(OR(param_filtre_statut="tous",LOWER($F172)=LOWER(param_filtre_statut)),OR(param_filtre_agent="tous",LOWER($D172)=LOWER(param_filtre_agent),LOWER($E172)=LOWER(param_filtre_agent)),OR(param_filtre_criticite="toutes",LOWER($Q172)=LOWER(param_filtre_criticite))),"oui","non"))</f>
      </c>
      <c r="X172" s="37">
        <f>IF($A172="","",IF(OR(LOWER($F172)="bloqué",LOWER($L172)="oui"),"oui","non"))</f>
      </c>
      <c r="Y172" s="37">
        <f>IF($A172="","",IF(OR(LOWER($Q172)="critique",LOWER($U172)="oui",LOWER($V172)="oui"),"oui","non"))</f>
      </c>
      <c r="Z172" s="37">
        <f>IF($A172="","",IF(AND($S172&lt;&gt;"",LOWER($S172)&lt;&gt;"tranchée",LOWER($S172)&lt;&gt;"sans objet",LOWER($S172)&lt;&gt;"clos"),"oui","non"))</f>
      </c>
      <c r="AA172" s="37">
        <f>IF($A172="","",IF($P172&lt;&gt;"","oui","non"))</f>
      </c>
      <c r="AB172" s="37">
        <f>IF($A172="","",IF(OR(LOWER($F172)="non réouvrable",LOWER($R172)="forte"),"oui","non"))</f>
      </c>
    </row>
    <row r="173" spans="1:28" x14ac:dyDescent="0.25">
      <c r="A173" s="23">
        <f>IFERROR(INDEX(tblTasks[ID],ROW()-6),"")</f>
      </c>
      <c r="B173" s="24">
        <f>=IF($A173="","",INDEX(tblTasks[Sujet],ROW()-6))</f>
      </c>
      <c r="C173" s="23">
        <f>=IF($A173="","",INDEX(tblTasks[Lot_Domaine],ROW()-6))</f>
      </c>
      <c r="D173" s="23">
        <f>=IF($A173="","",INDEX(tblTasks[Agent_source],ROW()-6))</f>
      </c>
      <c r="E173" s="23">
        <f>=IF($A173="","",INDEX(tblTasks[Responsable],ROW()-6))</f>
      </c>
      <c r="F173" s="23">
        <f>=IF($A173="","",INDEX(tblTasks[Statut],ROW()-6))</f>
      </c>
      <c r="G173" s="25">
        <f>=IF($A173="","",INDEX(tblTasks[Date_debut_prevue],ROW()-6))</f>
      </c>
      <c r="H173" s="25">
        <f>=IF($A173="","",INDEX(tblTasks[Date_fin_prevue],ROW()-6))</f>
      </c>
      <c r="I173" s="36">
        <f>=IF($A173="","",INDEX(tblTasks[Duree_jours],ROW()-6))</f>
      </c>
      <c r="J173" s="25">
        <f>=IF($A173="","",INDEX(tblTasks[Date_debut_reelle],ROW()-6))</f>
      </c>
      <c r="K173" s="25">
        <f>=IF($A173="","",INDEX(tblTasks[Date_fin_reelle],ROW()-6))</f>
      </c>
      <c r="L173" s="23">
        <f>=IF($A173="","",INDEX(tblTasks[Blocage],ROW()-6))</f>
      </c>
      <c r="M173" s="23">
        <f>=IF($A173="","",INDEX(tblTasks[Depend_de],ROW()-6))</f>
      </c>
      <c r="N173" s="23">
        <f>=IF($A173="","",INDEX(tblTasks[Non_negociable],ROW()-6))</f>
      </c>
      <c r="O173" s="23">
        <f>=IF($A173="","",INDEX(tblTasks[Seuil_de_reprise],ROW()-6))</f>
      </c>
      <c r="P173" s="23">
        <f>=IF($A173="","",INDEX(tblTasks[Donnee_manquante],ROW()-6))</f>
      </c>
      <c r="Q173" s="23">
        <f>=IF($A173="","",INDEX(tblTasks[Niveau_criticite],ROW()-6))</f>
      </c>
      <c r="R173" s="23">
        <f>=IF($A173="","",INDEX(tblTasks[Irreversibilite],ROW()-6))</f>
      </c>
      <c r="S173" s="23">
        <f>=IF($A173="","",INDEX(tblTasks[Decision_Emmanuel],ROW()-6))</f>
      </c>
      <c r="T173" s="24">
        <f>=IF($A173="","",INDEX(tblTasks[Commentaire_EKT],ROW()-6))</f>
      </c>
      <c r="U173" s="23">
        <f>=IF($A173="","",INDEX(tblTasks[Goulot],ROW()-6))</f>
      </c>
      <c r="V173" s="23">
        <f>=IF($A173="","",INDEX(tblTasks[Point_de_bascule],ROW()-6))</f>
      </c>
      <c r="W173" s="37">
        <f>IF($A173="","",IF(AND(OR(param_filtre_statut="tous",LOWER($F173)=LOWER(param_filtre_statut)),OR(param_filtre_agent="tous",LOWER($D173)=LOWER(param_filtre_agent),LOWER($E173)=LOWER(param_filtre_agent)),OR(param_filtre_criticite="toutes",LOWER($Q173)=LOWER(param_filtre_criticite))),"oui","non"))</f>
      </c>
      <c r="X173" s="37">
        <f>IF($A173="","",IF(OR(LOWER($F173)="bloqué",LOWER($L173)="oui"),"oui","non"))</f>
      </c>
      <c r="Y173" s="37">
        <f>IF($A173="","",IF(OR(LOWER($Q173)="critique",LOWER($U173)="oui",LOWER($V173)="oui"),"oui","non"))</f>
      </c>
      <c r="Z173" s="37">
        <f>IF($A173="","",IF(AND($S173&lt;&gt;"",LOWER($S173)&lt;&gt;"tranchée",LOWER($S173)&lt;&gt;"sans objet",LOWER($S173)&lt;&gt;"clos"),"oui","non"))</f>
      </c>
      <c r="AA173" s="37">
        <f>IF($A173="","",IF($P173&lt;&gt;"","oui","non"))</f>
      </c>
      <c r="AB173" s="37">
        <f>IF($A173="","",IF(OR(LOWER($F173)="non réouvrable",LOWER($R173)="forte"),"oui","non"))</f>
      </c>
    </row>
    <row r="174" spans="1:28" x14ac:dyDescent="0.25">
      <c r="A174" s="23">
        <f>IFERROR(INDEX(tblTasks[ID],ROW()-6),"")</f>
      </c>
      <c r="B174" s="24">
        <f>=IF($A174="","",INDEX(tblTasks[Sujet],ROW()-6))</f>
      </c>
      <c r="C174" s="23">
        <f>=IF($A174="","",INDEX(tblTasks[Lot_Domaine],ROW()-6))</f>
      </c>
      <c r="D174" s="23">
        <f>=IF($A174="","",INDEX(tblTasks[Agent_source],ROW()-6))</f>
      </c>
      <c r="E174" s="23">
        <f>=IF($A174="","",INDEX(tblTasks[Responsable],ROW()-6))</f>
      </c>
      <c r="F174" s="23">
        <f>=IF($A174="","",INDEX(tblTasks[Statut],ROW()-6))</f>
      </c>
      <c r="G174" s="25">
        <f>=IF($A174="","",INDEX(tblTasks[Date_debut_prevue],ROW()-6))</f>
      </c>
      <c r="H174" s="25">
        <f>=IF($A174="","",INDEX(tblTasks[Date_fin_prevue],ROW()-6))</f>
      </c>
      <c r="I174" s="36">
        <f>=IF($A174="","",INDEX(tblTasks[Duree_jours],ROW()-6))</f>
      </c>
      <c r="J174" s="25">
        <f>=IF($A174="","",INDEX(tblTasks[Date_debut_reelle],ROW()-6))</f>
      </c>
      <c r="K174" s="25">
        <f>=IF($A174="","",INDEX(tblTasks[Date_fin_reelle],ROW()-6))</f>
      </c>
      <c r="L174" s="23">
        <f>=IF($A174="","",INDEX(tblTasks[Blocage],ROW()-6))</f>
      </c>
      <c r="M174" s="23">
        <f>=IF($A174="","",INDEX(tblTasks[Depend_de],ROW()-6))</f>
      </c>
      <c r="N174" s="23">
        <f>=IF($A174="","",INDEX(tblTasks[Non_negociable],ROW()-6))</f>
      </c>
      <c r="O174" s="23">
        <f>=IF($A174="","",INDEX(tblTasks[Seuil_de_reprise],ROW()-6))</f>
      </c>
      <c r="P174" s="23">
        <f>=IF($A174="","",INDEX(tblTasks[Donnee_manquante],ROW()-6))</f>
      </c>
      <c r="Q174" s="23">
        <f>=IF($A174="","",INDEX(tblTasks[Niveau_criticite],ROW()-6))</f>
      </c>
      <c r="R174" s="23">
        <f>=IF($A174="","",INDEX(tblTasks[Irreversibilite],ROW()-6))</f>
      </c>
      <c r="S174" s="23">
        <f>=IF($A174="","",INDEX(tblTasks[Decision_Emmanuel],ROW()-6))</f>
      </c>
      <c r="T174" s="24">
        <f>=IF($A174="","",INDEX(tblTasks[Commentaire_EKT],ROW()-6))</f>
      </c>
      <c r="U174" s="23">
        <f>=IF($A174="","",INDEX(tblTasks[Goulot],ROW()-6))</f>
      </c>
      <c r="V174" s="23">
        <f>=IF($A174="","",INDEX(tblTasks[Point_de_bascule],ROW()-6))</f>
      </c>
      <c r="W174" s="37">
        <f>IF($A174="","",IF(AND(OR(param_filtre_statut="tous",LOWER($F174)=LOWER(param_filtre_statut)),OR(param_filtre_agent="tous",LOWER($D174)=LOWER(param_filtre_agent),LOWER($E174)=LOWER(param_filtre_agent)),OR(param_filtre_criticite="toutes",LOWER($Q174)=LOWER(param_filtre_criticite))),"oui","non"))</f>
      </c>
      <c r="X174" s="37">
        <f>IF($A174="","",IF(OR(LOWER($F174)="bloqué",LOWER($L174)="oui"),"oui","non"))</f>
      </c>
      <c r="Y174" s="37">
        <f>IF($A174="","",IF(OR(LOWER($Q174)="critique",LOWER($U174)="oui",LOWER($V174)="oui"),"oui","non"))</f>
      </c>
      <c r="Z174" s="37">
        <f>IF($A174="","",IF(AND($S174&lt;&gt;"",LOWER($S174)&lt;&gt;"tranchée",LOWER($S174)&lt;&gt;"sans objet",LOWER($S174)&lt;&gt;"clos"),"oui","non"))</f>
      </c>
      <c r="AA174" s="37">
        <f>IF($A174="","",IF($P174&lt;&gt;"","oui","non"))</f>
      </c>
      <c r="AB174" s="37">
        <f>IF($A174="","",IF(OR(LOWER($F174)="non réouvrable",LOWER($R174)="forte"),"oui","non"))</f>
      </c>
    </row>
    <row r="175" spans="1:28" x14ac:dyDescent="0.25">
      <c r="A175" s="23">
        <f>IFERROR(INDEX(tblTasks[ID],ROW()-6),"")</f>
      </c>
      <c r="B175" s="24">
        <f>=IF($A175="","",INDEX(tblTasks[Sujet],ROW()-6))</f>
      </c>
      <c r="C175" s="23">
        <f>=IF($A175="","",INDEX(tblTasks[Lot_Domaine],ROW()-6))</f>
      </c>
      <c r="D175" s="23">
        <f>=IF($A175="","",INDEX(tblTasks[Agent_source],ROW()-6))</f>
      </c>
      <c r="E175" s="23">
        <f>=IF($A175="","",INDEX(tblTasks[Responsable],ROW()-6))</f>
      </c>
      <c r="F175" s="23">
        <f>=IF($A175="","",INDEX(tblTasks[Statut],ROW()-6))</f>
      </c>
      <c r="G175" s="25">
        <f>=IF($A175="","",INDEX(tblTasks[Date_debut_prevue],ROW()-6))</f>
      </c>
      <c r="H175" s="25">
        <f>=IF($A175="","",INDEX(tblTasks[Date_fin_prevue],ROW()-6))</f>
      </c>
      <c r="I175" s="36">
        <f>=IF($A175="","",INDEX(tblTasks[Duree_jours],ROW()-6))</f>
      </c>
      <c r="J175" s="25">
        <f>=IF($A175="","",INDEX(tblTasks[Date_debut_reelle],ROW()-6))</f>
      </c>
      <c r="K175" s="25">
        <f>=IF($A175="","",INDEX(tblTasks[Date_fin_reelle],ROW()-6))</f>
      </c>
      <c r="L175" s="23">
        <f>=IF($A175="","",INDEX(tblTasks[Blocage],ROW()-6))</f>
      </c>
      <c r="M175" s="23">
        <f>=IF($A175="","",INDEX(tblTasks[Depend_de],ROW()-6))</f>
      </c>
      <c r="N175" s="23">
        <f>=IF($A175="","",INDEX(tblTasks[Non_negociable],ROW()-6))</f>
      </c>
      <c r="O175" s="23">
        <f>=IF($A175="","",INDEX(tblTasks[Seuil_de_reprise],ROW()-6))</f>
      </c>
      <c r="P175" s="23">
        <f>=IF($A175="","",INDEX(tblTasks[Donnee_manquante],ROW()-6))</f>
      </c>
      <c r="Q175" s="23">
        <f>=IF($A175="","",INDEX(tblTasks[Niveau_criticite],ROW()-6))</f>
      </c>
      <c r="R175" s="23">
        <f>=IF($A175="","",INDEX(tblTasks[Irreversibilite],ROW()-6))</f>
      </c>
      <c r="S175" s="23">
        <f>=IF($A175="","",INDEX(tblTasks[Decision_Emmanuel],ROW()-6))</f>
      </c>
      <c r="T175" s="24">
        <f>=IF($A175="","",INDEX(tblTasks[Commentaire_EKT],ROW()-6))</f>
      </c>
      <c r="U175" s="23">
        <f>=IF($A175="","",INDEX(tblTasks[Goulot],ROW()-6))</f>
      </c>
      <c r="V175" s="23">
        <f>=IF($A175="","",INDEX(tblTasks[Point_de_bascule],ROW()-6))</f>
      </c>
      <c r="W175" s="37">
        <f>IF($A175="","",IF(AND(OR(param_filtre_statut="tous",LOWER($F175)=LOWER(param_filtre_statut)),OR(param_filtre_agent="tous",LOWER($D175)=LOWER(param_filtre_agent),LOWER($E175)=LOWER(param_filtre_agent)),OR(param_filtre_criticite="toutes",LOWER($Q175)=LOWER(param_filtre_criticite))),"oui","non"))</f>
      </c>
      <c r="X175" s="37">
        <f>IF($A175="","",IF(OR(LOWER($F175)="bloqué",LOWER($L175)="oui"),"oui","non"))</f>
      </c>
      <c r="Y175" s="37">
        <f>IF($A175="","",IF(OR(LOWER($Q175)="critique",LOWER($U175)="oui",LOWER($V175)="oui"),"oui","non"))</f>
      </c>
      <c r="Z175" s="37">
        <f>IF($A175="","",IF(AND($S175&lt;&gt;"",LOWER($S175)&lt;&gt;"tranchée",LOWER($S175)&lt;&gt;"sans objet",LOWER($S175)&lt;&gt;"clos"),"oui","non"))</f>
      </c>
      <c r="AA175" s="37">
        <f>IF($A175="","",IF($P175&lt;&gt;"","oui","non"))</f>
      </c>
      <c r="AB175" s="37">
        <f>IF($A175="","",IF(OR(LOWER($F175)="non réouvrable",LOWER($R175)="forte"),"oui","non"))</f>
      </c>
    </row>
    <row r="176" spans="1:28" x14ac:dyDescent="0.25">
      <c r="A176" s="23">
        <f>IFERROR(INDEX(tblTasks[ID],ROW()-6),"")</f>
      </c>
      <c r="B176" s="24">
        <f>=IF($A176="","",INDEX(tblTasks[Sujet],ROW()-6))</f>
      </c>
      <c r="C176" s="23">
        <f>=IF($A176="","",INDEX(tblTasks[Lot_Domaine],ROW()-6))</f>
      </c>
      <c r="D176" s="23">
        <f>=IF($A176="","",INDEX(tblTasks[Agent_source],ROW()-6))</f>
      </c>
      <c r="E176" s="23">
        <f>=IF($A176="","",INDEX(tblTasks[Responsable],ROW()-6))</f>
      </c>
      <c r="F176" s="23">
        <f>=IF($A176="","",INDEX(tblTasks[Statut],ROW()-6))</f>
      </c>
      <c r="G176" s="25">
        <f>=IF($A176="","",INDEX(tblTasks[Date_debut_prevue],ROW()-6))</f>
      </c>
      <c r="H176" s="25">
        <f>=IF($A176="","",INDEX(tblTasks[Date_fin_prevue],ROW()-6))</f>
      </c>
      <c r="I176" s="36">
        <f>=IF($A176="","",INDEX(tblTasks[Duree_jours],ROW()-6))</f>
      </c>
      <c r="J176" s="25">
        <f>=IF($A176="","",INDEX(tblTasks[Date_debut_reelle],ROW()-6))</f>
      </c>
      <c r="K176" s="25">
        <f>=IF($A176="","",INDEX(tblTasks[Date_fin_reelle],ROW()-6))</f>
      </c>
      <c r="L176" s="23">
        <f>=IF($A176="","",INDEX(tblTasks[Blocage],ROW()-6))</f>
      </c>
      <c r="M176" s="23">
        <f>=IF($A176="","",INDEX(tblTasks[Depend_de],ROW()-6))</f>
      </c>
      <c r="N176" s="23">
        <f>=IF($A176="","",INDEX(tblTasks[Non_negociable],ROW()-6))</f>
      </c>
      <c r="O176" s="23">
        <f>=IF($A176="","",INDEX(tblTasks[Seuil_de_reprise],ROW()-6))</f>
      </c>
      <c r="P176" s="23">
        <f>=IF($A176="","",INDEX(tblTasks[Donnee_manquante],ROW()-6))</f>
      </c>
      <c r="Q176" s="23">
        <f>=IF($A176="","",INDEX(tblTasks[Niveau_criticite],ROW()-6))</f>
      </c>
      <c r="R176" s="23">
        <f>=IF($A176="","",INDEX(tblTasks[Irreversibilite],ROW()-6))</f>
      </c>
      <c r="S176" s="23">
        <f>=IF($A176="","",INDEX(tblTasks[Decision_Emmanuel],ROW()-6))</f>
      </c>
      <c r="T176" s="24">
        <f>=IF($A176="","",INDEX(tblTasks[Commentaire_EKT],ROW()-6))</f>
      </c>
      <c r="U176" s="23">
        <f>=IF($A176="","",INDEX(tblTasks[Goulot],ROW()-6))</f>
      </c>
      <c r="V176" s="23">
        <f>=IF($A176="","",INDEX(tblTasks[Point_de_bascule],ROW()-6))</f>
      </c>
      <c r="W176" s="37">
        <f>IF($A176="","",IF(AND(OR(param_filtre_statut="tous",LOWER($F176)=LOWER(param_filtre_statut)),OR(param_filtre_agent="tous",LOWER($D176)=LOWER(param_filtre_agent),LOWER($E176)=LOWER(param_filtre_agent)),OR(param_filtre_criticite="toutes",LOWER($Q176)=LOWER(param_filtre_criticite))),"oui","non"))</f>
      </c>
      <c r="X176" s="37">
        <f>IF($A176="","",IF(OR(LOWER($F176)="bloqué",LOWER($L176)="oui"),"oui","non"))</f>
      </c>
      <c r="Y176" s="37">
        <f>IF($A176="","",IF(OR(LOWER($Q176)="critique",LOWER($U176)="oui",LOWER($V176)="oui"),"oui","non"))</f>
      </c>
      <c r="Z176" s="37">
        <f>IF($A176="","",IF(AND($S176&lt;&gt;"",LOWER($S176)&lt;&gt;"tranchée",LOWER($S176)&lt;&gt;"sans objet",LOWER($S176)&lt;&gt;"clos"),"oui","non"))</f>
      </c>
      <c r="AA176" s="37">
        <f>IF($A176="","",IF($P176&lt;&gt;"","oui","non"))</f>
      </c>
      <c r="AB176" s="37">
        <f>IF($A176="","",IF(OR(LOWER($F176)="non réouvrable",LOWER($R176)="forte"),"oui","non"))</f>
      </c>
    </row>
    <row r="177" spans="1:28" x14ac:dyDescent="0.25">
      <c r="A177" s="23">
        <f>IFERROR(INDEX(tblTasks[ID],ROW()-6),"")</f>
      </c>
      <c r="B177" s="24">
        <f>=IF($A177="","",INDEX(tblTasks[Sujet],ROW()-6))</f>
      </c>
      <c r="C177" s="23">
        <f>=IF($A177="","",INDEX(tblTasks[Lot_Domaine],ROW()-6))</f>
      </c>
      <c r="D177" s="23">
        <f>=IF($A177="","",INDEX(tblTasks[Agent_source],ROW()-6))</f>
      </c>
      <c r="E177" s="23">
        <f>=IF($A177="","",INDEX(tblTasks[Responsable],ROW()-6))</f>
      </c>
      <c r="F177" s="23">
        <f>=IF($A177="","",INDEX(tblTasks[Statut],ROW()-6))</f>
      </c>
      <c r="G177" s="25">
        <f>=IF($A177="","",INDEX(tblTasks[Date_debut_prevue],ROW()-6))</f>
      </c>
      <c r="H177" s="25">
        <f>=IF($A177="","",INDEX(tblTasks[Date_fin_prevue],ROW()-6))</f>
      </c>
      <c r="I177" s="36">
        <f>=IF($A177="","",INDEX(tblTasks[Duree_jours],ROW()-6))</f>
      </c>
      <c r="J177" s="25">
        <f>=IF($A177="","",INDEX(tblTasks[Date_debut_reelle],ROW()-6))</f>
      </c>
      <c r="K177" s="25">
        <f>=IF($A177="","",INDEX(tblTasks[Date_fin_reelle],ROW()-6))</f>
      </c>
      <c r="L177" s="23">
        <f>=IF($A177="","",INDEX(tblTasks[Blocage],ROW()-6))</f>
      </c>
      <c r="M177" s="23">
        <f>=IF($A177="","",INDEX(tblTasks[Depend_de],ROW()-6))</f>
      </c>
      <c r="N177" s="23">
        <f>=IF($A177="","",INDEX(tblTasks[Non_negociable],ROW()-6))</f>
      </c>
      <c r="O177" s="23">
        <f>=IF($A177="","",INDEX(tblTasks[Seuil_de_reprise],ROW()-6))</f>
      </c>
      <c r="P177" s="23">
        <f>=IF($A177="","",INDEX(tblTasks[Donnee_manquante],ROW()-6))</f>
      </c>
      <c r="Q177" s="23">
        <f>=IF($A177="","",INDEX(tblTasks[Niveau_criticite],ROW()-6))</f>
      </c>
      <c r="R177" s="23">
        <f>=IF($A177="","",INDEX(tblTasks[Irreversibilite],ROW()-6))</f>
      </c>
      <c r="S177" s="23">
        <f>=IF($A177="","",INDEX(tblTasks[Decision_Emmanuel],ROW()-6))</f>
      </c>
      <c r="T177" s="24">
        <f>=IF($A177="","",INDEX(tblTasks[Commentaire_EKT],ROW()-6))</f>
      </c>
      <c r="U177" s="23">
        <f>=IF($A177="","",INDEX(tblTasks[Goulot],ROW()-6))</f>
      </c>
      <c r="V177" s="23">
        <f>=IF($A177="","",INDEX(tblTasks[Point_de_bascule],ROW()-6))</f>
      </c>
      <c r="W177" s="37">
        <f>IF($A177="","",IF(AND(OR(param_filtre_statut="tous",LOWER($F177)=LOWER(param_filtre_statut)),OR(param_filtre_agent="tous",LOWER($D177)=LOWER(param_filtre_agent),LOWER($E177)=LOWER(param_filtre_agent)),OR(param_filtre_criticite="toutes",LOWER($Q177)=LOWER(param_filtre_criticite))),"oui","non"))</f>
      </c>
      <c r="X177" s="37">
        <f>IF($A177="","",IF(OR(LOWER($F177)="bloqué",LOWER($L177)="oui"),"oui","non"))</f>
      </c>
      <c r="Y177" s="37">
        <f>IF($A177="","",IF(OR(LOWER($Q177)="critique",LOWER($U177)="oui",LOWER($V177)="oui"),"oui","non"))</f>
      </c>
      <c r="Z177" s="37">
        <f>IF($A177="","",IF(AND($S177&lt;&gt;"",LOWER($S177)&lt;&gt;"tranchée",LOWER($S177)&lt;&gt;"sans objet",LOWER($S177)&lt;&gt;"clos"),"oui","non"))</f>
      </c>
      <c r="AA177" s="37">
        <f>IF($A177="","",IF($P177&lt;&gt;"","oui","non"))</f>
      </c>
      <c r="AB177" s="37">
        <f>IF($A177="","",IF(OR(LOWER($F177)="non réouvrable",LOWER($R177)="forte"),"oui","non"))</f>
      </c>
    </row>
    <row r="178" spans="1:28" x14ac:dyDescent="0.25">
      <c r="A178" s="23">
        <f>IFERROR(INDEX(tblTasks[ID],ROW()-6),"")</f>
      </c>
      <c r="B178" s="24">
        <f>=IF($A178="","",INDEX(tblTasks[Sujet],ROW()-6))</f>
      </c>
      <c r="C178" s="23">
        <f>=IF($A178="","",INDEX(tblTasks[Lot_Domaine],ROW()-6))</f>
      </c>
      <c r="D178" s="23">
        <f>=IF($A178="","",INDEX(tblTasks[Agent_source],ROW()-6))</f>
      </c>
      <c r="E178" s="23">
        <f>=IF($A178="","",INDEX(tblTasks[Responsable],ROW()-6))</f>
      </c>
      <c r="F178" s="23">
        <f>=IF($A178="","",INDEX(tblTasks[Statut],ROW()-6))</f>
      </c>
      <c r="G178" s="25">
        <f>=IF($A178="","",INDEX(tblTasks[Date_debut_prevue],ROW()-6))</f>
      </c>
      <c r="H178" s="25">
        <f>=IF($A178="","",INDEX(tblTasks[Date_fin_prevue],ROW()-6))</f>
      </c>
      <c r="I178" s="36">
        <f>=IF($A178="","",INDEX(tblTasks[Duree_jours],ROW()-6))</f>
      </c>
      <c r="J178" s="25">
        <f>=IF($A178="","",INDEX(tblTasks[Date_debut_reelle],ROW()-6))</f>
      </c>
      <c r="K178" s="25">
        <f>=IF($A178="","",INDEX(tblTasks[Date_fin_reelle],ROW()-6))</f>
      </c>
      <c r="L178" s="23">
        <f>=IF($A178="","",INDEX(tblTasks[Blocage],ROW()-6))</f>
      </c>
      <c r="M178" s="23">
        <f>=IF($A178="","",INDEX(tblTasks[Depend_de],ROW()-6))</f>
      </c>
      <c r="N178" s="23">
        <f>=IF($A178="","",INDEX(tblTasks[Non_negociable],ROW()-6))</f>
      </c>
      <c r="O178" s="23">
        <f>=IF($A178="","",INDEX(tblTasks[Seuil_de_reprise],ROW()-6))</f>
      </c>
      <c r="P178" s="23">
        <f>=IF($A178="","",INDEX(tblTasks[Donnee_manquante],ROW()-6))</f>
      </c>
      <c r="Q178" s="23">
        <f>=IF($A178="","",INDEX(tblTasks[Niveau_criticite],ROW()-6))</f>
      </c>
      <c r="R178" s="23">
        <f>=IF($A178="","",INDEX(tblTasks[Irreversibilite],ROW()-6))</f>
      </c>
      <c r="S178" s="23">
        <f>=IF($A178="","",INDEX(tblTasks[Decision_Emmanuel],ROW()-6))</f>
      </c>
      <c r="T178" s="24">
        <f>=IF($A178="","",INDEX(tblTasks[Commentaire_EKT],ROW()-6))</f>
      </c>
      <c r="U178" s="23">
        <f>=IF($A178="","",INDEX(tblTasks[Goulot],ROW()-6))</f>
      </c>
      <c r="V178" s="23">
        <f>=IF($A178="","",INDEX(tblTasks[Point_de_bascule],ROW()-6))</f>
      </c>
      <c r="W178" s="37">
        <f>IF($A178="","",IF(AND(OR(param_filtre_statut="tous",LOWER($F178)=LOWER(param_filtre_statut)),OR(param_filtre_agent="tous",LOWER($D178)=LOWER(param_filtre_agent),LOWER($E178)=LOWER(param_filtre_agent)),OR(param_filtre_criticite="toutes",LOWER($Q178)=LOWER(param_filtre_criticite))),"oui","non"))</f>
      </c>
      <c r="X178" s="37">
        <f>IF($A178="","",IF(OR(LOWER($F178)="bloqué",LOWER($L178)="oui"),"oui","non"))</f>
      </c>
      <c r="Y178" s="37">
        <f>IF($A178="","",IF(OR(LOWER($Q178)="critique",LOWER($U178)="oui",LOWER($V178)="oui"),"oui","non"))</f>
      </c>
      <c r="Z178" s="37">
        <f>IF($A178="","",IF(AND($S178&lt;&gt;"",LOWER($S178)&lt;&gt;"tranchée",LOWER($S178)&lt;&gt;"sans objet",LOWER($S178)&lt;&gt;"clos"),"oui","non"))</f>
      </c>
      <c r="AA178" s="37">
        <f>IF($A178="","",IF($P178&lt;&gt;"","oui","non"))</f>
      </c>
      <c r="AB178" s="37">
        <f>IF($A178="","",IF(OR(LOWER($F178)="non réouvrable",LOWER($R178)="forte"),"oui","non"))</f>
      </c>
    </row>
    <row r="179" spans="1:28" x14ac:dyDescent="0.25">
      <c r="A179" s="23">
        <f>IFERROR(INDEX(tblTasks[ID],ROW()-6),"")</f>
      </c>
      <c r="B179" s="24">
        <f>=IF($A179="","",INDEX(tblTasks[Sujet],ROW()-6))</f>
      </c>
      <c r="C179" s="23">
        <f>=IF($A179="","",INDEX(tblTasks[Lot_Domaine],ROW()-6))</f>
      </c>
      <c r="D179" s="23">
        <f>=IF($A179="","",INDEX(tblTasks[Agent_source],ROW()-6))</f>
      </c>
      <c r="E179" s="23">
        <f>=IF($A179="","",INDEX(tblTasks[Responsable],ROW()-6))</f>
      </c>
      <c r="F179" s="23">
        <f>=IF($A179="","",INDEX(tblTasks[Statut],ROW()-6))</f>
      </c>
      <c r="G179" s="25">
        <f>=IF($A179="","",INDEX(tblTasks[Date_debut_prevue],ROW()-6))</f>
      </c>
      <c r="H179" s="25">
        <f>=IF($A179="","",INDEX(tblTasks[Date_fin_prevue],ROW()-6))</f>
      </c>
      <c r="I179" s="36">
        <f>=IF($A179="","",INDEX(tblTasks[Duree_jours],ROW()-6))</f>
      </c>
      <c r="J179" s="25">
        <f>=IF($A179="","",INDEX(tblTasks[Date_debut_reelle],ROW()-6))</f>
      </c>
      <c r="K179" s="25">
        <f>=IF($A179="","",INDEX(tblTasks[Date_fin_reelle],ROW()-6))</f>
      </c>
      <c r="L179" s="23">
        <f>=IF($A179="","",INDEX(tblTasks[Blocage],ROW()-6))</f>
      </c>
      <c r="M179" s="23">
        <f>=IF($A179="","",INDEX(tblTasks[Depend_de],ROW()-6))</f>
      </c>
      <c r="N179" s="23">
        <f>=IF($A179="","",INDEX(tblTasks[Non_negociable],ROW()-6))</f>
      </c>
      <c r="O179" s="23">
        <f>=IF($A179="","",INDEX(tblTasks[Seuil_de_reprise],ROW()-6))</f>
      </c>
      <c r="P179" s="23">
        <f>=IF($A179="","",INDEX(tblTasks[Donnee_manquante],ROW()-6))</f>
      </c>
      <c r="Q179" s="23">
        <f>=IF($A179="","",INDEX(tblTasks[Niveau_criticite],ROW()-6))</f>
      </c>
      <c r="R179" s="23">
        <f>=IF($A179="","",INDEX(tblTasks[Irreversibilite],ROW()-6))</f>
      </c>
      <c r="S179" s="23">
        <f>=IF($A179="","",INDEX(tblTasks[Decision_Emmanuel],ROW()-6))</f>
      </c>
      <c r="T179" s="24">
        <f>=IF($A179="","",INDEX(tblTasks[Commentaire_EKT],ROW()-6))</f>
      </c>
      <c r="U179" s="23">
        <f>=IF($A179="","",INDEX(tblTasks[Goulot],ROW()-6))</f>
      </c>
      <c r="V179" s="23">
        <f>=IF($A179="","",INDEX(tblTasks[Point_de_bascule],ROW()-6))</f>
      </c>
      <c r="W179" s="37">
        <f>IF($A179="","",IF(AND(OR(param_filtre_statut="tous",LOWER($F179)=LOWER(param_filtre_statut)),OR(param_filtre_agent="tous",LOWER($D179)=LOWER(param_filtre_agent),LOWER($E179)=LOWER(param_filtre_agent)),OR(param_filtre_criticite="toutes",LOWER($Q179)=LOWER(param_filtre_criticite))),"oui","non"))</f>
      </c>
      <c r="X179" s="37">
        <f>IF($A179="","",IF(OR(LOWER($F179)="bloqué",LOWER($L179)="oui"),"oui","non"))</f>
      </c>
      <c r="Y179" s="37">
        <f>IF($A179="","",IF(OR(LOWER($Q179)="critique",LOWER($U179)="oui",LOWER($V179)="oui"),"oui","non"))</f>
      </c>
      <c r="Z179" s="37">
        <f>IF($A179="","",IF(AND($S179&lt;&gt;"",LOWER($S179)&lt;&gt;"tranchée",LOWER($S179)&lt;&gt;"sans objet",LOWER($S179)&lt;&gt;"clos"),"oui","non"))</f>
      </c>
      <c r="AA179" s="37">
        <f>IF($A179="","",IF($P179&lt;&gt;"","oui","non"))</f>
      </c>
      <c r="AB179" s="37">
        <f>IF($A179="","",IF(OR(LOWER($F179)="non réouvrable",LOWER($R179)="forte"),"oui","non"))</f>
      </c>
    </row>
    <row r="180" spans="1:28" x14ac:dyDescent="0.25">
      <c r="A180" s="23">
        <f>IFERROR(INDEX(tblTasks[ID],ROW()-6),"")</f>
      </c>
      <c r="B180" s="24">
        <f>=IF($A180="","",INDEX(tblTasks[Sujet],ROW()-6))</f>
      </c>
      <c r="C180" s="23">
        <f>=IF($A180="","",INDEX(tblTasks[Lot_Domaine],ROW()-6))</f>
      </c>
      <c r="D180" s="23">
        <f>=IF($A180="","",INDEX(tblTasks[Agent_source],ROW()-6))</f>
      </c>
      <c r="E180" s="23">
        <f>=IF($A180="","",INDEX(tblTasks[Responsable],ROW()-6))</f>
      </c>
      <c r="F180" s="23">
        <f>=IF($A180="","",INDEX(tblTasks[Statut],ROW()-6))</f>
      </c>
      <c r="G180" s="25">
        <f>=IF($A180="","",INDEX(tblTasks[Date_debut_prevue],ROW()-6))</f>
      </c>
      <c r="H180" s="25">
        <f>=IF($A180="","",INDEX(tblTasks[Date_fin_prevue],ROW()-6))</f>
      </c>
      <c r="I180" s="36">
        <f>=IF($A180="","",INDEX(tblTasks[Duree_jours],ROW()-6))</f>
      </c>
      <c r="J180" s="25">
        <f>=IF($A180="","",INDEX(tblTasks[Date_debut_reelle],ROW()-6))</f>
      </c>
      <c r="K180" s="25">
        <f>=IF($A180="","",INDEX(tblTasks[Date_fin_reelle],ROW()-6))</f>
      </c>
      <c r="L180" s="23">
        <f>=IF($A180="","",INDEX(tblTasks[Blocage],ROW()-6))</f>
      </c>
      <c r="M180" s="23">
        <f>=IF($A180="","",INDEX(tblTasks[Depend_de],ROW()-6))</f>
      </c>
      <c r="N180" s="23">
        <f>=IF($A180="","",INDEX(tblTasks[Non_negociable],ROW()-6))</f>
      </c>
      <c r="O180" s="23">
        <f>=IF($A180="","",INDEX(tblTasks[Seuil_de_reprise],ROW()-6))</f>
      </c>
      <c r="P180" s="23">
        <f>=IF($A180="","",INDEX(tblTasks[Donnee_manquante],ROW()-6))</f>
      </c>
      <c r="Q180" s="23">
        <f>=IF($A180="","",INDEX(tblTasks[Niveau_criticite],ROW()-6))</f>
      </c>
      <c r="R180" s="23">
        <f>=IF($A180="","",INDEX(tblTasks[Irreversibilite],ROW()-6))</f>
      </c>
      <c r="S180" s="23">
        <f>=IF($A180="","",INDEX(tblTasks[Decision_Emmanuel],ROW()-6))</f>
      </c>
      <c r="T180" s="24">
        <f>=IF($A180="","",INDEX(tblTasks[Commentaire_EKT],ROW()-6))</f>
      </c>
      <c r="U180" s="23">
        <f>=IF($A180="","",INDEX(tblTasks[Goulot],ROW()-6))</f>
      </c>
      <c r="V180" s="23">
        <f>=IF($A180="","",INDEX(tblTasks[Point_de_bascule],ROW()-6))</f>
      </c>
      <c r="W180" s="37">
        <f>IF($A180="","",IF(AND(OR(param_filtre_statut="tous",LOWER($F180)=LOWER(param_filtre_statut)),OR(param_filtre_agent="tous",LOWER($D180)=LOWER(param_filtre_agent),LOWER($E180)=LOWER(param_filtre_agent)),OR(param_filtre_criticite="toutes",LOWER($Q180)=LOWER(param_filtre_criticite))),"oui","non"))</f>
      </c>
      <c r="X180" s="37">
        <f>IF($A180="","",IF(OR(LOWER($F180)="bloqué",LOWER($L180)="oui"),"oui","non"))</f>
      </c>
      <c r="Y180" s="37">
        <f>IF($A180="","",IF(OR(LOWER($Q180)="critique",LOWER($U180)="oui",LOWER($V180)="oui"),"oui","non"))</f>
      </c>
      <c r="Z180" s="37">
        <f>IF($A180="","",IF(AND($S180&lt;&gt;"",LOWER($S180)&lt;&gt;"tranchée",LOWER($S180)&lt;&gt;"sans objet",LOWER($S180)&lt;&gt;"clos"),"oui","non"))</f>
      </c>
      <c r="AA180" s="37">
        <f>IF($A180="","",IF($P180&lt;&gt;"","oui","non"))</f>
      </c>
      <c r="AB180" s="37">
        <f>IF($A180="","",IF(OR(LOWER($F180)="non réouvrable",LOWER($R180)="forte"),"oui","non"))</f>
      </c>
    </row>
    <row r="181" spans="1:28" x14ac:dyDescent="0.25">
      <c r="A181" s="23">
        <f>IFERROR(INDEX(tblTasks[ID],ROW()-6),"")</f>
      </c>
      <c r="B181" s="24">
        <f>=IF($A181="","",INDEX(tblTasks[Sujet],ROW()-6))</f>
      </c>
      <c r="C181" s="23">
        <f>=IF($A181="","",INDEX(tblTasks[Lot_Domaine],ROW()-6))</f>
      </c>
      <c r="D181" s="23">
        <f>=IF($A181="","",INDEX(tblTasks[Agent_source],ROW()-6))</f>
      </c>
      <c r="E181" s="23">
        <f>=IF($A181="","",INDEX(tblTasks[Responsable],ROW()-6))</f>
      </c>
      <c r="F181" s="23">
        <f>=IF($A181="","",INDEX(tblTasks[Statut],ROW()-6))</f>
      </c>
      <c r="G181" s="25">
        <f>=IF($A181="","",INDEX(tblTasks[Date_debut_prevue],ROW()-6))</f>
      </c>
      <c r="H181" s="25">
        <f>=IF($A181="","",INDEX(tblTasks[Date_fin_prevue],ROW()-6))</f>
      </c>
      <c r="I181" s="36">
        <f>=IF($A181="","",INDEX(tblTasks[Duree_jours],ROW()-6))</f>
      </c>
      <c r="J181" s="25">
        <f>=IF($A181="","",INDEX(tblTasks[Date_debut_reelle],ROW()-6))</f>
      </c>
      <c r="K181" s="25">
        <f>=IF($A181="","",INDEX(tblTasks[Date_fin_reelle],ROW()-6))</f>
      </c>
      <c r="L181" s="23">
        <f>=IF($A181="","",INDEX(tblTasks[Blocage],ROW()-6))</f>
      </c>
      <c r="M181" s="23">
        <f>=IF($A181="","",INDEX(tblTasks[Depend_de],ROW()-6))</f>
      </c>
      <c r="N181" s="23">
        <f>=IF($A181="","",INDEX(tblTasks[Non_negociable],ROW()-6))</f>
      </c>
      <c r="O181" s="23">
        <f>=IF($A181="","",INDEX(tblTasks[Seuil_de_reprise],ROW()-6))</f>
      </c>
      <c r="P181" s="23">
        <f>=IF($A181="","",INDEX(tblTasks[Donnee_manquante],ROW()-6))</f>
      </c>
      <c r="Q181" s="23">
        <f>=IF($A181="","",INDEX(tblTasks[Niveau_criticite],ROW()-6))</f>
      </c>
      <c r="R181" s="23">
        <f>=IF($A181="","",INDEX(tblTasks[Irreversibilite],ROW()-6))</f>
      </c>
      <c r="S181" s="23">
        <f>=IF($A181="","",INDEX(tblTasks[Decision_Emmanuel],ROW()-6))</f>
      </c>
      <c r="T181" s="24">
        <f>=IF($A181="","",INDEX(tblTasks[Commentaire_EKT],ROW()-6))</f>
      </c>
      <c r="U181" s="23">
        <f>=IF($A181="","",INDEX(tblTasks[Goulot],ROW()-6))</f>
      </c>
      <c r="V181" s="23">
        <f>=IF($A181="","",INDEX(tblTasks[Point_de_bascule],ROW()-6))</f>
      </c>
      <c r="W181" s="37">
        <f>IF($A181="","",IF(AND(OR(param_filtre_statut="tous",LOWER($F181)=LOWER(param_filtre_statut)),OR(param_filtre_agent="tous",LOWER($D181)=LOWER(param_filtre_agent),LOWER($E181)=LOWER(param_filtre_agent)),OR(param_filtre_criticite="toutes",LOWER($Q181)=LOWER(param_filtre_criticite))),"oui","non"))</f>
      </c>
      <c r="X181" s="37">
        <f>IF($A181="","",IF(OR(LOWER($F181)="bloqué",LOWER($L181)="oui"),"oui","non"))</f>
      </c>
      <c r="Y181" s="37">
        <f>IF($A181="","",IF(OR(LOWER($Q181)="critique",LOWER($U181)="oui",LOWER($V181)="oui"),"oui","non"))</f>
      </c>
      <c r="Z181" s="37">
        <f>IF($A181="","",IF(AND($S181&lt;&gt;"",LOWER($S181)&lt;&gt;"tranchée",LOWER($S181)&lt;&gt;"sans objet",LOWER($S181)&lt;&gt;"clos"),"oui","non"))</f>
      </c>
      <c r="AA181" s="37">
        <f>IF($A181="","",IF($P181&lt;&gt;"","oui","non"))</f>
      </c>
      <c r="AB181" s="37">
        <f>IF($A181="","",IF(OR(LOWER($F181)="non réouvrable",LOWER($R181)="forte"),"oui","non"))</f>
      </c>
    </row>
    <row r="182" spans="1:28" x14ac:dyDescent="0.25">
      <c r="A182" s="23">
        <f>IFERROR(INDEX(tblTasks[ID],ROW()-6),"")</f>
      </c>
      <c r="B182" s="24">
        <f>=IF($A182="","",INDEX(tblTasks[Sujet],ROW()-6))</f>
      </c>
      <c r="C182" s="23">
        <f>=IF($A182="","",INDEX(tblTasks[Lot_Domaine],ROW()-6))</f>
      </c>
      <c r="D182" s="23">
        <f>=IF($A182="","",INDEX(tblTasks[Agent_source],ROW()-6))</f>
      </c>
      <c r="E182" s="23">
        <f>=IF($A182="","",INDEX(tblTasks[Responsable],ROW()-6))</f>
      </c>
      <c r="F182" s="23">
        <f>=IF($A182="","",INDEX(tblTasks[Statut],ROW()-6))</f>
      </c>
      <c r="G182" s="25">
        <f>=IF($A182="","",INDEX(tblTasks[Date_debut_prevue],ROW()-6))</f>
      </c>
      <c r="H182" s="25">
        <f>=IF($A182="","",INDEX(tblTasks[Date_fin_prevue],ROW()-6))</f>
      </c>
      <c r="I182" s="36">
        <f>=IF($A182="","",INDEX(tblTasks[Duree_jours],ROW()-6))</f>
      </c>
      <c r="J182" s="25">
        <f>=IF($A182="","",INDEX(tblTasks[Date_debut_reelle],ROW()-6))</f>
      </c>
      <c r="K182" s="25">
        <f>=IF($A182="","",INDEX(tblTasks[Date_fin_reelle],ROW()-6))</f>
      </c>
      <c r="L182" s="23">
        <f>=IF($A182="","",INDEX(tblTasks[Blocage],ROW()-6))</f>
      </c>
      <c r="M182" s="23">
        <f>=IF($A182="","",INDEX(tblTasks[Depend_de],ROW()-6))</f>
      </c>
      <c r="N182" s="23">
        <f>=IF($A182="","",INDEX(tblTasks[Non_negociable],ROW()-6))</f>
      </c>
      <c r="O182" s="23">
        <f>=IF($A182="","",INDEX(tblTasks[Seuil_de_reprise],ROW()-6))</f>
      </c>
      <c r="P182" s="23">
        <f>=IF($A182="","",INDEX(tblTasks[Donnee_manquante],ROW()-6))</f>
      </c>
      <c r="Q182" s="23">
        <f>=IF($A182="","",INDEX(tblTasks[Niveau_criticite],ROW()-6))</f>
      </c>
      <c r="R182" s="23">
        <f>=IF($A182="","",INDEX(tblTasks[Irreversibilite],ROW()-6))</f>
      </c>
      <c r="S182" s="23">
        <f>=IF($A182="","",INDEX(tblTasks[Decision_Emmanuel],ROW()-6))</f>
      </c>
      <c r="T182" s="24">
        <f>=IF($A182="","",INDEX(tblTasks[Commentaire_EKT],ROW()-6))</f>
      </c>
      <c r="U182" s="23">
        <f>=IF($A182="","",INDEX(tblTasks[Goulot],ROW()-6))</f>
      </c>
      <c r="V182" s="23">
        <f>=IF($A182="","",INDEX(tblTasks[Point_de_bascule],ROW()-6))</f>
      </c>
      <c r="W182" s="37">
        <f>IF($A182="","",IF(AND(OR(param_filtre_statut="tous",LOWER($F182)=LOWER(param_filtre_statut)),OR(param_filtre_agent="tous",LOWER($D182)=LOWER(param_filtre_agent),LOWER($E182)=LOWER(param_filtre_agent)),OR(param_filtre_criticite="toutes",LOWER($Q182)=LOWER(param_filtre_criticite))),"oui","non"))</f>
      </c>
      <c r="X182" s="37">
        <f>IF($A182="","",IF(OR(LOWER($F182)="bloqué",LOWER($L182)="oui"),"oui","non"))</f>
      </c>
      <c r="Y182" s="37">
        <f>IF($A182="","",IF(OR(LOWER($Q182)="critique",LOWER($U182)="oui",LOWER($V182)="oui"),"oui","non"))</f>
      </c>
      <c r="Z182" s="37">
        <f>IF($A182="","",IF(AND($S182&lt;&gt;"",LOWER($S182)&lt;&gt;"tranchée",LOWER($S182)&lt;&gt;"sans objet",LOWER($S182)&lt;&gt;"clos"),"oui","non"))</f>
      </c>
      <c r="AA182" s="37">
        <f>IF($A182="","",IF($P182&lt;&gt;"","oui","non"))</f>
      </c>
      <c r="AB182" s="37">
        <f>IF($A182="","",IF(OR(LOWER($F182)="non réouvrable",LOWER($R182)="forte"),"oui","non"))</f>
      </c>
    </row>
    <row r="183" spans="1:28" x14ac:dyDescent="0.25">
      <c r="A183" s="23">
        <f>IFERROR(INDEX(tblTasks[ID],ROW()-6),"")</f>
      </c>
      <c r="B183" s="24">
        <f>=IF($A183="","",INDEX(tblTasks[Sujet],ROW()-6))</f>
      </c>
      <c r="C183" s="23">
        <f>=IF($A183="","",INDEX(tblTasks[Lot_Domaine],ROW()-6))</f>
      </c>
      <c r="D183" s="23">
        <f>=IF($A183="","",INDEX(tblTasks[Agent_source],ROW()-6))</f>
      </c>
      <c r="E183" s="23">
        <f>=IF($A183="","",INDEX(tblTasks[Responsable],ROW()-6))</f>
      </c>
      <c r="F183" s="23">
        <f>=IF($A183="","",INDEX(tblTasks[Statut],ROW()-6))</f>
      </c>
      <c r="G183" s="25">
        <f>=IF($A183="","",INDEX(tblTasks[Date_debut_prevue],ROW()-6))</f>
      </c>
      <c r="H183" s="25">
        <f>=IF($A183="","",INDEX(tblTasks[Date_fin_prevue],ROW()-6))</f>
      </c>
      <c r="I183" s="36">
        <f>=IF($A183="","",INDEX(tblTasks[Duree_jours],ROW()-6))</f>
      </c>
      <c r="J183" s="25">
        <f>=IF($A183="","",INDEX(tblTasks[Date_debut_reelle],ROW()-6))</f>
      </c>
      <c r="K183" s="25">
        <f>=IF($A183="","",INDEX(tblTasks[Date_fin_reelle],ROW()-6))</f>
      </c>
      <c r="L183" s="23">
        <f>=IF($A183="","",INDEX(tblTasks[Blocage],ROW()-6))</f>
      </c>
      <c r="M183" s="23">
        <f>=IF($A183="","",INDEX(tblTasks[Depend_de],ROW()-6))</f>
      </c>
      <c r="N183" s="23">
        <f>=IF($A183="","",INDEX(tblTasks[Non_negociable],ROW()-6))</f>
      </c>
      <c r="O183" s="23">
        <f>=IF($A183="","",INDEX(tblTasks[Seuil_de_reprise],ROW()-6))</f>
      </c>
      <c r="P183" s="23">
        <f>=IF($A183="","",INDEX(tblTasks[Donnee_manquante],ROW()-6))</f>
      </c>
      <c r="Q183" s="23">
        <f>=IF($A183="","",INDEX(tblTasks[Niveau_criticite],ROW()-6))</f>
      </c>
      <c r="R183" s="23">
        <f>=IF($A183="","",INDEX(tblTasks[Irreversibilite],ROW()-6))</f>
      </c>
      <c r="S183" s="23">
        <f>=IF($A183="","",INDEX(tblTasks[Decision_Emmanuel],ROW()-6))</f>
      </c>
      <c r="T183" s="24">
        <f>=IF($A183="","",INDEX(tblTasks[Commentaire_EKT],ROW()-6))</f>
      </c>
      <c r="U183" s="23">
        <f>=IF($A183="","",INDEX(tblTasks[Goulot],ROW()-6))</f>
      </c>
      <c r="V183" s="23">
        <f>=IF($A183="","",INDEX(tblTasks[Point_de_bascule],ROW()-6))</f>
      </c>
      <c r="W183" s="37">
        <f>IF($A183="","",IF(AND(OR(param_filtre_statut="tous",LOWER($F183)=LOWER(param_filtre_statut)),OR(param_filtre_agent="tous",LOWER($D183)=LOWER(param_filtre_agent),LOWER($E183)=LOWER(param_filtre_agent)),OR(param_filtre_criticite="toutes",LOWER($Q183)=LOWER(param_filtre_criticite))),"oui","non"))</f>
      </c>
      <c r="X183" s="37">
        <f>IF($A183="","",IF(OR(LOWER($F183)="bloqué",LOWER($L183)="oui"),"oui","non"))</f>
      </c>
      <c r="Y183" s="37">
        <f>IF($A183="","",IF(OR(LOWER($Q183)="critique",LOWER($U183)="oui",LOWER($V183)="oui"),"oui","non"))</f>
      </c>
      <c r="Z183" s="37">
        <f>IF($A183="","",IF(AND($S183&lt;&gt;"",LOWER($S183)&lt;&gt;"tranchée",LOWER($S183)&lt;&gt;"sans objet",LOWER($S183)&lt;&gt;"clos"),"oui","non"))</f>
      </c>
      <c r="AA183" s="37">
        <f>IF($A183="","",IF($P183&lt;&gt;"","oui","non"))</f>
      </c>
      <c r="AB183" s="37">
        <f>IF($A183="","",IF(OR(LOWER($F183)="non réouvrable",LOWER($R183)="forte"),"oui","non"))</f>
      </c>
    </row>
    <row r="184" spans="1:28" x14ac:dyDescent="0.25">
      <c r="A184" s="23">
        <f>IFERROR(INDEX(tblTasks[ID],ROW()-6),"")</f>
      </c>
      <c r="B184" s="24">
        <f>=IF($A184="","",INDEX(tblTasks[Sujet],ROW()-6))</f>
      </c>
      <c r="C184" s="23">
        <f>=IF($A184="","",INDEX(tblTasks[Lot_Domaine],ROW()-6))</f>
      </c>
      <c r="D184" s="23">
        <f>=IF($A184="","",INDEX(tblTasks[Agent_source],ROW()-6))</f>
      </c>
      <c r="E184" s="23">
        <f>=IF($A184="","",INDEX(tblTasks[Responsable],ROW()-6))</f>
      </c>
      <c r="F184" s="23">
        <f>=IF($A184="","",INDEX(tblTasks[Statut],ROW()-6))</f>
      </c>
      <c r="G184" s="25">
        <f>=IF($A184="","",INDEX(tblTasks[Date_debut_prevue],ROW()-6))</f>
      </c>
      <c r="H184" s="25">
        <f>=IF($A184="","",INDEX(tblTasks[Date_fin_prevue],ROW()-6))</f>
      </c>
      <c r="I184" s="36">
        <f>=IF($A184="","",INDEX(tblTasks[Duree_jours],ROW()-6))</f>
      </c>
      <c r="J184" s="25">
        <f>=IF($A184="","",INDEX(tblTasks[Date_debut_reelle],ROW()-6))</f>
      </c>
      <c r="K184" s="25">
        <f>=IF($A184="","",INDEX(tblTasks[Date_fin_reelle],ROW()-6))</f>
      </c>
      <c r="L184" s="23">
        <f>=IF($A184="","",INDEX(tblTasks[Blocage],ROW()-6))</f>
      </c>
      <c r="M184" s="23">
        <f>=IF($A184="","",INDEX(tblTasks[Depend_de],ROW()-6))</f>
      </c>
      <c r="N184" s="23">
        <f>=IF($A184="","",INDEX(tblTasks[Non_negociable],ROW()-6))</f>
      </c>
      <c r="O184" s="23">
        <f>=IF($A184="","",INDEX(tblTasks[Seuil_de_reprise],ROW()-6))</f>
      </c>
      <c r="P184" s="23">
        <f>=IF($A184="","",INDEX(tblTasks[Donnee_manquante],ROW()-6))</f>
      </c>
      <c r="Q184" s="23">
        <f>=IF($A184="","",INDEX(tblTasks[Niveau_criticite],ROW()-6))</f>
      </c>
      <c r="R184" s="23">
        <f>=IF($A184="","",INDEX(tblTasks[Irreversibilite],ROW()-6))</f>
      </c>
      <c r="S184" s="23">
        <f>=IF($A184="","",INDEX(tblTasks[Decision_Emmanuel],ROW()-6))</f>
      </c>
      <c r="T184" s="24">
        <f>=IF($A184="","",INDEX(tblTasks[Commentaire_EKT],ROW()-6))</f>
      </c>
      <c r="U184" s="23">
        <f>=IF($A184="","",INDEX(tblTasks[Goulot],ROW()-6))</f>
      </c>
      <c r="V184" s="23">
        <f>=IF($A184="","",INDEX(tblTasks[Point_de_bascule],ROW()-6))</f>
      </c>
      <c r="W184" s="37">
        <f>IF($A184="","",IF(AND(OR(param_filtre_statut="tous",LOWER($F184)=LOWER(param_filtre_statut)),OR(param_filtre_agent="tous",LOWER($D184)=LOWER(param_filtre_agent),LOWER($E184)=LOWER(param_filtre_agent)),OR(param_filtre_criticite="toutes",LOWER($Q184)=LOWER(param_filtre_criticite))),"oui","non"))</f>
      </c>
      <c r="X184" s="37">
        <f>IF($A184="","",IF(OR(LOWER($F184)="bloqué",LOWER($L184)="oui"),"oui","non"))</f>
      </c>
      <c r="Y184" s="37">
        <f>IF($A184="","",IF(OR(LOWER($Q184)="critique",LOWER($U184)="oui",LOWER($V184)="oui"),"oui","non"))</f>
      </c>
      <c r="Z184" s="37">
        <f>IF($A184="","",IF(AND($S184&lt;&gt;"",LOWER($S184)&lt;&gt;"tranchée",LOWER($S184)&lt;&gt;"sans objet",LOWER($S184)&lt;&gt;"clos"),"oui","non"))</f>
      </c>
      <c r="AA184" s="37">
        <f>IF($A184="","",IF($P184&lt;&gt;"","oui","non"))</f>
      </c>
      <c r="AB184" s="37">
        <f>IF($A184="","",IF(OR(LOWER($F184)="non réouvrable",LOWER($R184)="forte"),"oui","non"))</f>
      </c>
    </row>
    <row r="185" spans="1:28" x14ac:dyDescent="0.25">
      <c r="A185" s="23">
        <f>IFERROR(INDEX(tblTasks[ID],ROW()-6),"")</f>
      </c>
      <c r="B185" s="24">
        <f>=IF($A185="","",INDEX(tblTasks[Sujet],ROW()-6))</f>
      </c>
      <c r="C185" s="23">
        <f>=IF($A185="","",INDEX(tblTasks[Lot_Domaine],ROW()-6))</f>
      </c>
      <c r="D185" s="23">
        <f>=IF($A185="","",INDEX(tblTasks[Agent_source],ROW()-6))</f>
      </c>
      <c r="E185" s="23">
        <f>=IF($A185="","",INDEX(tblTasks[Responsable],ROW()-6))</f>
      </c>
      <c r="F185" s="23">
        <f>=IF($A185="","",INDEX(tblTasks[Statut],ROW()-6))</f>
      </c>
      <c r="G185" s="25">
        <f>=IF($A185="","",INDEX(tblTasks[Date_debut_prevue],ROW()-6))</f>
      </c>
      <c r="H185" s="25">
        <f>=IF($A185="","",INDEX(tblTasks[Date_fin_prevue],ROW()-6))</f>
      </c>
      <c r="I185" s="36">
        <f>=IF($A185="","",INDEX(tblTasks[Duree_jours],ROW()-6))</f>
      </c>
      <c r="J185" s="25">
        <f>=IF($A185="","",INDEX(tblTasks[Date_debut_reelle],ROW()-6))</f>
      </c>
      <c r="K185" s="25">
        <f>=IF($A185="","",INDEX(tblTasks[Date_fin_reelle],ROW()-6))</f>
      </c>
      <c r="L185" s="23">
        <f>=IF($A185="","",INDEX(tblTasks[Blocage],ROW()-6))</f>
      </c>
      <c r="M185" s="23">
        <f>=IF($A185="","",INDEX(tblTasks[Depend_de],ROW()-6))</f>
      </c>
      <c r="N185" s="23">
        <f>=IF($A185="","",INDEX(tblTasks[Non_negociable],ROW()-6))</f>
      </c>
      <c r="O185" s="23">
        <f>=IF($A185="","",INDEX(tblTasks[Seuil_de_reprise],ROW()-6))</f>
      </c>
      <c r="P185" s="23">
        <f>=IF($A185="","",INDEX(tblTasks[Donnee_manquante],ROW()-6))</f>
      </c>
      <c r="Q185" s="23">
        <f>=IF($A185="","",INDEX(tblTasks[Niveau_criticite],ROW()-6))</f>
      </c>
      <c r="R185" s="23">
        <f>=IF($A185="","",INDEX(tblTasks[Irreversibilite],ROW()-6))</f>
      </c>
      <c r="S185" s="23">
        <f>=IF($A185="","",INDEX(tblTasks[Decision_Emmanuel],ROW()-6))</f>
      </c>
      <c r="T185" s="24">
        <f>=IF($A185="","",INDEX(tblTasks[Commentaire_EKT],ROW()-6))</f>
      </c>
      <c r="U185" s="23">
        <f>=IF($A185="","",INDEX(tblTasks[Goulot],ROW()-6))</f>
      </c>
      <c r="V185" s="23">
        <f>=IF($A185="","",INDEX(tblTasks[Point_de_bascule],ROW()-6))</f>
      </c>
      <c r="W185" s="37">
        <f>IF($A185="","",IF(AND(OR(param_filtre_statut="tous",LOWER($F185)=LOWER(param_filtre_statut)),OR(param_filtre_agent="tous",LOWER($D185)=LOWER(param_filtre_agent),LOWER($E185)=LOWER(param_filtre_agent)),OR(param_filtre_criticite="toutes",LOWER($Q185)=LOWER(param_filtre_criticite))),"oui","non"))</f>
      </c>
      <c r="X185" s="37">
        <f>IF($A185="","",IF(OR(LOWER($F185)="bloqué",LOWER($L185)="oui"),"oui","non"))</f>
      </c>
      <c r="Y185" s="37">
        <f>IF($A185="","",IF(OR(LOWER($Q185)="critique",LOWER($U185)="oui",LOWER($V185)="oui"),"oui","non"))</f>
      </c>
      <c r="Z185" s="37">
        <f>IF($A185="","",IF(AND($S185&lt;&gt;"",LOWER($S185)&lt;&gt;"tranchée",LOWER($S185)&lt;&gt;"sans objet",LOWER($S185)&lt;&gt;"clos"),"oui","non"))</f>
      </c>
      <c r="AA185" s="37">
        <f>IF($A185="","",IF($P185&lt;&gt;"","oui","non"))</f>
      </c>
      <c r="AB185" s="37">
        <f>IF($A185="","",IF(OR(LOWER($F185)="non réouvrable",LOWER($R185)="forte"),"oui","non"))</f>
      </c>
    </row>
    <row r="186" spans="1:28" x14ac:dyDescent="0.25">
      <c r="A186" s="23">
        <f>IFERROR(INDEX(tblTasks[ID],ROW()-6),"")</f>
      </c>
      <c r="B186" s="24">
        <f>=IF($A186="","",INDEX(tblTasks[Sujet],ROW()-6))</f>
      </c>
      <c r="C186" s="23">
        <f>=IF($A186="","",INDEX(tblTasks[Lot_Domaine],ROW()-6))</f>
      </c>
      <c r="D186" s="23">
        <f>=IF($A186="","",INDEX(tblTasks[Agent_source],ROW()-6))</f>
      </c>
      <c r="E186" s="23">
        <f>=IF($A186="","",INDEX(tblTasks[Responsable],ROW()-6))</f>
      </c>
      <c r="F186" s="23">
        <f>=IF($A186="","",INDEX(tblTasks[Statut],ROW()-6))</f>
      </c>
      <c r="G186" s="25">
        <f>=IF($A186="","",INDEX(tblTasks[Date_debut_prevue],ROW()-6))</f>
      </c>
      <c r="H186" s="25">
        <f>=IF($A186="","",INDEX(tblTasks[Date_fin_prevue],ROW()-6))</f>
      </c>
      <c r="I186" s="36">
        <f>=IF($A186="","",INDEX(tblTasks[Duree_jours],ROW()-6))</f>
      </c>
      <c r="J186" s="25">
        <f>=IF($A186="","",INDEX(tblTasks[Date_debut_reelle],ROW()-6))</f>
      </c>
      <c r="K186" s="25">
        <f>=IF($A186="","",INDEX(tblTasks[Date_fin_reelle],ROW()-6))</f>
      </c>
      <c r="L186" s="23">
        <f>=IF($A186="","",INDEX(tblTasks[Blocage],ROW()-6))</f>
      </c>
      <c r="M186" s="23">
        <f>=IF($A186="","",INDEX(tblTasks[Depend_de],ROW()-6))</f>
      </c>
      <c r="N186" s="23">
        <f>=IF($A186="","",INDEX(tblTasks[Non_negociable],ROW()-6))</f>
      </c>
      <c r="O186" s="23">
        <f>=IF($A186="","",INDEX(tblTasks[Seuil_de_reprise],ROW()-6))</f>
      </c>
      <c r="P186" s="23">
        <f>=IF($A186="","",INDEX(tblTasks[Donnee_manquante],ROW()-6))</f>
      </c>
      <c r="Q186" s="23">
        <f>=IF($A186="","",INDEX(tblTasks[Niveau_criticite],ROW()-6))</f>
      </c>
      <c r="R186" s="23">
        <f>=IF($A186="","",INDEX(tblTasks[Irreversibilite],ROW()-6))</f>
      </c>
      <c r="S186" s="23">
        <f>=IF($A186="","",INDEX(tblTasks[Decision_Emmanuel],ROW()-6))</f>
      </c>
      <c r="T186" s="24">
        <f>=IF($A186="","",INDEX(tblTasks[Commentaire_EKT],ROW()-6))</f>
      </c>
      <c r="U186" s="23">
        <f>=IF($A186="","",INDEX(tblTasks[Goulot],ROW()-6))</f>
      </c>
      <c r="V186" s="23">
        <f>=IF($A186="","",INDEX(tblTasks[Point_de_bascule],ROW()-6))</f>
      </c>
      <c r="W186" s="37">
        <f>IF($A186="","",IF(AND(OR(param_filtre_statut="tous",LOWER($F186)=LOWER(param_filtre_statut)),OR(param_filtre_agent="tous",LOWER($D186)=LOWER(param_filtre_agent),LOWER($E186)=LOWER(param_filtre_agent)),OR(param_filtre_criticite="toutes",LOWER($Q186)=LOWER(param_filtre_criticite))),"oui","non"))</f>
      </c>
      <c r="X186" s="37">
        <f>IF($A186="","",IF(OR(LOWER($F186)="bloqué",LOWER($L186)="oui"),"oui","non"))</f>
      </c>
      <c r="Y186" s="37">
        <f>IF($A186="","",IF(OR(LOWER($Q186)="critique",LOWER($U186)="oui",LOWER($V186)="oui"),"oui","non"))</f>
      </c>
      <c r="Z186" s="37">
        <f>IF($A186="","",IF(AND($S186&lt;&gt;"",LOWER($S186)&lt;&gt;"tranchée",LOWER($S186)&lt;&gt;"sans objet",LOWER($S186)&lt;&gt;"clos"),"oui","non"))</f>
      </c>
      <c r="AA186" s="37">
        <f>IF($A186="","",IF($P186&lt;&gt;"","oui","non"))</f>
      </c>
      <c r="AB186" s="37">
        <f>IF($A186="","",IF(OR(LOWER($F186)="non réouvrable",LOWER($R186)="forte"),"oui","non"))</f>
      </c>
    </row>
    <row r="187" spans="1:28" x14ac:dyDescent="0.25">
      <c r="A187" s="23">
        <f>IFERROR(INDEX(tblTasks[ID],ROW()-6),"")</f>
      </c>
      <c r="B187" s="24">
        <f>=IF($A187="","",INDEX(tblTasks[Sujet],ROW()-6))</f>
      </c>
      <c r="C187" s="23">
        <f>=IF($A187="","",INDEX(tblTasks[Lot_Domaine],ROW()-6))</f>
      </c>
      <c r="D187" s="23">
        <f>=IF($A187="","",INDEX(tblTasks[Agent_source],ROW()-6))</f>
      </c>
      <c r="E187" s="23">
        <f>=IF($A187="","",INDEX(tblTasks[Responsable],ROW()-6))</f>
      </c>
      <c r="F187" s="23">
        <f>=IF($A187="","",INDEX(tblTasks[Statut],ROW()-6))</f>
      </c>
      <c r="G187" s="25">
        <f>=IF($A187="","",INDEX(tblTasks[Date_debut_prevue],ROW()-6))</f>
      </c>
      <c r="H187" s="25">
        <f>=IF($A187="","",INDEX(tblTasks[Date_fin_prevue],ROW()-6))</f>
      </c>
      <c r="I187" s="36">
        <f>=IF($A187="","",INDEX(tblTasks[Duree_jours],ROW()-6))</f>
      </c>
      <c r="J187" s="25">
        <f>=IF($A187="","",INDEX(tblTasks[Date_debut_reelle],ROW()-6))</f>
      </c>
      <c r="K187" s="25">
        <f>=IF($A187="","",INDEX(tblTasks[Date_fin_reelle],ROW()-6))</f>
      </c>
      <c r="L187" s="23">
        <f>=IF($A187="","",INDEX(tblTasks[Blocage],ROW()-6))</f>
      </c>
      <c r="M187" s="23">
        <f>=IF($A187="","",INDEX(tblTasks[Depend_de],ROW()-6))</f>
      </c>
      <c r="N187" s="23">
        <f>=IF($A187="","",INDEX(tblTasks[Non_negociable],ROW()-6))</f>
      </c>
      <c r="O187" s="23">
        <f>=IF($A187="","",INDEX(tblTasks[Seuil_de_reprise],ROW()-6))</f>
      </c>
      <c r="P187" s="23">
        <f>=IF($A187="","",INDEX(tblTasks[Donnee_manquante],ROW()-6))</f>
      </c>
      <c r="Q187" s="23">
        <f>=IF($A187="","",INDEX(tblTasks[Niveau_criticite],ROW()-6))</f>
      </c>
      <c r="R187" s="23">
        <f>=IF($A187="","",INDEX(tblTasks[Irreversibilite],ROW()-6))</f>
      </c>
      <c r="S187" s="23">
        <f>=IF($A187="","",INDEX(tblTasks[Decision_Emmanuel],ROW()-6))</f>
      </c>
      <c r="T187" s="24">
        <f>=IF($A187="","",INDEX(tblTasks[Commentaire_EKT],ROW()-6))</f>
      </c>
      <c r="U187" s="23">
        <f>=IF($A187="","",INDEX(tblTasks[Goulot],ROW()-6))</f>
      </c>
      <c r="V187" s="23">
        <f>=IF($A187="","",INDEX(tblTasks[Point_de_bascule],ROW()-6))</f>
      </c>
      <c r="W187" s="37">
        <f>IF($A187="","",IF(AND(OR(param_filtre_statut="tous",LOWER($F187)=LOWER(param_filtre_statut)),OR(param_filtre_agent="tous",LOWER($D187)=LOWER(param_filtre_agent),LOWER($E187)=LOWER(param_filtre_agent)),OR(param_filtre_criticite="toutes",LOWER($Q187)=LOWER(param_filtre_criticite))),"oui","non"))</f>
      </c>
      <c r="X187" s="37">
        <f>IF($A187="","",IF(OR(LOWER($F187)="bloqué",LOWER($L187)="oui"),"oui","non"))</f>
      </c>
      <c r="Y187" s="37">
        <f>IF($A187="","",IF(OR(LOWER($Q187)="critique",LOWER($U187)="oui",LOWER($V187)="oui"),"oui","non"))</f>
      </c>
      <c r="Z187" s="37">
        <f>IF($A187="","",IF(AND($S187&lt;&gt;"",LOWER($S187)&lt;&gt;"tranchée",LOWER($S187)&lt;&gt;"sans objet",LOWER($S187)&lt;&gt;"clos"),"oui","non"))</f>
      </c>
      <c r="AA187" s="37">
        <f>IF($A187="","",IF($P187&lt;&gt;"","oui","non"))</f>
      </c>
      <c r="AB187" s="37">
        <f>IF($A187="","",IF(OR(LOWER($F187)="non réouvrable",LOWER($R187)="forte"),"oui","non"))</f>
      </c>
    </row>
    <row r="188" spans="1:28" x14ac:dyDescent="0.25">
      <c r="A188" s="23">
        <f>IFERROR(INDEX(tblTasks[ID],ROW()-6),"")</f>
      </c>
      <c r="B188" s="24">
        <f>=IF($A188="","",INDEX(tblTasks[Sujet],ROW()-6))</f>
      </c>
      <c r="C188" s="23">
        <f>=IF($A188="","",INDEX(tblTasks[Lot_Domaine],ROW()-6))</f>
      </c>
      <c r="D188" s="23">
        <f>=IF($A188="","",INDEX(tblTasks[Agent_source],ROW()-6))</f>
      </c>
      <c r="E188" s="23">
        <f>=IF($A188="","",INDEX(tblTasks[Responsable],ROW()-6))</f>
      </c>
      <c r="F188" s="23">
        <f>=IF($A188="","",INDEX(tblTasks[Statut],ROW()-6))</f>
      </c>
      <c r="G188" s="25">
        <f>=IF($A188="","",INDEX(tblTasks[Date_debut_prevue],ROW()-6))</f>
      </c>
      <c r="H188" s="25">
        <f>=IF($A188="","",INDEX(tblTasks[Date_fin_prevue],ROW()-6))</f>
      </c>
      <c r="I188" s="36">
        <f>=IF($A188="","",INDEX(tblTasks[Duree_jours],ROW()-6))</f>
      </c>
      <c r="J188" s="25">
        <f>=IF($A188="","",INDEX(tblTasks[Date_debut_reelle],ROW()-6))</f>
      </c>
      <c r="K188" s="25">
        <f>=IF($A188="","",INDEX(tblTasks[Date_fin_reelle],ROW()-6))</f>
      </c>
      <c r="L188" s="23">
        <f>=IF($A188="","",INDEX(tblTasks[Blocage],ROW()-6))</f>
      </c>
      <c r="M188" s="23">
        <f>=IF($A188="","",INDEX(tblTasks[Depend_de],ROW()-6))</f>
      </c>
      <c r="N188" s="23">
        <f>=IF($A188="","",INDEX(tblTasks[Non_negociable],ROW()-6))</f>
      </c>
      <c r="O188" s="23">
        <f>=IF($A188="","",INDEX(tblTasks[Seuil_de_reprise],ROW()-6))</f>
      </c>
      <c r="P188" s="23">
        <f>=IF($A188="","",INDEX(tblTasks[Donnee_manquante],ROW()-6))</f>
      </c>
      <c r="Q188" s="23">
        <f>=IF($A188="","",INDEX(tblTasks[Niveau_criticite],ROW()-6))</f>
      </c>
      <c r="R188" s="23">
        <f>=IF($A188="","",INDEX(tblTasks[Irreversibilite],ROW()-6))</f>
      </c>
      <c r="S188" s="23">
        <f>=IF($A188="","",INDEX(tblTasks[Decision_Emmanuel],ROW()-6))</f>
      </c>
      <c r="T188" s="24">
        <f>=IF($A188="","",INDEX(tblTasks[Commentaire_EKT],ROW()-6))</f>
      </c>
      <c r="U188" s="23">
        <f>=IF($A188="","",INDEX(tblTasks[Goulot],ROW()-6))</f>
      </c>
      <c r="V188" s="23">
        <f>=IF($A188="","",INDEX(tblTasks[Point_de_bascule],ROW()-6))</f>
      </c>
      <c r="W188" s="37">
        <f>IF($A188="","",IF(AND(OR(param_filtre_statut="tous",LOWER($F188)=LOWER(param_filtre_statut)),OR(param_filtre_agent="tous",LOWER($D188)=LOWER(param_filtre_agent),LOWER($E188)=LOWER(param_filtre_agent)),OR(param_filtre_criticite="toutes",LOWER($Q188)=LOWER(param_filtre_criticite))),"oui","non"))</f>
      </c>
      <c r="X188" s="37">
        <f>IF($A188="","",IF(OR(LOWER($F188)="bloqué",LOWER($L188)="oui"),"oui","non"))</f>
      </c>
      <c r="Y188" s="37">
        <f>IF($A188="","",IF(OR(LOWER($Q188)="critique",LOWER($U188)="oui",LOWER($V188)="oui"),"oui","non"))</f>
      </c>
      <c r="Z188" s="37">
        <f>IF($A188="","",IF(AND($S188&lt;&gt;"",LOWER($S188)&lt;&gt;"tranchée",LOWER($S188)&lt;&gt;"sans objet",LOWER($S188)&lt;&gt;"clos"),"oui","non"))</f>
      </c>
      <c r="AA188" s="37">
        <f>IF($A188="","",IF($P188&lt;&gt;"","oui","non"))</f>
      </c>
      <c r="AB188" s="37">
        <f>IF($A188="","",IF(OR(LOWER($F188)="non réouvrable",LOWER($R188)="forte"),"oui","non"))</f>
      </c>
    </row>
    <row r="189" spans="1:28" x14ac:dyDescent="0.25">
      <c r="A189" s="23">
        <f>IFERROR(INDEX(tblTasks[ID],ROW()-6),"")</f>
      </c>
      <c r="B189" s="24">
        <f>=IF($A189="","",INDEX(tblTasks[Sujet],ROW()-6))</f>
      </c>
      <c r="C189" s="23">
        <f>=IF($A189="","",INDEX(tblTasks[Lot_Domaine],ROW()-6))</f>
      </c>
      <c r="D189" s="23">
        <f>=IF($A189="","",INDEX(tblTasks[Agent_source],ROW()-6))</f>
      </c>
      <c r="E189" s="23">
        <f>=IF($A189="","",INDEX(tblTasks[Responsable],ROW()-6))</f>
      </c>
      <c r="F189" s="23">
        <f>=IF($A189="","",INDEX(tblTasks[Statut],ROW()-6))</f>
      </c>
      <c r="G189" s="25">
        <f>=IF($A189="","",INDEX(tblTasks[Date_debut_prevue],ROW()-6))</f>
      </c>
      <c r="H189" s="25">
        <f>=IF($A189="","",INDEX(tblTasks[Date_fin_prevue],ROW()-6))</f>
      </c>
      <c r="I189" s="36">
        <f>=IF($A189="","",INDEX(tblTasks[Duree_jours],ROW()-6))</f>
      </c>
      <c r="J189" s="25">
        <f>=IF($A189="","",INDEX(tblTasks[Date_debut_reelle],ROW()-6))</f>
      </c>
      <c r="K189" s="25">
        <f>=IF($A189="","",INDEX(tblTasks[Date_fin_reelle],ROW()-6))</f>
      </c>
      <c r="L189" s="23">
        <f>=IF($A189="","",INDEX(tblTasks[Blocage],ROW()-6))</f>
      </c>
      <c r="M189" s="23">
        <f>=IF($A189="","",INDEX(tblTasks[Depend_de],ROW()-6))</f>
      </c>
      <c r="N189" s="23">
        <f>=IF($A189="","",INDEX(tblTasks[Non_negociable],ROW()-6))</f>
      </c>
      <c r="O189" s="23">
        <f>=IF($A189="","",INDEX(tblTasks[Seuil_de_reprise],ROW()-6))</f>
      </c>
      <c r="P189" s="23">
        <f>=IF($A189="","",INDEX(tblTasks[Donnee_manquante],ROW()-6))</f>
      </c>
      <c r="Q189" s="23">
        <f>=IF($A189="","",INDEX(tblTasks[Niveau_criticite],ROW()-6))</f>
      </c>
      <c r="R189" s="23">
        <f>=IF($A189="","",INDEX(tblTasks[Irreversibilite],ROW()-6))</f>
      </c>
      <c r="S189" s="23">
        <f>=IF($A189="","",INDEX(tblTasks[Decision_Emmanuel],ROW()-6))</f>
      </c>
      <c r="T189" s="24">
        <f>=IF($A189="","",INDEX(tblTasks[Commentaire_EKT],ROW()-6))</f>
      </c>
      <c r="U189" s="23">
        <f>=IF($A189="","",INDEX(tblTasks[Goulot],ROW()-6))</f>
      </c>
      <c r="V189" s="23">
        <f>=IF($A189="","",INDEX(tblTasks[Point_de_bascule],ROW()-6))</f>
      </c>
      <c r="W189" s="37">
        <f>IF($A189="","",IF(AND(OR(param_filtre_statut="tous",LOWER($F189)=LOWER(param_filtre_statut)),OR(param_filtre_agent="tous",LOWER($D189)=LOWER(param_filtre_agent),LOWER($E189)=LOWER(param_filtre_agent)),OR(param_filtre_criticite="toutes",LOWER($Q189)=LOWER(param_filtre_criticite))),"oui","non"))</f>
      </c>
      <c r="X189" s="37">
        <f>IF($A189="","",IF(OR(LOWER($F189)="bloqué",LOWER($L189)="oui"),"oui","non"))</f>
      </c>
      <c r="Y189" s="37">
        <f>IF($A189="","",IF(OR(LOWER($Q189)="critique",LOWER($U189)="oui",LOWER($V189)="oui"),"oui","non"))</f>
      </c>
      <c r="Z189" s="37">
        <f>IF($A189="","",IF(AND($S189&lt;&gt;"",LOWER($S189)&lt;&gt;"tranchée",LOWER($S189)&lt;&gt;"sans objet",LOWER($S189)&lt;&gt;"clos"),"oui","non"))</f>
      </c>
      <c r="AA189" s="37">
        <f>IF($A189="","",IF($P189&lt;&gt;"","oui","non"))</f>
      </c>
      <c r="AB189" s="37">
        <f>IF($A189="","",IF(OR(LOWER($F189)="non réouvrable",LOWER($R189)="forte"),"oui","non"))</f>
      </c>
    </row>
    <row r="190" spans="1:28" x14ac:dyDescent="0.25">
      <c r="A190" s="23">
        <f>IFERROR(INDEX(tblTasks[ID],ROW()-6),"")</f>
      </c>
      <c r="B190" s="24">
        <f>=IF($A190="","",INDEX(tblTasks[Sujet],ROW()-6))</f>
      </c>
      <c r="C190" s="23">
        <f>=IF($A190="","",INDEX(tblTasks[Lot_Domaine],ROW()-6))</f>
      </c>
      <c r="D190" s="23">
        <f>=IF($A190="","",INDEX(tblTasks[Agent_source],ROW()-6))</f>
      </c>
      <c r="E190" s="23">
        <f>=IF($A190="","",INDEX(tblTasks[Responsable],ROW()-6))</f>
      </c>
      <c r="F190" s="23">
        <f>=IF($A190="","",INDEX(tblTasks[Statut],ROW()-6))</f>
      </c>
      <c r="G190" s="25">
        <f>=IF($A190="","",INDEX(tblTasks[Date_debut_prevue],ROW()-6))</f>
      </c>
      <c r="H190" s="25">
        <f>=IF($A190="","",INDEX(tblTasks[Date_fin_prevue],ROW()-6))</f>
      </c>
      <c r="I190" s="36">
        <f>=IF($A190="","",INDEX(tblTasks[Duree_jours],ROW()-6))</f>
      </c>
      <c r="J190" s="25">
        <f>=IF($A190="","",INDEX(tblTasks[Date_debut_reelle],ROW()-6))</f>
      </c>
      <c r="K190" s="25">
        <f>=IF($A190="","",INDEX(tblTasks[Date_fin_reelle],ROW()-6))</f>
      </c>
      <c r="L190" s="23">
        <f>=IF($A190="","",INDEX(tblTasks[Blocage],ROW()-6))</f>
      </c>
      <c r="M190" s="23">
        <f>=IF($A190="","",INDEX(tblTasks[Depend_de],ROW()-6))</f>
      </c>
      <c r="N190" s="23">
        <f>=IF($A190="","",INDEX(tblTasks[Non_negociable],ROW()-6))</f>
      </c>
      <c r="O190" s="23">
        <f>=IF($A190="","",INDEX(tblTasks[Seuil_de_reprise],ROW()-6))</f>
      </c>
      <c r="P190" s="23">
        <f>=IF($A190="","",INDEX(tblTasks[Donnee_manquante],ROW()-6))</f>
      </c>
      <c r="Q190" s="23">
        <f>=IF($A190="","",INDEX(tblTasks[Niveau_criticite],ROW()-6))</f>
      </c>
      <c r="R190" s="23">
        <f>=IF($A190="","",INDEX(tblTasks[Irreversibilite],ROW()-6))</f>
      </c>
      <c r="S190" s="23">
        <f>=IF($A190="","",INDEX(tblTasks[Decision_Emmanuel],ROW()-6))</f>
      </c>
      <c r="T190" s="24">
        <f>=IF($A190="","",INDEX(tblTasks[Commentaire_EKT],ROW()-6))</f>
      </c>
      <c r="U190" s="23">
        <f>=IF($A190="","",INDEX(tblTasks[Goulot],ROW()-6))</f>
      </c>
      <c r="V190" s="23">
        <f>=IF($A190="","",INDEX(tblTasks[Point_de_bascule],ROW()-6))</f>
      </c>
      <c r="W190" s="37">
        <f>IF($A190="","",IF(AND(OR(param_filtre_statut="tous",LOWER($F190)=LOWER(param_filtre_statut)),OR(param_filtre_agent="tous",LOWER($D190)=LOWER(param_filtre_agent),LOWER($E190)=LOWER(param_filtre_agent)),OR(param_filtre_criticite="toutes",LOWER($Q190)=LOWER(param_filtre_criticite))),"oui","non"))</f>
      </c>
      <c r="X190" s="37">
        <f>IF($A190="","",IF(OR(LOWER($F190)="bloqué",LOWER($L190)="oui"),"oui","non"))</f>
      </c>
      <c r="Y190" s="37">
        <f>IF($A190="","",IF(OR(LOWER($Q190)="critique",LOWER($U190)="oui",LOWER($V190)="oui"),"oui","non"))</f>
      </c>
      <c r="Z190" s="37">
        <f>IF($A190="","",IF(AND($S190&lt;&gt;"",LOWER($S190)&lt;&gt;"tranchée",LOWER($S190)&lt;&gt;"sans objet",LOWER($S190)&lt;&gt;"clos"),"oui","non"))</f>
      </c>
      <c r="AA190" s="37">
        <f>IF($A190="","",IF($P190&lt;&gt;"","oui","non"))</f>
      </c>
      <c r="AB190" s="37">
        <f>IF($A190="","",IF(OR(LOWER($F190)="non réouvrable",LOWER($R190)="forte"),"oui","non"))</f>
      </c>
    </row>
    <row r="191" spans="1:28" x14ac:dyDescent="0.25">
      <c r="A191" s="23">
        <f>IFERROR(INDEX(tblTasks[ID],ROW()-6),"")</f>
      </c>
      <c r="B191" s="24">
        <f>=IF($A191="","",INDEX(tblTasks[Sujet],ROW()-6))</f>
      </c>
      <c r="C191" s="23">
        <f>=IF($A191="","",INDEX(tblTasks[Lot_Domaine],ROW()-6))</f>
      </c>
      <c r="D191" s="23">
        <f>=IF($A191="","",INDEX(tblTasks[Agent_source],ROW()-6))</f>
      </c>
      <c r="E191" s="23">
        <f>=IF($A191="","",INDEX(tblTasks[Responsable],ROW()-6))</f>
      </c>
      <c r="F191" s="23">
        <f>=IF($A191="","",INDEX(tblTasks[Statut],ROW()-6))</f>
      </c>
      <c r="G191" s="25">
        <f>=IF($A191="","",INDEX(tblTasks[Date_debut_prevue],ROW()-6))</f>
      </c>
      <c r="H191" s="25">
        <f>=IF($A191="","",INDEX(tblTasks[Date_fin_prevue],ROW()-6))</f>
      </c>
      <c r="I191" s="36">
        <f>=IF($A191="","",INDEX(tblTasks[Duree_jours],ROW()-6))</f>
      </c>
      <c r="J191" s="25">
        <f>=IF($A191="","",INDEX(tblTasks[Date_debut_reelle],ROW()-6))</f>
      </c>
      <c r="K191" s="25">
        <f>=IF($A191="","",INDEX(tblTasks[Date_fin_reelle],ROW()-6))</f>
      </c>
      <c r="L191" s="23">
        <f>=IF($A191="","",INDEX(tblTasks[Blocage],ROW()-6))</f>
      </c>
      <c r="M191" s="23">
        <f>=IF($A191="","",INDEX(tblTasks[Depend_de],ROW()-6))</f>
      </c>
      <c r="N191" s="23">
        <f>=IF($A191="","",INDEX(tblTasks[Non_negociable],ROW()-6))</f>
      </c>
      <c r="O191" s="23">
        <f>=IF($A191="","",INDEX(tblTasks[Seuil_de_reprise],ROW()-6))</f>
      </c>
      <c r="P191" s="23">
        <f>=IF($A191="","",INDEX(tblTasks[Donnee_manquante],ROW()-6))</f>
      </c>
      <c r="Q191" s="23">
        <f>=IF($A191="","",INDEX(tblTasks[Niveau_criticite],ROW()-6))</f>
      </c>
      <c r="R191" s="23">
        <f>=IF($A191="","",INDEX(tblTasks[Irreversibilite],ROW()-6))</f>
      </c>
      <c r="S191" s="23">
        <f>=IF($A191="","",INDEX(tblTasks[Decision_Emmanuel],ROW()-6))</f>
      </c>
      <c r="T191" s="24">
        <f>=IF($A191="","",INDEX(tblTasks[Commentaire_EKT],ROW()-6))</f>
      </c>
      <c r="U191" s="23">
        <f>=IF($A191="","",INDEX(tblTasks[Goulot],ROW()-6))</f>
      </c>
      <c r="V191" s="23">
        <f>=IF($A191="","",INDEX(tblTasks[Point_de_bascule],ROW()-6))</f>
      </c>
      <c r="W191" s="37">
        <f>IF($A191="","",IF(AND(OR(param_filtre_statut="tous",LOWER($F191)=LOWER(param_filtre_statut)),OR(param_filtre_agent="tous",LOWER($D191)=LOWER(param_filtre_agent),LOWER($E191)=LOWER(param_filtre_agent)),OR(param_filtre_criticite="toutes",LOWER($Q191)=LOWER(param_filtre_criticite))),"oui","non"))</f>
      </c>
      <c r="X191" s="37">
        <f>IF($A191="","",IF(OR(LOWER($F191)="bloqué",LOWER($L191)="oui"),"oui","non"))</f>
      </c>
      <c r="Y191" s="37">
        <f>IF($A191="","",IF(OR(LOWER($Q191)="critique",LOWER($U191)="oui",LOWER($V191)="oui"),"oui","non"))</f>
      </c>
      <c r="Z191" s="37">
        <f>IF($A191="","",IF(AND($S191&lt;&gt;"",LOWER($S191)&lt;&gt;"tranchée",LOWER($S191)&lt;&gt;"sans objet",LOWER($S191)&lt;&gt;"clos"),"oui","non"))</f>
      </c>
      <c r="AA191" s="37">
        <f>IF($A191="","",IF($P191&lt;&gt;"","oui","non"))</f>
      </c>
      <c r="AB191" s="37">
        <f>IF($A191="","",IF(OR(LOWER($F191)="non réouvrable",LOWER($R191)="forte"),"oui","non"))</f>
      </c>
    </row>
    <row r="192" spans="1:28" x14ac:dyDescent="0.25">
      <c r="A192" s="23">
        <f>IFERROR(INDEX(tblTasks[ID],ROW()-6),"")</f>
      </c>
      <c r="B192" s="24">
        <f>=IF($A192="","",INDEX(tblTasks[Sujet],ROW()-6))</f>
      </c>
      <c r="C192" s="23">
        <f>=IF($A192="","",INDEX(tblTasks[Lot_Domaine],ROW()-6))</f>
      </c>
      <c r="D192" s="23">
        <f>=IF($A192="","",INDEX(tblTasks[Agent_source],ROW()-6))</f>
      </c>
      <c r="E192" s="23">
        <f>=IF($A192="","",INDEX(tblTasks[Responsable],ROW()-6))</f>
      </c>
      <c r="F192" s="23">
        <f>=IF($A192="","",INDEX(tblTasks[Statut],ROW()-6))</f>
      </c>
      <c r="G192" s="25">
        <f>=IF($A192="","",INDEX(tblTasks[Date_debut_prevue],ROW()-6))</f>
      </c>
      <c r="H192" s="25">
        <f>=IF($A192="","",INDEX(tblTasks[Date_fin_prevue],ROW()-6))</f>
      </c>
      <c r="I192" s="36">
        <f>=IF($A192="","",INDEX(tblTasks[Duree_jours],ROW()-6))</f>
      </c>
      <c r="J192" s="25">
        <f>=IF($A192="","",INDEX(tblTasks[Date_debut_reelle],ROW()-6))</f>
      </c>
      <c r="K192" s="25">
        <f>=IF($A192="","",INDEX(tblTasks[Date_fin_reelle],ROW()-6))</f>
      </c>
      <c r="L192" s="23">
        <f>=IF($A192="","",INDEX(tblTasks[Blocage],ROW()-6))</f>
      </c>
      <c r="M192" s="23">
        <f>=IF($A192="","",INDEX(tblTasks[Depend_de],ROW()-6))</f>
      </c>
      <c r="N192" s="23">
        <f>=IF($A192="","",INDEX(tblTasks[Non_negociable],ROW()-6))</f>
      </c>
      <c r="O192" s="23">
        <f>=IF($A192="","",INDEX(tblTasks[Seuil_de_reprise],ROW()-6))</f>
      </c>
      <c r="P192" s="23">
        <f>=IF($A192="","",INDEX(tblTasks[Donnee_manquante],ROW()-6))</f>
      </c>
      <c r="Q192" s="23">
        <f>=IF($A192="","",INDEX(tblTasks[Niveau_criticite],ROW()-6))</f>
      </c>
      <c r="R192" s="23">
        <f>=IF($A192="","",INDEX(tblTasks[Irreversibilite],ROW()-6))</f>
      </c>
      <c r="S192" s="23">
        <f>=IF($A192="","",INDEX(tblTasks[Decision_Emmanuel],ROW()-6))</f>
      </c>
      <c r="T192" s="24">
        <f>=IF($A192="","",INDEX(tblTasks[Commentaire_EKT],ROW()-6))</f>
      </c>
      <c r="U192" s="23">
        <f>=IF($A192="","",INDEX(tblTasks[Goulot],ROW()-6))</f>
      </c>
      <c r="V192" s="23">
        <f>=IF($A192="","",INDEX(tblTasks[Point_de_bascule],ROW()-6))</f>
      </c>
      <c r="W192" s="37">
        <f>IF($A192="","",IF(AND(OR(param_filtre_statut="tous",LOWER($F192)=LOWER(param_filtre_statut)),OR(param_filtre_agent="tous",LOWER($D192)=LOWER(param_filtre_agent),LOWER($E192)=LOWER(param_filtre_agent)),OR(param_filtre_criticite="toutes",LOWER($Q192)=LOWER(param_filtre_criticite))),"oui","non"))</f>
      </c>
      <c r="X192" s="37">
        <f>IF($A192="","",IF(OR(LOWER($F192)="bloqué",LOWER($L192)="oui"),"oui","non"))</f>
      </c>
      <c r="Y192" s="37">
        <f>IF($A192="","",IF(OR(LOWER($Q192)="critique",LOWER($U192)="oui",LOWER($V192)="oui"),"oui","non"))</f>
      </c>
      <c r="Z192" s="37">
        <f>IF($A192="","",IF(AND($S192&lt;&gt;"",LOWER($S192)&lt;&gt;"tranchée",LOWER($S192)&lt;&gt;"sans objet",LOWER($S192)&lt;&gt;"clos"),"oui","non"))</f>
      </c>
      <c r="AA192" s="37">
        <f>IF($A192="","",IF($P192&lt;&gt;"","oui","non"))</f>
      </c>
      <c r="AB192" s="37">
        <f>IF($A192="","",IF(OR(LOWER($F192)="non réouvrable",LOWER($R192)="forte"),"oui","non"))</f>
      </c>
    </row>
    <row r="193" spans="1:28" x14ac:dyDescent="0.25">
      <c r="A193" s="23">
        <f>IFERROR(INDEX(tblTasks[ID],ROW()-6),"")</f>
      </c>
      <c r="B193" s="24">
        <f>=IF($A193="","",INDEX(tblTasks[Sujet],ROW()-6))</f>
      </c>
      <c r="C193" s="23">
        <f>=IF($A193="","",INDEX(tblTasks[Lot_Domaine],ROW()-6))</f>
      </c>
      <c r="D193" s="23">
        <f>=IF($A193="","",INDEX(tblTasks[Agent_source],ROW()-6))</f>
      </c>
      <c r="E193" s="23">
        <f>=IF($A193="","",INDEX(tblTasks[Responsable],ROW()-6))</f>
      </c>
      <c r="F193" s="23">
        <f>=IF($A193="","",INDEX(tblTasks[Statut],ROW()-6))</f>
      </c>
      <c r="G193" s="25">
        <f>=IF($A193="","",INDEX(tblTasks[Date_debut_prevue],ROW()-6))</f>
      </c>
      <c r="H193" s="25">
        <f>=IF($A193="","",INDEX(tblTasks[Date_fin_prevue],ROW()-6))</f>
      </c>
      <c r="I193" s="36">
        <f>=IF($A193="","",INDEX(tblTasks[Duree_jours],ROW()-6))</f>
      </c>
      <c r="J193" s="25">
        <f>=IF($A193="","",INDEX(tblTasks[Date_debut_reelle],ROW()-6))</f>
      </c>
      <c r="K193" s="25">
        <f>=IF($A193="","",INDEX(tblTasks[Date_fin_reelle],ROW()-6))</f>
      </c>
      <c r="L193" s="23">
        <f>=IF($A193="","",INDEX(tblTasks[Blocage],ROW()-6))</f>
      </c>
      <c r="M193" s="23">
        <f>=IF($A193="","",INDEX(tblTasks[Depend_de],ROW()-6))</f>
      </c>
      <c r="N193" s="23">
        <f>=IF($A193="","",INDEX(tblTasks[Non_negociable],ROW()-6))</f>
      </c>
      <c r="O193" s="23">
        <f>=IF($A193="","",INDEX(tblTasks[Seuil_de_reprise],ROW()-6))</f>
      </c>
      <c r="P193" s="23">
        <f>=IF($A193="","",INDEX(tblTasks[Donnee_manquante],ROW()-6))</f>
      </c>
      <c r="Q193" s="23">
        <f>=IF($A193="","",INDEX(tblTasks[Niveau_criticite],ROW()-6))</f>
      </c>
      <c r="R193" s="23">
        <f>=IF($A193="","",INDEX(tblTasks[Irreversibilite],ROW()-6))</f>
      </c>
      <c r="S193" s="23">
        <f>=IF($A193="","",INDEX(tblTasks[Decision_Emmanuel],ROW()-6))</f>
      </c>
      <c r="T193" s="24">
        <f>=IF($A193="","",INDEX(tblTasks[Commentaire_EKT],ROW()-6))</f>
      </c>
      <c r="U193" s="23">
        <f>=IF($A193="","",INDEX(tblTasks[Goulot],ROW()-6))</f>
      </c>
      <c r="V193" s="23">
        <f>=IF($A193="","",INDEX(tblTasks[Point_de_bascule],ROW()-6))</f>
      </c>
      <c r="W193" s="37">
        <f>IF($A193="","",IF(AND(OR(param_filtre_statut="tous",LOWER($F193)=LOWER(param_filtre_statut)),OR(param_filtre_agent="tous",LOWER($D193)=LOWER(param_filtre_agent),LOWER($E193)=LOWER(param_filtre_agent)),OR(param_filtre_criticite="toutes",LOWER($Q193)=LOWER(param_filtre_criticite))),"oui","non"))</f>
      </c>
      <c r="X193" s="37">
        <f>IF($A193="","",IF(OR(LOWER($F193)="bloqué",LOWER($L193)="oui"),"oui","non"))</f>
      </c>
      <c r="Y193" s="37">
        <f>IF($A193="","",IF(OR(LOWER($Q193)="critique",LOWER($U193)="oui",LOWER($V193)="oui"),"oui","non"))</f>
      </c>
      <c r="Z193" s="37">
        <f>IF($A193="","",IF(AND($S193&lt;&gt;"",LOWER($S193)&lt;&gt;"tranchée",LOWER($S193)&lt;&gt;"sans objet",LOWER($S193)&lt;&gt;"clos"),"oui","non"))</f>
      </c>
      <c r="AA193" s="37">
        <f>IF($A193="","",IF($P193&lt;&gt;"","oui","non"))</f>
      </c>
      <c r="AB193" s="37">
        <f>IF($A193="","",IF(OR(LOWER($F193)="non réouvrable",LOWER($R193)="forte"),"oui","non"))</f>
      </c>
    </row>
    <row r="194" spans="1:28" x14ac:dyDescent="0.25">
      <c r="A194" s="23">
        <f>IFERROR(INDEX(tblTasks[ID],ROW()-6),"")</f>
      </c>
      <c r="B194" s="24">
        <f>=IF($A194="","",INDEX(tblTasks[Sujet],ROW()-6))</f>
      </c>
      <c r="C194" s="23">
        <f>=IF($A194="","",INDEX(tblTasks[Lot_Domaine],ROW()-6))</f>
      </c>
      <c r="D194" s="23">
        <f>=IF($A194="","",INDEX(tblTasks[Agent_source],ROW()-6))</f>
      </c>
      <c r="E194" s="23">
        <f>=IF($A194="","",INDEX(tblTasks[Responsable],ROW()-6))</f>
      </c>
      <c r="F194" s="23">
        <f>=IF($A194="","",INDEX(tblTasks[Statut],ROW()-6))</f>
      </c>
      <c r="G194" s="25">
        <f>=IF($A194="","",INDEX(tblTasks[Date_debut_prevue],ROW()-6))</f>
      </c>
      <c r="H194" s="25">
        <f>=IF($A194="","",INDEX(tblTasks[Date_fin_prevue],ROW()-6))</f>
      </c>
      <c r="I194" s="36">
        <f>=IF($A194="","",INDEX(tblTasks[Duree_jours],ROW()-6))</f>
      </c>
      <c r="J194" s="25">
        <f>=IF($A194="","",INDEX(tblTasks[Date_debut_reelle],ROW()-6))</f>
      </c>
      <c r="K194" s="25">
        <f>=IF($A194="","",INDEX(tblTasks[Date_fin_reelle],ROW()-6))</f>
      </c>
      <c r="L194" s="23">
        <f>=IF($A194="","",INDEX(tblTasks[Blocage],ROW()-6))</f>
      </c>
      <c r="M194" s="23">
        <f>=IF($A194="","",INDEX(tblTasks[Depend_de],ROW()-6))</f>
      </c>
      <c r="N194" s="23">
        <f>=IF($A194="","",INDEX(tblTasks[Non_negociable],ROW()-6))</f>
      </c>
      <c r="O194" s="23">
        <f>=IF($A194="","",INDEX(tblTasks[Seuil_de_reprise],ROW()-6))</f>
      </c>
      <c r="P194" s="23">
        <f>=IF($A194="","",INDEX(tblTasks[Donnee_manquante],ROW()-6))</f>
      </c>
      <c r="Q194" s="23">
        <f>=IF($A194="","",INDEX(tblTasks[Niveau_criticite],ROW()-6))</f>
      </c>
      <c r="R194" s="23">
        <f>=IF($A194="","",INDEX(tblTasks[Irreversibilite],ROW()-6))</f>
      </c>
      <c r="S194" s="23">
        <f>=IF($A194="","",INDEX(tblTasks[Decision_Emmanuel],ROW()-6))</f>
      </c>
      <c r="T194" s="24">
        <f>=IF($A194="","",INDEX(tblTasks[Commentaire_EKT],ROW()-6))</f>
      </c>
      <c r="U194" s="23">
        <f>=IF($A194="","",INDEX(tblTasks[Goulot],ROW()-6))</f>
      </c>
      <c r="V194" s="23">
        <f>=IF($A194="","",INDEX(tblTasks[Point_de_bascule],ROW()-6))</f>
      </c>
      <c r="W194" s="37">
        <f>IF($A194="","",IF(AND(OR(param_filtre_statut="tous",LOWER($F194)=LOWER(param_filtre_statut)),OR(param_filtre_agent="tous",LOWER($D194)=LOWER(param_filtre_agent),LOWER($E194)=LOWER(param_filtre_agent)),OR(param_filtre_criticite="toutes",LOWER($Q194)=LOWER(param_filtre_criticite))),"oui","non"))</f>
      </c>
      <c r="X194" s="37">
        <f>IF($A194="","",IF(OR(LOWER($F194)="bloqué",LOWER($L194)="oui"),"oui","non"))</f>
      </c>
      <c r="Y194" s="37">
        <f>IF($A194="","",IF(OR(LOWER($Q194)="critique",LOWER($U194)="oui",LOWER($V194)="oui"),"oui","non"))</f>
      </c>
      <c r="Z194" s="37">
        <f>IF($A194="","",IF(AND($S194&lt;&gt;"",LOWER($S194)&lt;&gt;"tranchée",LOWER($S194)&lt;&gt;"sans objet",LOWER($S194)&lt;&gt;"clos"),"oui","non"))</f>
      </c>
      <c r="AA194" s="37">
        <f>IF($A194="","",IF($P194&lt;&gt;"","oui","non"))</f>
      </c>
      <c r="AB194" s="37">
        <f>IF($A194="","",IF(OR(LOWER($F194)="non réouvrable",LOWER($R194)="forte"),"oui","non"))</f>
      </c>
    </row>
    <row r="195" spans="1:28" x14ac:dyDescent="0.25">
      <c r="A195" s="23">
        <f>IFERROR(INDEX(tblTasks[ID],ROW()-6),"")</f>
      </c>
      <c r="B195" s="24">
        <f>=IF($A195="","",INDEX(tblTasks[Sujet],ROW()-6))</f>
      </c>
      <c r="C195" s="23">
        <f>=IF($A195="","",INDEX(tblTasks[Lot_Domaine],ROW()-6))</f>
      </c>
      <c r="D195" s="23">
        <f>=IF($A195="","",INDEX(tblTasks[Agent_source],ROW()-6))</f>
      </c>
      <c r="E195" s="23">
        <f>=IF($A195="","",INDEX(tblTasks[Responsable],ROW()-6))</f>
      </c>
      <c r="F195" s="23">
        <f>=IF($A195="","",INDEX(tblTasks[Statut],ROW()-6))</f>
      </c>
      <c r="G195" s="25">
        <f>=IF($A195="","",INDEX(tblTasks[Date_debut_prevue],ROW()-6))</f>
      </c>
      <c r="H195" s="25">
        <f>=IF($A195="","",INDEX(tblTasks[Date_fin_prevue],ROW()-6))</f>
      </c>
      <c r="I195" s="36">
        <f>=IF($A195="","",INDEX(tblTasks[Duree_jours],ROW()-6))</f>
      </c>
      <c r="J195" s="25">
        <f>=IF($A195="","",INDEX(tblTasks[Date_debut_reelle],ROW()-6))</f>
      </c>
      <c r="K195" s="25">
        <f>=IF($A195="","",INDEX(tblTasks[Date_fin_reelle],ROW()-6))</f>
      </c>
      <c r="L195" s="23">
        <f>=IF($A195="","",INDEX(tblTasks[Blocage],ROW()-6))</f>
      </c>
      <c r="M195" s="23">
        <f>=IF($A195="","",INDEX(tblTasks[Depend_de],ROW()-6))</f>
      </c>
      <c r="N195" s="23">
        <f>=IF($A195="","",INDEX(tblTasks[Non_negociable],ROW()-6))</f>
      </c>
      <c r="O195" s="23">
        <f>=IF($A195="","",INDEX(tblTasks[Seuil_de_reprise],ROW()-6))</f>
      </c>
      <c r="P195" s="23">
        <f>=IF($A195="","",INDEX(tblTasks[Donnee_manquante],ROW()-6))</f>
      </c>
      <c r="Q195" s="23">
        <f>=IF($A195="","",INDEX(tblTasks[Niveau_criticite],ROW()-6))</f>
      </c>
      <c r="R195" s="23">
        <f>=IF($A195="","",INDEX(tblTasks[Irreversibilite],ROW()-6))</f>
      </c>
      <c r="S195" s="23">
        <f>=IF($A195="","",INDEX(tblTasks[Decision_Emmanuel],ROW()-6))</f>
      </c>
      <c r="T195" s="24">
        <f>=IF($A195="","",INDEX(tblTasks[Commentaire_EKT],ROW()-6))</f>
      </c>
      <c r="U195" s="23">
        <f>=IF($A195="","",INDEX(tblTasks[Goulot],ROW()-6))</f>
      </c>
      <c r="V195" s="23">
        <f>=IF($A195="","",INDEX(tblTasks[Point_de_bascule],ROW()-6))</f>
      </c>
      <c r="W195" s="37">
        <f>IF($A195="","",IF(AND(OR(param_filtre_statut="tous",LOWER($F195)=LOWER(param_filtre_statut)),OR(param_filtre_agent="tous",LOWER($D195)=LOWER(param_filtre_agent),LOWER($E195)=LOWER(param_filtre_agent)),OR(param_filtre_criticite="toutes",LOWER($Q195)=LOWER(param_filtre_criticite))),"oui","non"))</f>
      </c>
      <c r="X195" s="37">
        <f>IF($A195="","",IF(OR(LOWER($F195)="bloqué",LOWER($L195)="oui"),"oui","non"))</f>
      </c>
      <c r="Y195" s="37">
        <f>IF($A195="","",IF(OR(LOWER($Q195)="critique",LOWER($U195)="oui",LOWER($V195)="oui"),"oui","non"))</f>
      </c>
      <c r="Z195" s="37">
        <f>IF($A195="","",IF(AND($S195&lt;&gt;"",LOWER($S195)&lt;&gt;"tranchée",LOWER($S195)&lt;&gt;"sans objet",LOWER($S195)&lt;&gt;"clos"),"oui","non"))</f>
      </c>
      <c r="AA195" s="37">
        <f>IF($A195="","",IF($P195&lt;&gt;"","oui","non"))</f>
      </c>
      <c r="AB195" s="37">
        <f>IF($A195="","",IF(OR(LOWER($F195)="non réouvrable",LOWER($R195)="forte"),"oui","non"))</f>
      </c>
    </row>
    <row r="196" spans="1:28" x14ac:dyDescent="0.25">
      <c r="A196" s="23">
        <f>IFERROR(INDEX(tblTasks[ID],ROW()-6),"")</f>
      </c>
      <c r="B196" s="24">
        <f>=IF($A196="","",INDEX(tblTasks[Sujet],ROW()-6))</f>
      </c>
      <c r="C196" s="23">
        <f>=IF($A196="","",INDEX(tblTasks[Lot_Domaine],ROW()-6))</f>
      </c>
      <c r="D196" s="23">
        <f>=IF($A196="","",INDEX(tblTasks[Agent_source],ROW()-6))</f>
      </c>
      <c r="E196" s="23">
        <f>=IF($A196="","",INDEX(tblTasks[Responsable],ROW()-6))</f>
      </c>
      <c r="F196" s="23">
        <f>=IF($A196="","",INDEX(tblTasks[Statut],ROW()-6))</f>
      </c>
      <c r="G196" s="25">
        <f>=IF($A196="","",INDEX(tblTasks[Date_debut_prevue],ROW()-6))</f>
      </c>
      <c r="H196" s="25">
        <f>=IF($A196="","",INDEX(tblTasks[Date_fin_prevue],ROW()-6))</f>
      </c>
      <c r="I196" s="36">
        <f>=IF($A196="","",INDEX(tblTasks[Duree_jours],ROW()-6))</f>
      </c>
      <c r="J196" s="25">
        <f>=IF($A196="","",INDEX(tblTasks[Date_debut_reelle],ROW()-6))</f>
      </c>
      <c r="K196" s="25">
        <f>=IF($A196="","",INDEX(tblTasks[Date_fin_reelle],ROW()-6))</f>
      </c>
      <c r="L196" s="23">
        <f>=IF($A196="","",INDEX(tblTasks[Blocage],ROW()-6))</f>
      </c>
      <c r="M196" s="23">
        <f>=IF($A196="","",INDEX(tblTasks[Depend_de],ROW()-6))</f>
      </c>
      <c r="N196" s="23">
        <f>=IF($A196="","",INDEX(tblTasks[Non_negociable],ROW()-6))</f>
      </c>
      <c r="O196" s="23">
        <f>=IF($A196="","",INDEX(tblTasks[Seuil_de_reprise],ROW()-6))</f>
      </c>
      <c r="P196" s="23">
        <f>=IF($A196="","",INDEX(tblTasks[Donnee_manquante],ROW()-6))</f>
      </c>
      <c r="Q196" s="23">
        <f>=IF($A196="","",INDEX(tblTasks[Niveau_criticite],ROW()-6))</f>
      </c>
      <c r="R196" s="23">
        <f>=IF($A196="","",INDEX(tblTasks[Irreversibilite],ROW()-6))</f>
      </c>
      <c r="S196" s="23">
        <f>=IF($A196="","",INDEX(tblTasks[Decision_Emmanuel],ROW()-6))</f>
      </c>
      <c r="T196" s="24">
        <f>=IF($A196="","",INDEX(tblTasks[Commentaire_EKT],ROW()-6))</f>
      </c>
      <c r="U196" s="23">
        <f>=IF($A196="","",INDEX(tblTasks[Goulot],ROW()-6))</f>
      </c>
      <c r="V196" s="23">
        <f>=IF($A196="","",INDEX(tblTasks[Point_de_bascule],ROW()-6))</f>
      </c>
      <c r="W196" s="37">
        <f>IF($A196="","",IF(AND(OR(param_filtre_statut="tous",LOWER($F196)=LOWER(param_filtre_statut)),OR(param_filtre_agent="tous",LOWER($D196)=LOWER(param_filtre_agent),LOWER($E196)=LOWER(param_filtre_agent)),OR(param_filtre_criticite="toutes",LOWER($Q196)=LOWER(param_filtre_criticite))),"oui","non"))</f>
      </c>
      <c r="X196" s="37">
        <f>IF($A196="","",IF(OR(LOWER($F196)="bloqué",LOWER($L196)="oui"),"oui","non"))</f>
      </c>
      <c r="Y196" s="37">
        <f>IF($A196="","",IF(OR(LOWER($Q196)="critique",LOWER($U196)="oui",LOWER($V196)="oui"),"oui","non"))</f>
      </c>
      <c r="Z196" s="37">
        <f>IF($A196="","",IF(AND($S196&lt;&gt;"",LOWER($S196)&lt;&gt;"tranchée",LOWER($S196)&lt;&gt;"sans objet",LOWER($S196)&lt;&gt;"clos"),"oui","non"))</f>
      </c>
      <c r="AA196" s="37">
        <f>IF($A196="","",IF($P196&lt;&gt;"","oui","non"))</f>
      </c>
      <c r="AB196" s="37">
        <f>IF($A196="","",IF(OR(LOWER($F196)="non réouvrable",LOWER($R196)="forte"),"oui","non"))</f>
      </c>
    </row>
    <row r="197" spans="1:28" x14ac:dyDescent="0.25">
      <c r="A197" s="23">
        <f>IFERROR(INDEX(tblTasks[ID],ROW()-6),"")</f>
      </c>
      <c r="B197" s="24">
        <f>=IF($A197="","",INDEX(tblTasks[Sujet],ROW()-6))</f>
      </c>
      <c r="C197" s="23">
        <f>=IF($A197="","",INDEX(tblTasks[Lot_Domaine],ROW()-6))</f>
      </c>
      <c r="D197" s="23">
        <f>=IF($A197="","",INDEX(tblTasks[Agent_source],ROW()-6))</f>
      </c>
      <c r="E197" s="23">
        <f>=IF($A197="","",INDEX(tblTasks[Responsable],ROW()-6))</f>
      </c>
      <c r="F197" s="23">
        <f>=IF($A197="","",INDEX(tblTasks[Statut],ROW()-6))</f>
      </c>
      <c r="G197" s="25">
        <f>=IF($A197="","",INDEX(tblTasks[Date_debut_prevue],ROW()-6))</f>
      </c>
      <c r="H197" s="25">
        <f>=IF($A197="","",INDEX(tblTasks[Date_fin_prevue],ROW()-6))</f>
      </c>
      <c r="I197" s="36">
        <f>=IF($A197="","",INDEX(tblTasks[Duree_jours],ROW()-6))</f>
      </c>
      <c r="J197" s="25">
        <f>=IF($A197="","",INDEX(tblTasks[Date_debut_reelle],ROW()-6))</f>
      </c>
      <c r="K197" s="25">
        <f>=IF($A197="","",INDEX(tblTasks[Date_fin_reelle],ROW()-6))</f>
      </c>
      <c r="L197" s="23">
        <f>=IF($A197="","",INDEX(tblTasks[Blocage],ROW()-6))</f>
      </c>
      <c r="M197" s="23">
        <f>=IF($A197="","",INDEX(tblTasks[Depend_de],ROW()-6))</f>
      </c>
      <c r="N197" s="23">
        <f>=IF($A197="","",INDEX(tblTasks[Non_negociable],ROW()-6))</f>
      </c>
      <c r="O197" s="23">
        <f>=IF($A197="","",INDEX(tblTasks[Seuil_de_reprise],ROW()-6))</f>
      </c>
      <c r="P197" s="23">
        <f>=IF($A197="","",INDEX(tblTasks[Donnee_manquante],ROW()-6))</f>
      </c>
      <c r="Q197" s="23">
        <f>=IF($A197="","",INDEX(tblTasks[Niveau_criticite],ROW()-6))</f>
      </c>
      <c r="R197" s="23">
        <f>=IF($A197="","",INDEX(tblTasks[Irreversibilite],ROW()-6))</f>
      </c>
      <c r="S197" s="23">
        <f>=IF($A197="","",INDEX(tblTasks[Decision_Emmanuel],ROW()-6))</f>
      </c>
      <c r="T197" s="24">
        <f>=IF($A197="","",INDEX(tblTasks[Commentaire_EKT],ROW()-6))</f>
      </c>
      <c r="U197" s="23">
        <f>=IF($A197="","",INDEX(tblTasks[Goulot],ROW()-6))</f>
      </c>
      <c r="V197" s="23">
        <f>=IF($A197="","",INDEX(tblTasks[Point_de_bascule],ROW()-6))</f>
      </c>
      <c r="W197" s="37">
        <f>IF($A197="","",IF(AND(OR(param_filtre_statut="tous",LOWER($F197)=LOWER(param_filtre_statut)),OR(param_filtre_agent="tous",LOWER($D197)=LOWER(param_filtre_agent),LOWER($E197)=LOWER(param_filtre_agent)),OR(param_filtre_criticite="toutes",LOWER($Q197)=LOWER(param_filtre_criticite))),"oui","non"))</f>
      </c>
      <c r="X197" s="37">
        <f>IF($A197="","",IF(OR(LOWER($F197)="bloqué",LOWER($L197)="oui"),"oui","non"))</f>
      </c>
      <c r="Y197" s="37">
        <f>IF($A197="","",IF(OR(LOWER($Q197)="critique",LOWER($U197)="oui",LOWER($V197)="oui"),"oui","non"))</f>
      </c>
      <c r="Z197" s="37">
        <f>IF($A197="","",IF(AND($S197&lt;&gt;"",LOWER($S197)&lt;&gt;"tranchée",LOWER($S197)&lt;&gt;"sans objet",LOWER($S197)&lt;&gt;"clos"),"oui","non"))</f>
      </c>
      <c r="AA197" s="37">
        <f>IF($A197="","",IF($P197&lt;&gt;"","oui","non"))</f>
      </c>
      <c r="AB197" s="37">
        <f>IF($A197="","",IF(OR(LOWER($F197)="non réouvrable",LOWER($R197)="forte"),"oui","non"))</f>
      </c>
    </row>
    <row r="198" spans="1:28" x14ac:dyDescent="0.25">
      <c r="A198" s="23">
        <f>IFERROR(INDEX(tblTasks[ID],ROW()-6),"")</f>
      </c>
      <c r="B198" s="24">
        <f>=IF($A198="","",INDEX(tblTasks[Sujet],ROW()-6))</f>
      </c>
      <c r="C198" s="23">
        <f>=IF($A198="","",INDEX(tblTasks[Lot_Domaine],ROW()-6))</f>
      </c>
      <c r="D198" s="23">
        <f>=IF($A198="","",INDEX(tblTasks[Agent_source],ROW()-6))</f>
      </c>
      <c r="E198" s="23">
        <f>=IF($A198="","",INDEX(tblTasks[Responsable],ROW()-6))</f>
      </c>
      <c r="F198" s="23">
        <f>=IF($A198="","",INDEX(tblTasks[Statut],ROW()-6))</f>
      </c>
      <c r="G198" s="25">
        <f>=IF($A198="","",INDEX(tblTasks[Date_debut_prevue],ROW()-6))</f>
      </c>
      <c r="H198" s="25">
        <f>=IF($A198="","",INDEX(tblTasks[Date_fin_prevue],ROW()-6))</f>
      </c>
      <c r="I198" s="36">
        <f>=IF($A198="","",INDEX(tblTasks[Duree_jours],ROW()-6))</f>
      </c>
      <c r="J198" s="25">
        <f>=IF($A198="","",INDEX(tblTasks[Date_debut_reelle],ROW()-6))</f>
      </c>
      <c r="K198" s="25">
        <f>=IF($A198="","",INDEX(tblTasks[Date_fin_reelle],ROW()-6))</f>
      </c>
      <c r="L198" s="23">
        <f>=IF($A198="","",INDEX(tblTasks[Blocage],ROW()-6))</f>
      </c>
      <c r="M198" s="23">
        <f>=IF($A198="","",INDEX(tblTasks[Depend_de],ROW()-6))</f>
      </c>
      <c r="N198" s="23">
        <f>=IF($A198="","",INDEX(tblTasks[Non_negociable],ROW()-6))</f>
      </c>
      <c r="O198" s="23">
        <f>=IF($A198="","",INDEX(tblTasks[Seuil_de_reprise],ROW()-6))</f>
      </c>
      <c r="P198" s="23">
        <f>=IF($A198="","",INDEX(tblTasks[Donnee_manquante],ROW()-6))</f>
      </c>
      <c r="Q198" s="23">
        <f>=IF($A198="","",INDEX(tblTasks[Niveau_criticite],ROW()-6))</f>
      </c>
      <c r="R198" s="23">
        <f>=IF($A198="","",INDEX(tblTasks[Irreversibilite],ROW()-6))</f>
      </c>
      <c r="S198" s="23">
        <f>=IF($A198="","",INDEX(tblTasks[Decision_Emmanuel],ROW()-6))</f>
      </c>
      <c r="T198" s="24">
        <f>=IF($A198="","",INDEX(tblTasks[Commentaire_EKT],ROW()-6))</f>
      </c>
      <c r="U198" s="23">
        <f>=IF($A198="","",INDEX(tblTasks[Goulot],ROW()-6))</f>
      </c>
      <c r="V198" s="23">
        <f>=IF($A198="","",INDEX(tblTasks[Point_de_bascule],ROW()-6))</f>
      </c>
      <c r="W198" s="37">
        <f>IF($A198="","",IF(AND(OR(param_filtre_statut="tous",LOWER($F198)=LOWER(param_filtre_statut)),OR(param_filtre_agent="tous",LOWER($D198)=LOWER(param_filtre_agent),LOWER($E198)=LOWER(param_filtre_agent)),OR(param_filtre_criticite="toutes",LOWER($Q198)=LOWER(param_filtre_criticite))),"oui","non"))</f>
      </c>
      <c r="X198" s="37">
        <f>IF($A198="","",IF(OR(LOWER($F198)="bloqué",LOWER($L198)="oui"),"oui","non"))</f>
      </c>
      <c r="Y198" s="37">
        <f>IF($A198="","",IF(OR(LOWER($Q198)="critique",LOWER($U198)="oui",LOWER($V198)="oui"),"oui","non"))</f>
      </c>
      <c r="Z198" s="37">
        <f>IF($A198="","",IF(AND($S198&lt;&gt;"",LOWER($S198)&lt;&gt;"tranchée",LOWER($S198)&lt;&gt;"sans objet",LOWER($S198)&lt;&gt;"clos"),"oui","non"))</f>
      </c>
      <c r="AA198" s="37">
        <f>IF($A198="","",IF($P198&lt;&gt;"","oui","non"))</f>
      </c>
      <c r="AB198" s="37">
        <f>IF($A198="","",IF(OR(LOWER($F198)="non réouvrable",LOWER($R198)="forte"),"oui","non"))</f>
      </c>
    </row>
    <row r="199" spans="1:28" x14ac:dyDescent="0.25">
      <c r="A199" s="23">
        <f>IFERROR(INDEX(tblTasks[ID],ROW()-6),"")</f>
      </c>
      <c r="B199" s="24">
        <f>=IF($A199="","",INDEX(tblTasks[Sujet],ROW()-6))</f>
      </c>
      <c r="C199" s="23">
        <f>=IF($A199="","",INDEX(tblTasks[Lot_Domaine],ROW()-6))</f>
      </c>
      <c r="D199" s="23">
        <f>=IF($A199="","",INDEX(tblTasks[Agent_source],ROW()-6))</f>
      </c>
      <c r="E199" s="23">
        <f>=IF($A199="","",INDEX(tblTasks[Responsable],ROW()-6))</f>
      </c>
      <c r="F199" s="23">
        <f>=IF($A199="","",INDEX(tblTasks[Statut],ROW()-6))</f>
      </c>
      <c r="G199" s="25">
        <f>=IF($A199="","",INDEX(tblTasks[Date_debut_prevue],ROW()-6))</f>
      </c>
      <c r="H199" s="25">
        <f>=IF($A199="","",INDEX(tblTasks[Date_fin_prevue],ROW()-6))</f>
      </c>
      <c r="I199" s="36">
        <f>=IF($A199="","",INDEX(tblTasks[Duree_jours],ROW()-6))</f>
      </c>
      <c r="J199" s="25">
        <f>=IF($A199="","",INDEX(tblTasks[Date_debut_reelle],ROW()-6))</f>
      </c>
      <c r="K199" s="25">
        <f>=IF($A199="","",INDEX(tblTasks[Date_fin_reelle],ROW()-6))</f>
      </c>
      <c r="L199" s="23">
        <f>=IF($A199="","",INDEX(tblTasks[Blocage],ROW()-6))</f>
      </c>
      <c r="M199" s="23">
        <f>=IF($A199="","",INDEX(tblTasks[Depend_de],ROW()-6))</f>
      </c>
      <c r="N199" s="23">
        <f>=IF($A199="","",INDEX(tblTasks[Non_negociable],ROW()-6))</f>
      </c>
      <c r="O199" s="23">
        <f>=IF($A199="","",INDEX(tblTasks[Seuil_de_reprise],ROW()-6))</f>
      </c>
      <c r="P199" s="23">
        <f>=IF($A199="","",INDEX(tblTasks[Donnee_manquante],ROW()-6))</f>
      </c>
      <c r="Q199" s="23">
        <f>=IF($A199="","",INDEX(tblTasks[Niveau_criticite],ROW()-6))</f>
      </c>
      <c r="R199" s="23">
        <f>=IF($A199="","",INDEX(tblTasks[Irreversibilite],ROW()-6))</f>
      </c>
      <c r="S199" s="23">
        <f>=IF($A199="","",INDEX(tblTasks[Decision_Emmanuel],ROW()-6))</f>
      </c>
      <c r="T199" s="24">
        <f>=IF($A199="","",INDEX(tblTasks[Commentaire_EKT],ROW()-6))</f>
      </c>
      <c r="U199" s="23">
        <f>=IF($A199="","",INDEX(tblTasks[Goulot],ROW()-6))</f>
      </c>
      <c r="V199" s="23">
        <f>=IF($A199="","",INDEX(tblTasks[Point_de_bascule],ROW()-6))</f>
      </c>
      <c r="W199" s="37">
        <f>IF($A199="","",IF(AND(OR(param_filtre_statut="tous",LOWER($F199)=LOWER(param_filtre_statut)),OR(param_filtre_agent="tous",LOWER($D199)=LOWER(param_filtre_agent),LOWER($E199)=LOWER(param_filtre_agent)),OR(param_filtre_criticite="toutes",LOWER($Q199)=LOWER(param_filtre_criticite))),"oui","non"))</f>
      </c>
      <c r="X199" s="37">
        <f>IF($A199="","",IF(OR(LOWER($F199)="bloqué",LOWER($L199)="oui"),"oui","non"))</f>
      </c>
      <c r="Y199" s="37">
        <f>IF($A199="","",IF(OR(LOWER($Q199)="critique",LOWER($U199)="oui",LOWER($V199)="oui"),"oui","non"))</f>
      </c>
      <c r="Z199" s="37">
        <f>IF($A199="","",IF(AND($S199&lt;&gt;"",LOWER($S199)&lt;&gt;"tranchée",LOWER($S199)&lt;&gt;"sans objet",LOWER($S199)&lt;&gt;"clos"),"oui","non"))</f>
      </c>
      <c r="AA199" s="37">
        <f>IF($A199="","",IF($P199&lt;&gt;"","oui","non"))</f>
      </c>
      <c r="AB199" s="37">
        <f>IF($A199="","",IF(OR(LOWER($F199)="non réouvrable",LOWER($R199)="forte"),"oui","non"))</f>
      </c>
    </row>
    <row r="200" spans="1:28" x14ac:dyDescent="0.25">
      <c r="A200" s="23">
        <f>IFERROR(INDEX(tblTasks[ID],ROW()-6),"")</f>
      </c>
      <c r="B200" s="24">
        <f>=IF($A200="","",INDEX(tblTasks[Sujet],ROW()-6))</f>
      </c>
      <c r="C200" s="23">
        <f>=IF($A200="","",INDEX(tblTasks[Lot_Domaine],ROW()-6))</f>
      </c>
      <c r="D200" s="23">
        <f>=IF($A200="","",INDEX(tblTasks[Agent_source],ROW()-6))</f>
      </c>
      <c r="E200" s="23">
        <f>=IF($A200="","",INDEX(tblTasks[Responsable],ROW()-6))</f>
      </c>
      <c r="F200" s="23">
        <f>=IF($A200="","",INDEX(tblTasks[Statut],ROW()-6))</f>
      </c>
      <c r="G200" s="25">
        <f>=IF($A200="","",INDEX(tblTasks[Date_debut_prevue],ROW()-6))</f>
      </c>
      <c r="H200" s="25">
        <f>=IF($A200="","",INDEX(tblTasks[Date_fin_prevue],ROW()-6))</f>
      </c>
      <c r="I200" s="36">
        <f>=IF($A200="","",INDEX(tblTasks[Duree_jours],ROW()-6))</f>
      </c>
      <c r="J200" s="25">
        <f>=IF($A200="","",INDEX(tblTasks[Date_debut_reelle],ROW()-6))</f>
      </c>
      <c r="K200" s="25">
        <f>=IF($A200="","",INDEX(tblTasks[Date_fin_reelle],ROW()-6))</f>
      </c>
      <c r="L200" s="23">
        <f>=IF($A200="","",INDEX(tblTasks[Blocage],ROW()-6))</f>
      </c>
      <c r="M200" s="23">
        <f>=IF($A200="","",INDEX(tblTasks[Depend_de],ROW()-6))</f>
      </c>
      <c r="N200" s="23">
        <f>=IF($A200="","",INDEX(tblTasks[Non_negociable],ROW()-6))</f>
      </c>
      <c r="O200" s="23">
        <f>=IF($A200="","",INDEX(tblTasks[Seuil_de_reprise],ROW()-6))</f>
      </c>
      <c r="P200" s="23">
        <f>=IF($A200="","",INDEX(tblTasks[Donnee_manquante],ROW()-6))</f>
      </c>
      <c r="Q200" s="23">
        <f>=IF($A200="","",INDEX(tblTasks[Niveau_criticite],ROW()-6))</f>
      </c>
      <c r="R200" s="23">
        <f>=IF($A200="","",INDEX(tblTasks[Irreversibilite],ROW()-6))</f>
      </c>
      <c r="S200" s="23">
        <f>=IF($A200="","",INDEX(tblTasks[Decision_Emmanuel],ROW()-6))</f>
      </c>
      <c r="T200" s="24">
        <f>=IF($A200="","",INDEX(tblTasks[Commentaire_EKT],ROW()-6))</f>
      </c>
      <c r="U200" s="23">
        <f>=IF($A200="","",INDEX(tblTasks[Goulot],ROW()-6))</f>
      </c>
      <c r="V200" s="23">
        <f>=IF($A200="","",INDEX(tblTasks[Point_de_bascule],ROW()-6))</f>
      </c>
      <c r="W200" s="37">
        <f>IF($A200="","",IF(AND(OR(param_filtre_statut="tous",LOWER($F200)=LOWER(param_filtre_statut)),OR(param_filtre_agent="tous",LOWER($D200)=LOWER(param_filtre_agent),LOWER($E200)=LOWER(param_filtre_agent)),OR(param_filtre_criticite="toutes",LOWER($Q200)=LOWER(param_filtre_criticite))),"oui","non"))</f>
      </c>
      <c r="X200" s="37">
        <f>IF($A200="","",IF(OR(LOWER($F200)="bloqué",LOWER($L200)="oui"),"oui","non"))</f>
      </c>
      <c r="Y200" s="37">
        <f>IF($A200="","",IF(OR(LOWER($Q200)="critique",LOWER($U200)="oui",LOWER($V200)="oui"),"oui","non"))</f>
      </c>
      <c r="Z200" s="37">
        <f>IF($A200="","",IF(AND($S200&lt;&gt;"",LOWER($S200)&lt;&gt;"tranchée",LOWER($S200)&lt;&gt;"sans objet",LOWER($S200)&lt;&gt;"clos"),"oui","non"))</f>
      </c>
      <c r="AA200" s="37">
        <f>IF($A200="","",IF($P200&lt;&gt;"","oui","non"))</f>
      </c>
      <c r="AB200" s="37">
        <f>IF($A200="","",IF(OR(LOWER($F200)="non réouvrable",LOWER($R200)="forte"),"oui","non"))</f>
      </c>
    </row>
    <row r="201" spans="1:28" x14ac:dyDescent="0.25">
      <c r="A201" s="23">
        <f>IFERROR(INDEX(tblTasks[ID],ROW()-6),"")</f>
      </c>
      <c r="B201" s="24">
        <f>=IF($A201="","",INDEX(tblTasks[Sujet],ROW()-6))</f>
      </c>
      <c r="C201" s="23">
        <f>=IF($A201="","",INDEX(tblTasks[Lot_Domaine],ROW()-6))</f>
      </c>
      <c r="D201" s="23">
        <f>=IF($A201="","",INDEX(tblTasks[Agent_source],ROW()-6))</f>
      </c>
      <c r="E201" s="23">
        <f>=IF($A201="","",INDEX(tblTasks[Responsable],ROW()-6))</f>
      </c>
      <c r="F201" s="23">
        <f>=IF($A201="","",INDEX(tblTasks[Statut],ROW()-6))</f>
      </c>
      <c r="G201" s="25">
        <f>=IF($A201="","",INDEX(tblTasks[Date_debut_prevue],ROW()-6))</f>
      </c>
      <c r="H201" s="25">
        <f>=IF($A201="","",INDEX(tblTasks[Date_fin_prevue],ROW()-6))</f>
      </c>
      <c r="I201" s="36">
        <f>=IF($A201="","",INDEX(tblTasks[Duree_jours],ROW()-6))</f>
      </c>
      <c r="J201" s="25">
        <f>=IF($A201="","",INDEX(tblTasks[Date_debut_reelle],ROW()-6))</f>
      </c>
      <c r="K201" s="25">
        <f>=IF($A201="","",INDEX(tblTasks[Date_fin_reelle],ROW()-6))</f>
      </c>
      <c r="L201" s="23">
        <f>=IF($A201="","",INDEX(tblTasks[Blocage],ROW()-6))</f>
      </c>
      <c r="M201" s="23">
        <f>=IF($A201="","",INDEX(tblTasks[Depend_de],ROW()-6))</f>
      </c>
      <c r="N201" s="23">
        <f>=IF($A201="","",INDEX(tblTasks[Non_negociable],ROW()-6))</f>
      </c>
      <c r="O201" s="23">
        <f>=IF($A201="","",INDEX(tblTasks[Seuil_de_reprise],ROW()-6))</f>
      </c>
      <c r="P201" s="23">
        <f>=IF($A201="","",INDEX(tblTasks[Donnee_manquante],ROW()-6))</f>
      </c>
      <c r="Q201" s="23">
        <f>=IF($A201="","",INDEX(tblTasks[Niveau_criticite],ROW()-6))</f>
      </c>
      <c r="R201" s="23">
        <f>=IF($A201="","",INDEX(tblTasks[Irreversibilite],ROW()-6))</f>
      </c>
      <c r="S201" s="23">
        <f>=IF($A201="","",INDEX(tblTasks[Decision_Emmanuel],ROW()-6))</f>
      </c>
      <c r="T201" s="24">
        <f>=IF($A201="","",INDEX(tblTasks[Commentaire_EKT],ROW()-6))</f>
      </c>
      <c r="U201" s="23">
        <f>=IF($A201="","",INDEX(tblTasks[Goulot],ROW()-6))</f>
      </c>
      <c r="V201" s="23">
        <f>=IF($A201="","",INDEX(tblTasks[Point_de_bascule],ROW()-6))</f>
      </c>
      <c r="W201" s="37">
        <f>IF($A201="","",IF(AND(OR(param_filtre_statut="tous",LOWER($F201)=LOWER(param_filtre_statut)),OR(param_filtre_agent="tous",LOWER($D201)=LOWER(param_filtre_agent),LOWER($E201)=LOWER(param_filtre_agent)),OR(param_filtre_criticite="toutes",LOWER($Q201)=LOWER(param_filtre_criticite))),"oui","non"))</f>
      </c>
      <c r="X201" s="37">
        <f>IF($A201="","",IF(OR(LOWER($F201)="bloqué",LOWER($L201)="oui"),"oui","non"))</f>
      </c>
      <c r="Y201" s="37">
        <f>IF($A201="","",IF(OR(LOWER($Q201)="critique",LOWER($U201)="oui",LOWER($V201)="oui"),"oui","non"))</f>
      </c>
      <c r="Z201" s="37">
        <f>IF($A201="","",IF(AND($S201&lt;&gt;"",LOWER($S201)&lt;&gt;"tranchée",LOWER($S201)&lt;&gt;"sans objet",LOWER($S201)&lt;&gt;"clos"),"oui","non"))</f>
      </c>
      <c r="AA201" s="37">
        <f>IF($A201="","",IF($P201&lt;&gt;"","oui","non"))</f>
      </c>
      <c r="AB201" s="37">
        <f>IF($A201="","",IF(OR(LOWER($F201)="non réouvrable",LOWER($R201)="forte"),"oui","non"))</f>
      </c>
    </row>
    <row r="202" spans="1:28" x14ac:dyDescent="0.25">
      <c r="A202" s="23">
        <f>IFERROR(INDEX(tblTasks[ID],ROW()-6),"")</f>
      </c>
      <c r="B202" s="24">
        <f>=IF($A202="","",INDEX(tblTasks[Sujet],ROW()-6))</f>
      </c>
      <c r="C202" s="23">
        <f>=IF($A202="","",INDEX(tblTasks[Lot_Domaine],ROW()-6))</f>
      </c>
      <c r="D202" s="23">
        <f>=IF($A202="","",INDEX(tblTasks[Agent_source],ROW()-6))</f>
      </c>
      <c r="E202" s="23">
        <f>=IF($A202="","",INDEX(tblTasks[Responsable],ROW()-6))</f>
      </c>
      <c r="F202" s="23">
        <f>=IF($A202="","",INDEX(tblTasks[Statut],ROW()-6))</f>
      </c>
      <c r="G202" s="25">
        <f>=IF($A202="","",INDEX(tblTasks[Date_debut_prevue],ROW()-6))</f>
      </c>
      <c r="H202" s="25">
        <f>=IF($A202="","",INDEX(tblTasks[Date_fin_prevue],ROW()-6))</f>
      </c>
      <c r="I202" s="36">
        <f>=IF($A202="","",INDEX(tblTasks[Duree_jours],ROW()-6))</f>
      </c>
      <c r="J202" s="25">
        <f>=IF($A202="","",INDEX(tblTasks[Date_debut_reelle],ROW()-6))</f>
      </c>
      <c r="K202" s="25">
        <f>=IF($A202="","",INDEX(tblTasks[Date_fin_reelle],ROW()-6))</f>
      </c>
      <c r="L202" s="23">
        <f>=IF($A202="","",INDEX(tblTasks[Blocage],ROW()-6))</f>
      </c>
      <c r="M202" s="23">
        <f>=IF($A202="","",INDEX(tblTasks[Depend_de],ROW()-6))</f>
      </c>
      <c r="N202" s="23">
        <f>=IF($A202="","",INDEX(tblTasks[Non_negociable],ROW()-6))</f>
      </c>
      <c r="O202" s="23">
        <f>=IF($A202="","",INDEX(tblTasks[Seuil_de_reprise],ROW()-6))</f>
      </c>
      <c r="P202" s="23">
        <f>=IF($A202="","",INDEX(tblTasks[Donnee_manquante],ROW()-6))</f>
      </c>
      <c r="Q202" s="23">
        <f>=IF($A202="","",INDEX(tblTasks[Niveau_criticite],ROW()-6))</f>
      </c>
      <c r="R202" s="23">
        <f>=IF($A202="","",INDEX(tblTasks[Irreversibilite],ROW()-6))</f>
      </c>
      <c r="S202" s="23">
        <f>=IF($A202="","",INDEX(tblTasks[Decision_Emmanuel],ROW()-6))</f>
      </c>
      <c r="T202" s="24">
        <f>=IF($A202="","",INDEX(tblTasks[Commentaire_EKT],ROW()-6))</f>
      </c>
      <c r="U202" s="23">
        <f>=IF($A202="","",INDEX(tblTasks[Goulot],ROW()-6))</f>
      </c>
      <c r="V202" s="23">
        <f>=IF($A202="","",INDEX(tblTasks[Point_de_bascule],ROW()-6))</f>
      </c>
      <c r="W202" s="37">
        <f>IF($A202="","",IF(AND(OR(param_filtre_statut="tous",LOWER($F202)=LOWER(param_filtre_statut)),OR(param_filtre_agent="tous",LOWER($D202)=LOWER(param_filtre_agent),LOWER($E202)=LOWER(param_filtre_agent)),OR(param_filtre_criticite="toutes",LOWER($Q202)=LOWER(param_filtre_criticite))),"oui","non"))</f>
      </c>
      <c r="X202" s="37">
        <f>IF($A202="","",IF(OR(LOWER($F202)="bloqué",LOWER($L202)="oui"),"oui","non"))</f>
      </c>
      <c r="Y202" s="37">
        <f>IF($A202="","",IF(OR(LOWER($Q202)="critique",LOWER($U202)="oui",LOWER($V202)="oui"),"oui","non"))</f>
      </c>
      <c r="Z202" s="37">
        <f>IF($A202="","",IF(AND($S202&lt;&gt;"",LOWER($S202)&lt;&gt;"tranchée",LOWER($S202)&lt;&gt;"sans objet",LOWER($S202)&lt;&gt;"clos"),"oui","non"))</f>
      </c>
      <c r="AA202" s="37">
        <f>IF($A202="","",IF($P202&lt;&gt;"","oui","non"))</f>
      </c>
      <c r="AB202" s="37">
        <f>IF($A202="","",IF(OR(LOWER($F202)="non réouvrable",LOWER($R202)="forte"),"oui","non"))</f>
      </c>
    </row>
    <row r="203" spans="1:28" x14ac:dyDescent="0.25">
      <c r="A203" s="23">
        <f>IFERROR(INDEX(tblTasks[ID],ROW()-6),"")</f>
      </c>
      <c r="B203" s="24">
        <f>=IF($A203="","",INDEX(tblTasks[Sujet],ROW()-6))</f>
      </c>
      <c r="C203" s="23">
        <f>=IF($A203="","",INDEX(tblTasks[Lot_Domaine],ROW()-6))</f>
      </c>
      <c r="D203" s="23">
        <f>=IF($A203="","",INDEX(tblTasks[Agent_source],ROW()-6))</f>
      </c>
      <c r="E203" s="23">
        <f>=IF($A203="","",INDEX(tblTasks[Responsable],ROW()-6))</f>
      </c>
      <c r="F203" s="23">
        <f>=IF($A203="","",INDEX(tblTasks[Statut],ROW()-6))</f>
      </c>
      <c r="G203" s="25">
        <f>=IF($A203="","",INDEX(tblTasks[Date_debut_prevue],ROW()-6))</f>
      </c>
      <c r="H203" s="25">
        <f>=IF($A203="","",INDEX(tblTasks[Date_fin_prevue],ROW()-6))</f>
      </c>
      <c r="I203" s="36">
        <f>=IF($A203="","",INDEX(tblTasks[Duree_jours],ROW()-6))</f>
      </c>
      <c r="J203" s="25">
        <f>=IF($A203="","",INDEX(tblTasks[Date_debut_reelle],ROW()-6))</f>
      </c>
      <c r="K203" s="25">
        <f>=IF($A203="","",INDEX(tblTasks[Date_fin_reelle],ROW()-6))</f>
      </c>
      <c r="L203" s="23">
        <f>=IF($A203="","",INDEX(tblTasks[Blocage],ROW()-6))</f>
      </c>
      <c r="M203" s="23">
        <f>=IF($A203="","",INDEX(tblTasks[Depend_de],ROW()-6))</f>
      </c>
      <c r="N203" s="23">
        <f>=IF($A203="","",INDEX(tblTasks[Non_negociable],ROW()-6))</f>
      </c>
      <c r="O203" s="23">
        <f>=IF($A203="","",INDEX(tblTasks[Seuil_de_reprise],ROW()-6))</f>
      </c>
      <c r="P203" s="23">
        <f>=IF($A203="","",INDEX(tblTasks[Donnee_manquante],ROW()-6))</f>
      </c>
      <c r="Q203" s="23">
        <f>=IF($A203="","",INDEX(tblTasks[Niveau_criticite],ROW()-6))</f>
      </c>
      <c r="R203" s="23">
        <f>=IF($A203="","",INDEX(tblTasks[Irreversibilite],ROW()-6))</f>
      </c>
      <c r="S203" s="23">
        <f>=IF($A203="","",INDEX(tblTasks[Decision_Emmanuel],ROW()-6))</f>
      </c>
      <c r="T203" s="24">
        <f>=IF($A203="","",INDEX(tblTasks[Commentaire_EKT],ROW()-6))</f>
      </c>
      <c r="U203" s="23">
        <f>=IF($A203="","",INDEX(tblTasks[Goulot],ROW()-6))</f>
      </c>
      <c r="V203" s="23">
        <f>=IF($A203="","",INDEX(tblTasks[Point_de_bascule],ROW()-6))</f>
      </c>
      <c r="W203" s="37">
        <f>IF($A203="","",IF(AND(OR(param_filtre_statut="tous",LOWER($F203)=LOWER(param_filtre_statut)),OR(param_filtre_agent="tous",LOWER($D203)=LOWER(param_filtre_agent),LOWER($E203)=LOWER(param_filtre_agent)),OR(param_filtre_criticite="toutes",LOWER($Q203)=LOWER(param_filtre_criticite))),"oui","non"))</f>
      </c>
      <c r="X203" s="37">
        <f>IF($A203="","",IF(OR(LOWER($F203)="bloqué",LOWER($L203)="oui"),"oui","non"))</f>
      </c>
      <c r="Y203" s="37">
        <f>IF($A203="","",IF(OR(LOWER($Q203)="critique",LOWER($U203)="oui",LOWER($V203)="oui"),"oui","non"))</f>
      </c>
      <c r="Z203" s="37">
        <f>IF($A203="","",IF(AND($S203&lt;&gt;"",LOWER($S203)&lt;&gt;"tranchée",LOWER($S203)&lt;&gt;"sans objet",LOWER($S203)&lt;&gt;"clos"),"oui","non"))</f>
      </c>
      <c r="AA203" s="37">
        <f>IF($A203="","",IF($P203&lt;&gt;"","oui","non"))</f>
      </c>
      <c r="AB203" s="37">
        <f>IF($A203="","",IF(OR(LOWER($F203)="non réouvrable",LOWER($R203)="forte"),"oui","non"))</f>
      </c>
    </row>
    <row r="204" spans="1:28" x14ac:dyDescent="0.25">
      <c r="A204" s="23">
        <f>IFERROR(INDEX(tblTasks[ID],ROW()-6),"")</f>
      </c>
      <c r="B204" s="24">
        <f>=IF($A204="","",INDEX(tblTasks[Sujet],ROW()-6))</f>
      </c>
      <c r="C204" s="23">
        <f>=IF($A204="","",INDEX(tblTasks[Lot_Domaine],ROW()-6))</f>
      </c>
      <c r="D204" s="23">
        <f>=IF($A204="","",INDEX(tblTasks[Agent_source],ROW()-6))</f>
      </c>
      <c r="E204" s="23">
        <f>=IF($A204="","",INDEX(tblTasks[Responsable],ROW()-6))</f>
      </c>
      <c r="F204" s="23">
        <f>=IF($A204="","",INDEX(tblTasks[Statut],ROW()-6))</f>
      </c>
      <c r="G204" s="25">
        <f>=IF($A204="","",INDEX(tblTasks[Date_debut_prevue],ROW()-6))</f>
      </c>
      <c r="H204" s="25">
        <f>=IF($A204="","",INDEX(tblTasks[Date_fin_prevue],ROW()-6))</f>
      </c>
      <c r="I204" s="36">
        <f>=IF($A204="","",INDEX(tblTasks[Duree_jours],ROW()-6))</f>
      </c>
      <c r="J204" s="25">
        <f>=IF($A204="","",INDEX(tblTasks[Date_debut_reelle],ROW()-6))</f>
      </c>
      <c r="K204" s="25">
        <f>=IF($A204="","",INDEX(tblTasks[Date_fin_reelle],ROW()-6))</f>
      </c>
      <c r="L204" s="23">
        <f>=IF($A204="","",INDEX(tblTasks[Blocage],ROW()-6))</f>
      </c>
      <c r="M204" s="23">
        <f>=IF($A204="","",INDEX(tblTasks[Depend_de],ROW()-6))</f>
      </c>
      <c r="N204" s="23">
        <f>=IF($A204="","",INDEX(tblTasks[Non_negociable],ROW()-6))</f>
      </c>
      <c r="O204" s="23">
        <f>=IF($A204="","",INDEX(tblTasks[Seuil_de_reprise],ROW()-6))</f>
      </c>
      <c r="P204" s="23">
        <f>=IF($A204="","",INDEX(tblTasks[Donnee_manquante],ROW()-6))</f>
      </c>
      <c r="Q204" s="23">
        <f>=IF($A204="","",INDEX(tblTasks[Niveau_criticite],ROW()-6))</f>
      </c>
      <c r="R204" s="23">
        <f>=IF($A204="","",INDEX(tblTasks[Irreversibilite],ROW()-6))</f>
      </c>
      <c r="S204" s="23">
        <f>=IF($A204="","",INDEX(tblTasks[Decision_Emmanuel],ROW()-6))</f>
      </c>
      <c r="T204" s="24">
        <f>=IF($A204="","",INDEX(tblTasks[Commentaire_EKT],ROW()-6))</f>
      </c>
      <c r="U204" s="23">
        <f>=IF($A204="","",INDEX(tblTasks[Goulot],ROW()-6))</f>
      </c>
      <c r="V204" s="23">
        <f>=IF($A204="","",INDEX(tblTasks[Point_de_bascule],ROW()-6))</f>
      </c>
      <c r="W204" s="37">
        <f>IF($A204="","",IF(AND(OR(param_filtre_statut="tous",LOWER($F204)=LOWER(param_filtre_statut)),OR(param_filtre_agent="tous",LOWER($D204)=LOWER(param_filtre_agent),LOWER($E204)=LOWER(param_filtre_agent)),OR(param_filtre_criticite="toutes",LOWER($Q204)=LOWER(param_filtre_criticite))),"oui","non"))</f>
      </c>
      <c r="X204" s="37">
        <f>IF($A204="","",IF(OR(LOWER($F204)="bloqué",LOWER($L204)="oui"),"oui","non"))</f>
      </c>
      <c r="Y204" s="37">
        <f>IF($A204="","",IF(OR(LOWER($Q204)="critique",LOWER($U204)="oui",LOWER($V204)="oui"),"oui","non"))</f>
      </c>
      <c r="Z204" s="37">
        <f>IF($A204="","",IF(AND($S204&lt;&gt;"",LOWER($S204)&lt;&gt;"tranchée",LOWER($S204)&lt;&gt;"sans objet",LOWER($S204)&lt;&gt;"clos"),"oui","non"))</f>
      </c>
      <c r="AA204" s="37">
        <f>IF($A204="","",IF($P204&lt;&gt;"","oui","non"))</f>
      </c>
      <c r="AB204" s="37">
        <f>IF($A204="","",IF(OR(LOWER($F204)="non réouvrable",LOWER($R204)="forte"),"oui","non"))</f>
      </c>
    </row>
    <row r="205" spans="1:28" x14ac:dyDescent="0.25">
      <c r="A205" s="23">
        <f>IFERROR(INDEX(tblTasks[ID],ROW()-6),"")</f>
      </c>
      <c r="B205" s="24">
        <f>=IF($A205="","",INDEX(tblTasks[Sujet],ROW()-6))</f>
      </c>
      <c r="C205" s="23">
        <f>=IF($A205="","",INDEX(tblTasks[Lot_Domaine],ROW()-6))</f>
      </c>
      <c r="D205" s="23">
        <f>=IF($A205="","",INDEX(tblTasks[Agent_source],ROW()-6))</f>
      </c>
      <c r="E205" s="23">
        <f>=IF($A205="","",INDEX(tblTasks[Responsable],ROW()-6))</f>
      </c>
      <c r="F205" s="23">
        <f>=IF($A205="","",INDEX(tblTasks[Statut],ROW()-6))</f>
      </c>
      <c r="G205" s="25">
        <f>=IF($A205="","",INDEX(tblTasks[Date_debut_prevue],ROW()-6))</f>
      </c>
      <c r="H205" s="25">
        <f>=IF($A205="","",INDEX(tblTasks[Date_fin_prevue],ROW()-6))</f>
      </c>
      <c r="I205" s="36">
        <f>=IF($A205="","",INDEX(tblTasks[Duree_jours],ROW()-6))</f>
      </c>
      <c r="J205" s="25">
        <f>=IF($A205="","",INDEX(tblTasks[Date_debut_reelle],ROW()-6))</f>
      </c>
      <c r="K205" s="25">
        <f>=IF($A205="","",INDEX(tblTasks[Date_fin_reelle],ROW()-6))</f>
      </c>
      <c r="L205" s="23">
        <f>=IF($A205="","",INDEX(tblTasks[Blocage],ROW()-6))</f>
      </c>
      <c r="M205" s="23">
        <f>=IF($A205="","",INDEX(tblTasks[Depend_de],ROW()-6))</f>
      </c>
      <c r="N205" s="23">
        <f>=IF($A205="","",INDEX(tblTasks[Non_negociable],ROW()-6))</f>
      </c>
      <c r="O205" s="23">
        <f>=IF($A205="","",INDEX(tblTasks[Seuil_de_reprise],ROW()-6))</f>
      </c>
      <c r="P205" s="23">
        <f>=IF($A205="","",INDEX(tblTasks[Donnee_manquante],ROW()-6))</f>
      </c>
      <c r="Q205" s="23">
        <f>=IF($A205="","",INDEX(tblTasks[Niveau_criticite],ROW()-6))</f>
      </c>
      <c r="R205" s="23">
        <f>=IF($A205="","",INDEX(tblTasks[Irreversibilite],ROW()-6))</f>
      </c>
      <c r="S205" s="23">
        <f>=IF($A205="","",INDEX(tblTasks[Decision_Emmanuel],ROW()-6))</f>
      </c>
      <c r="T205" s="24">
        <f>=IF($A205="","",INDEX(tblTasks[Commentaire_EKT],ROW()-6))</f>
      </c>
      <c r="U205" s="23">
        <f>=IF($A205="","",INDEX(tblTasks[Goulot],ROW()-6))</f>
      </c>
      <c r="V205" s="23">
        <f>=IF($A205="","",INDEX(tblTasks[Point_de_bascule],ROW()-6))</f>
      </c>
      <c r="W205" s="37">
        <f>IF($A205="","",IF(AND(OR(param_filtre_statut="tous",LOWER($F205)=LOWER(param_filtre_statut)),OR(param_filtre_agent="tous",LOWER($D205)=LOWER(param_filtre_agent),LOWER($E205)=LOWER(param_filtre_agent)),OR(param_filtre_criticite="toutes",LOWER($Q205)=LOWER(param_filtre_criticite))),"oui","non"))</f>
      </c>
      <c r="X205" s="37">
        <f>IF($A205="","",IF(OR(LOWER($F205)="bloqué",LOWER($L205)="oui"),"oui","non"))</f>
      </c>
      <c r="Y205" s="37">
        <f>IF($A205="","",IF(OR(LOWER($Q205)="critique",LOWER($U205)="oui",LOWER($V205)="oui"),"oui","non"))</f>
      </c>
      <c r="Z205" s="37">
        <f>IF($A205="","",IF(AND($S205&lt;&gt;"",LOWER($S205)&lt;&gt;"tranchée",LOWER($S205)&lt;&gt;"sans objet",LOWER($S205)&lt;&gt;"clos"),"oui","non"))</f>
      </c>
      <c r="AA205" s="37">
        <f>IF($A205="","",IF($P205&lt;&gt;"","oui","non"))</f>
      </c>
      <c r="AB205" s="37">
        <f>IF($A205="","",IF(OR(LOWER($F205)="non réouvrable",LOWER($R205)="forte"),"oui","non"))</f>
      </c>
    </row>
    <row r="206" spans="1:28" x14ac:dyDescent="0.25">
      <c r="A206" s="23">
        <f>IFERROR(INDEX(tblTasks[ID],ROW()-6),"")</f>
      </c>
      <c r="B206" s="24">
        <f>=IF($A206="","",INDEX(tblTasks[Sujet],ROW()-6))</f>
      </c>
      <c r="C206" s="23">
        <f>=IF($A206="","",INDEX(tblTasks[Lot_Domaine],ROW()-6))</f>
      </c>
      <c r="D206" s="23">
        <f>=IF($A206="","",INDEX(tblTasks[Agent_source],ROW()-6))</f>
      </c>
      <c r="E206" s="23">
        <f>=IF($A206="","",INDEX(tblTasks[Responsable],ROW()-6))</f>
      </c>
      <c r="F206" s="23">
        <f>=IF($A206="","",INDEX(tblTasks[Statut],ROW()-6))</f>
      </c>
      <c r="G206" s="25">
        <f>=IF($A206="","",INDEX(tblTasks[Date_debut_prevue],ROW()-6))</f>
      </c>
      <c r="H206" s="25">
        <f>=IF($A206="","",INDEX(tblTasks[Date_fin_prevue],ROW()-6))</f>
      </c>
      <c r="I206" s="36">
        <f>=IF($A206="","",INDEX(tblTasks[Duree_jours],ROW()-6))</f>
      </c>
      <c r="J206" s="25">
        <f>=IF($A206="","",INDEX(tblTasks[Date_debut_reelle],ROW()-6))</f>
      </c>
      <c r="K206" s="25">
        <f>=IF($A206="","",INDEX(tblTasks[Date_fin_reelle],ROW()-6))</f>
      </c>
      <c r="L206" s="23">
        <f>=IF($A206="","",INDEX(tblTasks[Blocage],ROW()-6))</f>
      </c>
      <c r="M206" s="23">
        <f>=IF($A206="","",INDEX(tblTasks[Depend_de],ROW()-6))</f>
      </c>
      <c r="N206" s="23">
        <f>=IF($A206="","",INDEX(tblTasks[Non_negociable],ROW()-6))</f>
      </c>
      <c r="O206" s="23">
        <f>=IF($A206="","",INDEX(tblTasks[Seuil_de_reprise],ROW()-6))</f>
      </c>
      <c r="P206" s="23">
        <f>=IF($A206="","",INDEX(tblTasks[Donnee_manquante],ROW()-6))</f>
      </c>
      <c r="Q206" s="23">
        <f>=IF($A206="","",INDEX(tblTasks[Niveau_criticite],ROW()-6))</f>
      </c>
      <c r="R206" s="23">
        <f>=IF($A206="","",INDEX(tblTasks[Irreversibilite],ROW()-6))</f>
      </c>
      <c r="S206" s="23">
        <f>=IF($A206="","",INDEX(tblTasks[Decision_Emmanuel],ROW()-6))</f>
      </c>
      <c r="T206" s="24">
        <f>=IF($A206="","",INDEX(tblTasks[Commentaire_EKT],ROW()-6))</f>
      </c>
      <c r="U206" s="23">
        <f>=IF($A206="","",INDEX(tblTasks[Goulot],ROW()-6))</f>
      </c>
      <c r="V206" s="23">
        <f>=IF($A206="","",INDEX(tblTasks[Point_de_bascule],ROW()-6))</f>
      </c>
      <c r="W206" s="37">
        <f>IF($A206="","",IF(AND(OR(param_filtre_statut="tous",LOWER($F206)=LOWER(param_filtre_statut)),OR(param_filtre_agent="tous",LOWER($D206)=LOWER(param_filtre_agent),LOWER($E206)=LOWER(param_filtre_agent)),OR(param_filtre_criticite="toutes",LOWER($Q206)=LOWER(param_filtre_criticite))),"oui","non"))</f>
      </c>
      <c r="X206" s="37">
        <f>IF($A206="","",IF(OR(LOWER($F206)="bloqué",LOWER($L206)="oui"),"oui","non"))</f>
      </c>
      <c r="Y206" s="37">
        <f>IF($A206="","",IF(OR(LOWER($Q206)="critique",LOWER($U206)="oui",LOWER($V206)="oui"),"oui","non"))</f>
      </c>
      <c r="Z206" s="37">
        <f>IF($A206="","",IF(AND($S206&lt;&gt;"",LOWER($S206)&lt;&gt;"tranchée",LOWER($S206)&lt;&gt;"sans objet",LOWER($S206)&lt;&gt;"clos"),"oui","non"))</f>
      </c>
      <c r="AA206" s="37">
        <f>IF($A206="","",IF($P206&lt;&gt;"","oui","non"))</f>
      </c>
      <c r="AB206" s="37">
        <f>IF($A206="","",IF(OR(LOWER($F206)="non réouvrable",LOWER($R206)="forte"),"oui","non"))</f>
      </c>
    </row>
    <row r="207" spans="1:28" x14ac:dyDescent="0.25">
      <c r="A207" s="23">
        <f>IFERROR(INDEX(tblTasks[ID],ROW()-6),"")</f>
      </c>
      <c r="B207" s="24">
        <f>=IF($A207="","",INDEX(tblTasks[Sujet],ROW()-6))</f>
      </c>
      <c r="C207" s="23">
        <f>=IF($A207="","",INDEX(tblTasks[Lot_Domaine],ROW()-6))</f>
      </c>
      <c r="D207" s="23">
        <f>=IF($A207="","",INDEX(tblTasks[Agent_source],ROW()-6))</f>
      </c>
      <c r="E207" s="23">
        <f>=IF($A207="","",INDEX(tblTasks[Responsable],ROW()-6))</f>
      </c>
      <c r="F207" s="23">
        <f>=IF($A207="","",INDEX(tblTasks[Statut],ROW()-6))</f>
      </c>
      <c r="G207" s="25">
        <f>=IF($A207="","",INDEX(tblTasks[Date_debut_prevue],ROW()-6))</f>
      </c>
      <c r="H207" s="25">
        <f>=IF($A207="","",INDEX(tblTasks[Date_fin_prevue],ROW()-6))</f>
      </c>
      <c r="I207" s="36">
        <f>=IF($A207="","",INDEX(tblTasks[Duree_jours],ROW()-6))</f>
      </c>
      <c r="J207" s="25">
        <f>=IF($A207="","",INDEX(tblTasks[Date_debut_reelle],ROW()-6))</f>
      </c>
      <c r="K207" s="25">
        <f>=IF($A207="","",INDEX(tblTasks[Date_fin_reelle],ROW()-6))</f>
      </c>
      <c r="L207" s="23">
        <f>=IF($A207="","",INDEX(tblTasks[Blocage],ROW()-6))</f>
      </c>
      <c r="M207" s="23">
        <f>=IF($A207="","",INDEX(tblTasks[Depend_de],ROW()-6))</f>
      </c>
      <c r="N207" s="23">
        <f>=IF($A207="","",INDEX(tblTasks[Non_negociable],ROW()-6))</f>
      </c>
      <c r="O207" s="23">
        <f>=IF($A207="","",INDEX(tblTasks[Seuil_de_reprise],ROW()-6))</f>
      </c>
      <c r="P207" s="23">
        <f>=IF($A207="","",INDEX(tblTasks[Donnee_manquante],ROW()-6))</f>
      </c>
      <c r="Q207" s="23">
        <f>=IF($A207="","",INDEX(tblTasks[Niveau_criticite],ROW()-6))</f>
      </c>
      <c r="R207" s="23">
        <f>=IF($A207="","",INDEX(tblTasks[Irreversibilite],ROW()-6))</f>
      </c>
      <c r="S207" s="23">
        <f>=IF($A207="","",INDEX(tblTasks[Decision_Emmanuel],ROW()-6))</f>
      </c>
      <c r="T207" s="24">
        <f>=IF($A207="","",INDEX(tblTasks[Commentaire_EKT],ROW()-6))</f>
      </c>
      <c r="U207" s="23">
        <f>=IF($A207="","",INDEX(tblTasks[Goulot],ROW()-6))</f>
      </c>
      <c r="V207" s="23">
        <f>=IF($A207="","",INDEX(tblTasks[Point_de_bascule],ROW()-6))</f>
      </c>
      <c r="W207" s="37">
        <f>IF($A207="","",IF(AND(OR(param_filtre_statut="tous",LOWER($F207)=LOWER(param_filtre_statut)),OR(param_filtre_agent="tous",LOWER($D207)=LOWER(param_filtre_agent),LOWER($E207)=LOWER(param_filtre_agent)),OR(param_filtre_criticite="toutes",LOWER($Q207)=LOWER(param_filtre_criticite))),"oui","non"))</f>
      </c>
      <c r="X207" s="37">
        <f>IF($A207="","",IF(OR(LOWER($F207)="bloqué",LOWER($L207)="oui"),"oui","non"))</f>
      </c>
      <c r="Y207" s="37">
        <f>IF($A207="","",IF(OR(LOWER($Q207)="critique",LOWER($U207)="oui",LOWER($V207)="oui"),"oui","non"))</f>
      </c>
      <c r="Z207" s="37">
        <f>IF($A207="","",IF(AND($S207&lt;&gt;"",LOWER($S207)&lt;&gt;"tranchée",LOWER($S207)&lt;&gt;"sans objet",LOWER($S207)&lt;&gt;"clos"),"oui","non"))</f>
      </c>
      <c r="AA207" s="37">
        <f>IF($A207="","",IF($P207&lt;&gt;"","oui","non"))</f>
      </c>
      <c r="AB207" s="37">
        <f>IF($A207="","",IF(OR(LOWER($F207)="non réouvrable",LOWER($R207)="forte"),"oui","non"))</f>
      </c>
    </row>
    <row r="208" spans="1:28" x14ac:dyDescent="0.25">
      <c r="A208" s="23">
        <f>IFERROR(INDEX(tblTasks[ID],ROW()-6),"")</f>
      </c>
      <c r="B208" s="24">
        <f>=IF($A208="","",INDEX(tblTasks[Sujet],ROW()-6))</f>
      </c>
      <c r="C208" s="23">
        <f>=IF($A208="","",INDEX(tblTasks[Lot_Domaine],ROW()-6))</f>
      </c>
      <c r="D208" s="23">
        <f>=IF($A208="","",INDEX(tblTasks[Agent_source],ROW()-6))</f>
      </c>
      <c r="E208" s="23">
        <f>=IF($A208="","",INDEX(tblTasks[Responsable],ROW()-6))</f>
      </c>
      <c r="F208" s="23">
        <f>=IF($A208="","",INDEX(tblTasks[Statut],ROW()-6))</f>
      </c>
      <c r="G208" s="25">
        <f>=IF($A208="","",INDEX(tblTasks[Date_debut_prevue],ROW()-6))</f>
      </c>
      <c r="H208" s="25">
        <f>=IF($A208="","",INDEX(tblTasks[Date_fin_prevue],ROW()-6))</f>
      </c>
      <c r="I208" s="36">
        <f>=IF($A208="","",INDEX(tblTasks[Duree_jours],ROW()-6))</f>
      </c>
      <c r="J208" s="25">
        <f>=IF($A208="","",INDEX(tblTasks[Date_debut_reelle],ROW()-6))</f>
      </c>
      <c r="K208" s="25">
        <f>=IF($A208="","",INDEX(tblTasks[Date_fin_reelle],ROW()-6))</f>
      </c>
      <c r="L208" s="23">
        <f>=IF($A208="","",INDEX(tblTasks[Blocage],ROW()-6))</f>
      </c>
      <c r="M208" s="23">
        <f>=IF($A208="","",INDEX(tblTasks[Depend_de],ROW()-6))</f>
      </c>
      <c r="N208" s="23">
        <f>=IF($A208="","",INDEX(tblTasks[Non_negociable],ROW()-6))</f>
      </c>
      <c r="O208" s="23">
        <f>=IF($A208="","",INDEX(tblTasks[Seuil_de_reprise],ROW()-6))</f>
      </c>
      <c r="P208" s="23">
        <f>=IF($A208="","",INDEX(tblTasks[Donnee_manquante],ROW()-6))</f>
      </c>
      <c r="Q208" s="23">
        <f>=IF($A208="","",INDEX(tblTasks[Niveau_criticite],ROW()-6))</f>
      </c>
      <c r="R208" s="23">
        <f>=IF($A208="","",INDEX(tblTasks[Irreversibilite],ROW()-6))</f>
      </c>
      <c r="S208" s="23">
        <f>=IF($A208="","",INDEX(tblTasks[Decision_Emmanuel],ROW()-6))</f>
      </c>
      <c r="T208" s="24">
        <f>=IF($A208="","",INDEX(tblTasks[Commentaire_EKT],ROW()-6))</f>
      </c>
      <c r="U208" s="23">
        <f>=IF($A208="","",INDEX(tblTasks[Goulot],ROW()-6))</f>
      </c>
      <c r="V208" s="23">
        <f>=IF($A208="","",INDEX(tblTasks[Point_de_bascule],ROW()-6))</f>
      </c>
      <c r="W208" s="37">
        <f>IF($A208="","",IF(AND(OR(param_filtre_statut="tous",LOWER($F208)=LOWER(param_filtre_statut)),OR(param_filtre_agent="tous",LOWER($D208)=LOWER(param_filtre_agent),LOWER($E208)=LOWER(param_filtre_agent)),OR(param_filtre_criticite="toutes",LOWER($Q208)=LOWER(param_filtre_criticite))),"oui","non"))</f>
      </c>
      <c r="X208" s="37">
        <f>IF($A208="","",IF(OR(LOWER($F208)="bloqué",LOWER($L208)="oui"),"oui","non"))</f>
      </c>
      <c r="Y208" s="37">
        <f>IF($A208="","",IF(OR(LOWER($Q208)="critique",LOWER($U208)="oui",LOWER($V208)="oui"),"oui","non"))</f>
      </c>
      <c r="Z208" s="37">
        <f>IF($A208="","",IF(AND($S208&lt;&gt;"",LOWER($S208)&lt;&gt;"tranchée",LOWER($S208)&lt;&gt;"sans objet",LOWER($S208)&lt;&gt;"clos"),"oui","non"))</f>
      </c>
      <c r="AA208" s="37">
        <f>IF($A208="","",IF($P208&lt;&gt;"","oui","non"))</f>
      </c>
      <c r="AB208" s="37">
        <f>IF($A208="","",IF(OR(LOWER($F208)="non réouvrable",LOWER($R208)="forte"),"oui","non"))</f>
      </c>
    </row>
    <row r="209" spans="1:28" x14ac:dyDescent="0.25">
      <c r="A209" s="23">
        <f>IFERROR(INDEX(tblTasks[ID],ROW()-6),"")</f>
      </c>
      <c r="B209" s="24">
        <f>=IF($A209="","",INDEX(tblTasks[Sujet],ROW()-6))</f>
      </c>
      <c r="C209" s="23">
        <f>=IF($A209="","",INDEX(tblTasks[Lot_Domaine],ROW()-6))</f>
      </c>
      <c r="D209" s="23">
        <f>=IF($A209="","",INDEX(tblTasks[Agent_source],ROW()-6))</f>
      </c>
      <c r="E209" s="23">
        <f>=IF($A209="","",INDEX(tblTasks[Responsable],ROW()-6))</f>
      </c>
      <c r="F209" s="23">
        <f>=IF($A209="","",INDEX(tblTasks[Statut],ROW()-6))</f>
      </c>
      <c r="G209" s="25">
        <f>=IF($A209="","",INDEX(tblTasks[Date_debut_prevue],ROW()-6))</f>
      </c>
      <c r="H209" s="25">
        <f>=IF($A209="","",INDEX(tblTasks[Date_fin_prevue],ROW()-6))</f>
      </c>
      <c r="I209" s="36">
        <f>=IF($A209="","",INDEX(tblTasks[Duree_jours],ROW()-6))</f>
      </c>
      <c r="J209" s="25">
        <f>=IF($A209="","",INDEX(tblTasks[Date_debut_reelle],ROW()-6))</f>
      </c>
      <c r="K209" s="25">
        <f>=IF($A209="","",INDEX(tblTasks[Date_fin_reelle],ROW()-6))</f>
      </c>
      <c r="L209" s="23">
        <f>=IF($A209="","",INDEX(tblTasks[Blocage],ROW()-6))</f>
      </c>
      <c r="M209" s="23">
        <f>=IF($A209="","",INDEX(tblTasks[Depend_de],ROW()-6))</f>
      </c>
      <c r="N209" s="23">
        <f>=IF($A209="","",INDEX(tblTasks[Non_negociable],ROW()-6))</f>
      </c>
      <c r="O209" s="23">
        <f>=IF($A209="","",INDEX(tblTasks[Seuil_de_reprise],ROW()-6))</f>
      </c>
      <c r="P209" s="23">
        <f>=IF($A209="","",INDEX(tblTasks[Donnee_manquante],ROW()-6))</f>
      </c>
      <c r="Q209" s="23">
        <f>=IF($A209="","",INDEX(tblTasks[Niveau_criticite],ROW()-6))</f>
      </c>
      <c r="R209" s="23">
        <f>=IF($A209="","",INDEX(tblTasks[Irreversibilite],ROW()-6))</f>
      </c>
      <c r="S209" s="23">
        <f>=IF($A209="","",INDEX(tblTasks[Decision_Emmanuel],ROW()-6))</f>
      </c>
      <c r="T209" s="24">
        <f>=IF($A209="","",INDEX(tblTasks[Commentaire_EKT],ROW()-6))</f>
      </c>
      <c r="U209" s="23">
        <f>=IF($A209="","",INDEX(tblTasks[Goulot],ROW()-6))</f>
      </c>
      <c r="V209" s="23">
        <f>=IF($A209="","",INDEX(tblTasks[Point_de_bascule],ROW()-6))</f>
      </c>
      <c r="W209" s="37">
        <f>IF($A209="","",IF(AND(OR(param_filtre_statut="tous",LOWER($F209)=LOWER(param_filtre_statut)),OR(param_filtre_agent="tous",LOWER($D209)=LOWER(param_filtre_agent),LOWER($E209)=LOWER(param_filtre_agent)),OR(param_filtre_criticite="toutes",LOWER($Q209)=LOWER(param_filtre_criticite))),"oui","non"))</f>
      </c>
      <c r="X209" s="37">
        <f>IF($A209="","",IF(OR(LOWER($F209)="bloqué",LOWER($L209)="oui"),"oui","non"))</f>
      </c>
      <c r="Y209" s="37">
        <f>IF($A209="","",IF(OR(LOWER($Q209)="critique",LOWER($U209)="oui",LOWER($V209)="oui"),"oui","non"))</f>
      </c>
      <c r="Z209" s="37">
        <f>IF($A209="","",IF(AND($S209&lt;&gt;"",LOWER($S209)&lt;&gt;"tranchée",LOWER($S209)&lt;&gt;"sans objet",LOWER($S209)&lt;&gt;"clos"),"oui","non"))</f>
      </c>
      <c r="AA209" s="37">
        <f>IF($A209="","",IF($P209&lt;&gt;"","oui","non"))</f>
      </c>
      <c r="AB209" s="37">
        <f>IF($A209="","",IF(OR(LOWER($F209)="non réouvrable",LOWER($R209)="forte"),"oui","non"))</f>
      </c>
    </row>
    <row r="210" spans="1:28" x14ac:dyDescent="0.25">
      <c r="A210" s="23">
        <f>IFERROR(INDEX(tblTasks[ID],ROW()-6),"")</f>
      </c>
      <c r="B210" s="24">
        <f>=IF($A210="","",INDEX(tblTasks[Sujet],ROW()-6))</f>
      </c>
      <c r="C210" s="23">
        <f>=IF($A210="","",INDEX(tblTasks[Lot_Domaine],ROW()-6))</f>
      </c>
      <c r="D210" s="23">
        <f>=IF($A210="","",INDEX(tblTasks[Agent_source],ROW()-6))</f>
      </c>
      <c r="E210" s="23">
        <f>=IF($A210="","",INDEX(tblTasks[Responsable],ROW()-6))</f>
      </c>
      <c r="F210" s="23">
        <f>=IF($A210="","",INDEX(tblTasks[Statut],ROW()-6))</f>
      </c>
      <c r="G210" s="25">
        <f>=IF($A210="","",INDEX(tblTasks[Date_debut_prevue],ROW()-6))</f>
      </c>
      <c r="H210" s="25">
        <f>=IF($A210="","",INDEX(tblTasks[Date_fin_prevue],ROW()-6))</f>
      </c>
      <c r="I210" s="36">
        <f>=IF($A210="","",INDEX(tblTasks[Duree_jours],ROW()-6))</f>
      </c>
      <c r="J210" s="25">
        <f>=IF($A210="","",INDEX(tblTasks[Date_debut_reelle],ROW()-6))</f>
      </c>
      <c r="K210" s="25">
        <f>=IF($A210="","",INDEX(tblTasks[Date_fin_reelle],ROW()-6))</f>
      </c>
      <c r="L210" s="23">
        <f>=IF($A210="","",INDEX(tblTasks[Blocage],ROW()-6))</f>
      </c>
      <c r="M210" s="23">
        <f>=IF($A210="","",INDEX(tblTasks[Depend_de],ROW()-6))</f>
      </c>
      <c r="N210" s="23">
        <f>=IF($A210="","",INDEX(tblTasks[Non_negociable],ROW()-6))</f>
      </c>
      <c r="O210" s="23">
        <f>=IF($A210="","",INDEX(tblTasks[Seuil_de_reprise],ROW()-6))</f>
      </c>
      <c r="P210" s="23">
        <f>=IF($A210="","",INDEX(tblTasks[Donnee_manquante],ROW()-6))</f>
      </c>
      <c r="Q210" s="23">
        <f>=IF($A210="","",INDEX(tblTasks[Niveau_criticite],ROW()-6))</f>
      </c>
      <c r="R210" s="23">
        <f>=IF($A210="","",INDEX(tblTasks[Irreversibilite],ROW()-6))</f>
      </c>
      <c r="S210" s="23">
        <f>=IF($A210="","",INDEX(tblTasks[Decision_Emmanuel],ROW()-6))</f>
      </c>
      <c r="T210" s="24">
        <f>=IF($A210="","",INDEX(tblTasks[Commentaire_EKT],ROW()-6))</f>
      </c>
      <c r="U210" s="23">
        <f>=IF($A210="","",INDEX(tblTasks[Goulot],ROW()-6))</f>
      </c>
      <c r="V210" s="23">
        <f>=IF($A210="","",INDEX(tblTasks[Point_de_bascule],ROW()-6))</f>
      </c>
      <c r="W210" s="37">
        <f>IF($A210="","",IF(AND(OR(param_filtre_statut="tous",LOWER($F210)=LOWER(param_filtre_statut)),OR(param_filtre_agent="tous",LOWER($D210)=LOWER(param_filtre_agent),LOWER($E210)=LOWER(param_filtre_agent)),OR(param_filtre_criticite="toutes",LOWER($Q210)=LOWER(param_filtre_criticite))),"oui","non"))</f>
      </c>
      <c r="X210" s="37">
        <f>IF($A210="","",IF(OR(LOWER($F210)="bloqué",LOWER($L210)="oui"),"oui","non"))</f>
      </c>
      <c r="Y210" s="37">
        <f>IF($A210="","",IF(OR(LOWER($Q210)="critique",LOWER($U210)="oui",LOWER($V210)="oui"),"oui","non"))</f>
      </c>
      <c r="Z210" s="37">
        <f>IF($A210="","",IF(AND($S210&lt;&gt;"",LOWER($S210)&lt;&gt;"tranchée",LOWER($S210)&lt;&gt;"sans objet",LOWER($S210)&lt;&gt;"clos"),"oui","non"))</f>
      </c>
      <c r="AA210" s="37">
        <f>IF($A210="","",IF($P210&lt;&gt;"","oui","non"))</f>
      </c>
      <c r="AB210" s="37">
        <f>IF($A210="","",IF(OR(LOWER($F210)="non réouvrable",LOWER($R210)="forte"),"oui","non"))</f>
      </c>
    </row>
    <row r="211" spans="1:28" x14ac:dyDescent="0.25">
      <c r="A211" s="23">
        <f>IFERROR(INDEX(tblTasks[ID],ROW()-6),"")</f>
      </c>
      <c r="B211" s="24">
        <f>=IF($A211="","",INDEX(tblTasks[Sujet],ROW()-6))</f>
      </c>
      <c r="C211" s="23">
        <f>=IF($A211="","",INDEX(tblTasks[Lot_Domaine],ROW()-6))</f>
      </c>
      <c r="D211" s="23">
        <f>=IF($A211="","",INDEX(tblTasks[Agent_source],ROW()-6))</f>
      </c>
      <c r="E211" s="23">
        <f>=IF($A211="","",INDEX(tblTasks[Responsable],ROW()-6))</f>
      </c>
      <c r="F211" s="23">
        <f>=IF($A211="","",INDEX(tblTasks[Statut],ROW()-6))</f>
      </c>
      <c r="G211" s="25">
        <f>=IF($A211="","",INDEX(tblTasks[Date_debut_prevue],ROW()-6))</f>
      </c>
      <c r="H211" s="25">
        <f>=IF($A211="","",INDEX(tblTasks[Date_fin_prevue],ROW()-6))</f>
      </c>
      <c r="I211" s="36">
        <f>=IF($A211="","",INDEX(tblTasks[Duree_jours],ROW()-6))</f>
      </c>
      <c r="J211" s="25">
        <f>=IF($A211="","",INDEX(tblTasks[Date_debut_reelle],ROW()-6))</f>
      </c>
      <c r="K211" s="25">
        <f>=IF($A211="","",INDEX(tblTasks[Date_fin_reelle],ROW()-6))</f>
      </c>
      <c r="L211" s="23">
        <f>=IF($A211="","",INDEX(tblTasks[Blocage],ROW()-6))</f>
      </c>
      <c r="M211" s="23">
        <f>=IF($A211="","",INDEX(tblTasks[Depend_de],ROW()-6))</f>
      </c>
      <c r="N211" s="23">
        <f>=IF($A211="","",INDEX(tblTasks[Non_negociable],ROW()-6))</f>
      </c>
      <c r="O211" s="23">
        <f>=IF($A211="","",INDEX(tblTasks[Seuil_de_reprise],ROW()-6))</f>
      </c>
      <c r="P211" s="23">
        <f>=IF($A211="","",INDEX(tblTasks[Donnee_manquante],ROW()-6))</f>
      </c>
      <c r="Q211" s="23">
        <f>=IF($A211="","",INDEX(tblTasks[Niveau_criticite],ROW()-6))</f>
      </c>
      <c r="R211" s="23">
        <f>=IF($A211="","",INDEX(tblTasks[Irreversibilite],ROW()-6))</f>
      </c>
      <c r="S211" s="23">
        <f>=IF($A211="","",INDEX(tblTasks[Decision_Emmanuel],ROW()-6))</f>
      </c>
      <c r="T211" s="24">
        <f>=IF($A211="","",INDEX(tblTasks[Commentaire_EKT],ROW()-6))</f>
      </c>
      <c r="U211" s="23">
        <f>=IF($A211="","",INDEX(tblTasks[Goulot],ROW()-6))</f>
      </c>
      <c r="V211" s="23">
        <f>=IF($A211="","",INDEX(tblTasks[Point_de_bascule],ROW()-6))</f>
      </c>
      <c r="W211" s="37">
        <f>IF($A211="","",IF(AND(OR(param_filtre_statut="tous",LOWER($F211)=LOWER(param_filtre_statut)),OR(param_filtre_agent="tous",LOWER($D211)=LOWER(param_filtre_agent),LOWER($E211)=LOWER(param_filtre_agent)),OR(param_filtre_criticite="toutes",LOWER($Q211)=LOWER(param_filtre_criticite))),"oui","non"))</f>
      </c>
      <c r="X211" s="37">
        <f>IF($A211="","",IF(OR(LOWER($F211)="bloqué",LOWER($L211)="oui"),"oui","non"))</f>
      </c>
      <c r="Y211" s="37">
        <f>IF($A211="","",IF(OR(LOWER($Q211)="critique",LOWER($U211)="oui",LOWER($V211)="oui"),"oui","non"))</f>
      </c>
      <c r="Z211" s="37">
        <f>IF($A211="","",IF(AND($S211&lt;&gt;"",LOWER($S211)&lt;&gt;"tranchée",LOWER($S211)&lt;&gt;"sans objet",LOWER($S211)&lt;&gt;"clos"),"oui","non"))</f>
      </c>
      <c r="AA211" s="37">
        <f>IF($A211="","",IF($P211&lt;&gt;"","oui","non"))</f>
      </c>
      <c r="AB211" s="37">
        <f>IF($A211="","",IF(OR(LOWER($F211)="non réouvrable",LOWER($R211)="forte"),"oui","non"))</f>
      </c>
    </row>
    <row r="212" spans="1:28" x14ac:dyDescent="0.25">
      <c r="A212" s="23">
        <f>IFERROR(INDEX(tblTasks[ID],ROW()-6),"")</f>
      </c>
      <c r="B212" s="24">
        <f>=IF($A212="","",INDEX(tblTasks[Sujet],ROW()-6))</f>
      </c>
      <c r="C212" s="23">
        <f>=IF($A212="","",INDEX(tblTasks[Lot_Domaine],ROW()-6))</f>
      </c>
      <c r="D212" s="23">
        <f>=IF($A212="","",INDEX(tblTasks[Agent_source],ROW()-6))</f>
      </c>
      <c r="E212" s="23">
        <f>=IF($A212="","",INDEX(tblTasks[Responsable],ROW()-6))</f>
      </c>
      <c r="F212" s="23">
        <f>=IF($A212="","",INDEX(tblTasks[Statut],ROW()-6))</f>
      </c>
      <c r="G212" s="25">
        <f>=IF($A212="","",INDEX(tblTasks[Date_debut_prevue],ROW()-6))</f>
      </c>
      <c r="H212" s="25">
        <f>=IF($A212="","",INDEX(tblTasks[Date_fin_prevue],ROW()-6))</f>
      </c>
      <c r="I212" s="36">
        <f>=IF($A212="","",INDEX(tblTasks[Duree_jours],ROW()-6))</f>
      </c>
      <c r="J212" s="25">
        <f>=IF($A212="","",INDEX(tblTasks[Date_debut_reelle],ROW()-6))</f>
      </c>
      <c r="K212" s="25">
        <f>=IF($A212="","",INDEX(tblTasks[Date_fin_reelle],ROW()-6))</f>
      </c>
      <c r="L212" s="23">
        <f>=IF($A212="","",INDEX(tblTasks[Blocage],ROW()-6))</f>
      </c>
      <c r="M212" s="23">
        <f>=IF($A212="","",INDEX(tblTasks[Depend_de],ROW()-6))</f>
      </c>
      <c r="N212" s="23">
        <f>=IF($A212="","",INDEX(tblTasks[Non_negociable],ROW()-6))</f>
      </c>
      <c r="O212" s="23">
        <f>=IF($A212="","",INDEX(tblTasks[Seuil_de_reprise],ROW()-6))</f>
      </c>
      <c r="P212" s="23">
        <f>=IF($A212="","",INDEX(tblTasks[Donnee_manquante],ROW()-6))</f>
      </c>
      <c r="Q212" s="23">
        <f>=IF($A212="","",INDEX(tblTasks[Niveau_criticite],ROW()-6))</f>
      </c>
      <c r="R212" s="23">
        <f>=IF($A212="","",INDEX(tblTasks[Irreversibilite],ROW()-6))</f>
      </c>
      <c r="S212" s="23">
        <f>=IF($A212="","",INDEX(tblTasks[Decision_Emmanuel],ROW()-6))</f>
      </c>
      <c r="T212" s="24">
        <f>=IF($A212="","",INDEX(tblTasks[Commentaire_EKT],ROW()-6))</f>
      </c>
      <c r="U212" s="23">
        <f>=IF($A212="","",INDEX(tblTasks[Goulot],ROW()-6))</f>
      </c>
      <c r="V212" s="23">
        <f>=IF($A212="","",INDEX(tblTasks[Point_de_bascule],ROW()-6))</f>
      </c>
      <c r="W212" s="37">
        <f>IF($A212="","",IF(AND(OR(param_filtre_statut="tous",LOWER($F212)=LOWER(param_filtre_statut)),OR(param_filtre_agent="tous",LOWER($D212)=LOWER(param_filtre_agent),LOWER($E212)=LOWER(param_filtre_agent)),OR(param_filtre_criticite="toutes",LOWER($Q212)=LOWER(param_filtre_criticite))),"oui","non"))</f>
      </c>
      <c r="X212" s="37">
        <f>IF($A212="","",IF(OR(LOWER($F212)="bloqué",LOWER($L212)="oui"),"oui","non"))</f>
      </c>
      <c r="Y212" s="37">
        <f>IF($A212="","",IF(OR(LOWER($Q212)="critique",LOWER($U212)="oui",LOWER($V212)="oui"),"oui","non"))</f>
      </c>
      <c r="Z212" s="37">
        <f>IF($A212="","",IF(AND($S212&lt;&gt;"",LOWER($S212)&lt;&gt;"tranchée",LOWER($S212)&lt;&gt;"sans objet",LOWER($S212)&lt;&gt;"clos"),"oui","non"))</f>
      </c>
      <c r="AA212" s="37">
        <f>IF($A212="","",IF($P212&lt;&gt;"","oui","non"))</f>
      </c>
      <c r="AB212" s="37">
        <f>IF($A212="","",IF(OR(LOWER($F212)="non réouvrable",LOWER($R212)="forte"),"oui","non"))</f>
      </c>
    </row>
    <row r="213" spans="1:28" x14ac:dyDescent="0.25">
      <c r="A213" s="23">
        <f>IFERROR(INDEX(tblTasks[ID],ROW()-6),"")</f>
      </c>
      <c r="B213" s="24">
        <f>=IF($A213="","",INDEX(tblTasks[Sujet],ROW()-6))</f>
      </c>
      <c r="C213" s="23">
        <f>=IF($A213="","",INDEX(tblTasks[Lot_Domaine],ROW()-6))</f>
      </c>
      <c r="D213" s="23">
        <f>=IF($A213="","",INDEX(tblTasks[Agent_source],ROW()-6))</f>
      </c>
      <c r="E213" s="23">
        <f>=IF($A213="","",INDEX(tblTasks[Responsable],ROW()-6))</f>
      </c>
      <c r="F213" s="23">
        <f>=IF($A213="","",INDEX(tblTasks[Statut],ROW()-6))</f>
      </c>
      <c r="G213" s="25">
        <f>=IF($A213="","",INDEX(tblTasks[Date_debut_prevue],ROW()-6))</f>
      </c>
      <c r="H213" s="25">
        <f>=IF($A213="","",INDEX(tblTasks[Date_fin_prevue],ROW()-6))</f>
      </c>
      <c r="I213" s="36">
        <f>=IF($A213="","",INDEX(tblTasks[Duree_jours],ROW()-6))</f>
      </c>
      <c r="J213" s="25">
        <f>=IF($A213="","",INDEX(tblTasks[Date_debut_reelle],ROW()-6))</f>
      </c>
      <c r="K213" s="25">
        <f>=IF($A213="","",INDEX(tblTasks[Date_fin_reelle],ROW()-6))</f>
      </c>
      <c r="L213" s="23">
        <f>=IF($A213="","",INDEX(tblTasks[Blocage],ROW()-6))</f>
      </c>
      <c r="M213" s="23">
        <f>=IF($A213="","",INDEX(tblTasks[Depend_de],ROW()-6))</f>
      </c>
      <c r="N213" s="23">
        <f>=IF($A213="","",INDEX(tblTasks[Non_negociable],ROW()-6))</f>
      </c>
      <c r="O213" s="23">
        <f>=IF($A213="","",INDEX(tblTasks[Seuil_de_reprise],ROW()-6))</f>
      </c>
      <c r="P213" s="23">
        <f>=IF($A213="","",INDEX(tblTasks[Donnee_manquante],ROW()-6))</f>
      </c>
      <c r="Q213" s="23">
        <f>=IF($A213="","",INDEX(tblTasks[Niveau_criticite],ROW()-6))</f>
      </c>
      <c r="R213" s="23">
        <f>=IF($A213="","",INDEX(tblTasks[Irreversibilite],ROW()-6))</f>
      </c>
      <c r="S213" s="23">
        <f>=IF($A213="","",INDEX(tblTasks[Decision_Emmanuel],ROW()-6))</f>
      </c>
      <c r="T213" s="24">
        <f>=IF($A213="","",INDEX(tblTasks[Commentaire_EKT],ROW()-6))</f>
      </c>
      <c r="U213" s="23">
        <f>=IF($A213="","",INDEX(tblTasks[Goulot],ROW()-6))</f>
      </c>
      <c r="V213" s="23">
        <f>=IF($A213="","",INDEX(tblTasks[Point_de_bascule],ROW()-6))</f>
      </c>
      <c r="W213" s="37">
        <f>IF($A213="","",IF(AND(OR(param_filtre_statut="tous",LOWER($F213)=LOWER(param_filtre_statut)),OR(param_filtre_agent="tous",LOWER($D213)=LOWER(param_filtre_agent),LOWER($E213)=LOWER(param_filtre_agent)),OR(param_filtre_criticite="toutes",LOWER($Q213)=LOWER(param_filtre_criticite))),"oui","non"))</f>
      </c>
      <c r="X213" s="37">
        <f>IF($A213="","",IF(OR(LOWER($F213)="bloqué",LOWER($L213)="oui"),"oui","non"))</f>
      </c>
      <c r="Y213" s="37">
        <f>IF($A213="","",IF(OR(LOWER($Q213)="critique",LOWER($U213)="oui",LOWER($V213)="oui"),"oui","non"))</f>
      </c>
      <c r="Z213" s="37">
        <f>IF($A213="","",IF(AND($S213&lt;&gt;"",LOWER($S213)&lt;&gt;"tranchée",LOWER($S213)&lt;&gt;"sans objet",LOWER($S213)&lt;&gt;"clos"),"oui","non"))</f>
      </c>
      <c r="AA213" s="37">
        <f>IF($A213="","",IF($P213&lt;&gt;"","oui","non"))</f>
      </c>
      <c r="AB213" s="37">
        <f>IF($A213="","",IF(OR(LOWER($F213)="non réouvrable",LOWER($R213)="forte"),"oui","non"))</f>
      </c>
    </row>
    <row r="214" spans="1:28" x14ac:dyDescent="0.25">
      <c r="A214" s="23">
        <f>IFERROR(INDEX(tblTasks[ID],ROW()-6),"")</f>
      </c>
      <c r="B214" s="24">
        <f>=IF($A214="","",INDEX(tblTasks[Sujet],ROW()-6))</f>
      </c>
      <c r="C214" s="23">
        <f>=IF($A214="","",INDEX(tblTasks[Lot_Domaine],ROW()-6))</f>
      </c>
      <c r="D214" s="23">
        <f>=IF($A214="","",INDEX(tblTasks[Agent_source],ROW()-6))</f>
      </c>
      <c r="E214" s="23">
        <f>=IF($A214="","",INDEX(tblTasks[Responsable],ROW()-6))</f>
      </c>
      <c r="F214" s="23">
        <f>=IF($A214="","",INDEX(tblTasks[Statut],ROW()-6))</f>
      </c>
      <c r="G214" s="25">
        <f>=IF($A214="","",INDEX(tblTasks[Date_debut_prevue],ROW()-6))</f>
      </c>
      <c r="H214" s="25">
        <f>=IF($A214="","",INDEX(tblTasks[Date_fin_prevue],ROW()-6))</f>
      </c>
      <c r="I214" s="36">
        <f>=IF($A214="","",INDEX(tblTasks[Duree_jours],ROW()-6))</f>
      </c>
      <c r="J214" s="25">
        <f>=IF($A214="","",INDEX(tblTasks[Date_debut_reelle],ROW()-6))</f>
      </c>
      <c r="K214" s="25">
        <f>=IF($A214="","",INDEX(tblTasks[Date_fin_reelle],ROW()-6))</f>
      </c>
      <c r="L214" s="23">
        <f>=IF($A214="","",INDEX(tblTasks[Blocage],ROW()-6))</f>
      </c>
      <c r="M214" s="23">
        <f>=IF($A214="","",INDEX(tblTasks[Depend_de],ROW()-6))</f>
      </c>
      <c r="N214" s="23">
        <f>=IF($A214="","",INDEX(tblTasks[Non_negociable],ROW()-6))</f>
      </c>
      <c r="O214" s="23">
        <f>=IF($A214="","",INDEX(tblTasks[Seuil_de_reprise],ROW()-6))</f>
      </c>
      <c r="P214" s="23">
        <f>=IF($A214="","",INDEX(tblTasks[Donnee_manquante],ROW()-6))</f>
      </c>
      <c r="Q214" s="23">
        <f>=IF($A214="","",INDEX(tblTasks[Niveau_criticite],ROW()-6))</f>
      </c>
      <c r="R214" s="23">
        <f>=IF($A214="","",INDEX(tblTasks[Irreversibilite],ROW()-6))</f>
      </c>
      <c r="S214" s="23">
        <f>=IF($A214="","",INDEX(tblTasks[Decision_Emmanuel],ROW()-6))</f>
      </c>
      <c r="T214" s="24">
        <f>=IF($A214="","",INDEX(tblTasks[Commentaire_EKT],ROW()-6))</f>
      </c>
      <c r="U214" s="23">
        <f>=IF($A214="","",INDEX(tblTasks[Goulot],ROW()-6))</f>
      </c>
      <c r="V214" s="23">
        <f>=IF($A214="","",INDEX(tblTasks[Point_de_bascule],ROW()-6))</f>
      </c>
      <c r="W214" s="37">
        <f>IF($A214="","",IF(AND(OR(param_filtre_statut="tous",LOWER($F214)=LOWER(param_filtre_statut)),OR(param_filtre_agent="tous",LOWER($D214)=LOWER(param_filtre_agent),LOWER($E214)=LOWER(param_filtre_agent)),OR(param_filtre_criticite="toutes",LOWER($Q214)=LOWER(param_filtre_criticite))),"oui","non"))</f>
      </c>
      <c r="X214" s="37">
        <f>IF($A214="","",IF(OR(LOWER($F214)="bloqué",LOWER($L214)="oui"),"oui","non"))</f>
      </c>
      <c r="Y214" s="37">
        <f>IF($A214="","",IF(OR(LOWER($Q214)="critique",LOWER($U214)="oui",LOWER($V214)="oui"),"oui","non"))</f>
      </c>
      <c r="Z214" s="37">
        <f>IF($A214="","",IF(AND($S214&lt;&gt;"",LOWER($S214)&lt;&gt;"tranchée",LOWER($S214)&lt;&gt;"sans objet",LOWER($S214)&lt;&gt;"clos"),"oui","non"))</f>
      </c>
      <c r="AA214" s="37">
        <f>IF($A214="","",IF($P214&lt;&gt;"","oui","non"))</f>
      </c>
      <c r="AB214" s="37">
        <f>IF($A214="","",IF(OR(LOWER($F214)="non réouvrable",LOWER($R214)="forte"),"oui","non"))</f>
      </c>
    </row>
    <row r="215" spans="1:28" x14ac:dyDescent="0.25">
      <c r="A215" s="23">
        <f>IFERROR(INDEX(tblTasks[ID],ROW()-6),"")</f>
      </c>
      <c r="B215" s="24">
        <f>=IF($A215="","",INDEX(tblTasks[Sujet],ROW()-6))</f>
      </c>
      <c r="C215" s="23">
        <f>=IF($A215="","",INDEX(tblTasks[Lot_Domaine],ROW()-6))</f>
      </c>
      <c r="D215" s="23">
        <f>=IF($A215="","",INDEX(tblTasks[Agent_source],ROW()-6))</f>
      </c>
      <c r="E215" s="23">
        <f>=IF($A215="","",INDEX(tblTasks[Responsable],ROW()-6))</f>
      </c>
      <c r="F215" s="23">
        <f>=IF($A215="","",INDEX(tblTasks[Statut],ROW()-6))</f>
      </c>
      <c r="G215" s="25">
        <f>=IF($A215="","",INDEX(tblTasks[Date_debut_prevue],ROW()-6))</f>
      </c>
      <c r="H215" s="25">
        <f>=IF($A215="","",INDEX(tblTasks[Date_fin_prevue],ROW()-6))</f>
      </c>
      <c r="I215" s="36">
        <f>=IF($A215="","",INDEX(tblTasks[Duree_jours],ROW()-6))</f>
      </c>
      <c r="J215" s="25">
        <f>=IF($A215="","",INDEX(tblTasks[Date_debut_reelle],ROW()-6))</f>
      </c>
      <c r="K215" s="25">
        <f>=IF($A215="","",INDEX(tblTasks[Date_fin_reelle],ROW()-6))</f>
      </c>
      <c r="L215" s="23">
        <f>=IF($A215="","",INDEX(tblTasks[Blocage],ROW()-6))</f>
      </c>
      <c r="M215" s="23">
        <f>=IF($A215="","",INDEX(tblTasks[Depend_de],ROW()-6))</f>
      </c>
      <c r="N215" s="23">
        <f>=IF($A215="","",INDEX(tblTasks[Non_negociable],ROW()-6))</f>
      </c>
      <c r="O215" s="23">
        <f>=IF($A215="","",INDEX(tblTasks[Seuil_de_reprise],ROW()-6))</f>
      </c>
      <c r="P215" s="23">
        <f>=IF($A215="","",INDEX(tblTasks[Donnee_manquante],ROW()-6))</f>
      </c>
      <c r="Q215" s="23">
        <f>=IF($A215="","",INDEX(tblTasks[Niveau_criticite],ROW()-6))</f>
      </c>
      <c r="R215" s="23">
        <f>=IF($A215="","",INDEX(tblTasks[Irreversibilite],ROW()-6))</f>
      </c>
      <c r="S215" s="23">
        <f>=IF($A215="","",INDEX(tblTasks[Decision_Emmanuel],ROW()-6))</f>
      </c>
      <c r="T215" s="24">
        <f>=IF($A215="","",INDEX(tblTasks[Commentaire_EKT],ROW()-6))</f>
      </c>
      <c r="U215" s="23">
        <f>=IF($A215="","",INDEX(tblTasks[Goulot],ROW()-6))</f>
      </c>
      <c r="V215" s="23">
        <f>=IF($A215="","",INDEX(tblTasks[Point_de_bascule],ROW()-6))</f>
      </c>
      <c r="W215" s="37">
        <f>IF($A215="","",IF(AND(OR(param_filtre_statut="tous",LOWER($F215)=LOWER(param_filtre_statut)),OR(param_filtre_agent="tous",LOWER($D215)=LOWER(param_filtre_agent),LOWER($E215)=LOWER(param_filtre_agent)),OR(param_filtre_criticite="toutes",LOWER($Q215)=LOWER(param_filtre_criticite))),"oui","non"))</f>
      </c>
      <c r="X215" s="37">
        <f>IF($A215="","",IF(OR(LOWER($F215)="bloqué",LOWER($L215)="oui"),"oui","non"))</f>
      </c>
      <c r="Y215" s="37">
        <f>IF($A215="","",IF(OR(LOWER($Q215)="critique",LOWER($U215)="oui",LOWER($V215)="oui"),"oui","non"))</f>
      </c>
      <c r="Z215" s="37">
        <f>IF($A215="","",IF(AND($S215&lt;&gt;"",LOWER($S215)&lt;&gt;"tranchée",LOWER($S215)&lt;&gt;"sans objet",LOWER($S215)&lt;&gt;"clos"),"oui","non"))</f>
      </c>
      <c r="AA215" s="37">
        <f>IF($A215="","",IF($P215&lt;&gt;"","oui","non"))</f>
      </c>
      <c r="AB215" s="37">
        <f>IF($A215="","",IF(OR(LOWER($F215)="non réouvrable",LOWER($R215)="forte"),"oui","non"))</f>
      </c>
    </row>
    <row r="216" spans="1:28" x14ac:dyDescent="0.25">
      <c r="A216" s="23">
        <f>IFERROR(INDEX(tblTasks[ID],ROW()-6),"")</f>
      </c>
      <c r="B216" s="24">
        <f>=IF($A216="","",INDEX(tblTasks[Sujet],ROW()-6))</f>
      </c>
      <c r="C216" s="23">
        <f>=IF($A216="","",INDEX(tblTasks[Lot_Domaine],ROW()-6))</f>
      </c>
      <c r="D216" s="23">
        <f>=IF($A216="","",INDEX(tblTasks[Agent_source],ROW()-6))</f>
      </c>
      <c r="E216" s="23">
        <f>=IF($A216="","",INDEX(tblTasks[Responsable],ROW()-6))</f>
      </c>
      <c r="F216" s="23">
        <f>=IF($A216="","",INDEX(tblTasks[Statut],ROW()-6))</f>
      </c>
      <c r="G216" s="25">
        <f>=IF($A216="","",INDEX(tblTasks[Date_debut_prevue],ROW()-6))</f>
      </c>
      <c r="H216" s="25">
        <f>=IF($A216="","",INDEX(tblTasks[Date_fin_prevue],ROW()-6))</f>
      </c>
      <c r="I216" s="36">
        <f>=IF($A216="","",INDEX(tblTasks[Duree_jours],ROW()-6))</f>
      </c>
      <c r="J216" s="25">
        <f>=IF($A216="","",INDEX(tblTasks[Date_debut_reelle],ROW()-6))</f>
      </c>
      <c r="K216" s="25">
        <f>=IF($A216="","",INDEX(tblTasks[Date_fin_reelle],ROW()-6))</f>
      </c>
      <c r="L216" s="23">
        <f>=IF($A216="","",INDEX(tblTasks[Blocage],ROW()-6))</f>
      </c>
      <c r="M216" s="23">
        <f>=IF($A216="","",INDEX(tblTasks[Depend_de],ROW()-6))</f>
      </c>
      <c r="N216" s="23">
        <f>=IF($A216="","",INDEX(tblTasks[Non_negociable],ROW()-6))</f>
      </c>
      <c r="O216" s="23">
        <f>=IF($A216="","",INDEX(tblTasks[Seuil_de_reprise],ROW()-6))</f>
      </c>
      <c r="P216" s="23">
        <f>=IF($A216="","",INDEX(tblTasks[Donnee_manquante],ROW()-6))</f>
      </c>
      <c r="Q216" s="23">
        <f>=IF($A216="","",INDEX(tblTasks[Niveau_criticite],ROW()-6))</f>
      </c>
      <c r="R216" s="23">
        <f>=IF($A216="","",INDEX(tblTasks[Irreversibilite],ROW()-6))</f>
      </c>
      <c r="S216" s="23">
        <f>=IF($A216="","",INDEX(tblTasks[Decision_Emmanuel],ROW()-6))</f>
      </c>
      <c r="T216" s="24">
        <f>=IF($A216="","",INDEX(tblTasks[Commentaire_EKT],ROW()-6))</f>
      </c>
      <c r="U216" s="23">
        <f>=IF($A216="","",INDEX(tblTasks[Goulot],ROW()-6))</f>
      </c>
      <c r="V216" s="23">
        <f>=IF($A216="","",INDEX(tblTasks[Point_de_bascule],ROW()-6))</f>
      </c>
      <c r="W216" s="37">
        <f>IF($A216="","",IF(AND(OR(param_filtre_statut="tous",LOWER($F216)=LOWER(param_filtre_statut)),OR(param_filtre_agent="tous",LOWER($D216)=LOWER(param_filtre_agent),LOWER($E216)=LOWER(param_filtre_agent)),OR(param_filtre_criticite="toutes",LOWER($Q216)=LOWER(param_filtre_criticite))),"oui","non"))</f>
      </c>
      <c r="X216" s="37">
        <f>IF($A216="","",IF(OR(LOWER($F216)="bloqué",LOWER($L216)="oui"),"oui","non"))</f>
      </c>
      <c r="Y216" s="37">
        <f>IF($A216="","",IF(OR(LOWER($Q216)="critique",LOWER($U216)="oui",LOWER($V216)="oui"),"oui","non"))</f>
      </c>
      <c r="Z216" s="37">
        <f>IF($A216="","",IF(AND($S216&lt;&gt;"",LOWER($S216)&lt;&gt;"tranchée",LOWER($S216)&lt;&gt;"sans objet",LOWER($S216)&lt;&gt;"clos"),"oui","non"))</f>
      </c>
      <c r="AA216" s="37">
        <f>IF($A216="","",IF($P216&lt;&gt;"","oui","non"))</f>
      </c>
      <c r="AB216" s="37">
        <f>IF($A216="","",IF(OR(LOWER($F216)="non réouvrable",LOWER($R216)="forte"),"oui","non"))</f>
      </c>
    </row>
    <row r="217" spans="1:28" x14ac:dyDescent="0.25">
      <c r="A217" s="23">
        <f>IFERROR(INDEX(tblTasks[ID],ROW()-6),"")</f>
      </c>
      <c r="B217" s="24">
        <f>=IF($A217="","",INDEX(tblTasks[Sujet],ROW()-6))</f>
      </c>
      <c r="C217" s="23">
        <f>=IF($A217="","",INDEX(tblTasks[Lot_Domaine],ROW()-6))</f>
      </c>
      <c r="D217" s="23">
        <f>=IF($A217="","",INDEX(tblTasks[Agent_source],ROW()-6))</f>
      </c>
      <c r="E217" s="23">
        <f>=IF($A217="","",INDEX(tblTasks[Responsable],ROW()-6))</f>
      </c>
      <c r="F217" s="23">
        <f>=IF($A217="","",INDEX(tblTasks[Statut],ROW()-6))</f>
      </c>
      <c r="G217" s="25">
        <f>=IF($A217="","",INDEX(tblTasks[Date_debut_prevue],ROW()-6))</f>
      </c>
      <c r="H217" s="25">
        <f>=IF($A217="","",INDEX(tblTasks[Date_fin_prevue],ROW()-6))</f>
      </c>
      <c r="I217" s="36">
        <f>=IF($A217="","",INDEX(tblTasks[Duree_jours],ROW()-6))</f>
      </c>
      <c r="J217" s="25">
        <f>=IF($A217="","",INDEX(tblTasks[Date_debut_reelle],ROW()-6))</f>
      </c>
      <c r="K217" s="25">
        <f>=IF($A217="","",INDEX(tblTasks[Date_fin_reelle],ROW()-6))</f>
      </c>
      <c r="L217" s="23">
        <f>=IF($A217="","",INDEX(tblTasks[Blocage],ROW()-6))</f>
      </c>
      <c r="M217" s="23">
        <f>=IF($A217="","",INDEX(tblTasks[Depend_de],ROW()-6))</f>
      </c>
      <c r="N217" s="23">
        <f>=IF($A217="","",INDEX(tblTasks[Non_negociable],ROW()-6))</f>
      </c>
      <c r="O217" s="23">
        <f>=IF($A217="","",INDEX(tblTasks[Seuil_de_reprise],ROW()-6))</f>
      </c>
      <c r="P217" s="23">
        <f>=IF($A217="","",INDEX(tblTasks[Donnee_manquante],ROW()-6))</f>
      </c>
      <c r="Q217" s="23">
        <f>=IF($A217="","",INDEX(tblTasks[Niveau_criticite],ROW()-6))</f>
      </c>
      <c r="R217" s="23">
        <f>=IF($A217="","",INDEX(tblTasks[Irreversibilite],ROW()-6))</f>
      </c>
      <c r="S217" s="23">
        <f>=IF($A217="","",INDEX(tblTasks[Decision_Emmanuel],ROW()-6))</f>
      </c>
      <c r="T217" s="24">
        <f>=IF($A217="","",INDEX(tblTasks[Commentaire_EKT],ROW()-6))</f>
      </c>
      <c r="U217" s="23">
        <f>=IF($A217="","",INDEX(tblTasks[Goulot],ROW()-6))</f>
      </c>
      <c r="V217" s="23">
        <f>=IF($A217="","",INDEX(tblTasks[Point_de_bascule],ROW()-6))</f>
      </c>
      <c r="W217" s="37">
        <f>IF($A217="","",IF(AND(OR(param_filtre_statut="tous",LOWER($F217)=LOWER(param_filtre_statut)),OR(param_filtre_agent="tous",LOWER($D217)=LOWER(param_filtre_agent),LOWER($E217)=LOWER(param_filtre_agent)),OR(param_filtre_criticite="toutes",LOWER($Q217)=LOWER(param_filtre_criticite))),"oui","non"))</f>
      </c>
      <c r="X217" s="37">
        <f>IF($A217="","",IF(OR(LOWER($F217)="bloqué",LOWER($L217)="oui"),"oui","non"))</f>
      </c>
      <c r="Y217" s="37">
        <f>IF($A217="","",IF(OR(LOWER($Q217)="critique",LOWER($U217)="oui",LOWER($V217)="oui"),"oui","non"))</f>
      </c>
      <c r="Z217" s="37">
        <f>IF($A217="","",IF(AND($S217&lt;&gt;"",LOWER($S217)&lt;&gt;"tranchée",LOWER($S217)&lt;&gt;"sans objet",LOWER($S217)&lt;&gt;"clos"),"oui","non"))</f>
      </c>
      <c r="AA217" s="37">
        <f>IF($A217="","",IF($P217&lt;&gt;"","oui","non"))</f>
      </c>
      <c r="AB217" s="37">
        <f>IF($A217="","",IF(OR(LOWER($F217)="non réouvrable",LOWER($R217)="forte"),"oui","non"))</f>
      </c>
    </row>
    <row r="218" spans="1:28" x14ac:dyDescent="0.25">
      <c r="A218" s="23">
        <f>IFERROR(INDEX(tblTasks[ID],ROW()-6),"")</f>
      </c>
      <c r="B218" s="24">
        <f>=IF($A218="","",INDEX(tblTasks[Sujet],ROW()-6))</f>
      </c>
      <c r="C218" s="23">
        <f>=IF($A218="","",INDEX(tblTasks[Lot_Domaine],ROW()-6))</f>
      </c>
      <c r="D218" s="23">
        <f>=IF($A218="","",INDEX(tblTasks[Agent_source],ROW()-6))</f>
      </c>
      <c r="E218" s="23">
        <f>=IF($A218="","",INDEX(tblTasks[Responsable],ROW()-6))</f>
      </c>
      <c r="F218" s="23">
        <f>=IF($A218="","",INDEX(tblTasks[Statut],ROW()-6))</f>
      </c>
      <c r="G218" s="25">
        <f>=IF($A218="","",INDEX(tblTasks[Date_debut_prevue],ROW()-6))</f>
      </c>
      <c r="H218" s="25">
        <f>=IF($A218="","",INDEX(tblTasks[Date_fin_prevue],ROW()-6))</f>
      </c>
      <c r="I218" s="36">
        <f>=IF($A218="","",INDEX(tblTasks[Duree_jours],ROW()-6))</f>
      </c>
      <c r="J218" s="25">
        <f>=IF($A218="","",INDEX(tblTasks[Date_debut_reelle],ROW()-6))</f>
      </c>
      <c r="K218" s="25">
        <f>=IF($A218="","",INDEX(tblTasks[Date_fin_reelle],ROW()-6))</f>
      </c>
      <c r="L218" s="23">
        <f>=IF($A218="","",INDEX(tblTasks[Blocage],ROW()-6))</f>
      </c>
      <c r="M218" s="23">
        <f>=IF($A218="","",INDEX(tblTasks[Depend_de],ROW()-6))</f>
      </c>
      <c r="N218" s="23">
        <f>=IF($A218="","",INDEX(tblTasks[Non_negociable],ROW()-6))</f>
      </c>
      <c r="O218" s="23">
        <f>=IF($A218="","",INDEX(tblTasks[Seuil_de_reprise],ROW()-6))</f>
      </c>
      <c r="P218" s="23">
        <f>=IF($A218="","",INDEX(tblTasks[Donnee_manquante],ROW()-6))</f>
      </c>
      <c r="Q218" s="23">
        <f>=IF($A218="","",INDEX(tblTasks[Niveau_criticite],ROW()-6))</f>
      </c>
      <c r="R218" s="23">
        <f>=IF($A218="","",INDEX(tblTasks[Irreversibilite],ROW()-6))</f>
      </c>
      <c r="S218" s="23">
        <f>=IF($A218="","",INDEX(tblTasks[Decision_Emmanuel],ROW()-6))</f>
      </c>
      <c r="T218" s="24">
        <f>=IF($A218="","",INDEX(tblTasks[Commentaire_EKT],ROW()-6))</f>
      </c>
      <c r="U218" s="23">
        <f>=IF($A218="","",INDEX(tblTasks[Goulot],ROW()-6))</f>
      </c>
      <c r="V218" s="23">
        <f>=IF($A218="","",INDEX(tblTasks[Point_de_bascule],ROW()-6))</f>
      </c>
      <c r="W218" s="37">
        <f>IF($A218="","",IF(AND(OR(param_filtre_statut="tous",LOWER($F218)=LOWER(param_filtre_statut)),OR(param_filtre_agent="tous",LOWER($D218)=LOWER(param_filtre_agent),LOWER($E218)=LOWER(param_filtre_agent)),OR(param_filtre_criticite="toutes",LOWER($Q218)=LOWER(param_filtre_criticite))),"oui","non"))</f>
      </c>
      <c r="X218" s="37">
        <f>IF($A218="","",IF(OR(LOWER($F218)="bloqué",LOWER($L218)="oui"),"oui","non"))</f>
      </c>
      <c r="Y218" s="37">
        <f>IF($A218="","",IF(OR(LOWER($Q218)="critique",LOWER($U218)="oui",LOWER($V218)="oui"),"oui","non"))</f>
      </c>
      <c r="Z218" s="37">
        <f>IF($A218="","",IF(AND($S218&lt;&gt;"",LOWER($S218)&lt;&gt;"tranchée",LOWER($S218)&lt;&gt;"sans objet",LOWER($S218)&lt;&gt;"clos"),"oui","non"))</f>
      </c>
      <c r="AA218" s="37">
        <f>IF($A218="","",IF($P218&lt;&gt;"","oui","non"))</f>
      </c>
      <c r="AB218" s="37">
        <f>IF($A218="","",IF(OR(LOWER($F218)="non réouvrable",LOWER($R218)="forte"),"oui","non"))</f>
      </c>
    </row>
    <row r="219" spans="1:28" x14ac:dyDescent="0.25">
      <c r="A219" s="23">
        <f>IFERROR(INDEX(tblTasks[ID],ROW()-6),"")</f>
      </c>
      <c r="B219" s="24">
        <f>=IF($A219="","",INDEX(tblTasks[Sujet],ROW()-6))</f>
      </c>
      <c r="C219" s="23">
        <f>=IF($A219="","",INDEX(tblTasks[Lot_Domaine],ROW()-6))</f>
      </c>
      <c r="D219" s="23">
        <f>=IF($A219="","",INDEX(tblTasks[Agent_source],ROW()-6))</f>
      </c>
      <c r="E219" s="23">
        <f>=IF($A219="","",INDEX(tblTasks[Responsable],ROW()-6))</f>
      </c>
      <c r="F219" s="23">
        <f>=IF($A219="","",INDEX(tblTasks[Statut],ROW()-6))</f>
      </c>
      <c r="G219" s="25">
        <f>=IF($A219="","",INDEX(tblTasks[Date_debut_prevue],ROW()-6))</f>
      </c>
      <c r="H219" s="25">
        <f>=IF($A219="","",INDEX(tblTasks[Date_fin_prevue],ROW()-6))</f>
      </c>
      <c r="I219" s="36">
        <f>=IF($A219="","",INDEX(tblTasks[Duree_jours],ROW()-6))</f>
      </c>
      <c r="J219" s="25">
        <f>=IF($A219="","",INDEX(tblTasks[Date_debut_reelle],ROW()-6))</f>
      </c>
      <c r="K219" s="25">
        <f>=IF($A219="","",INDEX(tblTasks[Date_fin_reelle],ROW()-6))</f>
      </c>
      <c r="L219" s="23">
        <f>=IF($A219="","",INDEX(tblTasks[Blocage],ROW()-6))</f>
      </c>
      <c r="M219" s="23">
        <f>=IF($A219="","",INDEX(tblTasks[Depend_de],ROW()-6))</f>
      </c>
      <c r="N219" s="23">
        <f>=IF($A219="","",INDEX(tblTasks[Non_negociable],ROW()-6))</f>
      </c>
      <c r="O219" s="23">
        <f>=IF($A219="","",INDEX(tblTasks[Seuil_de_reprise],ROW()-6))</f>
      </c>
      <c r="P219" s="23">
        <f>=IF($A219="","",INDEX(tblTasks[Donnee_manquante],ROW()-6))</f>
      </c>
      <c r="Q219" s="23">
        <f>=IF($A219="","",INDEX(tblTasks[Niveau_criticite],ROW()-6))</f>
      </c>
      <c r="R219" s="23">
        <f>=IF($A219="","",INDEX(tblTasks[Irreversibilite],ROW()-6))</f>
      </c>
      <c r="S219" s="23">
        <f>=IF($A219="","",INDEX(tblTasks[Decision_Emmanuel],ROW()-6))</f>
      </c>
      <c r="T219" s="24">
        <f>=IF($A219="","",INDEX(tblTasks[Commentaire_EKT],ROW()-6))</f>
      </c>
      <c r="U219" s="23">
        <f>=IF($A219="","",INDEX(tblTasks[Goulot],ROW()-6))</f>
      </c>
      <c r="V219" s="23">
        <f>=IF($A219="","",INDEX(tblTasks[Point_de_bascule],ROW()-6))</f>
      </c>
      <c r="W219" s="37">
        <f>IF($A219="","",IF(AND(OR(param_filtre_statut="tous",LOWER($F219)=LOWER(param_filtre_statut)),OR(param_filtre_agent="tous",LOWER($D219)=LOWER(param_filtre_agent),LOWER($E219)=LOWER(param_filtre_agent)),OR(param_filtre_criticite="toutes",LOWER($Q219)=LOWER(param_filtre_criticite))),"oui","non"))</f>
      </c>
      <c r="X219" s="37">
        <f>IF($A219="","",IF(OR(LOWER($F219)="bloqué",LOWER($L219)="oui"),"oui","non"))</f>
      </c>
      <c r="Y219" s="37">
        <f>IF($A219="","",IF(OR(LOWER($Q219)="critique",LOWER($U219)="oui",LOWER($V219)="oui"),"oui","non"))</f>
      </c>
      <c r="Z219" s="37">
        <f>IF($A219="","",IF(AND($S219&lt;&gt;"",LOWER($S219)&lt;&gt;"tranchée",LOWER($S219)&lt;&gt;"sans objet",LOWER($S219)&lt;&gt;"clos"),"oui","non"))</f>
      </c>
      <c r="AA219" s="37">
        <f>IF($A219="","",IF($P219&lt;&gt;"","oui","non"))</f>
      </c>
      <c r="AB219" s="37">
        <f>IF($A219="","",IF(OR(LOWER($F219)="non réouvrable",LOWER($R219)="forte"),"oui","non"))</f>
      </c>
    </row>
    <row r="220" spans="1:28" x14ac:dyDescent="0.25">
      <c r="A220" s="23">
        <f>IFERROR(INDEX(tblTasks[ID],ROW()-6),"")</f>
      </c>
      <c r="B220" s="24">
        <f>=IF($A220="","",INDEX(tblTasks[Sujet],ROW()-6))</f>
      </c>
      <c r="C220" s="23">
        <f>=IF($A220="","",INDEX(tblTasks[Lot_Domaine],ROW()-6))</f>
      </c>
      <c r="D220" s="23">
        <f>=IF($A220="","",INDEX(tblTasks[Agent_source],ROW()-6))</f>
      </c>
      <c r="E220" s="23">
        <f>=IF($A220="","",INDEX(tblTasks[Responsable],ROW()-6))</f>
      </c>
      <c r="F220" s="23">
        <f>=IF($A220="","",INDEX(tblTasks[Statut],ROW()-6))</f>
      </c>
      <c r="G220" s="25">
        <f>=IF($A220="","",INDEX(tblTasks[Date_debut_prevue],ROW()-6))</f>
      </c>
      <c r="H220" s="25">
        <f>=IF($A220="","",INDEX(tblTasks[Date_fin_prevue],ROW()-6))</f>
      </c>
      <c r="I220" s="36">
        <f>=IF($A220="","",INDEX(tblTasks[Duree_jours],ROW()-6))</f>
      </c>
      <c r="J220" s="25">
        <f>=IF($A220="","",INDEX(tblTasks[Date_debut_reelle],ROW()-6))</f>
      </c>
      <c r="K220" s="25">
        <f>=IF($A220="","",INDEX(tblTasks[Date_fin_reelle],ROW()-6))</f>
      </c>
      <c r="L220" s="23">
        <f>=IF($A220="","",INDEX(tblTasks[Blocage],ROW()-6))</f>
      </c>
      <c r="M220" s="23">
        <f>=IF($A220="","",INDEX(tblTasks[Depend_de],ROW()-6))</f>
      </c>
      <c r="N220" s="23">
        <f>=IF($A220="","",INDEX(tblTasks[Non_negociable],ROW()-6))</f>
      </c>
      <c r="O220" s="23">
        <f>=IF($A220="","",INDEX(tblTasks[Seuil_de_reprise],ROW()-6))</f>
      </c>
      <c r="P220" s="23">
        <f>=IF($A220="","",INDEX(tblTasks[Donnee_manquante],ROW()-6))</f>
      </c>
      <c r="Q220" s="23">
        <f>=IF($A220="","",INDEX(tblTasks[Niveau_criticite],ROW()-6))</f>
      </c>
      <c r="R220" s="23">
        <f>=IF($A220="","",INDEX(tblTasks[Irreversibilite],ROW()-6))</f>
      </c>
      <c r="S220" s="23">
        <f>=IF($A220="","",INDEX(tblTasks[Decision_Emmanuel],ROW()-6))</f>
      </c>
      <c r="T220" s="24">
        <f>=IF($A220="","",INDEX(tblTasks[Commentaire_EKT],ROW()-6))</f>
      </c>
      <c r="U220" s="23">
        <f>=IF($A220="","",INDEX(tblTasks[Goulot],ROW()-6))</f>
      </c>
      <c r="V220" s="23">
        <f>=IF($A220="","",INDEX(tblTasks[Point_de_bascule],ROW()-6))</f>
      </c>
      <c r="W220" s="37">
        <f>IF($A220="","",IF(AND(OR(param_filtre_statut="tous",LOWER($F220)=LOWER(param_filtre_statut)),OR(param_filtre_agent="tous",LOWER($D220)=LOWER(param_filtre_agent),LOWER($E220)=LOWER(param_filtre_agent)),OR(param_filtre_criticite="toutes",LOWER($Q220)=LOWER(param_filtre_criticite))),"oui","non"))</f>
      </c>
      <c r="X220" s="37">
        <f>IF($A220="","",IF(OR(LOWER($F220)="bloqué",LOWER($L220)="oui"),"oui","non"))</f>
      </c>
      <c r="Y220" s="37">
        <f>IF($A220="","",IF(OR(LOWER($Q220)="critique",LOWER($U220)="oui",LOWER($V220)="oui"),"oui","non"))</f>
      </c>
      <c r="Z220" s="37">
        <f>IF($A220="","",IF(AND($S220&lt;&gt;"",LOWER($S220)&lt;&gt;"tranchée",LOWER($S220)&lt;&gt;"sans objet",LOWER($S220)&lt;&gt;"clos"),"oui","non"))</f>
      </c>
      <c r="AA220" s="37">
        <f>IF($A220="","",IF($P220&lt;&gt;"","oui","non"))</f>
      </c>
      <c r="AB220" s="37">
        <f>IF($A220="","",IF(OR(LOWER($F220)="non réouvrable",LOWER($R220)="forte"),"oui","non"))</f>
      </c>
    </row>
    <row r="221" spans="1:28" x14ac:dyDescent="0.25">
      <c r="A221" s="23">
        <f>IFERROR(INDEX(tblTasks[ID],ROW()-6),"")</f>
      </c>
      <c r="B221" s="24">
        <f>=IF($A221="","",INDEX(tblTasks[Sujet],ROW()-6))</f>
      </c>
      <c r="C221" s="23">
        <f>=IF($A221="","",INDEX(tblTasks[Lot_Domaine],ROW()-6))</f>
      </c>
      <c r="D221" s="23">
        <f>=IF($A221="","",INDEX(tblTasks[Agent_source],ROW()-6))</f>
      </c>
      <c r="E221" s="23">
        <f>=IF($A221="","",INDEX(tblTasks[Responsable],ROW()-6))</f>
      </c>
      <c r="F221" s="23">
        <f>=IF($A221="","",INDEX(tblTasks[Statut],ROW()-6))</f>
      </c>
      <c r="G221" s="25">
        <f>=IF($A221="","",INDEX(tblTasks[Date_debut_prevue],ROW()-6))</f>
      </c>
      <c r="H221" s="25">
        <f>=IF($A221="","",INDEX(tblTasks[Date_fin_prevue],ROW()-6))</f>
      </c>
      <c r="I221" s="36">
        <f>=IF($A221="","",INDEX(tblTasks[Duree_jours],ROW()-6))</f>
      </c>
      <c r="J221" s="25">
        <f>=IF($A221="","",INDEX(tblTasks[Date_debut_reelle],ROW()-6))</f>
      </c>
      <c r="K221" s="25">
        <f>=IF($A221="","",INDEX(tblTasks[Date_fin_reelle],ROW()-6))</f>
      </c>
      <c r="L221" s="23">
        <f>=IF($A221="","",INDEX(tblTasks[Blocage],ROW()-6))</f>
      </c>
      <c r="M221" s="23">
        <f>=IF($A221="","",INDEX(tblTasks[Depend_de],ROW()-6))</f>
      </c>
      <c r="N221" s="23">
        <f>=IF($A221="","",INDEX(tblTasks[Non_negociable],ROW()-6))</f>
      </c>
      <c r="O221" s="23">
        <f>=IF($A221="","",INDEX(tblTasks[Seuil_de_reprise],ROW()-6))</f>
      </c>
      <c r="P221" s="23">
        <f>=IF($A221="","",INDEX(tblTasks[Donnee_manquante],ROW()-6))</f>
      </c>
      <c r="Q221" s="23">
        <f>=IF($A221="","",INDEX(tblTasks[Niveau_criticite],ROW()-6))</f>
      </c>
      <c r="R221" s="23">
        <f>=IF($A221="","",INDEX(tblTasks[Irreversibilite],ROW()-6))</f>
      </c>
      <c r="S221" s="23">
        <f>=IF($A221="","",INDEX(tblTasks[Decision_Emmanuel],ROW()-6))</f>
      </c>
      <c r="T221" s="24">
        <f>=IF($A221="","",INDEX(tblTasks[Commentaire_EKT],ROW()-6))</f>
      </c>
      <c r="U221" s="23">
        <f>=IF($A221="","",INDEX(tblTasks[Goulot],ROW()-6))</f>
      </c>
      <c r="V221" s="23">
        <f>=IF($A221="","",INDEX(tblTasks[Point_de_bascule],ROW()-6))</f>
      </c>
      <c r="W221" s="37">
        <f>IF($A221="","",IF(AND(OR(param_filtre_statut="tous",LOWER($F221)=LOWER(param_filtre_statut)),OR(param_filtre_agent="tous",LOWER($D221)=LOWER(param_filtre_agent),LOWER($E221)=LOWER(param_filtre_agent)),OR(param_filtre_criticite="toutes",LOWER($Q221)=LOWER(param_filtre_criticite))),"oui","non"))</f>
      </c>
      <c r="X221" s="37">
        <f>IF($A221="","",IF(OR(LOWER($F221)="bloqué",LOWER($L221)="oui"),"oui","non"))</f>
      </c>
      <c r="Y221" s="37">
        <f>IF($A221="","",IF(OR(LOWER($Q221)="critique",LOWER($U221)="oui",LOWER($V221)="oui"),"oui","non"))</f>
      </c>
      <c r="Z221" s="37">
        <f>IF($A221="","",IF(AND($S221&lt;&gt;"",LOWER($S221)&lt;&gt;"tranchée",LOWER($S221)&lt;&gt;"sans objet",LOWER($S221)&lt;&gt;"clos"),"oui","non"))</f>
      </c>
      <c r="AA221" s="37">
        <f>IF($A221="","",IF($P221&lt;&gt;"","oui","non"))</f>
      </c>
      <c r="AB221" s="37">
        <f>IF($A221="","",IF(OR(LOWER($F221)="non réouvrable",LOWER($R221)="forte"),"oui","non"))</f>
      </c>
    </row>
    <row r="222" spans="1:28" x14ac:dyDescent="0.25">
      <c r="A222" s="23">
        <f>IFERROR(INDEX(tblTasks[ID],ROW()-6),"")</f>
      </c>
      <c r="B222" s="24">
        <f>=IF($A222="","",INDEX(tblTasks[Sujet],ROW()-6))</f>
      </c>
      <c r="C222" s="23">
        <f>=IF($A222="","",INDEX(tblTasks[Lot_Domaine],ROW()-6))</f>
      </c>
      <c r="D222" s="23">
        <f>=IF($A222="","",INDEX(tblTasks[Agent_source],ROW()-6))</f>
      </c>
      <c r="E222" s="23">
        <f>=IF($A222="","",INDEX(tblTasks[Responsable],ROW()-6))</f>
      </c>
      <c r="F222" s="23">
        <f>=IF($A222="","",INDEX(tblTasks[Statut],ROW()-6))</f>
      </c>
      <c r="G222" s="25">
        <f>=IF($A222="","",INDEX(tblTasks[Date_debut_prevue],ROW()-6))</f>
      </c>
      <c r="H222" s="25">
        <f>=IF($A222="","",INDEX(tblTasks[Date_fin_prevue],ROW()-6))</f>
      </c>
      <c r="I222" s="36">
        <f>=IF($A222="","",INDEX(tblTasks[Duree_jours],ROW()-6))</f>
      </c>
      <c r="J222" s="25">
        <f>=IF($A222="","",INDEX(tblTasks[Date_debut_reelle],ROW()-6))</f>
      </c>
      <c r="K222" s="25">
        <f>=IF($A222="","",INDEX(tblTasks[Date_fin_reelle],ROW()-6))</f>
      </c>
      <c r="L222" s="23">
        <f>=IF($A222="","",INDEX(tblTasks[Blocage],ROW()-6))</f>
      </c>
      <c r="M222" s="23">
        <f>=IF($A222="","",INDEX(tblTasks[Depend_de],ROW()-6))</f>
      </c>
      <c r="N222" s="23">
        <f>=IF($A222="","",INDEX(tblTasks[Non_negociable],ROW()-6))</f>
      </c>
      <c r="O222" s="23">
        <f>=IF($A222="","",INDEX(tblTasks[Seuil_de_reprise],ROW()-6))</f>
      </c>
      <c r="P222" s="23">
        <f>=IF($A222="","",INDEX(tblTasks[Donnee_manquante],ROW()-6))</f>
      </c>
      <c r="Q222" s="23">
        <f>=IF($A222="","",INDEX(tblTasks[Niveau_criticite],ROW()-6))</f>
      </c>
      <c r="R222" s="23">
        <f>=IF($A222="","",INDEX(tblTasks[Irreversibilite],ROW()-6))</f>
      </c>
      <c r="S222" s="23">
        <f>=IF($A222="","",INDEX(tblTasks[Decision_Emmanuel],ROW()-6))</f>
      </c>
      <c r="T222" s="24">
        <f>=IF($A222="","",INDEX(tblTasks[Commentaire_EKT],ROW()-6))</f>
      </c>
      <c r="U222" s="23">
        <f>=IF($A222="","",INDEX(tblTasks[Goulot],ROW()-6))</f>
      </c>
      <c r="V222" s="23">
        <f>=IF($A222="","",INDEX(tblTasks[Point_de_bascule],ROW()-6))</f>
      </c>
      <c r="W222" s="37">
        <f>IF($A222="","",IF(AND(OR(param_filtre_statut="tous",LOWER($F222)=LOWER(param_filtre_statut)),OR(param_filtre_agent="tous",LOWER($D222)=LOWER(param_filtre_agent),LOWER($E222)=LOWER(param_filtre_agent)),OR(param_filtre_criticite="toutes",LOWER($Q222)=LOWER(param_filtre_criticite))),"oui","non"))</f>
      </c>
      <c r="X222" s="37">
        <f>IF($A222="","",IF(OR(LOWER($F222)="bloqué",LOWER($L222)="oui"),"oui","non"))</f>
      </c>
      <c r="Y222" s="37">
        <f>IF($A222="","",IF(OR(LOWER($Q222)="critique",LOWER($U222)="oui",LOWER($V222)="oui"),"oui","non"))</f>
      </c>
      <c r="Z222" s="37">
        <f>IF($A222="","",IF(AND($S222&lt;&gt;"",LOWER($S222)&lt;&gt;"tranchée",LOWER($S222)&lt;&gt;"sans objet",LOWER($S222)&lt;&gt;"clos"),"oui","non"))</f>
      </c>
      <c r="AA222" s="37">
        <f>IF($A222="","",IF($P222&lt;&gt;"","oui","non"))</f>
      </c>
      <c r="AB222" s="37">
        <f>IF($A222="","",IF(OR(LOWER($F222)="non réouvrable",LOWER($R222)="forte"),"oui","non"))</f>
      </c>
    </row>
    <row r="223" spans="1:28" x14ac:dyDescent="0.25">
      <c r="A223" s="23">
        <f>IFERROR(INDEX(tblTasks[ID],ROW()-6),"")</f>
      </c>
      <c r="B223" s="24">
        <f>=IF($A223="","",INDEX(tblTasks[Sujet],ROW()-6))</f>
      </c>
      <c r="C223" s="23">
        <f>=IF($A223="","",INDEX(tblTasks[Lot_Domaine],ROW()-6))</f>
      </c>
      <c r="D223" s="23">
        <f>=IF($A223="","",INDEX(tblTasks[Agent_source],ROW()-6))</f>
      </c>
      <c r="E223" s="23">
        <f>=IF($A223="","",INDEX(tblTasks[Responsable],ROW()-6))</f>
      </c>
      <c r="F223" s="23">
        <f>=IF($A223="","",INDEX(tblTasks[Statut],ROW()-6))</f>
      </c>
      <c r="G223" s="25">
        <f>=IF($A223="","",INDEX(tblTasks[Date_debut_prevue],ROW()-6))</f>
      </c>
      <c r="H223" s="25">
        <f>=IF($A223="","",INDEX(tblTasks[Date_fin_prevue],ROW()-6))</f>
      </c>
      <c r="I223" s="36">
        <f>=IF($A223="","",INDEX(tblTasks[Duree_jours],ROW()-6))</f>
      </c>
      <c r="J223" s="25">
        <f>=IF($A223="","",INDEX(tblTasks[Date_debut_reelle],ROW()-6))</f>
      </c>
      <c r="K223" s="25">
        <f>=IF($A223="","",INDEX(tblTasks[Date_fin_reelle],ROW()-6))</f>
      </c>
      <c r="L223" s="23">
        <f>=IF($A223="","",INDEX(tblTasks[Blocage],ROW()-6))</f>
      </c>
      <c r="M223" s="23">
        <f>=IF($A223="","",INDEX(tblTasks[Depend_de],ROW()-6))</f>
      </c>
      <c r="N223" s="23">
        <f>=IF($A223="","",INDEX(tblTasks[Non_negociable],ROW()-6))</f>
      </c>
      <c r="O223" s="23">
        <f>=IF($A223="","",INDEX(tblTasks[Seuil_de_reprise],ROW()-6))</f>
      </c>
      <c r="P223" s="23">
        <f>=IF($A223="","",INDEX(tblTasks[Donnee_manquante],ROW()-6))</f>
      </c>
      <c r="Q223" s="23">
        <f>=IF($A223="","",INDEX(tblTasks[Niveau_criticite],ROW()-6))</f>
      </c>
      <c r="R223" s="23">
        <f>=IF($A223="","",INDEX(tblTasks[Irreversibilite],ROW()-6))</f>
      </c>
      <c r="S223" s="23">
        <f>=IF($A223="","",INDEX(tblTasks[Decision_Emmanuel],ROW()-6))</f>
      </c>
      <c r="T223" s="24">
        <f>=IF($A223="","",INDEX(tblTasks[Commentaire_EKT],ROW()-6))</f>
      </c>
      <c r="U223" s="23">
        <f>=IF($A223="","",INDEX(tblTasks[Goulot],ROW()-6))</f>
      </c>
      <c r="V223" s="23">
        <f>=IF($A223="","",INDEX(tblTasks[Point_de_bascule],ROW()-6))</f>
      </c>
      <c r="W223" s="37">
        <f>IF($A223="","",IF(AND(OR(param_filtre_statut="tous",LOWER($F223)=LOWER(param_filtre_statut)),OR(param_filtre_agent="tous",LOWER($D223)=LOWER(param_filtre_agent),LOWER($E223)=LOWER(param_filtre_agent)),OR(param_filtre_criticite="toutes",LOWER($Q223)=LOWER(param_filtre_criticite))),"oui","non"))</f>
      </c>
      <c r="X223" s="37">
        <f>IF($A223="","",IF(OR(LOWER($F223)="bloqué",LOWER($L223)="oui"),"oui","non"))</f>
      </c>
      <c r="Y223" s="37">
        <f>IF($A223="","",IF(OR(LOWER($Q223)="critique",LOWER($U223)="oui",LOWER($V223)="oui"),"oui","non"))</f>
      </c>
      <c r="Z223" s="37">
        <f>IF($A223="","",IF(AND($S223&lt;&gt;"",LOWER($S223)&lt;&gt;"tranchée",LOWER($S223)&lt;&gt;"sans objet",LOWER($S223)&lt;&gt;"clos"),"oui","non"))</f>
      </c>
      <c r="AA223" s="37">
        <f>IF($A223="","",IF($P223&lt;&gt;"","oui","non"))</f>
      </c>
      <c r="AB223" s="37">
        <f>IF($A223="","",IF(OR(LOWER($F223)="non réouvrable",LOWER($R223)="forte"),"oui","non"))</f>
      </c>
    </row>
    <row r="224" spans="1:28" x14ac:dyDescent="0.25">
      <c r="A224" s="23">
        <f>IFERROR(INDEX(tblTasks[ID],ROW()-6),"")</f>
      </c>
      <c r="B224" s="24">
        <f>=IF($A224="","",INDEX(tblTasks[Sujet],ROW()-6))</f>
      </c>
      <c r="C224" s="23">
        <f>=IF($A224="","",INDEX(tblTasks[Lot_Domaine],ROW()-6))</f>
      </c>
      <c r="D224" s="23">
        <f>=IF($A224="","",INDEX(tblTasks[Agent_source],ROW()-6))</f>
      </c>
      <c r="E224" s="23">
        <f>=IF($A224="","",INDEX(tblTasks[Responsable],ROW()-6))</f>
      </c>
      <c r="F224" s="23">
        <f>=IF($A224="","",INDEX(tblTasks[Statut],ROW()-6))</f>
      </c>
      <c r="G224" s="25">
        <f>=IF($A224="","",INDEX(tblTasks[Date_debut_prevue],ROW()-6))</f>
      </c>
      <c r="H224" s="25">
        <f>=IF($A224="","",INDEX(tblTasks[Date_fin_prevue],ROW()-6))</f>
      </c>
      <c r="I224" s="36">
        <f>=IF($A224="","",INDEX(tblTasks[Duree_jours],ROW()-6))</f>
      </c>
      <c r="J224" s="25">
        <f>=IF($A224="","",INDEX(tblTasks[Date_debut_reelle],ROW()-6))</f>
      </c>
      <c r="K224" s="25">
        <f>=IF($A224="","",INDEX(tblTasks[Date_fin_reelle],ROW()-6))</f>
      </c>
      <c r="L224" s="23">
        <f>=IF($A224="","",INDEX(tblTasks[Blocage],ROW()-6))</f>
      </c>
      <c r="M224" s="23">
        <f>=IF($A224="","",INDEX(tblTasks[Depend_de],ROW()-6))</f>
      </c>
      <c r="N224" s="23">
        <f>=IF($A224="","",INDEX(tblTasks[Non_negociable],ROW()-6))</f>
      </c>
      <c r="O224" s="23">
        <f>=IF($A224="","",INDEX(tblTasks[Seuil_de_reprise],ROW()-6))</f>
      </c>
      <c r="P224" s="23">
        <f>=IF($A224="","",INDEX(tblTasks[Donnee_manquante],ROW()-6))</f>
      </c>
      <c r="Q224" s="23">
        <f>=IF($A224="","",INDEX(tblTasks[Niveau_criticite],ROW()-6))</f>
      </c>
      <c r="R224" s="23">
        <f>=IF($A224="","",INDEX(tblTasks[Irreversibilite],ROW()-6))</f>
      </c>
      <c r="S224" s="23">
        <f>=IF($A224="","",INDEX(tblTasks[Decision_Emmanuel],ROW()-6))</f>
      </c>
      <c r="T224" s="24">
        <f>=IF($A224="","",INDEX(tblTasks[Commentaire_EKT],ROW()-6))</f>
      </c>
      <c r="U224" s="23">
        <f>=IF($A224="","",INDEX(tblTasks[Goulot],ROW()-6))</f>
      </c>
      <c r="V224" s="23">
        <f>=IF($A224="","",INDEX(tblTasks[Point_de_bascule],ROW()-6))</f>
      </c>
      <c r="W224" s="37">
        <f>IF($A224="","",IF(AND(OR(param_filtre_statut="tous",LOWER($F224)=LOWER(param_filtre_statut)),OR(param_filtre_agent="tous",LOWER($D224)=LOWER(param_filtre_agent),LOWER($E224)=LOWER(param_filtre_agent)),OR(param_filtre_criticite="toutes",LOWER($Q224)=LOWER(param_filtre_criticite))),"oui","non"))</f>
      </c>
      <c r="X224" s="37">
        <f>IF($A224="","",IF(OR(LOWER($F224)="bloqué",LOWER($L224)="oui"),"oui","non"))</f>
      </c>
      <c r="Y224" s="37">
        <f>IF($A224="","",IF(OR(LOWER($Q224)="critique",LOWER($U224)="oui",LOWER($V224)="oui"),"oui","non"))</f>
      </c>
      <c r="Z224" s="37">
        <f>IF($A224="","",IF(AND($S224&lt;&gt;"",LOWER($S224)&lt;&gt;"tranchée",LOWER($S224)&lt;&gt;"sans objet",LOWER($S224)&lt;&gt;"clos"),"oui","non"))</f>
      </c>
      <c r="AA224" s="37">
        <f>IF($A224="","",IF($P224&lt;&gt;"","oui","non"))</f>
      </c>
      <c r="AB224" s="37">
        <f>IF($A224="","",IF(OR(LOWER($F224)="non réouvrable",LOWER($R224)="forte"),"oui","non"))</f>
      </c>
    </row>
    <row r="225" spans="1:28" x14ac:dyDescent="0.25">
      <c r="A225" s="23">
        <f>IFERROR(INDEX(tblTasks[ID],ROW()-6),"")</f>
      </c>
      <c r="B225" s="24">
        <f>=IF($A225="","",INDEX(tblTasks[Sujet],ROW()-6))</f>
      </c>
      <c r="C225" s="23">
        <f>=IF($A225="","",INDEX(tblTasks[Lot_Domaine],ROW()-6))</f>
      </c>
      <c r="D225" s="23">
        <f>=IF($A225="","",INDEX(tblTasks[Agent_source],ROW()-6))</f>
      </c>
      <c r="E225" s="23">
        <f>=IF($A225="","",INDEX(tblTasks[Responsable],ROW()-6))</f>
      </c>
      <c r="F225" s="23">
        <f>=IF($A225="","",INDEX(tblTasks[Statut],ROW()-6))</f>
      </c>
      <c r="G225" s="25">
        <f>=IF($A225="","",INDEX(tblTasks[Date_debut_prevue],ROW()-6))</f>
      </c>
      <c r="H225" s="25">
        <f>=IF($A225="","",INDEX(tblTasks[Date_fin_prevue],ROW()-6))</f>
      </c>
      <c r="I225" s="36">
        <f>=IF($A225="","",INDEX(tblTasks[Duree_jours],ROW()-6))</f>
      </c>
      <c r="J225" s="25">
        <f>=IF($A225="","",INDEX(tblTasks[Date_debut_reelle],ROW()-6))</f>
      </c>
      <c r="K225" s="25">
        <f>=IF($A225="","",INDEX(tblTasks[Date_fin_reelle],ROW()-6))</f>
      </c>
      <c r="L225" s="23">
        <f>=IF($A225="","",INDEX(tblTasks[Blocage],ROW()-6))</f>
      </c>
      <c r="M225" s="23">
        <f>=IF($A225="","",INDEX(tblTasks[Depend_de],ROW()-6))</f>
      </c>
      <c r="N225" s="23">
        <f>=IF($A225="","",INDEX(tblTasks[Non_negociable],ROW()-6))</f>
      </c>
      <c r="O225" s="23">
        <f>=IF($A225="","",INDEX(tblTasks[Seuil_de_reprise],ROW()-6))</f>
      </c>
      <c r="P225" s="23">
        <f>=IF($A225="","",INDEX(tblTasks[Donnee_manquante],ROW()-6))</f>
      </c>
      <c r="Q225" s="23">
        <f>=IF($A225="","",INDEX(tblTasks[Niveau_criticite],ROW()-6))</f>
      </c>
      <c r="R225" s="23">
        <f>=IF($A225="","",INDEX(tblTasks[Irreversibilite],ROW()-6))</f>
      </c>
      <c r="S225" s="23">
        <f>=IF($A225="","",INDEX(tblTasks[Decision_Emmanuel],ROW()-6))</f>
      </c>
      <c r="T225" s="24">
        <f>=IF($A225="","",INDEX(tblTasks[Commentaire_EKT],ROW()-6))</f>
      </c>
      <c r="U225" s="23">
        <f>=IF($A225="","",INDEX(tblTasks[Goulot],ROW()-6))</f>
      </c>
      <c r="V225" s="23">
        <f>=IF($A225="","",INDEX(tblTasks[Point_de_bascule],ROW()-6))</f>
      </c>
      <c r="W225" s="37">
        <f>IF($A225="","",IF(AND(OR(param_filtre_statut="tous",LOWER($F225)=LOWER(param_filtre_statut)),OR(param_filtre_agent="tous",LOWER($D225)=LOWER(param_filtre_agent),LOWER($E225)=LOWER(param_filtre_agent)),OR(param_filtre_criticite="toutes",LOWER($Q225)=LOWER(param_filtre_criticite))),"oui","non"))</f>
      </c>
      <c r="X225" s="37">
        <f>IF($A225="","",IF(OR(LOWER($F225)="bloqué",LOWER($L225)="oui"),"oui","non"))</f>
      </c>
      <c r="Y225" s="37">
        <f>IF($A225="","",IF(OR(LOWER($Q225)="critique",LOWER($U225)="oui",LOWER($V225)="oui"),"oui","non"))</f>
      </c>
      <c r="Z225" s="37">
        <f>IF($A225="","",IF(AND($S225&lt;&gt;"",LOWER($S225)&lt;&gt;"tranchée",LOWER($S225)&lt;&gt;"sans objet",LOWER($S225)&lt;&gt;"clos"),"oui","non"))</f>
      </c>
      <c r="AA225" s="37">
        <f>IF($A225="","",IF($P225&lt;&gt;"","oui","non"))</f>
      </c>
      <c r="AB225" s="37">
        <f>IF($A225="","",IF(OR(LOWER($F225)="non réouvrable",LOWER($R225)="forte"),"oui","non"))</f>
      </c>
    </row>
    <row r="226" spans="1:28" x14ac:dyDescent="0.25">
      <c r="A226" s="23">
        <f>IFERROR(INDEX(tblTasks[ID],ROW()-6),"")</f>
      </c>
      <c r="B226" s="24">
        <f>=IF($A226="","",INDEX(tblTasks[Sujet],ROW()-6))</f>
      </c>
      <c r="C226" s="23">
        <f>=IF($A226="","",INDEX(tblTasks[Lot_Domaine],ROW()-6))</f>
      </c>
      <c r="D226" s="23">
        <f>=IF($A226="","",INDEX(tblTasks[Agent_source],ROW()-6))</f>
      </c>
      <c r="E226" s="23">
        <f>=IF($A226="","",INDEX(tblTasks[Responsable],ROW()-6))</f>
      </c>
      <c r="F226" s="23">
        <f>=IF($A226="","",INDEX(tblTasks[Statut],ROW()-6))</f>
      </c>
      <c r="G226" s="25">
        <f>=IF($A226="","",INDEX(tblTasks[Date_debut_prevue],ROW()-6))</f>
      </c>
      <c r="H226" s="25">
        <f>=IF($A226="","",INDEX(tblTasks[Date_fin_prevue],ROW()-6))</f>
      </c>
      <c r="I226" s="36">
        <f>=IF($A226="","",INDEX(tblTasks[Duree_jours],ROW()-6))</f>
      </c>
      <c r="J226" s="25">
        <f>=IF($A226="","",INDEX(tblTasks[Date_debut_reelle],ROW()-6))</f>
      </c>
      <c r="K226" s="25">
        <f>=IF($A226="","",INDEX(tblTasks[Date_fin_reelle],ROW()-6))</f>
      </c>
      <c r="L226" s="23">
        <f>=IF($A226="","",INDEX(tblTasks[Blocage],ROW()-6))</f>
      </c>
      <c r="M226" s="23">
        <f>=IF($A226="","",INDEX(tblTasks[Depend_de],ROW()-6))</f>
      </c>
      <c r="N226" s="23">
        <f>=IF($A226="","",INDEX(tblTasks[Non_negociable],ROW()-6))</f>
      </c>
      <c r="O226" s="23">
        <f>=IF($A226="","",INDEX(tblTasks[Seuil_de_reprise],ROW()-6))</f>
      </c>
      <c r="P226" s="23">
        <f>=IF($A226="","",INDEX(tblTasks[Donnee_manquante],ROW()-6))</f>
      </c>
      <c r="Q226" s="23">
        <f>=IF($A226="","",INDEX(tblTasks[Niveau_criticite],ROW()-6))</f>
      </c>
      <c r="R226" s="23">
        <f>=IF($A226="","",INDEX(tblTasks[Irreversibilite],ROW()-6))</f>
      </c>
      <c r="S226" s="23">
        <f>=IF($A226="","",INDEX(tblTasks[Decision_Emmanuel],ROW()-6))</f>
      </c>
      <c r="T226" s="24">
        <f>=IF($A226="","",INDEX(tblTasks[Commentaire_EKT],ROW()-6))</f>
      </c>
      <c r="U226" s="23">
        <f>=IF($A226="","",INDEX(tblTasks[Goulot],ROW()-6))</f>
      </c>
      <c r="V226" s="23">
        <f>=IF($A226="","",INDEX(tblTasks[Point_de_bascule],ROW()-6))</f>
      </c>
      <c r="W226" s="37">
        <f>IF($A226="","",IF(AND(OR(param_filtre_statut="tous",LOWER($F226)=LOWER(param_filtre_statut)),OR(param_filtre_agent="tous",LOWER($D226)=LOWER(param_filtre_agent),LOWER($E226)=LOWER(param_filtre_agent)),OR(param_filtre_criticite="toutes",LOWER($Q226)=LOWER(param_filtre_criticite))),"oui","non"))</f>
      </c>
      <c r="X226" s="37">
        <f>IF($A226="","",IF(OR(LOWER($F226)="bloqué",LOWER($L226)="oui"),"oui","non"))</f>
      </c>
      <c r="Y226" s="37">
        <f>IF($A226="","",IF(OR(LOWER($Q226)="critique",LOWER($U226)="oui",LOWER($V226)="oui"),"oui","non"))</f>
      </c>
      <c r="Z226" s="37">
        <f>IF($A226="","",IF(AND($S226&lt;&gt;"",LOWER($S226)&lt;&gt;"tranchée",LOWER($S226)&lt;&gt;"sans objet",LOWER($S226)&lt;&gt;"clos"),"oui","non"))</f>
      </c>
      <c r="AA226" s="37">
        <f>IF($A226="","",IF($P226&lt;&gt;"","oui","non"))</f>
      </c>
      <c r="AB226" s="37">
        <f>IF($A226="","",IF(OR(LOWER($F226)="non réouvrable",LOWER($R226)="forte"),"oui","non"))</f>
      </c>
    </row>
    <row r="227" spans="1:28" x14ac:dyDescent="0.25">
      <c r="A227" s="23">
        <f>IFERROR(INDEX(tblTasks[ID],ROW()-6),"")</f>
      </c>
      <c r="B227" s="24">
        <f>=IF($A227="","",INDEX(tblTasks[Sujet],ROW()-6))</f>
      </c>
      <c r="C227" s="23">
        <f>=IF($A227="","",INDEX(tblTasks[Lot_Domaine],ROW()-6))</f>
      </c>
      <c r="D227" s="23">
        <f>=IF($A227="","",INDEX(tblTasks[Agent_source],ROW()-6))</f>
      </c>
      <c r="E227" s="23">
        <f>=IF($A227="","",INDEX(tblTasks[Responsable],ROW()-6))</f>
      </c>
      <c r="F227" s="23">
        <f>=IF($A227="","",INDEX(tblTasks[Statut],ROW()-6))</f>
      </c>
      <c r="G227" s="25">
        <f>=IF($A227="","",INDEX(tblTasks[Date_debut_prevue],ROW()-6))</f>
      </c>
      <c r="H227" s="25">
        <f>=IF($A227="","",INDEX(tblTasks[Date_fin_prevue],ROW()-6))</f>
      </c>
      <c r="I227" s="36">
        <f>=IF($A227="","",INDEX(tblTasks[Duree_jours],ROW()-6))</f>
      </c>
      <c r="J227" s="25">
        <f>=IF($A227="","",INDEX(tblTasks[Date_debut_reelle],ROW()-6))</f>
      </c>
      <c r="K227" s="25">
        <f>=IF($A227="","",INDEX(tblTasks[Date_fin_reelle],ROW()-6))</f>
      </c>
      <c r="L227" s="23">
        <f>=IF($A227="","",INDEX(tblTasks[Blocage],ROW()-6))</f>
      </c>
      <c r="M227" s="23">
        <f>=IF($A227="","",INDEX(tblTasks[Depend_de],ROW()-6))</f>
      </c>
      <c r="N227" s="23">
        <f>=IF($A227="","",INDEX(tblTasks[Non_negociable],ROW()-6))</f>
      </c>
      <c r="O227" s="23">
        <f>=IF($A227="","",INDEX(tblTasks[Seuil_de_reprise],ROW()-6))</f>
      </c>
      <c r="P227" s="23">
        <f>=IF($A227="","",INDEX(tblTasks[Donnee_manquante],ROW()-6))</f>
      </c>
      <c r="Q227" s="23">
        <f>=IF($A227="","",INDEX(tblTasks[Niveau_criticite],ROW()-6))</f>
      </c>
      <c r="R227" s="23">
        <f>=IF($A227="","",INDEX(tblTasks[Irreversibilite],ROW()-6))</f>
      </c>
      <c r="S227" s="23">
        <f>=IF($A227="","",INDEX(tblTasks[Decision_Emmanuel],ROW()-6))</f>
      </c>
      <c r="T227" s="24">
        <f>=IF($A227="","",INDEX(tblTasks[Commentaire_EKT],ROW()-6))</f>
      </c>
      <c r="U227" s="23">
        <f>=IF($A227="","",INDEX(tblTasks[Goulot],ROW()-6))</f>
      </c>
      <c r="V227" s="23">
        <f>=IF($A227="","",INDEX(tblTasks[Point_de_bascule],ROW()-6))</f>
      </c>
      <c r="W227" s="37">
        <f>IF($A227="","",IF(AND(OR(param_filtre_statut="tous",LOWER($F227)=LOWER(param_filtre_statut)),OR(param_filtre_agent="tous",LOWER($D227)=LOWER(param_filtre_agent),LOWER($E227)=LOWER(param_filtre_agent)),OR(param_filtre_criticite="toutes",LOWER($Q227)=LOWER(param_filtre_criticite))),"oui","non"))</f>
      </c>
      <c r="X227" s="37">
        <f>IF($A227="","",IF(OR(LOWER($F227)="bloqué",LOWER($L227)="oui"),"oui","non"))</f>
      </c>
      <c r="Y227" s="37">
        <f>IF($A227="","",IF(OR(LOWER($Q227)="critique",LOWER($U227)="oui",LOWER($V227)="oui"),"oui","non"))</f>
      </c>
      <c r="Z227" s="37">
        <f>IF($A227="","",IF(AND($S227&lt;&gt;"",LOWER($S227)&lt;&gt;"tranchée",LOWER($S227)&lt;&gt;"sans objet",LOWER($S227)&lt;&gt;"clos"),"oui","non"))</f>
      </c>
      <c r="AA227" s="37">
        <f>IF($A227="","",IF($P227&lt;&gt;"","oui","non"))</f>
      </c>
      <c r="AB227" s="37">
        <f>IF($A227="","",IF(OR(LOWER($F227)="non réouvrable",LOWER($R227)="forte"),"oui","non"))</f>
      </c>
    </row>
    <row r="228" spans="1:28" x14ac:dyDescent="0.25">
      <c r="A228" s="23">
        <f>IFERROR(INDEX(tblTasks[ID],ROW()-6),"")</f>
      </c>
      <c r="B228" s="24">
        <f>=IF($A228="","",INDEX(tblTasks[Sujet],ROW()-6))</f>
      </c>
      <c r="C228" s="23">
        <f>=IF($A228="","",INDEX(tblTasks[Lot_Domaine],ROW()-6))</f>
      </c>
      <c r="D228" s="23">
        <f>=IF($A228="","",INDEX(tblTasks[Agent_source],ROW()-6))</f>
      </c>
      <c r="E228" s="23">
        <f>=IF($A228="","",INDEX(tblTasks[Responsable],ROW()-6))</f>
      </c>
      <c r="F228" s="23">
        <f>=IF($A228="","",INDEX(tblTasks[Statut],ROW()-6))</f>
      </c>
      <c r="G228" s="25">
        <f>=IF($A228="","",INDEX(tblTasks[Date_debut_prevue],ROW()-6))</f>
      </c>
      <c r="H228" s="25">
        <f>=IF($A228="","",INDEX(tblTasks[Date_fin_prevue],ROW()-6))</f>
      </c>
      <c r="I228" s="36">
        <f>=IF($A228="","",INDEX(tblTasks[Duree_jours],ROW()-6))</f>
      </c>
      <c r="J228" s="25">
        <f>=IF($A228="","",INDEX(tblTasks[Date_debut_reelle],ROW()-6))</f>
      </c>
      <c r="K228" s="25">
        <f>=IF($A228="","",INDEX(tblTasks[Date_fin_reelle],ROW()-6))</f>
      </c>
      <c r="L228" s="23">
        <f>=IF($A228="","",INDEX(tblTasks[Blocage],ROW()-6))</f>
      </c>
      <c r="M228" s="23">
        <f>=IF($A228="","",INDEX(tblTasks[Depend_de],ROW()-6))</f>
      </c>
      <c r="N228" s="23">
        <f>=IF($A228="","",INDEX(tblTasks[Non_negociable],ROW()-6))</f>
      </c>
      <c r="O228" s="23">
        <f>=IF($A228="","",INDEX(tblTasks[Seuil_de_reprise],ROW()-6))</f>
      </c>
      <c r="P228" s="23">
        <f>=IF($A228="","",INDEX(tblTasks[Donnee_manquante],ROW()-6))</f>
      </c>
      <c r="Q228" s="23">
        <f>=IF($A228="","",INDEX(tblTasks[Niveau_criticite],ROW()-6))</f>
      </c>
      <c r="R228" s="23">
        <f>=IF($A228="","",INDEX(tblTasks[Irreversibilite],ROW()-6))</f>
      </c>
      <c r="S228" s="23">
        <f>=IF($A228="","",INDEX(tblTasks[Decision_Emmanuel],ROW()-6))</f>
      </c>
      <c r="T228" s="24">
        <f>=IF($A228="","",INDEX(tblTasks[Commentaire_EKT],ROW()-6))</f>
      </c>
      <c r="U228" s="23">
        <f>=IF($A228="","",INDEX(tblTasks[Goulot],ROW()-6))</f>
      </c>
      <c r="V228" s="23">
        <f>=IF($A228="","",INDEX(tblTasks[Point_de_bascule],ROW()-6))</f>
      </c>
      <c r="W228" s="37">
        <f>IF($A228="","",IF(AND(OR(param_filtre_statut="tous",LOWER($F228)=LOWER(param_filtre_statut)),OR(param_filtre_agent="tous",LOWER($D228)=LOWER(param_filtre_agent),LOWER($E228)=LOWER(param_filtre_agent)),OR(param_filtre_criticite="toutes",LOWER($Q228)=LOWER(param_filtre_criticite))),"oui","non"))</f>
      </c>
      <c r="X228" s="37">
        <f>IF($A228="","",IF(OR(LOWER($F228)="bloqué",LOWER($L228)="oui"),"oui","non"))</f>
      </c>
      <c r="Y228" s="37">
        <f>IF($A228="","",IF(OR(LOWER($Q228)="critique",LOWER($U228)="oui",LOWER($V228)="oui"),"oui","non"))</f>
      </c>
      <c r="Z228" s="37">
        <f>IF($A228="","",IF(AND($S228&lt;&gt;"",LOWER($S228)&lt;&gt;"tranchée",LOWER($S228)&lt;&gt;"sans objet",LOWER($S228)&lt;&gt;"clos"),"oui","non"))</f>
      </c>
      <c r="AA228" s="37">
        <f>IF($A228="","",IF($P228&lt;&gt;"","oui","non"))</f>
      </c>
      <c r="AB228" s="37">
        <f>IF($A228="","",IF(OR(LOWER($F228)="non réouvrable",LOWER($R228)="forte"),"oui","non"))</f>
      </c>
    </row>
    <row r="229" spans="1:28" x14ac:dyDescent="0.25">
      <c r="A229" s="23">
        <f>IFERROR(INDEX(tblTasks[ID],ROW()-6),"")</f>
      </c>
      <c r="B229" s="24">
        <f>=IF($A229="","",INDEX(tblTasks[Sujet],ROW()-6))</f>
      </c>
      <c r="C229" s="23">
        <f>=IF($A229="","",INDEX(tblTasks[Lot_Domaine],ROW()-6))</f>
      </c>
      <c r="D229" s="23">
        <f>=IF($A229="","",INDEX(tblTasks[Agent_source],ROW()-6))</f>
      </c>
      <c r="E229" s="23">
        <f>=IF($A229="","",INDEX(tblTasks[Responsable],ROW()-6))</f>
      </c>
      <c r="F229" s="23">
        <f>=IF($A229="","",INDEX(tblTasks[Statut],ROW()-6))</f>
      </c>
      <c r="G229" s="25">
        <f>=IF($A229="","",INDEX(tblTasks[Date_debut_prevue],ROW()-6))</f>
      </c>
      <c r="H229" s="25">
        <f>=IF($A229="","",INDEX(tblTasks[Date_fin_prevue],ROW()-6))</f>
      </c>
      <c r="I229" s="36">
        <f>=IF($A229="","",INDEX(tblTasks[Duree_jours],ROW()-6))</f>
      </c>
      <c r="J229" s="25">
        <f>=IF($A229="","",INDEX(tblTasks[Date_debut_reelle],ROW()-6))</f>
      </c>
      <c r="K229" s="25">
        <f>=IF($A229="","",INDEX(tblTasks[Date_fin_reelle],ROW()-6))</f>
      </c>
      <c r="L229" s="23">
        <f>=IF($A229="","",INDEX(tblTasks[Blocage],ROW()-6))</f>
      </c>
      <c r="M229" s="23">
        <f>=IF($A229="","",INDEX(tblTasks[Depend_de],ROW()-6))</f>
      </c>
      <c r="N229" s="23">
        <f>=IF($A229="","",INDEX(tblTasks[Non_negociable],ROW()-6))</f>
      </c>
      <c r="O229" s="23">
        <f>=IF($A229="","",INDEX(tblTasks[Seuil_de_reprise],ROW()-6))</f>
      </c>
      <c r="P229" s="23">
        <f>=IF($A229="","",INDEX(tblTasks[Donnee_manquante],ROW()-6))</f>
      </c>
      <c r="Q229" s="23">
        <f>=IF($A229="","",INDEX(tblTasks[Niveau_criticite],ROW()-6))</f>
      </c>
      <c r="R229" s="23">
        <f>=IF($A229="","",INDEX(tblTasks[Irreversibilite],ROW()-6))</f>
      </c>
      <c r="S229" s="23">
        <f>=IF($A229="","",INDEX(tblTasks[Decision_Emmanuel],ROW()-6))</f>
      </c>
      <c r="T229" s="24">
        <f>=IF($A229="","",INDEX(tblTasks[Commentaire_EKT],ROW()-6))</f>
      </c>
      <c r="U229" s="23">
        <f>=IF($A229="","",INDEX(tblTasks[Goulot],ROW()-6))</f>
      </c>
      <c r="V229" s="23">
        <f>=IF($A229="","",INDEX(tblTasks[Point_de_bascule],ROW()-6))</f>
      </c>
      <c r="W229" s="37">
        <f>IF($A229="","",IF(AND(OR(param_filtre_statut="tous",LOWER($F229)=LOWER(param_filtre_statut)),OR(param_filtre_agent="tous",LOWER($D229)=LOWER(param_filtre_agent),LOWER($E229)=LOWER(param_filtre_agent)),OR(param_filtre_criticite="toutes",LOWER($Q229)=LOWER(param_filtre_criticite))),"oui","non"))</f>
      </c>
      <c r="X229" s="37">
        <f>IF($A229="","",IF(OR(LOWER($F229)="bloqué",LOWER($L229)="oui"),"oui","non"))</f>
      </c>
      <c r="Y229" s="37">
        <f>IF($A229="","",IF(OR(LOWER($Q229)="critique",LOWER($U229)="oui",LOWER($V229)="oui"),"oui","non"))</f>
      </c>
      <c r="Z229" s="37">
        <f>IF($A229="","",IF(AND($S229&lt;&gt;"",LOWER($S229)&lt;&gt;"tranchée",LOWER($S229)&lt;&gt;"sans objet",LOWER($S229)&lt;&gt;"clos"),"oui","non"))</f>
      </c>
      <c r="AA229" s="37">
        <f>IF($A229="","",IF($P229&lt;&gt;"","oui","non"))</f>
      </c>
      <c r="AB229" s="37">
        <f>IF($A229="","",IF(OR(LOWER($F229)="non réouvrable",LOWER($R229)="forte"),"oui","non"))</f>
      </c>
    </row>
    <row r="230" spans="1:28" x14ac:dyDescent="0.25">
      <c r="A230" s="23">
        <f>IFERROR(INDEX(tblTasks[ID],ROW()-6),"")</f>
      </c>
      <c r="B230" s="24">
        <f>=IF($A230="","",INDEX(tblTasks[Sujet],ROW()-6))</f>
      </c>
      <c r="C230" s="23">
        <f>=IF($A230="","",INDEX(tblTasks[Lot_Domaine],ROW()-6))</f>
      </c>
      <c r="D230" s="23">
        <f>=IF($A230="","",INDEX(tblTasks[Agent_source],ROW()-6))</f>
      </c>
      <c r="E230" s="23">
        <f>=IF($A230="","",INDEX(tblTasks[Responsable],ROW()-6))</f>
      </c>
      <c r="F230" s="23">
        <f>=IF($A230="","",INDEX(tblTasks[Statut],ROW()-6))</f>
      </c>
      <c r="G230" s="25">
        <f>=IF($A230="","",INDEX(tblTasks[Date_debut_prevue],ROW()-6))</f>
      </c>
      <c r="H230" s="25">
        <f>=IF($A230="","",INDEX(tblTasks[Date_fin_prevue],ROW()-6))</f>
      </c>
      <c r="I230" s="36">
        <f>=IF($A230="","",INDEX(tblTasks[Duree_jours],ROW()-6))</f>
      </c>
      <c r="J230" s="25">
        <f>=IF($A230="","",INDEX(tblTasks[Date_debut_reelle],ROW()-6))</f>
      </c>
      <c r="K230" s="25">
        <f>=IF($A230="","",INDEX(tblTasks[Date_fin_reelle],ROW()-6))</f>
      </c>
      <c r="L230" s="23">
        <f>=IF($A230="","",INDEX(tblTasks[Blocage],ROW()-6))</f>
      </c>
      <c r="M230" s="23">
        <f>=IF($A230="","",INDEX(tblTasks[Depend_de],ROW()-6))</f>
      </c>
      <c r="N230" s="23">
        <f>=IF($A230="","",INDEX(tblTasks[Non_negociable],ROW()-6))</f>
      </c>
      <c r="O230" s="23">
        <f>=IF($A230="","",INDEX(tblTasks[Seuil_de_reprise],ROW()-6))</f>
      </c>
      <c r="P230" s="23">
        <f>=IF($A230="","",INDEX(tblTasks[Donnee_manquante],ROW()-6))</f>
      </c>
      <c r="Q230" s="23">
        <f>=IF($A230="","",INDEX(tblTasks[Niveau_criticite],ROW()-6))</f>
      </c>
      <c r="R230" s="23">
        <f>=IF($A230="","",INDEX(tblTasks[Irreversibilite],ROW()-6))</f>
      </c>
      <c r="S230" s="23">
        <f>=IF($A230="","",INDEX(tblTasks[Decision_Emmanuel],ROW()-6))</f>
      </c>
      <c r="T230" s="24">
        <f>=IF($A230="","",INDEX(tblTasks[Commentaire_EKT],ROW()-6))</f>
      </c>
      <c r="U230" s="23">
        <f>=IF($A230="","",INDEX(tblTasks[Goulot],ROW()-6))</f>
      </c>
      <c r="V230" s="23">
        <f>=IF($A230="","",INDEX(tblTasks[Point_de_bascule],ROW()-6))</f>
      </c>
      <c r="W230" s="37">
        <f>IF($A230="","",IF(AND(OR(param_filtre_statut="tous",LOWER($F230)=LOWER(param_filtre_statut)),OR(param_filtre_agent="tous",LOWER($D230)=LOWER(param_filtre_agent),LOWER($E230)=LOWER(param_filtre_agent)),OR(param_filtre_criticite="toutes",LOWER($Q230)=LOWER(param_filtre_criticite))),"oui","non"))</f>
      </c>
      <c r="X230" s="37">
        <f>IF($A230="","",IF(OR(LOWER($F230)="bloqué",LOWER($L230)="oui"),"oui","non"))</f>
      </c>
      <c r="Y230" s="37">
        <f>IF($A230="","",IF(OR(LOWER($Q230)="critique",LOWER($U230)="oui",LOWER($V230)="oui"),"oui","non"))</f>
      </c>
      <c r="Z230" s="37">
        <f>IF($A230="","",IF(AND($S230&lt;&gt;"",LOWER($S230)&lt;&gt;"tranchée",LOWER($S230)&lt;&gt;"sans objet",LOWER($S230)&lt;&gt;"clos"),"oui","non"))</f>
      </c>
      <c r="AA230" s="37">
        <f>IF($A230="","",IF($P230&lt;&gt;"","oui","non"))</f>
      </c>
      <c r="AB230" s="37">
        <f>IF($A230="","",IF(OR(LOWER($F230)="non réouvrable",LOWER($R230)="forte"),"oui","non"))</f>
      </c>
    </row>
    <row r="231" spans="1:28" x14ac:dyDescent="0.25">
      <c r="A231" s="23">
        <f>IFERROR(INDEX(tblTasks[ID],ROW()-6),"")</f>
      </c>
      <c r="B231" s="24">
        <f>=IF($A231="","",INDEX(tblTasks[Sujet],ROW()-6))</f>
      </c>
      <c r="C231" s="23">
        <f>=IF($A231="","",INDEX(tblTasks[Lot_Domaine],ROW()-6))</f>
      </c>
      <c r="D231" s="23">
        <f>=IF($A231="","",INDEX(tblTasks[Agent_source],ROW()-6))</f>
      </c>
      <c r="E231" s="23">
        <f>=IF($A231="","",INDEX(tblTasks[Responsable],ROW()-6))</f>
      </c>
      <c r="F231" s="23">
        <f>=IF($A231="","",INDEX(tblTasks[Statut],ROW()-6))</f>
      </c>
      <c r="G231" s="25">
        <f>=IF($A231="","",INDEX(tblTasks[Date_debut_prevue],ROW()-6))</f>
      </c>
      <c r="H231" s="25">
        <f>=IF($A231="","",INDEX(tblTasks[Date_fin_prevue],ROW()-6))</f>
      </c>
      <c r="I231" s="36">
        <f>=IF($A231="","",INDEX(tblTasks[Duree_jours],ROW()-6))</f>
      </c>
      <c r="J231" s="25">
        <f>=IF($A231="","",INDEX(tblTasks[Date_debut_reelle],ROW()-6))</f>
      </c>
      <c r="K231" s="25">
        <f>=IF($A231="","",INDEX(tblTasks[Date_fin_reelle],ROW()-6))</f>
      </c>
      <c r="L231" s="23">
        <f>=IF($A231="","",INDEX(tblTasks[Blocage],ROW()-6))</f>
      </c>
      <c r="M231" s="23">
        <f>=IF($A231="","",INDEX(tblTasks[Depend_de],ROW()-6))</f>
      </c>
      <c r="N231" s="23">
        <f>=IF($A231="","",INDEX(tblTasks[Non_negociable],ROW()-6))</f>
      </c>
      <c r="O231" s="23">
        <f>=IF($A231="","",INDEX(tblTasks[Seuil_de_reprise],ROW()-6))</f>
      </c>
      <c r="P231" s="23">
        <f>=IF($A231="","",INDEX(tblTasks[Donnee_manquante],ROW()-6))</f>
      </c>
      <c r="Q231" s="23">
        <f>=IF($A231="","",INDEX(tblTasks[Niveau_criticite],ROW()-6))</f>
      </c>
      <c r="R231" s="23">
        <f>=IF($A231="","",INDEX(tblTasks[Irreversibilite],ROW()-6))</f>
      </c>
      <c r="S231" s="23">
        <f>=IF($A231="","",INDEX(tblTasks[Decision_Emmanuel],ROW()-6))</f>
      </c>
      <c r="T231" s="24">
        <f>=IF($A231="","",INDEX(tblTasks[Commentaire_EKT],ROW()-6))</f>
      </c>
      <c r="U231" s="23">
        <f>=IF($A231="","",INDEX(tblTasks[Goulot],ROW()-6))</f>
      </c>
      <c r="V231" s="23">
        <f>=IF($A231="","",INDEX(tblTasks[Point_de_bascule],ROW()-6))</f>
      </c>
      <c r="W231" s="37">
        <f>IF($A231="","",IF(AND(OR(param_filtre_statut="tous",LOWER($F231)=LOWER(param_filtre_statut)),OR(param_filtre_agent="tous",LOWER($D231)=LOWER(param_filtre_agent),LOWER($E231)=LOWER(param_filtre_agent)),OR(param_filtre_criticite="toutes",LOWER($Q231)=LOWER(param_filtre_criticite))),"oui","non"))</f>
      </c>
      <c r="X231" s="37">
        <f>IF($A231="","",IF(OR(LOWER($F231)="bloqué",LOWER($L231)="oui"),"oui","non"))</f>
      </c>
      <c r="Y231" s="37">
        <f>IF($A231="","",IF(OR(LOWER($Q231)="critique",LOWER($U231)="oui",LOWER($V231)="oui"),"oui","non"))</f>
      </c>
      <c r="Z231" s="37">
        <f>IF($A231="","",IF(AND($S231&lt;&gt;"",LOWER($S231)&lt;&gt;"tranchée",LOWER($S231)&lt;&gt;"sans objet",LOWER($S231)&lt;&gt;"clos"),"oui","non"))</f>
      </c>
      <c r="AA231" s="37">
        <f>IF($A231="","",IF($P231&lt;&gt;"","oui","non"))</f>
      </c>
      <c r="AB231" s="37">
        <f>IF($A231="","",IF(OR(LOWER($F231)="non réouvrable",LOWER($R231)="forte"),"oui","non"))</f>
      </c>
    </row>
    <row r="232" spans="1:28" x14ac:dyDescent="0.25">
      <c r="A232" s="23">
        <f>IFERROR(INDEX(tblTasks[ID],ROW()-6),"")</f>
      </c>
      <c r="B232" s="24">
        <f>=IF($A232="","",INDEX(tblTasks[Sujet],ROW()-6))</f>
      </c>
      <c r="C232" s="23">
        <f>=IF($A232="","",INDEX(tblTasks[Lot_Domaine],ROW()-6))</f>
      </c>
      <c r="D232" s="23">
        <f>=IF($A232="","",INDEX(tblTasks[Agent_source],ROW()-6))</f>
      </c>
      <c r="E232" s="23">
        <f>=IF($A232="","",INDEX(tblTasks[Responsable],ROW()-6))</f>
      </c>
      <c r="F232" s="23">
        <f>=IF($A232="","",INDEX(tblTasks[Statut],ROW()-6))</f>
      </c>
      <c r="G232" s="25">
        <f>=IF($A232="","",INDEX(tblTasks[Date_debut_prevue],ROW()-6))</f>
      </c>
      <c r="H232" s="25">
        <f>=IF($A232="","",INDEX(tblTasks[Date_fin_prevue],ROW()-6))</f>
      </c>
      <c r="I232" s="36">
        <f>=IF($A232="","",INDEX(tblTasks[Duree_jours],ROW()-6))</f>
      </c>
      <c r="J232" s="25">
        <f>=IF($A232="","",INDEX(tblTasks[Date_debut_reelle],ROW()-6))</f>
      </c>
      <c r="K232" s="25">
        <f>=IF($A232="","",INDEX(tblTasks[Date_fin_reelle],ROW()-6))</f>
      </c>
      <c r="L232" s="23">
        <f>=IF($A232="","",INDEX(tblTasks[Blocage],ROW()-6))</f>
      </c>
      <c r="M232" s="23">
        <f>=IF($A232="","",INDEX(tblTasks[Depend_de],ROW()-6))</f>
      </c>
      <c r="N232" s="23">
        <f>=IF($A232="","",INDEX(tblTasks[Non_negociable],ROW()-6))</f>
      </c>
      <c r="O232" s="23">
        <f>=IF($A232="","",INDEX(tblTasks[Seuil_de_reprise],ROW()-6))</f>
      </c>
      <c r="P232" s="23">
        <f>=IF($A232="","",INDEX(tblTasks[Donnee_manquante],ROW()-6))</f>
      </c>
      <c r="Q232" s="23">
        <f>=IF($A232="","",INDEX(tblTasks[Niveau_criticite],ROW()-6))</f>
      </c>
      <c r="R232" s="23">
        <f>=IF($A232="","",INDEX(tblTasks[Irreversibilite],ROW()-6))</f>
      </c>
      <c r="S232" s="23">
        <f>=IF($A232="","",INDEX(tblTasks[Decision_Emmanuel],ROW()-6))</f>
      </c>
      <c r="T232" s="24">
        <f>=IF($A232="","",INDEX(tblTasks[Commentaire_EKT],ROW()-6))</f>
      </c>
      <c r="U232" s="23">
        <f>=IF($A232="","",INDEX(tblTasks[Goulot],ROW()-6))</f>
      </c>
      <c r="V232" s="23">
        <f>=IF($A232="","",INDEX(tblTasks[Point_de_bascule],ROW()-6))</f>
      </c>
      <c r="W232" s="37">
        <f>IF($A232="","",IF(AND(OR(param_filtre_statut="tous",LOWER($F232)=LOWER(param_filtre_statut)),OR(param_filtre_agent="tous",LOWER($D232)=LOWER(param_filtre_agent),LOWER($E232)=LOWER(param_filtre_agent)),OR(param_filtre_criticite="toutes",LOWER($Q232)=LOWER(param_filtre_criticite))),"oui","non"))</f>
      </c>
      <c r="X232" s="37">
        <f>IF($A232="","",IF(OR(LOWER($F232)="bloqué",LOWER($L232)="oui"),"oui","non"))</f>
      </c>
      <c r="Y232" s="37">
        <f>IF($A232="","",IF(OR(LOWER($Q232)="critique",LOWER($U232)="oui",LOWER($V232)="oui"),"oui","non"))</f>
      </c>
      <c r="Z232" s="37">
        <f>IF($A232="","",IF(AND($S232&lt;&gt;"",LOWER($S232)&lt;&gt;"tranchée",LOWER($S232)&lt;&gt;"sans objet",LOWER($S232)&lt;&gt;"clos"),"oui","non"))</f>
      </c>
      <c r="AA232" s="37">
        <f>IF($A232="","",IF($P232&lt;&gt;"","oui","non"))</f>
      </c>
      <c r="AB232" s="37">
        <f>IF($A232="","",IF(OR(LOWER($F232)="non réouvrable",LOWER($R232)="forte"),"oui","non"))</f>
      </c>
    </row>
    <row r="233" spans="1:28" x14ac:dyDescent="0.25">
      <c r="A233" s="23">
        <f>IFERROR(INDEX(tblTasks[ID],ROW()-6),"")</f>
      </c>
      <c r="B233" s="24">
        <f>=IF($A233="","",INDEX(tblTasks[Sujet],ROW()-6))</f>
      </c>
      <c r="C233" s="23">
        <f>=IF($A233="","",INDEX(tblTasks[Lot_Domaine],ROW()-6))</f>
      </c>
      <c r="D233" s="23">
        <f>=IF($A233="","",INDEX(tblTasks[Agent_source],ROW()-6))</f>
      </c>
      <c r="E233" s="23">
        <f>=IF($A233="","",INDEX(tblTasks[Responsable],ROW()-6))</f>
      </c>
      <c r="F233" s="23">
        <f>=IF($A233="","",INDEX(tblTasks[Statut],ROW()-6))</f>
      </c>
      <c r="G233" s="25">
        <f>=IF($A233="","",INDEX(tblTasks[Date_debut_prevue],ROW()-6))</f>
      </c>
      <c r="H233" s="25">
        <f>=IF($A233="","",INDEX(tblTasks[Date_fin_prevue],ROW()-6))</f>
      </c>
      <c r="I233" s="36">
        <f>=IF($A233="","",INDEX(tblTasks[Duree_jours],ROW()-6))</f>
      </c>
      <c r="J233" s="25">
        <f>=IF($A233="","",INDEX(tblTasks[Date_debut_reelle],ROW()-6))</f>
      </c>
      <c r="K233" s="25">
        <f>=IF($A233="","",INDEX(tblTasks[Date_fin_reelle],ROW()-6))</f>
      </c>
      <c r="L233" s="23">
        <f>=IF($A233="","",INDEX(tblTasks[Blocage],ROW()-6))</f>
      </c>
      <c r="M233" s="23">
        <f>=IF($A233="","",INDEX(tblTasks[Depend_de],ROW()-6))</f>
      </c>
      <c r="N233" s="23">
        <f>=IF($A233="","",INDEX(tblTasks[Non_negociable],ROW()-6))</f>
      </c>
      <c r="O233" s="23">
        <f>=IF($A233="","",INDEX(tblTasks[Seuil_de_reprise],ROW()-6))</f>
      </c>
      <c r="P233" s="23">
        <f>=IF($A233="","",INDEX(tblTasks[Donnee_manquante],ROW()-6))</f>
      </c>
      <c r="Q233" s="23">
        <f>=IF($A233="","",INDEX(tblTasks[Niveau_criticite],ROW()-6))</f>
      </c>
      <c r="R233" s="23">
        <f>=IF($A233="","",INDEX(tblTasks[Irreversibilite],ROW()-6))</f>
      </c>
      <c r="S233" s="23">
        <f>=IF($A233="","",INDEX(tblTasks[Decision_Emmanuel],ROW()-6))</f>
      </c>
      <c r="T233" s="24">
        <f>=IF($A233="","",INDEX(tblTasks[Commentaire_EKT],ROW()-6))</f>
      </c>
      <c r="U233" s="23">
        <f>=IF($A233="","",INDEX(tblTasks[Goulot],ROW()-6))</f>
      </c>
      <c r="V233" s="23">
        <f>=IF($A233="","",INDEX(tblTasks[Point_de_bascule],ROW()-6))</f>
      </c>
      <c r="W233" s="37">
        <f>IF($A233="","",IF(AND(OR(param_filtre_statut="tous",LOWER($F233)=LOWER(param_filtre_statut)),OR(param_filtre_agent="tous",LOWER($D233)=LOWER(param_filtre_agent),LOWER($E233)=LOWER(param_filtre_agent)),OR(param_filtre_criticite="toutes",LOWER($Q233)=LOWER(param_filtre_criticite))),"oui","non"))</f>
      </c>
      <c r="X233" s="37">
        <f>IF($A233="","",IF(OR(LOWER($F233)="bloqué",LOWER($L233)="oui"),"oui","non"))</f>
      </c>
      <c r="Y233" s="37">
        <f>IF($A233="","",IF(OR(LOWER($Q233)="critique",LOWER($U233)="oui",LOWER($V233)="oui"),"oui","non"))</f>
      </c>
      <c r="Z233" s="37">
        <f>IF($A233="","",IF(AND($S233&lt;&gt;"",LOWER($S233)&lt;&gt;"tranchée",LOWER($S233)&lt;&gt;"sans objet",LOWER($S233)&lt;&gt;"clos"),"oui","non"))</f>
      </c>
      <c r="AA233" s="37">
        <f>IF($A233="","",IF($P233&lt;&gt;"","oui","non"))</f>
      </c>
      <c r="AB233" s="37">
        <f>IF($A233="","",IF(OR(LOWER($F233)="non réouvrable",LOWER($R233)="forte"),"oui","non"))</f>
      </c>
    </row>
    <row r="234" spans="1:28" x14ac:dyDescent="0.25">
      <c r="A234" s="23">
        <f>IFERROR(INDEX(tblTasks[ID],ROW()-6),"")</f>
      </c>
      <c r="B234" s="24">
        <f>=IF($A234="","",INDEX(tblTasks[Sujet],ROW()-6))</f>
      </c>
      <c r="C234" s="23">
        <f>=IF($A234="","",INDEX(tblTasks[Lot_Domaine],ROW()-6))</f>
      </c>
      <c r="D234" s="23">
        <f>=IF($A234="","",INDEX(tblTasks[Agent_source],ROW()-6))</f>
      </c>
      <c r="E234" s="23">
        <f>=IF($A234="","",INDEX(tblTasks[Responsable],ROW()-6))</f>
      </c>
      <c r="F234" s="23">
        <f>=IF($A234="","",INDEX(tblTasks[Statut],ROW()-6))</f>
      </c>
      <c r="G234" s="25">
        <f>=IF($A234="","",INDEX(tblTasks[Date_debut_prevue],ROW()-6))</f>
      </c>
      <c r="H234" s="25">
        <f>=IF($A234="","",INDEX(tblTasks[Date_fin_prevue],ROW()-6))</f>
      </c>
      <c r="I234" s="36">
        <f>=IF($A234="","",INDEX(tblTasks[Duree_jours],ROW()-6))</f>
      </c>
      <c r="J234" s="25">
        <f>=IF($A234="","",INDEX(tblTasks[Date_debut_reelle],ROW()-6))</f>
      </c>
      <c r="K234" s="25">
        <f>=IF($A234="","",INDEX(tblTasks[Date_fin_reelle],ROW()-6))</f>
      </c>
      <c r="L234" s="23">
        <f>=IF($A234="","",INDEX(tblTasks[Blocage],ROW()-6))</f>
      </c>
      <c r="M234" s="23">
        <f>=IF($A234="","",INDEX(tblTasks[Depend_de],ROW()-6))</f>
      </c>
      <c r="N234" s="23">
        <f>=IF($A234="","",INDEX(tblTasks[Non_negociable],ROW()-6))</f>
      </c>
      <c r="O234" s="23">
        <f>=IF($A234="","",INDEX(tblTasks[Seuil_de_reprise],ROW()-6))</f>
      </c>
      <c r="P234" s="23">
        <f>=IF($A234="","",INDEX(tblTasks[Donnee_manquante],ROW()-6))</f>
      </c>
      <c r="Q234" s="23">
        <f>=IF($A234="","",INDEX(tblTasks[Niveau_criticite],ROW()-6))</f>
      </c>
      <c r="R234" s="23">
        <f>=IF($A234="","",INDEX(tblTasks[Irreversibilite],ROW()-6))</f>
      </c>
      <c r="S234" s="23">
        <f>=IF($A234="","",INDEX(tblTasks[Decision_Emmanuel],ROW()-6))</f>
      </c>
      <c r="T234" s="24">
        <f>=IF($A234="","",INDEX(tblTasks[Commentaire_EKT],ROW()-6))</f>
      </c>
      <c r="U234" s="23">
        <f>=IF($A234="","",INDEX(tblTasks[Goulot],ROW()-6))</f>
      </c>
      <c r="V234" s="23">
        <f>=IF($A234="","",INDEX(tblTasks[Point_de_bascule],ROW()-6))</f>
      </c>
      <c r="W234" s="37">
        <f>IF($A234="","",IF(AND(OR(param_filtre_statut="tous",LOWER($F234)=LOWER(param_filtre_statut)),OR(param_filtre_agent="tous",LOWER($D234)=LOWER(param_filtre_agent),LOWER($E234)=LOWER(param_filtre_agent)),OR(param_filtre_criticite="toutes",LOWER($Q234)=LOWER(param_filtre_criticite))),"oui","non"))</f>
      </c>
      <c r="X234" s="37">
        <f>IF($A234="","",IF(OR(LOWER($F234)="bloqué",LOWER($L234)="oui"),"oui","non"))</f>
      </c>
      <c r="Y234" s="37">
        <f>IF($A234="","",IF(OR(LOWER($Q234)="critique",LOWER($U234)="oui",LOWER($V234)="oui"),"oui","non"))</f>
      </c>
      <c r="Z234" s="37">
        <f>IF($A234="","",IF(AND($S234&lt;&gt;"",LOWER($S234)&lt;&gt;"tranchée",LOWER($S234)&lt;&gt;"sans objet",LOWER($S234)&lt;&gt;"clos"),"oui","non"))</f>
      </c>
      <c r="AA234" s="37">
        <f>IF($A234="","",IF($P234&lt;&gt;"","oui","non"))</f>
      </c>
      <c r="AB234" s="37">
        <f>IF($A234="","",IF(OR(LOWER($F234)="non réouvrable",LOWER($R234)="forte"),"oui","non"))</f>
      </c>
    </row>
    <row r="235" spans="1:28" x14ac:dyDescent="0.25">
      <c r="A235" s="23">
        <f>IFERROR(INDEX(tblTasks[ID],ROW()-6),"")</f>
      </c>
      <c r="B235" s="24">
        <f>=IF($A235="","",INDEX(tblTasks[Sujet],ROW()-6))</f>
      </c>
      <c r="C235" s="23">
        <f>=IF($A235="","",INDEX(tblTasks[Lot_Domaine],ROW()-6))</f>
      </c>
      <c r="D235" s="23">
        <f>=IF($A235="","",INDEX(tblTasks[Agent_source],ROW()-6))</f>
      </c>
      <c r="E235" s="23">
        <f>=IF($A235="","",INDEX(tblTasks[Responsable],ROW()-6))</f>
      </c>
      <c r="F235" s="23">
        <f>=IF($A235="","",INDEX(tblTasks[Statut],ROW()-6))</f>
      </c>
      <c r="G235" s="25">
        <f>=IF($A235="","",INDEX(tblTasks[Date_debut_prevue],ROW()-6))</f>
      </c>
      <c r="H235" s="25">
        <f>=IF($A235="","",INDEX(tblTasks[Date_fin_prevue],ROW()-6))</f>
      </c>
      <c r="I235" s="36">
        <f>=IF($A235="","",INDEX(tblTasks[Duree_jours],ROW()-6))</f>
      </c>
      <c r="J235" s="25">
        <f>=IF($A235="","",INDEX(tblTasks[Date_debut_reelle],ROW()-6))</f>
      </c>
      <c r="K235" s="25">
        <f>=IF($A235="","",INDEX(tblTasks[Date_fin_reelle],ROW()-6))</f>
      </c>
      <c r="L235" s="23">
        <f>=IF($A235="","",INDEX(tblTasks[Blocage],ROW()-6))</f>
      </c>
      <c r="M235" s="23">
        <f>=IF($A235="","",INDEX(tblTasks[Depend_de],ROW()-6))</f>
      </c>
      <c r="N235" s="23">
        <f>=IF($A235="","",INDEX(tblTasks[Non_negociable],ROW()-6))</f>
      </c>
      <c r="O235" s="23">
        <f>=IF($A235="","",INDEX(tblTasks[Seuil_de_reprise],ROW()-6))</f>
      </c>
      <c r="P235" s="23">
        <f>=IF($A235="","",INDEX(tblTasks[Donnee_manquante],ROW()-6))</f>
      </c>
      <c r="Q235" s="23">
        <f>=IF($A235="","",INDEX(tblTasks[Niveau_criticite],ROW()-6))</f>
      </c>
      <c r="R235" s="23">
        <f>=IF($A235="","",INDEX(tblTasks[Irreversibilite],ROW()-6))</f>
      </c>
      <c r="S235" s="23">
        <f>=IF($A235="","",INDEX(tblTasks[Decision_Emmanuel],ROW()-6))</f>
      </c>
      <c r="T235" s="24">
        <f>=IF($A235="","",INDEX(tblTasks[Commentaire_EKT],ROW()-6))</f>
      </c>
      <c r="U235" s="23">
        <f>=IF($A235="","",INDEX(tblTasks[Goulot],ROW()-6))</f>
      </c>
      <c r="V235" s="23">
        <f>=IF($A235="","",INDEX(tblTasks[Point_de_bascule],ROW()-6))</f>
      </c>
      <c r="W235" s="37">
        <f>IF($A235="","",IF(AND(OR(param_filtre_statut="tous",LOWER($F235)=LOWER(param_filtre_statut)),OR(param_filtre_agent="tous",LOWER($D235)=LOWER(param_filtre_agent),LOWER($E235)=LOWER(param_filtre_agent)),OR(param_filtre_criticite="toutes",LOWER($Q235)=LOWER(param_filtre_criticite))),"oui","non"))</f>
      </c>
      <c r="X235" s="37">
        <f>IF($A235="","",IF(OR(LOWER($F235)="bloqué",LOWER($L235)="oui"),"oui","non"))</f>
      </c>
      <c r="Y235" s="37">
        <f>IF($A235="","",IF(OR(LOWER($Q235)="critique",LOWER($U235)="oui",LOWER($V235)="oui"),"oui","non"))</f>
      </c>
      <c r="Z235" s="37">
        <f>IF($A235="","",IF(AND($S235&lt;&gt;"",LOWER($S235)&lt;&gt;"tranchée",LOWER($S235)&lt;&gt;"sans objet",LOWER($S235)&lt;&gt;"clos"),"oui","non"))</f>
      </c>
      <c r="AA235" s="37">
        <f>IF($A235="","",IF($P235&lt;&gt;"","oui","non"))</f>
      </c>
      <c r="AB235" s="37">
        <f>IF($A235="","",IF(OR(LOWER($F235)="non réouvrable",LOWER($R235)="forte"),"oui","non"))</f>
      </c>
    </row>
    <row r="236" spans="1:28" x14ac:dyDescent="0.25">
      <c r="A236" s="23">
        <f>IFERROR(INDEX(tblTasks[ID],ROW()-6),"")</f>
      </c>
      <c r="B236" s="24">
        <f>=IF($A236="","",INDEX(tblTasks[Sujet],ROW()-6))</f>
      </c>
      <c r="C236" s="23">
        <f>=IF($A236="","",INDEX(tblTasks[Lot_Domaine],ROW()-6))</f>
      </c>
      <c r="D236" s="23">
        <f>=IF($A236="","",INDEX(tblTasks[Agent_source],ROW()-6))</f>
      </c>
      <c r="E236" s="23">
        <f>=IF($A236="","",INDEX(tblTasks[Responsable],ROW()-6))</f>
      </c>
      <c r="F236" s="23">
        <f>=IF($A236="","",INDEX(tblTasks[Statut],ROW()-6))</f>
      </c>
      <c r="G236" s="25">
        <f>=IF($A236="","",INDEX(tblTasks[Date_debut_prevue],ROW()-6))</f>
      </c>
      <c r="H236" s="25">
        <f>=IF($A236="","",INDEX(tblTasks[Date_fin_prevue],ROW()-6))</f>
      </c>
      <c r="I236" s="36">
        <f>=IF($A236="","",INDEX(tblTasks[Duree_jours],ROW()-6))</f>
      </c>
      <c r="J236" s="25">
        <f>=IF($A236="","",INDEX(tblTasks[Date_debut_reelle],ROW()-6))</f>
      </c>
      <c r="K236" s="25">
        <f>=IF($A236="","",INDEX(tblTasks[Date_fin_reelle],ROW()-6))</f>
      </c>
      <c r="L236" s="23">
        <f>=IF($A236="","",INDEX(tblTasks[Blocage],ROW()-6))</f>
      </c>
      <c r="M236" s="23">
        <f>=IF($A236="","",INDEX(tblTasks[Depend_de],ROW()-6))</f>
      </c>
      <c r="N236" s="23">
        <f>=IF($A236="","",INDEX(tblTasks[Non_negociable],ROW()-6))</f>
      </c>
      <c r="O236" s="23">
        <f>=IF($A236="","",INDEX(tblTasks[Seuil_de_reprise],ROW()-6))</f>
      </c>
      <c r="P236" s="23">
        <f>=IF($A236="","",INDEX(tblTasks[Donnee_manquante],ROW()-6))</f>
      </c>
      <c r="Q236" s="23">
        <f>=IF($A236="","",INDEX(tblTasks[Niveau_criticite],ROW()-6))</f>
      </c>
      <c r="R236" s="23">
        <f>=IF($A236="","",INDEX(tblTasks[Irreversibilite],ROW()-6))</f>
      </c>
      <c r="S236" s="23">
        <f>=IF($A236="","",INDEX(tblTasks[Decision_Emmanuel],ROW()-6))</f>
      </c>
      <c r="T236" s="24">
        <f>=IF($A236="","",INDEX(tblTasks[Commentaire_EKT],ROW()-6))</f>
      </c>
      <c r="U236" s="23">
        <f>=IF($A236="","",INDEX(tblTasks[Goulot],ROW()-6))</f>
      </c>
      <c r="V236" s="23">
        <f>=IF($A236="","",INDEX(tblTasks[Point_de_bascule],ROW()-6))</f>
      </c>
      <c r="W236" s="37">
        <f>IF($A236="","",IF(AND(OR(param_filtre_statut="tous",LOWER($F236)=LOWER(param_filtre_statut)),OR(param_filtre_agent="tous",LOWER($D236)=LOWER(param_filtre_agent),LOWER($E236)=LOWER(param_filtre_agent)),OR(param_filtre_criticite="toutes",LOWER($Q236)=LOWER(param_filtre_criticite))),"oui","non"))</f>
      </c>
      <c r="X236" s="37">
        <f>IF($A236="","",IF(OR(LOWER($F236)="bloqué",LOWER($L236)="oui"),"oui","non"))</f>
      </c>
      <c r="Y236" s="37">
        <f>IF($A236="","",IF(OR(LOWER($Q236)="critique",LOWER($U236)="oui",LOWER($V236)="oui"),"oui","non"))</f>
      </c>
      <c r="Z236" s="37">
        <f>IF($A236="","",IF(AND($S236&lt;&gt;"",LOWER($S236)&lt;&gt;"tranchée",LOWER($S236)&lt;&gt;"sans objet",LOWER($S236)&lt;&gt;"clos"),"oui","non"))</f>
      </c>
      <c r="AA236" s="37">
        <f>IF($A236="","",IF($P236&lt;&gt;"","oui","non"))</f>
      </c>
      <c r="AB236" s="37">
        <f>IF($A236="","",IF(OR(LOWER($F236)="non réouvrable",LOWER($R236)="forte"),"oui","non"))</f>
      </c>
    </row>
    <row r="237" spans="1:28" x14ac:dyDescent="0.25">
      <c r="A237" s="23">
        <f>IFERROR(INDEX(tblTasks[ID],ROW()-6),"")</f>
      </c>
      <c r="B237" s="24">
        <f>=IF($A237="","",INDEX(tblTasks[Sujet],ROW()-6))</f>
      </c>
      <c r="C237" s="23">
        <f>=IF($A237="","",INDEX(tblTasks[Lot_Domaine],ROW()-6))</f>
      </c>
      <c r="D237" s="23">
        <f>=IF($A237="","",INDEX(tblTasks[Agent_source],ROW()-6))</f>
      </c>
      <c r="E237" s="23">
        <f>=IF($A237="","",INDEX(tblTasks[Responsable],ROW()-6))</f>
      </c>
      <c r="F237" s="23">
        <f>=IF($A237="","",INDEX(tblTasks[Statut],ROW()-6))</f>
      </c>
      <c r="G237" s="25">
        <f>=IF($A237="","",INDEX(tblTasks[Date_debut_prevue],ROW()-6))</f>
      </c>
      <c r="H237" s="25">
        <f>=IF($A237="","",INDEX(tblTasks[Date_fin_prevue],ROW()-6))</f>
      </c>
      <c r="I237" s="36">
        <f>=IF($A237="","",INDEX(tblTasks[Duree_jours],ROW()-6))</f>
      </c>
      <c r="J237" s="25">
        <f>=IF($A237="","",INDEX(tblTasks[Date_debut_reelle],ROW()-6))</f>
      </c>
      <c r="K237" s="25">
        <f>=IF($A237="","",INDEX(tblTasks[Date_fin_reelle],ROW()-6))</f>
      </c>
      <c r="L237" s="23">
        <f>=IF($A237="","",INDEX(tblTasks[Blocage],ROW()-6))</f>
      </c>
      <c r="M237" s="23">
        <f>=IF($A237="","",INDEX(tblTasks[Depend_de],ROW()-6))</f>
      </c>
      <c r="N237" s="23">
        <f>=IF($A237="","",INDEX(tblTasks[Non_negociable],ROW()-6))</f>
      </c>
      <c r="O237" s="23">
        <f>=IF($A237="","",INDEX(tblTasks[Seuil_de_reprise],ROW()-6))</f>
      </c>
      <c r="P237" s="23">
        <f>=IF($A237="","",INDEX(tblTasks[Donnee_manquante],ROW()-6))</f>
      </c>
      <c r="Q237" s="23">
        <f>=IF($A237="","",INDEX(tblTasks[Niveau_criticite],ROW()-6))</f>
      </c>
      <c r="R237" s="23">
        <f>=IF($A237="","",INDEX(tblTasks[Irreversibilite],ROW()-6))</f>
      </c>
      <c r="S237" s="23">
        <f>=IF($A237="","",INDEX(tblTasks[Decision_Emmanuel],ROW()-6))</f>
      </c>
      <c r="T237" s="24">
        <f>=IF($A237="","",INDEX(tblTasks[Commentaire_EKT],ROW()-6))</f>
      </c>
      <c r="U237" s="23">
        <f>=IF($A237="","",INDEX(tblTasks[Goulot],ROW()-6))</f>
      </c>
      <c r="V237" s="23">
        <f>=IF($A237="","",INDEX(tblTasks[Point_de_bascule],ROW()-6))</f>
      </c>
      <c r="W237" s="37">
        <f>IF($A237="","",IF(AND(OR(param_filtre_statut="tous",LOWER($F237)=LOWER(param_filtre_statut)),OR(param_filtre_agent="tous",LOWER($D237)=LOWER(param_filtre_agent),LOWER($E237)=LOWER(param_filtre_agent)),OR(param_filtre_criticite="toutes",LOWER($Q237)=LOWER(param_filtre_criticite))),"oui","non"))</f>
      </c>
      <c r="X237" s="37">
        <f>IF($A237="","",IF(OR(LOWER($F237)="bloqué",LOWER($L237)="oui"),"oui","non"))</f>
      </c>
      <c r="Y237" s="37">
        <f>IF($A237="","",IF(OR(LOWER($Q237)="critique",LOWER($U237)="oui",LOWER($V237)="oui"),"oui","non"))</f>
      </c>
      <c r="Z237" s="37">
        <f>IF($A237="","",IF(AND($S237&lt;&gt;"",LOWER($S237)&lt;&gt;"tranchée",LOWER($S237)&lt;&gt;"sans objet",LOWER($S237)&lt;&gt;"clos"),"oui","non"))</f>
      </c>
      <c r="AA237" s="37">
        <f>IF($A237="","",IF($P237&lt;&gt;"","oui","non"))</f>
      </c>
      <c r="AB237" s="37">
        <f>IF($A237="","",IF(OR(LOWER($F237)="non réouvrable",LOWER($R237)="forte"),"oui","non"))</f>
      </c>
    </row>
    <row r="238" spans="1:28" x14ac:dyDescent="0.25">
      <c r="A238" s="23">
        <f>IFERROR(INDEX(tblTasks[ID],ROW()-6),"")</f>
      </c>
      <c r="B238" s="24">
        <f>=IF($A238="","",INDEX(tblTasks[Sujet],ROW()-6))</f>
      </c>
      <c r="C238" s="23">
        <f>=IF($A238="","",INDEX(tblTasks[Lot_Domaine],ROW()-6))</f>
      </c>
      <c r="D238" s="23">
        <f>=IF($A238="","",INDEX(tblTasks[Agent_source],ROW()-6))</f>
      </c>
      <c r="E238" s="23">
        <f>=IF($A238="","",INDEX(tblTasks[Responsable],ROW()-6))</f>
      </c>
      <c r="F238" s="23">
        <f>=IF($A238="","",INDEX(tblTasks[Statut],ROW()-6))</f>
      </c>
      <c r="G238" s="25">
        <f>=IF($A238="","",INDEX(tblTasks[Date_debut_prevue],ROW()-6))</f>
      </c>
      <c r="H238" s="25">
        <f>=IF($A238="","",INDEX(tblTasks[Date_fin_prevue],ROW()-6))</f>
      </c>
      <c r="I238" s="36">
        <f>=IF($A238="","",INDEX(tblTasks[Duree_jours],ROW()-6))</f>
      </c>
      <c r="J238" s="25">
        <f>=IF($A238="","",INDEX(tblTasks[Date_debut_reelle],ROW()-6))</f>
      </c>
      <c r="K238" s="25">
        <f>=IF($A238="","",INDEX(tblTasks[Date_fin_reelle],ROW()-6))</f>
      </c>
      <c r="L238" s="23">
        <f>=IF($A238="","",INDEX(tblTasks[Blocage],ROW()-6))</f>
      </c>
      <c r="M238" s="23">
        <f>=IF($A238="","",INDEX(tblTasks[Depend_de],ROW()-6))</f>
      </c>
      <c r="N238" s="23">
        <f>=IF($A238="","",INDEX(tblTasks[Non_negociable],ROW()-6))</f>
      </c>
      <c r="O238" s="23">
        <f>=IF($A238="","",INDEX(tblTasks[Seuil_de_reprise],ROW()-6))</f>
      </c>
      <c r="P238" s="23">
        <f>=IF($A238="","",INDEX(tblTasks[Donnee_manquante],ROW()-6))</f>
      </c>
      <c r="Q238" s="23">
        <f>=IF($A238="","",INDEX(tblTasks[Niveau_criticite],ROW()-6))</f>
      </c>
      <c r="R238" s="23">
        <f>=IF($A238="","",INDEX(tblTasks[Irreversibilite],ROW()-6))</f>
      </c>
      <c r="S238" s="23">
        <f>=IF($A238="","",INDEX(tblTasks[Decision_Emmanuel],ROW()-6))</f>
      </c>
      <c r="T238" s="24">
        <f>=IF($A238="","",INDEX(tblTasks[Commentaire_EKT],ROW()-6))</f>
      </c>
      <c r="U238" s="23">
        <f>=IF($A238="","",INDEX(tblTasks[Goulot],ROW()-6))</f>
      </c>
      <c r="V238" s="23">
        <f>=IF($A238="","",INDEX(tblTasks[Point_de_bascule],ROW()-6))</f>
      </c>
      <c r="W238" s="37">
        <f>IF($A238="","",IF(AND(OR(param_filtre_statut="tous",LOWER($F238)=LOWER(param_filtre_statut)),OR(param_filtre_agent="tous",LOWER($D238)=LOWER(param_filtre_agent),LOWER($E238)=LOWER(param_filtre_agent)),OR(param_filtre_criticite="toutes",LOWER($Q238)=LOWER(param_filtre_criticite))),"oui","non"))</f>
      </c>
      <c r="X238" s="37">
        <f>IF($A238="","",IF(OR(LOWER($F238)="bloqué",LOWER($L238)="oui"),"oui","non"))</f>
      </c>
      <c r="Y238" s="37">
        <f>IF($A238="","",IF(OR(LOWER($Q238)="critique",LOWER($U238)="oui",LOWER($V238)="oui"),"oui","non"))</f>
      </c>
      <c r="Z238" s="37">
        <f>IF($A238="","",IF(AND($S238&lt;&gt;"",LOWER($S238)&lt;&gt;"tranchée",LOWER($S238)&lt;&gt;"sans objet",LOWER($S238)&lt;&gt;"clos"),"oui","non"))</f>
      </c>
      <c r="AA238" s="37">
        <f>IF($A238="","",IF($P238&lt;&gt;"","oui","non"))</f>
      </c>
      <c r="AB238" s="37">
        <f>IF($A238="","",IF(OR(LOWER($F238)="non réouvrable",LOWER($R238)="forte"),"oui","non"))</f>
      </c>
    </row>
    <row r="239" spans="1:28" x14ac:dyDescent="0.25">
      <c r="A239" s="23">
        <f>IFERROR(INDEX(tblTasks[ID],ROW()-6),"")</f>
      </c>
      <c r="B239" s="24">
        <f>=IF($A239="","",INDEX(tblTasks[Sujet],ROW()-6))</f>
      </c>
      <c r="C239" s="23">
        <f>=IF($A239="","",INDEX(tblTasks[Lot_Domaine],ROW()-6))</f>
      </c>
      <c r="D239" s="23">
        <f>=IF($A239="","",INDEX(tblTasks[Agent_source],ROW()-6))</f>
      </c>
      <c r="E239" s="23">
        <f>=IF($A239="","",INDEX(tblTasks[Responsable],ROW()-6))</f>
      </c>
      <c r="F239" s="23">
        <f>=IF($A239="","",INDEX(tblTasks[Statut],ROW()-6))</f>
      </c>
      <c r="G239" s="25">
        <f>=IF($A239="","",INDEX(tblTasks[Date_debut_prevue],ROW()-6))</f>
      </c>
      <c r="H239" s="25">
        <f>=IF($A239="","",INDEX(tblTasks[Date_fin_prevue],ROW()-6))</f>
      </c>
      <c r="I239" s="36">
        <f>=IF($A239="","",INDEX(tblTasks[Duree_jours],ROW()-6))</f>
      </c>
      <c r="J239" s="25">
        <f>=IF($A239="","",INDEX(tblTasks[Date_debut_reelle],ROW()-6))</f>
      </c>
      <c r="K239" s="25">
        <f>=IF($A239="","",INDEX(tblTasks[Date_fin_reelle],ROW()-6))</f>
      </c>
      <c r="L239" s="23">
        <f>=IF($A239="","",INDEX(tblTasks[Blocage],ROW()-6))</f>
      </c>
      <c r="M239" s="23">
        <f>=IF($A239="","",INDEX(tblTasks[Depend_de],ROW()-6))</f>
      </c>
      <c r="N239" s="23">
        <f>=IF($A239="","",INDEX(tblTasks[Non_negociable],ROW()-6))</f>
      </c>
      <c r="O239" s="23">
        <f>=IF($A239="","",INDEX(tblTasks[Seuil_de_reprise],ROW()-6))</f>
      </c>
      <c r="P239" s="23">
        <f>=IF($A239="","",INDEX(tblTasks[Donnee_manquante],ROW()-6))</f>
      </c>
      <c r="Q239" s="23">
        <f>=IF($A239="","",INDEX(tblTasks[Niveau_criticite],ROW()-6))</f>
      </c>
      <c r="R239" s="23">
        <f>=IF($A239="","",INDEX(tblTasks[Irreversibilite],ROW()-6))</f>
      </c>
      <c r="S239" s="23">
        <f>=IF($A239="","",INDEX(tblTasks[Decision_Emmanuel],ROW()-6))</f>
      </c>
      <c r="T239" s="24">
        <f>=IF($A239="","",INDEX(tblTasks[Commentaire_EKT],ROW()-6))</f>
      </c>
      <c r="U239" s="23">
        <f>=IF($A239="","",INDEX(tblTasks[Goulot],ROW()-6))</f>
      </c>
      <c r="V239" s="23">
        <f>=IF($A239="","",INDEX(tblTasks[Point_de_bascule],ROW()-6))</f>
      </c>
      <c r="W239" s="37">
        <f>IF($A239="","",IF(AND(OR(param_filtre_statut="tous",LOWER($F239)=LOWER(param_filtre_statut)),OR(param_filtre_agent="tous",LOWER($D239)=LOWER(param_filtre_agent),LOWER($E239)=LOWER(param_filtre_agent)),OR(param_filtre_criticite="toutes",LOWER($Q239)=LOWER(param_filtre_criticite))),"oui","non"))</f>
      </c>
      <c r="X239" s="37">
        <f>IF($A239="","",IF(OR(LOWER($F239)="bloqué",LOWER($L239)="oui"),"oui","non"))</f>
      </c>
      <c r="Y239" s="37">
        <f>IF($A239="","",IF(OR(LOWER($Q239)="critique",LOWER($U239)="oui",LOWER($V239)="oui"),"oui","non"))</f>
      </c>
      <c r="Z239" s="37">
        <f>IF($A239="","",IF(AND($S239&lt;&gt;"",LOWER($S239)&lt;&gt;"tranchée",LOWER($S239)&lt;&gt;"sans objet",LOWER($S239)&lt;&gt;"clos"),"oui","non"))</f>
      </c>
      <c r="AA239" s="37">
        <f>IF($A239="","",IF($P239&lt;&gt;"","oui","non"))</f>
      </c>
      <c r="AB239" s="37">
        <f>IF($A239="","",IF(OR(LOWER($F239)="non réouvrable",LOWER($R239)="forte"),"oui","non"))</f>
      </c>
    </row>
    <row r="240" spans="1:28" x14ac:dyDescent="0.25">
      <c r="A240" s="23">
        <f>IFERROR(INDEX(tblTasks[ID],ROW()-6),"")</f>
      </c>
      <c r="B240" s="24">
        <f>=IF($A240="","",INDEX(tblTasks[Sujet],ROW()-6))</f>
      </c>
      <c r="C240" s="23">
        <f>=IF($A240="","",INDEX(tblTasks[Lot_Domaine],ROW()-6))</f>
      </c>
      <c r="D240" s="23">
        <f>=IF($A240="","",INDEX(tblTasks[Agent_source],ROW()-6))</f>
      </c>
      <c r="E240" s="23">
        <f>=IF($A240="","",INDEX(tblTasks[Responsable],ROW()-6))</f>
      </c>
      <c r="F240" s="23">
        <f>=IF($A240="","",INDEX(tblTasks[Statut],ROW()-6))</f>
      </c>
      <c r="G240" s="25">
        <f>=IF($A240="","",INDEX(tblTasks[Date_debut_prevue],ROW()-6))</f>
      </c>
      <c r="H240" s="25">
        <f>=IF($A240="","",INDEX(tblTasks[Date_fin_prevue],ROW()-6))</f>
      </c>
      <c r="I240" s="36">
        <f>=IF($A240="","",INDEX(tblTasks[Duree_jours],ROW()-6))</f>
      </c>
      <c r="J240" s="25">
        <f>=IF($A240="","",INDEX(tblTasks[Date_debut_reelle],ROW()-6))</f>
      </c>
      <c r="K240" s="25">
        <f>=IF($A240="","",INDEX(tblTasks[Date_fin_reelle],ROW()-6))</f>
      </c>
      <c r="L240" s="23">
        <f>=IF($A240="","",INDEX(tblTasks[Blocage],ROW()-6))</f>
      </c>
      <c r="M240" s="23">
        <f>=IF($A240="","",INDEX(tblTasks[Depend_de],ROW()-6))</f>
      </c>
      <c r="N240" s="23">
        <f>=IF($A240="","",INDEX(tblTasks[Non_negociable],ROW()-6))</f>
      </c>
      <c r="O240" s="23">
        <f>=IF($A240="","",INDEX(tblTasks[Seuil_de_reprise],ROW()-6))</f>
      </c>
      <c r="P240" s="23">
        <f>=IF($A240="","",INDEX(tblTasks[Donnee_manquante],ROW()-6))</f>
      </c>
      <c r="Q240" s="23">
        <f>=IF($A240="","",INDEX(tblTasks[Niveau_criticite],ROW()-6))</f>
      </c>
      <c r="R240" s="23">
        <f>=IF($A240="","",INDEX(tblTasks[Irreversibilite],ROW()-6))</f>
      </c>
      <c r="S240" s="23">
        <f>=IF($A240="","",INDEX(tblTasks[Decision_Emmanuel],ROW()-6))</f>
      </c>
      <c r="T240" s="24">
        <f>=IF($A240="","",INDEX(tblTasks[Commentaire_EKT],ROW()-6))</f>
      </c>
      <c r="U240" s="23">
        <f>=IF($A240="","",INDEX(tblTasks[Goulot],ROW()-6))</f>
      </c>
      <c r="V240" s="23">
        <f>=IF($A240="","",INDEX(tblTasks[Point_de_bascule],ROW()-6))</f>
      </c>
      <c r="W240" s="37">
        <f>IF($A240="","",IF(AND(OR(param_filtre_statut="tous",LOWER($F240)=LOWER(param_filtre_statut)),OR(param_filtre_agent="tous",LOWER($D240)=LOWER(param_filtre_agent),LOWER($E240)=LOWER(param_filtre_agent)),OR(param_filtre_criticite="toutes",LOWER($Q240)=LOWER(param_filtre_criticite))),"oui","non"))</f>
      </c>
      <c r="X240" s="37">
        <f>IF($A240="","",IF(OR(LOWER($F240)="bloqué",LOWER($L240)="oui"),"oui","non"))</f>
      </c>
      <c r="Y240" s="37">
        <f>IF($A240="","",IF(OR(LOWER($Q240)="critique",LOWER($U240)="oui",LOWER($V240)="oui"),"oui","non"))</f>
      </c>
      <c r="Z240" s="37">
        <f>IF($A240="","",IF(AND($S240&lt;&gt;"",LOWER($S240)&lt;&gt;"tranchée",LOWER($S240)&lt;&gt;"sans objet",LOWER($S240)&lt;&gt;"clos"),"oui","non"))</f>
      </c>
      <c r="AA240" s="37">
        <f>IF($A240="","",IF($P240&lt;&gt;"","oui","non"))</f>
      </c>
      <c r="AB240" s="37">
        <f>IF($A240="","",IF(OR(LOWER($F240)="non réouvrable",LOWER($R240)="forte"),"oui","non"))</f>
      </c>
    </row>
    <row r="241" spans="1:28" x14ac:dyDescent="0.25">
      <c r="A241" s="23">
        <f>IFERROR(INDEX(tblTasks[ID],ROW()-6),"")</f>
      </c>
      <c r="B241" s="24">
        <f>=IF($A241="","",INDEX(tblTasks[Sujet],ROW()-6))</f>
      </c>
      <c r="C241" s="23">
        <f>=IF($A241="","",INDEX(tblTasks[Lot_Domaine],ROW()-6))</f>
      </c>
      <c r="D241" s="23">
        <f>=IF($A241="","",INDEX(tblTasks[Agent_source],ROW()-6))</f>
      </c>
      <c r="E241" s="23">
        <f>=IF($A241="","",INDEX(tblTasks[Responsable],ROW()-6))</f>
      </c>
      <c r="F241" s="23">
        <f>=IF($A241="","",INDEX(tblTasks[Statut],ROW()-6))</f>
      </c>
      <c r="G241" s="25">
        <f>=IF($A241="","",INDEX(tblTasks[Date_debut_prevue],ROW()-6))</f>
      </c>
      <c r="H241" s="25">
        <f>=IF($A241="","",INDEX(tblTasks[Date_fin_prevue],ROW()-6))</f>
      </c>
      <c r="I241" s="36">
        <f>=IF($A241="","",INDEX(tblTasks[Duree_jours],ROW()-6))</f>
      </c>
      <c r="J241" s="25">
        <f>=IF($A241="","",INDEX(tblTasks[Date_debut_reelle],ROW()-6))</f>
      </c>
      <c r="K241" s="25">
        <f>=IF($A241="","",INDEX(tblTasks[Date_fin_reelle],ROW()-6))</f>
      </c>
      <c r="L241" s="23">
        <f>=IF($A241="","",INDEX(tblTasks[Blocage],ROW()-6))</f>
      </c>
      <c r="M241" s="23">
        <f>=IF($A241="","",INDEX(tblTasks[Depend_de],ROW()-6))</f>
      </c>
      <c r="N241" s="23">
        <f>=IF($A241="","",INDEX(tblTasks[Non_negociable],ROW()-6))</f>
      </c>
      <c r="O241" s="23">
        <f>=IF($A241="","",INDEX(tblTasks[Seuil_de_reprise],ROW()-6))</f>
      </c>
      <c r="P241" s="23">
        <f>=IF($A241="","",INDEX(tblTasks[Donnee_manquante],ROW()-6))</f>
      </c>
      <c r="Q241" s="23">
        <f>=IF($A241="","",INDEX(tblTasks[Niveau_criticite],ROW()-6))</f>
      </c>
      <c r="R241" s="23">
        <f>=IF($A241="","",INDEX(tblTasks[Irreversibilite],ROW()-6))</f>
      </c>
      <c r="S241" s="23">
        <f>=IF($A241="","",INDEX(tblTasks[Decision_Emmanuel],ROW()-6))</f>
      </c>
      <c r="T241" s="24">
        <f>=IF($A241="","",INDEX(tblTasks[Commentaire_EKT],ROW()-6))</f>
      </c>
      <c r="U241" s="23">
        <f>=IF($A241="","",INDEX(tblTasks[Goulot],ROW()-6))</f>
      </c>
      <c r="V241" s="23">
        <f>=IF($A241="","",INDEX(tblTasks[Point_de_bascule],ROW()-6))</f>
      </c>
      <c r="W241" s="37">
        <f>IF($A241="","",IF(AND(OR(param_filtre_statut="tous",LOWER($F241)=LOWER(param_filtre_statut)),OR(param_filtre_agent="tous",LOWER($D241)=LOWER(param_filtre_agent),LOWER($E241)=LOWER(param_filtre_agent)),OR(param_filtre_criticite="toutes",LOWER($Q241)=LOWER(param_filtre_criticite))),"oui","non"))</f>
      </c>
      <c r="X241" s="37">
        <f>IF($A241="","",IF(OR(LOWER($F241)="bloqué",LOWER($L241)="oui"),"oui","non"))</f>
      </c>
      <c r="Y241" s="37">
        <f>IF($A241="","",IF(OR(LOWER($Q241)="critique",LOWER($U241)="oui",LOWER($V241)="oui"),"oui","non"))</f>
      </c>
      <c r="Z241" s="37">
        <f>IF($A241="","",IF(AND($S241&lt;&gt;"",LOWER($S241)&lt;&gt;"tranchée",LOWER($S241)&lt;&gt;"sans objet",LOWER($S241)&lt;&gt;"clos"),"oui","non"))</f>
      </c>
      <c r="AA241" s="37">
        <f>IF($A241="","",IF($P241&lt;&gt;"","oui","non"))</f>
      </c>
      <c r="AB241" s="37">
        <f>IF($A241="","",IF(OR(LOWER($F241)="non réouvrable",LOWER($R241)="forte"),"oui","non"))</f>
      </c>
    </row>
    <row r="242" spans="1:28" x14ac:dyDescent="0.25">
      <c r="A242" s="23">
        <f>IFERROR(INDEX(tblTasks[ID],ROW()-6),"")</f>
      </c>
      <c r="B242" s="24">
        <f>=IF($A242="","",INDEX(tblTasks[Sujet],ROW()-6))</f>
      </c>
      <c r="C242" s="23">
        <f>=IF($A242="","",INDEX(tblTasks[Lot_Domaine],ROW()-6))</f>
      </c>
      <c r="D242" s="23">
        <f>=IF($A242="","",INDEX(tblTasks[Agent_source],ROW()-6))</f>
      </c>
      <c r="E242" s="23">
        <f>=IF($A242="","",INDEX(tblTasks[Responsable],ROW()-6))</f>
      </c>
      <c r="F242" s="23">
        <f>=IF($A242="","",INDEX(tblTasks[Statut],ROW()-6))</f>
      </c>
      <c r="G242" s="25">
        <f>=IF($A242="","",INDEX(tblTasks[Date_debut_prevue],ROW()-6))</f>
      </c>
      <c r="H242" s="25">
        <f>=IF($A242="","",INDEX(tblTasks[Date_fin_prevue],ROW()-6))</f>
      </c>
      <c r="I242" s="36">
        <f>=IF($A242="","",INDEX(tblTasks[Duree_jours],ROW()-6))</f>
      </c>
      <c r="J242" s="25">
        <f>=IF($A242="","",INDEX(tblTasks[Date_debut_reelle],ROW()-6))</f>
      </c>
      <c r="K242" s="25">
        <f>=IF($A242="","",INDEX(tblTasks[Date_fin_reelle],ROW()-6))</f>
      </c>
      <c r="L242" s="23">
        <f>=IF($A242="","",INDEX(tblTasks[Blocage],ROW()-6))</f>
      </c>
      <c r="M242" s="23">
        <f>=IF($A242="","",INDEX(tblTasks[Depend_de],ROW()-6))</f>
      </c>
      <c r="N242" s="23">
        <f>=IF($A242="","",INDEX(tblTasks[Non_negociable],ROW()-6))</f>
      </c>
      <c r="O242" s="23">
        <f>=IF($A242="","",INDEX(tblTasks[Seuil_de_reprise],ROW()-6))</f>
      </c>
      <c r="P242" s="23">
        <f>=IF($A242="","",INDEX(tblTasks[Donnee_manquante],ROW()-6))</f>
      </c>
      <c r="Q242" s="23">
        <f>=IF($A242="","",INDEX(tblTasks[Niveau_criticite],ROW()-6))</f>
      </c>
      <c r="R242" s="23">
        <f>=IF($A242="","",INDEX(tblTasks[Irreversibilite],ROW()-6))</f>
      </c>
      <c r="S242" s="23">
        <f>=IF($A242="","",INDEX(tblTasks[Decision_Emmanuel],ROW()-6))</f>
      </c>
      <c r="T242" s="24">
        <f>=IF($A242="","",INDEX(tblTasks[Commentaire_EKT],ROW()-6))</f>
      </c>
      <c r="U242" s="23">
        <f>=IF($A242="","",INDEX(tblTasks[Goulot],ROW()-6))</f>
      </c>
      <c r="V242" s="23">
        <f>=IF($A242="","",INDEX(tblTasks[Point_de_bascule],ROW()-6))</f>
      </c>
      <c r="W242" s="37">
        <f>IF($A242="","",IF(AND(OR(param_filtre_statut="tous",LOWER($F242)=LOWER(param_filtre_statut)),OR(param_filtre_agent="tous",LOWER($D242)=LOWER(param_filtre_agent),LOWER($E242)=LOWER(param_filtre_agent)),OR(param_filtre_criticite="toutes",LOWER($Q242)=LOWER(param_filtre_criticite))),"oui","non"))</f>
      </c>
      <c r="X242" s="37">
        <f>IF($A242="","",IF(OR(LOWER($F242)="bloqué",LOWER($L242)="oui"),"oui","non"))</f>
      </c>
      <c r="Y242" s="37">
        <f>IF($A242="","",IF(OR(LOWER($Q242)="critique",LOWER($U242)="oui",LOWER($V242)="oui"),"oui","non"))</f>
      </c>
      <c r="Z242" s="37">
        <f>IF($A242="","",IF(AND($S242&lt;&gt;"",LOWER($S242)&lt;&gt;"tranchée",LOWER($S242)&lt;&gt;"sans objet",LOWER($S242)&lt;&gt;"clos"),"oui","non"))</f>
      </c>
      <c r="AA242" s="37">
        <f>IF($A242="","",IF($P242&lt;&gt;"","oui","non"))</f>
      </c>
      <c r="AB242" s="37">
        <f>IF($A242="","",IF(OR(LOWER($F242)="non réouvrable",LOWER($R242)="forte"),"oui","non"))</f>
      </c>
    </row>
    <row r="243" spans="1:28" x14ac:dyDescent="0.25">
      <c r="A243" s="23">
        <f>IFERROR(INDEX(tblTasks[ID],ROW()-6),"")</f>
      </c>
      <c r="B243" s="24">
        <f>=IF($A243="","",INDEX(tblTasks[Sujet],ROW()-6))</f>
      </c>
      <c r="C243" s="23">
        <f>=IF($A243="","",INDEX(tblTasks[Lot_Domaine],ROW()-6))</f>
      </c>
      <c r="D243" s="23">
        <f>=IF($A243="","",INDEX(tblTasks[Agent_source],ROW()-6))</f>
      </c>
      <c r="E243" s="23">
        <f>=IF($A243="","",INDEX(tblTasks[Responsable],ROW()-6))</f>
      </c>
      <c r="F243" s="23">
        <f>=IF($A243="","",INDEX(tblTasks[Statut],ROW()-6))</f>
      </c>
      <c r="G243" s="25">
        <f>=IF($A243="","",INDEX(tblTasks[Date_debut_prevue],ROW()-6))</f>
      </c>
      <c r="H243" s="25">
        <f>=IF($A243="","",INDEX(tblTasks[Date_fin_prevue],ROW()-6))</f>
      </c>
      <c r="I243" s="36">
        <f>=IF($A243="","",INDEX(tblTasks[Duree_jours],ROW()-6))</f>
      </c>
      <c r="J243" s="25">
        <f>=IF($A243="","",INDEX(tblTasks[Date_debut_reelle],ROW()-6))</f>
      </c>
      <c r="K243" s="25">
        <f>=IF($A243="","",INDEX(tblTasks[Date_fin_reelle],ROW()-6))</f>
      </c>
      <c r="L243" s="23">
        <f>=IF($A243="","",INDEX(tblTasks[Blocage],ROW()-6))</f>
      </c>
      <c r="M243" s="23">
        <f>=IF($A243="","",INDEX(tblTasks[Depend_de],ROW()-6))</f>
      </c>
      <c r="N243" s="23">
        <f>=IF($A243="","",INDEX(tblTasks[Non_negociable],ROW()-6))</f>
      </c>
      <c r="O243" s="23">
        <f>=IF($A243="","",INDEX(tblTasks[Seuil_de_reprise],ROW()-6))</f>
      </c>
      <c r="P243" s="23">
        <f>=IF($A243="","",INDEX(tblTasks[Donnee_manquante],ROW()-6))</f>
      </c>
      <c r="Q243" s="23">
        <f>=IF($A243="","",INDEX(tblTasks[Niveau_criticite],ROW()-6))</f>
      </c>
      <c r="R243" s="23">
        <f>=IF($A243="","",INDEX(tblTasks[Irreversibilite],ROW()-6))</f>
      </c>
      <c r="S243" s="23">
        <f>=IF($A243="","",INDEX(tblTasks[Decision_Emmanuel],ROW()-6))</f>
      </c>
      <c r="T243" s="24">
        <f>=IF($A243="","",INDEX(tblTasks[Commentaire_EKT],ROW()-6))</f>
      </c>
      <c r="U243" s="23">
        <f>=IF($A243="","",INDEX(tblTasks[Goulot],ROW()-6))</f>
      </c>
      <c r="V243" s="23">
        <f>=IF($A243="","",INDEX(tblTasks[Point_de_bascule],ROW()-6))</f>
      </c>
      <c r="W243" s="37">
        <f>IF($A243="","",IF(AND(OR(param_filtre_statut="tous",LOWER($F243)=LOWER(param_filtre_statut)),OR(param_filtre_agent="tous",LOWER($D243)=LOWER(param_filtre_agent),LOWER($E243)=LOWER(param_filtre_agent)),OR(param_filtre_criticite="toutes",LOWER($Q243)=LOWER(param_filtre_criticite))),"oui","non"))</f>
      </c>
      <c r="X243" s="37">
        <f>IF($A243="","",IF(OR(LOWER($F243)="bloqué",LOWER($L243)="oui"),"oui","non"))</f>
      </c>
      <c r="Y243" s="37">
        <f>IF($A243="","",IF(OR(LOWER($Q243)="critique",LOWER($U243)="oui",LOWER($V243)="oui"),"oui","non"))</f>
      </c>
      <c r="Z243" s="37">
        <f>IF($A243="","",IF(AND($S243&lt;&gt;"",LOWER($S243)&lt;&gt;"tranchée",LOWER($S243)&lt;&gt;"sans objet",LOWER($S243)&lt;&gt;"clos"),"oui","non"))</f>
      </c>
      <c r="AA243" s="37">
        <f>IF($A243="","",IF($P243&lt;&gt;"","oui","non"))</f>
      </c>
      <c r="AB243" s="37">
        <f>IF($A243="","",IF(OR(LOWER($F243)="non réouvrable",LOWER($R243)="forte"),"oui","non"))</f>
      </c>
    </row>
    <row r="244" spans="1:28" x14ac:dyDescent="0.25">
      <c r="A244" s="23">
        <f>IFERROR(INDEX(tblTasks[ID],ROW()-6),"")</f>
      </c>
      <c r="B244" s="24">
        <f>=IF($A244="","",INDEX(tblTasks[Sujet],ROW()-6))</f>
      </c>
      <c r="C244" s="23">
        <f>=IF($A244="","",INDEX(tblTasks[Lot_Domaine],ROW()-6))</f>
      </c>
      <c r="D244" s="23">
        <f>=IF($A244="","",INDEX(tblTasks[Agent_source],ROW()-6))</f>
      </c>
      <c r="E244" s="23">
        <f>=IF($A244="","",INDEX(tblTasks[Responsable],ROW()-6))</f>
      </c>
      <c r="F244" s="23">
        <f>=IF($A244="","",INDEX(tblTasks[Statut],ROW()-6))</f>
      </c>
      <c r="G244" s="25">
        <f>=IF($A244="","",INDEX(tblTasks[Date_debut_prevue],ROW()-6))</f>
      </c>
      <c r="H244" s="25">
        <f>=IF($A244="","",INDEX(tblTasks[Date_fin_prevue],ROW()-6))</f>
      </c>
      <c r="I244" s="36">
        <f>=IF($A244="","",INDEX(tblTasks[Duree_jours],ROW()-6))</f>
      </c>
      <c r="J244" s="25">
        <f>=IF($A244="","",INDEX(tblTasks[Date_debut_reelle],ROW()-6))</f>
      </c>
      <c r="K244" s="25">
        <f>=IF($A244="","",INDEX(tblTasks[Date_fin_reelle],ROW()-6))</f>
      </c>
      <c r="L244" s="23">
        <f>=IF($A244="","",INDEX(tblTasks[Blocage],ROW()-6))</f>
      </c>
      <c r="M244" s="23">
        <f>=IF($A244="","",INDEX(tblTasks[Depend_de],ROW()-6))</f>
      </c>
      <c r="N244" s="23">
        <f>=IF($A244="","",INDEX(tblTasks[Non_negociable],ROW()-6))</f>
      </c>
      <c r="O244" s="23">
        <f>=IF($A244="","",INDEX(tblTasks[Seuil_de_reprise],ROW()-6))</f>
      </c>
      <c r="P244" s="23">
        <f>=IF($A244="","",INDEX(tblTasks[Donnee_manquante],ROW()-6))</f>
      </c>
      <c r="Q244" s="23">
        <f>=IF($A244="","",INDEX(tblTasks[Niveau_criticite],ROW()-6))</f>
      </c>
      <c r="R244" s="23">
        <f>=IF($A244="","",INDEX(tblTasks[Irreversibilite],ROW()-6))</f>
      </c>
      <c r="S244" s="23">
        <f>=IF($A244="","",INDEX(tblTasks[Decision_Emmanuel],ROW()-6))</f>
      </c>
      <c r="T244" s="24">
        <f>=IF($A244="","",INDEX(tblTasks[Commentaire_EKT],ROW()-6))</f>
      </c>
      <c r="U244" s="23">
        <f>=IF($A244="","",INDEX(tblTasks[Goulot],ROW()-6))</f>
      </c>
      <c r="V244" s="23">
        <f>=IF($A244="","",INDEX(tblTasks[Point_de_bascule],ROW()-6))</f>
      </c>
      <c r="W244" s="37">
        <f>IF($A244="","",IF(AND(OR(param_filtre_statut="tous",LOWER($F244)=LOWER(param_filtre_statut)),OR(param_filtre_agent="tous",LOWER($D244)=LOWER(param_filtre_agent),LOWER($E244)=LOWER(param_filtre_agent)),OR(param_filtre_criticite="toutes",LOWER($Q244)=LOWER(param_filtre_criticite))),"oui","non"))</f>
      </c>
      <c r="X244" s="37">
        <f>IF($A244="","",IF(OR(LOWER($F244)="bloqué",LOWER($L244)="oui"),"oui","non"))</f>
      </c>
      <c r="Y244" s="37">
        <f>IF($A244="","",IF(OR(LOWER($Q244)="critique",LOWER($U244)="oui",LOWER($V244)="oui"),"oui","non"))</f>
      </c>
      <c r="Z244" s="37">
        <f>IF($A244="","",IF(AND($S244&lt;&gt;"",LOWER($S244)&lt;&gt;"tranchée",LOWER($S244)&lt;&gt;"sans objet",LOWER($S244)&lt;&gt;"clos"),"oui","non"))</f>
      </c>
      <c r="AA244" s="37">
        <f>IF($A244="","",IF($P244&lt;&gt;"","oui","non"))</f>
      </c>
      <c r="AB244" s="37">
        <f>IF($A244="","",IF(OR(LOWER($F244)="non réouvrable",LOWER($R244)="forte"),"oui","non"))</f>
      </c>
    </row>
    <row r="245" spans="1:28" x14ac:dyDescent="0.25">
      <c r="A245" s="23">
        <f>IFERROR(INDEX(tblTasks[ID],ROW()-6),"")</f>
      </c>
      <c r="B245" s="24">
        <f>=IF($A245="","",INDEX(tblTasks[Sujet],ROW()-6))</f>
      </c>
      <c r="C245" s="23">
        <f>=IF($A245="","",INDEX(tblTasks[Lot_Domaine],ROW()-6))</f>
      </c>
      <c r="D245" s="23">
        <f>=IF($A245="","",INDEX(tblTasks[Agent_source],ROW()-6))</f>
      </c>
      <c r="E245" s="23">
        <f>=IF($A245="","",INDEX(tblTasks[Responsable],ROW()-6))</f>
      </c>
      <c r="F245" s="23">
        <f>=IF($A245="","",INDEX(tblTasks[Statut],ROW()-6))</f>
      </c>
      <c r="G245" s="25">
        <f>=IF($A245="","",INDEX(tblTasks[Date_debut_prevue],ROW()-6))</f>
      </c>
      <c r="H245" s="25">
        <f>=IF($A245="","",INDEX(tblTasks[Date_fin_prevue],ROW()-6))</f>
      </c>
      <c r="I245" s="36">
        <f>=IF($A245="","",INDEX(tblTasks[Duree_jours],ROW()-6))</f>
      </c>
      <c r="J245" s="25">
        <f>=IF($A245="","",INDEX(tblTasks[Date_debut_reelle],ROW()-6))</f>
      </c>
      <c r="K245" s="25">
        <f>=IF($A245="","",INDEX(tblTasks[Date_fin_reelle],ROW()-6))</f>
      </c>
      <c r="L245" s="23">
        <f>=IF($A245="","",INDEX(tblTasks[Blocage],ROW()-6))</f>
      </c>
      <c r="M245" s="23">
        <f>=IF($A245="","",INDEX(tblTasks[Depend_de],ROW()-6))</f>
      </c>
      <c r="N245" s="23">
        <f>=IF($A245="","",INDEX(tblTasks[Non_negociable],ROW()-6))</f>
      </c>
      <c r="O245" s="23">
        <f>=IF($A245="","",INDEX(tblTasks[Seuil_de_reprise],ROW()-6))</f>
      </c>
      <c r="P245" s="23">
        <f>=IF($A245="","",INDEX(tblTasks[Donnee_manquante],ROW()-6))</f>
      </c>
      <c r="Q245" s="23">
        <f>=IF($A245="","",INDEX(tblTasks[Niveau_criticite],ROW()-6))</f>
      </c>
      <c r="R245" s="23">
        <f>=IF($A245="","",INDEX(tblTasks[Irreversibilite],ROW()-6))</f>
      </c>
      <c r="S245" s="23">
        <f>=IF($A245="","",INDEX(tblTasks[Decision_Emmanuel],ROW()-6))</f>
      </c>
      <c r="T245" s="24">
        <f>=IF($A245="","",INDEX(tblTasks[Commentaire_EKT],ROW()-6))</f>
      </c>
      <c r="U245" s="23">
        <f>=IF($A245="","",INDEX(tblTasks[Goulot],ROW()-6))</f>
      </c>
      <c r="V245" s="23">
        <f>=IF($A245="","",INDEX(tblTasks[Point_de_bascule],ROW()-6))</f>
      </c>
      <c r="W245" s="37">
        <f>IF($A245="","",IF(AND(OR(param_filtre_statut="tous",LOWER($F245)=LOWER(param_filtre_statut)),OR(param_filtre_agent="tous",LOWER($D245)=LOWER(param_filtre_agent),LOWER($E245)=LOWER(param_filtre_agent)),OR(param_filtre_criticite="toutes",LOWER($Q245)=LOWER(param_filtre_criticite))),"oui","non"))</f>
      </c>
      <c r="X245" s="37">
        <f>IF($A245="","",IF(OR(LOWER($F245)="bloqué",LOWER($L245)="oui"),"oui","non"))</f>
      </c>
      <c r="Y245" s="37">
        <f>IF($A245="","",IF(OR(LOWER($Q245)="critique",LOWER($U245)="oui",LOWER($V245)="oui"),"oui","non"))</f>
      </c>
      <c r="Z245" s="37">
        <f>IF($A245="","",IF(AND($S245&lt;&gt;"",LOWER($S245)&lt;&gt;"tranchée",LOWER($S245)&lt;&gt;"sans objet",LOWER($S245)&lt;&gt;"clos"),"oui","non"))</f>
      </c>
      <c r="AA245" s="37">
        <f>IF($A245="","",IF($P245&lt;&gt;"","oui","non"))</f>
      </c>
      <c r="AB245" s="37">
        <f>IF($A245="","",IF(OR(LOWER($F245)="non réouvrable",LOWER($R245)="forte"),"oui","non"))</f>
      </c>
    </row>
    <row r="246" spans="1:28" x14ac:dyDescent="0.25">
      <c r="A246" s="23">
        <f>IFERROR(INDEX(tblTasks[ID],ROW()-6),"")</f>
      </c>
      <c r="B246" s="24">
        <f>=IF($A246="","",INDEX(tblTasks[Sujet],ROW()-6))</f>
      </c>
      <c r="C246" s="23">
        <f>=IF($A246="","",INDEX(tblTasks[Lot_Domaine],ROW()-6))</f>
      </c>
      <c r="D246" s="23">
        <f>=IF($A246="","",INDEX(tblTasks[Agent_source],ROW()-6))</f>
      </c>
      <c r="E246" s="23">
        <f>=IF($A246="","",INDEX(tblTasks[Responsable],ROW()-6))</f>
      </c>
      <c r="F246" s="23">
        <f>=IF($A246="","",INDEX(tblTasks[Statut],ROW()-6))</f>
      </c>
      <c r="G246" s="25">
        <f>=IF($A246="","",INDEX(tblTasks[Date_debut_prevue],ROW()-6))</f>
      </c>
      <c r="H246" s="25">
        <f>=IF($A246="","",INDEX(tblTasks[Date_fin_prevue],ROW()-6))</f>
      </c>
      <c r="I246" s="36">
        <f>=IF($A246="","",INDEX(tblTasks[Duree_jours],ROW()-6))</f>
      </c>
      <c r="J246" s="25">
        <f>=IF($A246="","",INDEX(tblTasks[Date_debut_reelle],ROW()-6))</f>
      </c>
      <c r="K246" s="25">
        <f>=IF($A246="","",INDEX(tblTasks[Date_fin_reelle],ROW()-6))</f>
      </c>
      <c r="L246" s="23">
        <f>=IF($A246="","",INDEX(tblTasks[Blocage],ROW()-6))</f>
      </c>
      <c r="M246" s="23">
        <f>=IF($A246="","",INDEX(tblTasks[Depend_de],ROW()-6))</f>
      </c>
      <c r="N246" s="23">
        <f>=IF($A246="","",INDEX(tblTasks[Non_negociable],ROW()-6))</f>
      </c>
      <c r="O246" s="23">
        <f>=IF($A246="","",INDEX(tblTasks[Seuil_de_reprise],ROW()-6))</f>
      </c>
      <c r="P246" s="23">
        <f>=IF($A246="","",INDEX(tblTasks[Donnee_manquante],ROW()-6))</f>
      </c>
      <c r="Q246" s="23">
        <f>=IF($A246="","",INDEX(tblTasks[Niveau_criticite],ROW()-6))</f>
      </c>
      <c r="R246" s="23">
        <f>=IF($A246="","",INDEX(tblTasks[Irreversibilite],ROW()-6))</f>
      </c>
      <c r="S246" s="23">
        <f>=IF($A246="","",INDEX(tblTasks[Decision_Emmanuel],ROW()-6))</f>
      </c>
      <c r="T246" s="24">
        <f>=IF($A246="","",INDEX(tblTasks[Commentaire_EKT],ROW()-6))</f>
      </c>
      <c r="U246" s="23">
        <f>=IF($A246="","",INDEX(tblTasks[Goulot],ROW()-6))</f>
      </c>
      <c r="V246" s="23">
        <f>=IF($A246="","",INDEX(tblTasks[Point_de_bascule],ROW()-6))</f>
      </c>
      <c r="W246" s="37">
        <f>IF($A246="","",IF(AND(OR(param_filtre_statut="tous",LOWER($F246)=LOWER(param_filtre_statut)),OR(param_filtre_agent="tous",LOWER($D246)=LOWER(param_filtre_agent),LOWER($E246)=LOWER(param_filtre_agent)),OR(param_filtre_criticite="toutes",LOWER($Q246)=LOWER(param_filtre_criticite))),"oui","non"))</f>
      </c>
      <c r="X246" s="37">
        <f>IF($A246="","",IF(OR(LOWER($F246)="bloqué",LOWER($L246)="oui"),"oui","non"))</f>
      </c>
      <c r="Y246" s="37">
        <f>IF($A246="","",IF(OR(LOWER($Q246)="critique",LOWER($U246)="oui",LOWER($V246)="oui"),"oui","non"))</f>
      </c>
      <c r="Z246" s="37">
        <f>IF($A246="","",IF(AND($S246&lt;&gt;"",LOWER($S246)&lt;&gt;"tranchée",LOWER($S246)&lt;&gt;"sans objet",LOWER($S246)&lt;&gt;"clos"),"oui","non"))</f>
      </c>
      <c r="AA246" s="37">
        <f>IF($A246="","",IF($P246&lt;&gt;"","oui","non"))</f>
      </c>
      <c r="AB246" s="37">
        <f>IF($A246="","",IF(OR(LOWER($F246)="non réouvrable",LOWER($R246)="forte"),"oui","non"))</f>
      </c>
    </row>
    <row r="247" spans="1:28" x14ac:dyDescent="0.25">
      <c r="A247" s="23">
        <f>IFERROR(INDEX(tblTasks[ID],ROW()-6),"")</f>
      </c>
      <c r="B247" s="24">
        <f>=IF($A247="","",INDEX(tblTasks[Sujet],ROW()-6))</f>
      </c>
      <c r="C247" s="23">
        <f>=IF($A247="","",INDEX(tblTasks[Lot_Domaine],ROW()-6))</f>
      </c>
      <c r="D247" s="23">
        <f>=IF($A247="","",INDEX(tblTasks[Agent_source],ROW()-6))</f>
      </c>
      <c r="E247" s="23">
        <f>=IF($A247="","",INDEX(tblTasks[Responsable],ROW()-6))</f>
      </c>
      <c r="F247" s="23">
        <f>=IF($A247="","",INDEX(tblTasks[Statut],ROW()-6))</f>
      </c>
      <c r="G247" s="25">
        <f>=IF($A247="","",INDEX(tblTasks[Date_debut_prevue],ROW()-6))</f>
      </c>
      <c r="H247" s="25">
        <f>=IF($A247="","",INDEX(tblTasks[Date_fin_prevue],ROW()-6))</f>
      </c>
      <c r="I247" s="36">
        <f>=IF($A247="","",INDEX(tblTasks[Duree_jours],ROW()-6))</f>
      </c>
      <c r="J247" s="25">
        <f>=IF($A247="","",INDEX(tblTasks[Date_debut_reelle],ROW()-6))</f>
      </c>
      <c r="K247" s="25">
        <f>=IF($A247="","",INDEX(tblTasks[Date_fin_reelle],ROW()-6))</f>
      </c>
      <c r="L247" s="23">
        <f>=IF($A247="","",INDEX(tblTasks[Blocage],ROW()-6))</f>
      </c>
      <c r="M247" s="23">
        <f>=IF($A247="","",INDEX(tblTasks[Depend_de],ROW()-6))</f>
      </c>
      <c r="N247" s="23">
        <f>=IF($A247="","",INDEX(tblTasks[Non_negociable],ROW()-6))</f>
      </c>
      <c r="O247" s="23">
        <f>=IF($A247="","",INDEX(tblTasks[Seuil_de_reprise],ROW()-6))</f>
      </c>
      <c r="P247" s="23">
        <f>=IF($A247="","",INDEX(tblTasks[Donnee_manquante],ROW()-6))</f>
      </c>
      <c r="Q247" s="23">
        <f>=IF($A247="","",INDEX(tblTasks[Niveau_criticite],ROW()-6))</f>
      </c>
      <c r="R247" s="23">
        <f>=IF($A247="","",INDEX(tblTasks[Irreversibilite],ROW()-6))</f>
      </c>
      <c r="S247" s="23">
        <f>=IF($A247="","",INDEX(tblTasks[Decision_Emmanuel],ROW()-6))</f>
      </c>
      <c r="T247" s="24">
        <f>=IF($A247="","",INDEX(tblTasks[Commentaire_EKT],ROW()-6))</f>
      </c>
      <c r="U247" s="23">
        <f>=IF($A247="","",INDEX(tblTasks[Goulot],ROW()-6))</f>
      </c>
      <c r="V247" s="23">
        <f>=IF($A247="","",INDEX(tblTasks[Point_de_bascule],ROW()-6))</f>
      </c>
      <c r="W247" s="37">
        <f>IF($A247="","",IF(AND(OR(param_filtre_statut="tous",LOWER($F247)=LOWER(param_filtre_statut)),OR(param_filtre_agent="tous",LOWER($D247)=LOWER(param_filtre_agent),LOWER($E247)=LOWER(param_filtre_agent)),OR(param_filtre_criticite="toutes",LOWER($Q247)=LOWER(param_filtre_criticite))),"oui","non"))</f>
      </c>
      <c r="X247" s="37">
        <f>IF($A247="","",IF(OR(LOWER($F247)="bloqué",LOWER($L247)="oui"),"oui","non"))</f>
      </c>
      <c r="Y247" s="37">
        <f>IF($A247="","",IF(OR(LOWER($Q247)="critique",LOWER($U247)="oui",LOWER($V247)="oui"),"oui","non"))</f>
      </c>
      <c r="Z247" s="37">
        <f>IF($A247="","",IF(AND($S247&lt;&gt;"",LOWER($S247)&lt;&gt;"tranchée",LOWER($S247)&lt;&gt;"sans objet",LOWER($S247)&lt;&gt;"clos"),"oui","non"))</f>
      </c>
      <c r="AA247" s="37">
        <f>IF($A247="","",IF($P247&lt;&gt;"","oui","non"))</f>
      </c>
      <c r="AB247" s="37">
        <f>IF($A247="","",IF(OR(LOWER($F247)="non réouvrable",LOWER($R247)="forte"),"oui","non"))</f>
      </c>
    </row>
    <row r="248" spans="1:28" x14ac:dyDescent="0.25">
      <c r="A248" s="23">
        <f>IFERROR(INDEX(tblTasks[ID],ROW()-6),"")</f>
      </c>
      <c r="B248" s="24">
        <f>=IF($A248="","",INDEX(tblTasks[Sujet],ROW()-6))</f>
      </c>
      <c r="C248" s="23">
        <f>=IF($A248="","",INDEX(tblTasks[Lot_Domaine],ROW()-6))</f>
      </c>
      <c r="D248" s="23">
        <f>=IF($A248="","",INDEX(tblTasks[Agent_source],ROW()-6))</f>
      </c>
      <c r="E248" s="23">
        <f>=IF($A248="","",INDEX(tblTasks[Responsable],ROW()-6))</f>
      </c>
      <c r="F248" s="23">
        <f>=IF($A248="","",INDEX(tblTasks[Statut],ROW()-6))</f>
      </c>
      <c r="G248" s="25">
        <f>=IF($A248="","",INDEX(tblTasks[Date_debut_prevue],ROW()-6))</f>
      </c>
      <c r="H248" s="25">
        <f>=IF($A248="","",INDEX(tblTasks[Date_fin_prevue],ROW()-6))</f>
      </c>
      <c r="I248" s="36">
        <f>=IF($A248="","",INDEX(tblTasks[Duree_jours],ROW()-6))</f>
      </c>
      <c r="J248" s="25">
        <f>=IF($A248="","",INDEX(tblTasks[Date_debut_reelle],ROW()-6))</f>
      </c>
      <c r="K248" s="25">
        <f>=IF($A248="","",INDEX(tblTasks[Date_fin_reelle],ROW()-6))</f>
      </c>
      <c r="L248" s="23">
        <f>=IF($A248="","",INDEX(tblTasks[Blocage],ROW()-6))</f>
      </c>
      <c r="M248" s="23">
        <f>=IF($A248="","",INDEX(tblTasks[Depend_de],ROW()-6))</f>
      </c>
      <c r="N248" s="23">
        <f>=IF($A248="","",INDEX(tblTasks[Non_negociable],ROW()-6))</f>
      </c>
      <c r="O248" s="23">
        <f>=IF($A248="","",INDEX(tblTasks[Seuil_de_reprise],ROW()-6))</f>
      </c>
      <c r="P248" s="23">
        <f>=IF($A248="","",INDEX(tblTasks[Donnee_manquante],ROW()-6))</f>
      </c>
      <c r="Q248" s="23">
        <f>=IF($A248="","",INDEX(tblTasks[Niveau_criticite],ROW()-6))</f>
      </c>
      <c r="R248" s="23">
        <f>=IF($A248="","",INDEX(tblTasks[Irreversibilite],ROW()-6))</f>
      </c>
      <c r="S248" s="23">
        <f>=IF($A248="","",INDEX(tblTasks[Decision_Emmanuel],ROW()-6))</f>
      </c>
      <c r="T248" s="24">
        <f>=IF($A248="","",INDEX(tblTasks[Commentaire_EKT],ROW()-6))</f>
      </c>
      <c r="U248" s="23">
        <f>=IF($A248="","",INDEX(tblTasks[Goulot],ROW()-6))</f>
      </c>
      <c r="V248" s="23">
        <f>=IF($A248="","",INDEX(tblTasks[Point_de_bascule],ROW()-6))</f>
      </c>
      <c r="W248" s="37">
        <f>IF($A248="","",IF(AND(OR(param_filtre_statut="tous",LOWER($F248)=LOWER(param_filtre_statut)),OR(param_filtre_agent="tous",LOWER($D248)=LOWER(param_filtre_agent),LOWER($E248)=LOWER(param_filtre_agent)),OR(param_filtre_criticite="toutes",LOWER($Q248)=LOWER(param_filtre_criticite))),"oui","non"))</f>
      </c>
      <c r="X248" s="37">
        <f>IF($A248="","",IF(OR(LOWER($F248)="bloqué",LOWER($L248)="oui"),"oui","non"))</f>
      </c>
      <c r="Y248" s="37">
        <f>IF($A248="","",IF(OR(LOWER($Q248)="critique",LOWER($U248)="oui",LOWER($V248)="oui"),"oui","non"))</f>
      </c>
      <c r="Z248" s="37">
        <f>IF($A248="","",IF(AND($S248&lt;&gt;"",LOWER($S248)&lt;&gt;"tranchée",LOWER($S248)&lt;&gt;"sans objet",LOWER($S248)&lt;&gt;"clos"),"oui","non"))</f>
      </c>
      <c r="AA248" s="37">
        <f>IF($A248="","",IF($P248&lt;&gt;"","oui","non"))</f>
      </c>
      <c r="AB248" s="37">
        <f>IF($A248="","",IF(OR(LOWER($F248)="non réouvrable",LOWER($R248)="forte"),"oui","non"))</f>
      </c>
    </row>
    <row r="249" spans="1:28" x14ac:dyDescent="0.25">
      <c r="A249" s="23">
        <f>IFERROR(INDEX(tblTasks[ID],ROW()-6),"")</f>
      </c>
      <c r="B249" s="24">
        <f>=IF($A249="","",INDEX(tblTasks[Sujet],ROW()-6))</f>
      </c>
      <c r="C249" s="23">
        <f>=IF($A249="","",INDEX(tblTasks[Lot_Domaine],ROW()-6))</f>
      </c>
      <c r="D249" s="23">
        <f>=IF($A249="","",INDEX(tblTasks[Agent_source],ROW()-6))</f>
      </c>
      <c r="E249" s="23">
        <f>=IF($A249="","",INDEX(tblTasks[Responsable],ROW()-6))</f>
      </c>
      <c r="F249" s="23">
        <f>=IF($A249="","",INDEX(tblTasks[Statut],ROW()-6))</f>
      </c>
      <c r="G249" s="25">
        <f>=IF($A249="","",INDEX(tblTasks[Date_debut_prevue],ROW()-6))</f>
      </c>
      <c r="H249" s="25">
        <f>=IF($A249="","",INDEX(tblTasks[Date_fin_prevue],ROW()-6))</f>
      </c>
      <c r="I249" s="36">
        <f>=IF($A249="","",INDEX(tblTasks[Duree_jours],ROW()-6))</f>
      </c>
      <c r="J249" s="25">
        <f>=IF($A249="","",INDEX(tblTasks[Date_debut_reelle],ROW()-6))</f>
      </c>
      <c r="K249" s="25">
        <f>=IF($A249="","",INDEX(tblTasks[Date_fin_reelle],ROW()-6))</f>
      </c>
      <c r="L249" s="23">
        <f>=IF($A249="","",INDEX(tblTasks[Blocage],ROW()-6))</f>
      </c>
      <c r="M249" s="23">
        <f>=IF($A249="","",INDEX(tblTasks[Depend_de],ROW()-6))</f>
      </c>
      <c r="N249" s="23">
        <f>=IF($A249="","",INDEX(tblTasks[Non_negociable],ROW()-6))</f>
      </c>
      <c r="O249" s="23">
        <f>=IF($A249="","",INDEX(tblTasks[Seuil_de_reprise],ROW()-6))</f>
      </c>
      <c r="P249" s="23">
        <f>=IF($A249="","",INDEX(tblTasks[Donnee_manquante],ROW()-6))</f>
      </c>
      <c r="Q249" s="23">
        <f>=IF($A249="","",INDEX(tblTasks[Niveau_criticite],ROW()-6))</f>
      </c>
      <c r="R249" s="23">
        <f>=IF($A249="","",INDEX(tblTasks[Irreversibilite],ROW()-6))</f>
      </c>
      <c r="S249" s="23">
        <f>=IF($A249="","",INDEX(tblTasks[Decision_Emmanuel],ROW()-6))</f>
      </c>
      <c r="T249" s="24">
        <f>=IF($A249="","",INDEX(tblTasks[Commentaire_EKT],ROW()-6))</f>
      </c>
      <c r="U249" s="23">
        <f>=IF($A249="","",INDEX(tblTasks[Goulot],ROW()-6))</f>
      </c>
      <c r="V249" s="23">
        <f>=IF($A249="","",INDEX(tblTasks[Point_de_bascule],ROW()-6))</f>
      </c>
      <c r="W249" s="37">
        <f>IF($A249="","",IF(AND(OR(param_filtre_statut="tous",LOWER($F249)=LOWER(param_filtre_statut)),OR(param_filtre_agent="tous",LOWER($D249)=LOWER(param_filtre_agent),LOWER($E249)=LOWER(param_filtre_agent)),OR(param_filtre_criticite="toutes",LOWER($Q249)=LOWER(param_filtre_criticite))),"oui","non"))</f>
      </c>
      <c r="X249" s="37">
        <f>IF($A249="","",IF(OR(LOWER($F249)="bloqué",LOWER($L249)="oui"),"oui","non"))</f>
      </c>
      <c r="Y249" s="37">
        <f>IF($A249="","",IF(OR(LOWER($Q249)="critique",LOWER($U249)="oui",LOWER($V249)="oui"),"oui","non"))</f>
      </c>
      <c r="Z249" s="37">
        <f>IF($A249="","",IF(AND($S249&lt;&gt;"",LOWER($S249)&lt;&gt;"tranchée",LOWER($S249)&lt;&gt;"sans objet",LOWER($S249)&lt;&gt;"clos"),"oui","non"))</f>
      </c>
      <c r="AA249" s="37">
        <f>IF($A249="","",IF($P249&lt;&gt;"","oui","non"))</f>
      </c>
      <c r="AB249" s="37">
        <f>IF($A249="","",IF(OR(LOWER($F249)="non réouvrable",LOWER($R249)="forte"),"oui","non"))</f>
      </c>
    </row>
    <row r="250" spans="1:28" x14ac:dyDescent="0.25">
      <c r="A250" s="23">
        <f>IFERROR(INDEX(tblTasks[ID],ROW()-6),"")</f>
      </c>
      <c r="B250" s="24">
        <f>=IF($A250="","",INDEX(tblTasks[Sujet],ROW()-6))</f>
      </c>
      <c r="C250" s="23">
        <f>=IF($A250="","",INDEX(tblTasks[Lot_Domaine],ROW()-6))</f>
      </c>
      <c r="D250" s="23">
        <f>=IF($A250="","",INDEX(tblTasks[Agent_source],ROW()-6))</f>
      </c>
      <c r="E250" s="23">
        <f>=IF($A250="","",INDEX(tblTasks[Responsable],ROW()-6))</f>
      </c>
      <c r="F250" s="23">
        <f>=IF($A250="","",INDEX(tblTasks[Statut],ROW()-6))</f>
      </c>
      <c r="G250" s="25">
        <f>=IF($A250="","",INDEX(tblTasks[Date_debut_prevue],ROW()-6))</f>
      </c>
      <c r="H250" s="25">
        <f>=IF($A250="","",INDEX(tblTasks[Date_fin_prevue],ROW()-6))</f>
      </c>
      <c r="I250" s="36">
        <f>=IF($A250="","",INDEX(tblTasks[Duree_jours],ROW()-6))</f>
      </c>
      <c r="J250" s="25">
        <f>=IF($A250="","",INDEX(tblTasks[Date_debut_reelle],ROW()-6))</f>
      </c>
      <c r="K250" s="25">
        <f>=IF($A250="","",INDEX(tblTasks[Date_fin_reelle],ROW()-6))</f>
      </c>
      <c r="L250" s="23">
        <f>=IF($A250="","",INDEX(tblTasks[Blocage],ROW()-6))</f>
      </c>
      <c r="M250" s="23">
        <f>=IF($A250="","",INDEX(tblTasks[Depend_de],ROW()-6))</f>
      </c>
      <c r="N250" s="23">
        <f>=IF($A250="","",INDEX(tblTasks[Non_negociable],ROW()-6))</f>
      </c>
      <c r="O250" s="23">
        <f>=IF($A250="","",INDEX(tblTasks[Seuil_de_reprise],ROW()-6))</f>
      </c>
      <c r="P250" s="23">
        <f>=IF($A250="","",INDEX(tblTasks[Donnee_manquante],ROW()-6))</f>
      </c>
      <c r="Q250" s="23">
        <f>=IF($A250="","",INDEX(tblTasks[Niveau_criticite],ROW()-6))</f>
      </c>
      <c r="R250" s="23">
        <f>=IF($A250="","",INDEX(tblTasks[Irreversibilite],ROW()-6))</f>
      </c>
      <c r="S250" s="23">
        <f>=IF($A250="","",INDEX(tblTasks[Decision_Emmanuel],ROW()-6))</f>
      </c>
      <c r="T250" s="24">
        <f>=IF($A250="","",INDEX(tblTasks[Commentaire_EKT],ROW()-6))</f>
      </c>
      <c r="U250" s="23">
        <f>=IF($A250="","",INDEX(tblTasks[Goulot],ROW()-6))</f>
      </c>
      <c r="V250" s="23">
        <f>=IF($A250="","",INDEX(tblTasks[Point_de_bascule],ROW()-6))</f>
      </c>
      <c r="W250" s="37">
        <f>IF($A250="","",IF(AND(OR(param_filtre_statut="tous",LOWER($F250)=LOWER(param_filtre_statut)),OR(param_filtre_agent="tous",LOWER($D250)=LOWER(param_filtre_agent),LOWER($E250)=LOWER(param_filtre_agent)),OR(param_filtre_criticite="toutes",LOWER($Q250)=LOWER(param_filtre_criticite))),"oui","non"))</f>
      </c>
      <c r="X250" s="37">
        <f>IF($A250="","",IF(OR(LOWER($F250)="bloqué",LOWER($L250)="oui"),"oui","non"))</f>
      </c>
      <c r="Y250" s="37">
        <f>IF($A250="","",IF(OR(LOWER($Q250)="critique",LOWER($U250)="oui",LOWER($V250)="oui"),"oui","non"))</f>
      </c>
      <c r="Z250" s="37">
        <f>IF($A250="","",IF(AND($S250&lt;&gt;"",LOWER($S250)&lt;&gt;"tranchée",LOWER($S250)&lt;&gt;"sans objet",LOWER($S250)&lt;&gt;"clos"),"oui","non"))</f>
      </c>
      <c r="AA250" s="37">
        <f>IF($A250="","",IF($P250&lt;&gt;"","oui","non"))</f>
      </c>
      <c r="AB250" s="37">
        <f>IF($A250="","",IF(OR(LOWER($F250)="non réouvrable",LOWER($R250)="forte"),"oui","non"))</f>
      </c>
    </row>
    <row r="251" spans="1:28" x14ac:dyDescent="0.25">
      <c r="A251" s="23">
        <f>IFERROR(INDEX(tblTasks[ID],ROW()-6),"")</f>
      </c>
      <c r="B251" s="24">
        <f>=IF($A251="","",INDEX(tblTasks[Sujet],ROW()-6))</f>
      </c>
      <c r="C251" s="23">
        <f>=IF($A251="","",INDEX(tblTasks[Lot_Domaine],ROW()-6))</f>
      </c>
      <c r="D251" s="23">
        <f>=IF($A251="","",INDEX(tblTasks[Agent_source],ROW()-6))</f>
      </c>
      <c r="E251" s="23">
        <f>=IF($A251="","",INDEX(tblTasks[Responsable],ROW()-6))</f>
      </c>
      <c r="F251" s="23">
        <f>=IF($A251="","",INDEX(tblTasks[Statut],ROW()-6))</f>
      </c>
      <c r="G251" s="25">
        <f>=IF($A251="","",INDEX(tblTasks[Date_debut_prevue],ROW()-6))</f>
      </c>
      <c r="H251" s="25">
        <f>=IF($A251="","",INDEX(tblTasks[Date_fin_prevue],ROW()-6))</f>
      </c>
      <c r="I251" s="36">
        <f>=IF($A251="","",INDEX(tblTasks[Duree_jours],ROW()-6))</f>
      </c>
      <c r="J251" s="25">
        <f>=IF($A251="","",INDEX(tblTasks[Date_debut_reelle],ROW()-6))</f>
      </c>
      <c r="K251" s="25">
        <f>=IF($A251="","",INDEX(tblTasks[Date_fin_reelle],ROW()-6))</f>
      </c>
      <c r="L251" s="23">
        <f>=IF($A251="","",INDEX(tblTasks[Blocage],ROW()-6))</f>
      </c>
      <c r="M251" s="23">
        <f>=IF($A251="","",INDEX(tblTasks[Depend_de],ROW()-6))</f>
      </c>
      <c r="N251" s="23">
        <f>=IF($A251="","",INDEX(tblTasks[Non_negociable],ROW()-6))</f>
      </c>
      <c r="O251" s="23">
        <f>=IF($A251="","",INDEX(tblTasks[Seuil_de_reprise],ROW()-6))</f>
      </c>
      <c r="P251" s="23">
        <f>=IF($A251="","",INDEX(tblTasks[Donnee_manquante],ROW()-6))</f>
      </c>
      <c r="Q251" s="23">
        <f>=IF($A251="","",INDEX(tblTasks[Niveau_criticite],ROW()-6))</f>
      </c>
      <c r="R251" s="23">
        <f>=IF($A251="","",INDEX(tblTasks[Irreversibilite],ROW()-6))</f>
      </c>
      <c r="S251" s="23">
        <f>=IF($A251="","",INDEX(tblTasks[Decision_Emmanuel],ROW()-6))</f>
      </c>
      <c r="T251" s="24">
        <f>=IF($A251="","",INDEX(tblTasks[Commentaire_EKT],ROW()-6))</f>
      </c>
      <c r="U251" s="23">
        <f>=IF($A251="","",INDEX(tblTasks[Goulot],ROW()-6))</f>
      </c>
      <c r="V251" s="23">
        <f>=IF($A251="","",INDEX(tblTasks[Point_de_bascule],ROW()-6))</f>
      </c>
      <c r="W251" s="37">
        <f>IF($A251="","",IF(AND(OR(param_filtre_statut="tous",LOWER($F251)=LOWER(param_filtre_statut)),OR(param_filtre_agent="tous",LOWER($D251)=LOWER(param_filtre_agent),LOWER($E251)=LOWER(param_filtre_agent)),OR(param_filtre_criticite="toutes",LOWER($Q251)=LOWER(param_filtre_criticite))),"oui","non"))</f>
      </c>
      <c r="X251" s="37">
        <f>IF($A251="","",IF(OR(LOWER($F251)="bloqué",LOWER($L251)="oui"),"oui","non"))</f>
      </c>
      <c r="Y251" s="37">
        <f>IF($A251="","",IF(OR(LOWER($Q251)="critique",LOWER($U251)="oui",LOWER($V251)="oui"),"oui","non"))</f>
      </c>
      <c r="Z251" s="37">
        <f>IF($A251="","",IF(AND($S251&lt;&gt;"",LOWER($S251)&lt;&gt;"tranchée",LOWER($S251)&lt;&gt;"sans objet",LOWER($S251)&lt;&gt;"clos"),"oui","non"))</f>
      </c>
      <c r="AA251" s="37">
        <f>IF($A251="","",IF($P251&lt;&gt;"","oui","non"))</f>
      </c>
      <c r="AB251" s="37">
        <f>IF($A251="","",IF(OR(LOWER($F251)="non réouvrable",LOWER($R251)="forte"),"oui","non"))</f>
      </c>
    </row>
    <row r="252" spans="1:28" x14ac:dyDescent="0.25">
      <c r="A252" s="23">
        <f>IFERROR(INDEX(tblTasks[ID],ROW()-6),"")</f>
      </c>
      <c r="B252" s="24">
        <f>=IF($A252="","",INDEX(tblTasks[Sujet],ROW()-6))</f>
      </c>
      <c r="C252" s="23">
        <f>=IF($A252="","",INDEX(tblTasks[Lot_Domaine],ROW()-6))</f>
      </c>
      <c r="D252" s="23">
        <f>=IF($A252="","",INDEX(tblTasks[Agent_source],ROW()-6))</f>
      </c>
      <c r="E252" s="23">
        <f>=IF($A252="","",INDEX(tblTasks[Responsable],ROW()-6))</f>
      </c>
      <c r="F252" s="23">
        <f>=IF($A252="","",INDEX(tblTasks[Statut],ROW()-6))</f>
      </c>
      <c r="G252" s="25">
        <f>=IF($A252="","",INDEX(tblTasks[Date_debut_prevue],ROW()-6))</f>
      </c>
      <c r="H252" s="25">
        <f>=IF($A252="","",INDEX(tblTasks[Date_fin_prevue],ROW()-6))</f>
      </c>
      <c r="I252" s="36">
        <f>=IF($A252="","",INDEX(tblTasks[Duree_jours],ROW()-6))</f>
      </c>
      <c r="J252" s="25">
        <f>=IF($A252="","",INDEX(tblTasks[Date_debut_reelle],ROW()-6))</f>
      </c>
      <c r="K252" s="25">
        <f>=IF($A252="","",INDEX(tblTasks[Date_fin_reelle],ROW()-6))</f>
      </c>
      <c r="L252" s="23">
        <f>=IF($A252="","",INDEX(tblTasks[Blocage],ROW()-6))</f>
      </c>
      <c r="M252" s="23">
        <f>=IF($A252="","",INDEX(tblTasks[Depend_de],ROW()-6))</f>
      </c>
      <c r="N252" s="23">
        <f>=IF($A252="","",INDEX(tblTasks[Non_negociable],ROW()-6))</f>
      </c>
      <c r="O252" s="23">
        <f>=IF($A252="","",INDEX(tblTasks[Seuil_de_reprise],ROW()-6))</f>
      </c>
      <c r="P252" s="23">
        <f>=IF($A252="","",INDEX(tblTasks[Donnee_manquante],ROW()-6))</f>
      </c>
      <c r="Q252" s="23">
        <f>=IF($A252="","",INDEX(tblTasks[Niveau_criticite],ROW()-6))</f>
      </c>
      <c r="R252" s="23">
        <f>=IF($A252="","",INDEX(tblTasks[Irreversibilite],ROW()-6))</f>
      </c>
      <c r="S252" s="23">
        <f>=IF($A252="","",INDEX(tblTasks[Decision_Emmanuel],ROW()-6))</f>
      </c>
      <c r="T252" s="24">
        <f>=IF($A252="","",INDEX(tblTasks[Commentaire_EKT],ROW()-6))</f>
      </c>
      <c r="U252" s="23">
        <f>=IF($A252="","",INDEX(tblTasks[Goulot],ROW()-6))</f>
      </c>
      <c r="V252" s="23">
        <f>=IF($A252="","",INDEX(tblTasks[Point_de_bascule],ROW()-6))</f>
      </c>
      <c r="W252" s="37">
        <f>IF($A252="","",IF(AND(OR(param_filtre_statut="tous",LOWER($F252)=LOWER(param_filtre_statut)),OR(param_filtre_agent="tous",LOWER($D252)=LOWER(param_filtre_agent),LOWER($E252)=LOWER(param_filtre_agent)),OR(param_filtre_criticite="toutes",LOWER($Q252)=LOWER(param_filtre_criticite))),"oui","non"))</f>
      </c>
      <c r="X252" s="37">
        <f>IF($A252="","",IF(OR(LOWER($F252)="bloqué",LOWER($L252)="oui"),"oui","non"))</f>
      </c>
      <c r="Y252" s="37">
        <f>IF($A252="","",IF(OR(LOWER($Q252)="critique",LOWER($U252)="oui",LOWER($V252)="oui"),"oui","non"))</f>
      </c>
      <c r="Z252" s="37">
        <f>IF($A252="","",IF(AND($S252&lt;&gt;"",LOWER($S252)&lt;&gt;"tranchée",LOWER($S252)&lt;&gt;"sans objet",LOWER($S252)&lt;&gt;"clos"),"oui","non"))</f>
      </c>
      <c r="AA252" s="37">
        <f>IF($A252="","",IF($P252&lt;&gt;"","oui","non"))</f>
      </c>
      <c r="AB252" s="37">
        <f>IF($A252="","",IF(OR(LOWER($F252)="non réouvrable",LOWER($R252)="forte"),"oui","non"))</f>
      </c>
    </row>
    <row r="253" spans="1:28" x14ac:dyDescent="0.25">
      <c r="A253" s="23">
        <f>IFERROR(INDEX(tblTasks[ID],ROW()-6),"")</f>
      </c>
      <c r="B253" s="24">
        <f>=IF($A253="","",INDEX(tblTasks[Sujet],ROW()-6))</f>
      </c>
      <c r="C253" s="23">
        <f>=IF($A253="","",INDEX(tblTasks[Lot_Domaine],ROW()-6))</f>
      </c>
      <c r="D253" s="23">
        <f>=IF($A253="","",INDEX(tblTasks[Agent_source],ROW()-6))</f>
      </c>
      <c r="E253" s="23">
        <f>=IF($A253="","",INDEX(tblTasks[Responsable],ROW()-6))</f>
      </c>
      <c r="F253" s="23">
        <f>=IF($A253="","",INDEX(tblTasks[Statut],ROW()-6))</f>
      </c>
      <c r="G253" s="25">
        <f>=IF($A253="","",INDEX(tblTasks[Date_debut_prevue],ROW()-6))</f>
      </c>
      <c r="H253" s="25">
        <f>=IF($A253="","",INDEX(tblTasks[Date_fin_prevue],ROW()-6))</f>
      </c>
      <c r="I253" s="36">
        <f>=IF($A253="","",INDEX(tblTasks[Duree_jours],ROW()-6))</f>
      </c>
      <c r="J253" s="25">
        <f>=IF($A253="","",INDEX(tblTasks[Date_debut_reelle],ROW()-6))</f>
      </c>
      <c r="K253" s="25">
        <f>=IF($A253="","",INDEX(tblTasks[Date_fin_reelle],ROW()-6))</f>
      </c>
      <c r="L253" s="23">
        <f>=IF($A253="","",INDEX(tblTasks[Blocage],ROW()-6))</f>
      </c>
      <c r="M253" s="23">
        <f>=IF($A253="","",INDEX(tblTasks[Depend_de],ROW()-6))</f>
      </c>
      <c r="N253" s="23">
        <f>=IF($A253="","",INDEX(tblTasks[Non_negociable],ROW()-6))</f>
      </c>
      <c r="O253" s="23">
        <f>=IF($A253="","",INDEX(tblTasks[Seuil_de_reprise],ROW()-6))</f>
      </c>
      <c r="P253" s="23">
        <f>=IF($A253="","",INDEX(tblTasks[Donnee_manquante],ROW()-6))</f>
      </c>
      <c r="Q253" s="23">
        <f>=IF($A253="","",INDEX(tblTasks[Niveau_criticite],ROW()-6))</f>
      </c>
      <c r="R253" s="23">
        <f>=IF($A253="","",INDEX(tblTasks[Irreversibilite],ROW()-6))</f>
      </c>
      <c r="S253" s="23">
        <f>=IF($A253="","",INDEX(tblTasks[Decision_Emmanuel],ROW()-6))</f>
      </c>
      <c r="T253" s="24">
        <f>=IF($A253="","",INDEX(tblTasks[Commentaire_EKT],ROW()-6))</f>
      </c>
      <c r="U253" s="23">
        <f>=IF($A253="","",INDEX(tblTasks[Goulot],ROW()-6))</f>
      </c>
      <c r="V253" s="23">
        <f>=IF($A253="","",INDEX(tblTasks[Point_de_bascule],ROW()-6))</f>
      </c>
      <c r="W253" s="37">
        <f>IF($A253="","",IF(AND(OR(param_filtre_statut="tous",LOWER($F253)=LOWER(param_filtre_statut)),OR(param_filtre_agent="tous",LOWER($D253)=LOWER(param_filtre_agent),LOWER($E253)=LOWER(param_filtre_agent)),OR(param_filtre_criticite="toutes",LOWER($Q253)=LOWER(param_filtre_criticite))),"oui","non"))</f>
      </c>
      <c r="X253" s="37">
        <f>IF($A253="","",IF(OR(LOWER($F253)="bloqué",LOWER($L253)="oui"),"oui","non"))</f>
      </c>
      <c r="Y253" s="37">
        <f>IF($A253="","",IF(OR(LOWER($Q253)="critique",LOWER($U253)="oui",LOWER($V253)="oui"),"oui","non"))</f>
      </c>
      <c r="Z253" s="37">
        <f>IF($A253="","",IF(AND($S253&lt;&gt;"",LOWER($S253)&lt;&gt;"tranchée",LOWER($S253)&lt;&gt;"sans objet",LOWER($S253)&lt;&gt;"clos"),"oui","non"))</f>
      </c>
      <c r="AA253" s="37">
        <f>IF($A253="","",IF($P253&lt;&gt;"","oui","non"))</f>
      </c>
      <c r="AB253" s="37">
        <f>IF($A253="","",IF(OR(LOWER($F253)="non réouvrable",LOWER($R253)="forte"),"oui","non"))</f>
      </c>
    </row>
    <row r="254" spans="1:28" x14ac:dyDescent="0.25">
      <c r="A254" s="23">
        <f>IFERROR(INDEX(tblTasks[ID],ROW()-6),"")</f>
      </c>
      <c r="B254" s="24">
        <f>=IF($A254="","",INDEX(tblTasks[Sujet],ROW()-6))</f>
      </c>
      <c r="C254" s="23">
        <f>=IF($A254="","",INDEX(tblTasks[Lot_Domaine],ROW()-6))</f>
      </c>
      <c r="D254" s="23">
        <f>=IF($A254="","",INDEX(tblTasks[Agent_source],ROW()-6))</f>
      </c>
      <c r="E254" s="23">
        <f>=IF($A254="","",INDEX(tblTasks[Responsable],ROW()-6))</f>
      </c>
      <c r="F254" s="23">
        <f>=IF($A254="","",INDEX(tblTasks[Statut],ROW()-6))</f>
      </c>
      <c r="G254" s="25">
        <f>=IF($A254="","",INDEX(tblTasks[Date_debut_prevue],ROW()-6))</f>
      </c>
      <c r="H254" s="25">
        <f>=IF($A254="","",INDEX(tblTasks[Date_fin_prevue],ROW()-6))</f>
      </c>
      <c r="I254" s="36">
        <f>=IF($A254="","",INDEX(tblTasks[Duree_jours],ROW()-6))</f>
      </c>
      <c r="J254" s="25">
        <f>=IF($A254="","",INDEX(tblTasks[Date_debut_reelle],ROW()-6))</f>
      </c>
      <c r="K254" s="25">
        <f>=IF($A254="","",INDEX(tblTasks[Date_fin_reelle],ROW()-6))</f>
      </c>
      <c r="L254" s="23">
        <f>=IF($A254="","",INDEX(tblTasks[Blocage],ROW()-6))</f>
      </c>
      <c r="M254" s="23">
        <f>=IF($A254="","",INDEX(tblTasks[Depend_de],ROW()-6))</f>
      </c>
      <c r="N254" s="23">
        <f>=IF($A254="","",INDEX(tblTasks[Non_negociable],ROW()-6))</f>
      </c>
      <c r="O254" s="23">
        <f>=IF($A254="","",INDEX(tblTasks[Seuil_de_reprise],ROW()-6))</f>
      </c>
      <c r="P254" s="23">
        <f>=IF($A254="","",INDEX(tblTasks[Donnee_manquante],ROW()-6))</f>
      </c>
      <c r="Q254" s="23">
        <f>=IF($A254="","",INDEX(tblTasks[Niveau_criticite],ROW()-6))</f>
      </c>
      <c r="R254" s="23">
        <f>=IF($A254="","",INDEX(tblTasks[Irreversibilite],ROW()-6))</f>
      </c>
      <c r="S254" s="23">
        <f>=IF($A254="","",INDEX(tblTasks[Decision_Emmanuel],ROW()-6))</f>
      </c>
      <c r="T254" s="24">
        <f>=IF($A254="","",INDEX(tblTasks[Commentaire_EKT],ROW()-6))</f>
      </c>
      <c r="U254" s="23">
        <f>=IF($A254="","",INDEX(tblTasks[Goulot],ROW()-6))</f>
      </c>
      <c r="V254" s="23">
        <f>=IF($A254="","",INDEX(tblTasks[Point_de_bascule],ROW()-6))</f>
      </c>
      <c r="W254" s="37">
        <f>IF($A254="","",IF(AND(OR(param_filtre_statut="tous",LOWER($F254)=LOWER(param_filtre_statut)),OR(param_filtre_agent="tous",LOWER($D254)=LOWER(param_filtre_agent),LOWER($E254)=LOWER(param_filtre_agent)),OR(param_filtre_criticite="toutes",LOWER($Q254)=LOWER(param_filtre_criticite))),"oui","non"))</f>
      </c>
      <c r="X254" s="37">
        <f>IF($A254="","",IF(OR(LOWER($F254)="bloqué",LOWER($L254)="oui"),"oui","non"))</f>
      </c>
      <c r="Y254" s="37">
        <f>IF($A254="","",IF(OR(LOWER($Q254)="critique",LOWER($U254)="oui",LOWER($V254)="oui"),"oui","non"))</f>
      </c>
      <c r="Z254" s="37">
        <f>IF($A254="","",IF(AND($S254&lt;&gt;"",LOWER($S254)&lt;&gt;"tranchée",LOWER($S254)&lt;&gt;"sans objet",LOWER($S254)&lt;&gt;"clos"),"oui","non"))</f>
      </c>
      <c r="AA254" s="37">
        <f>IF($A254="","",IF($P254&lt;&gt;"","oui","non"))</f>
      </c>
      <c r="AB254" s="37">
        <f>IF($A254="","",IF(OR(LOWER($F254)="non réouvrable",LOWER($R254)="forte"),"oui","non"))</f>
      </c>
    </row>
    <row r="255" spans="1:28" x14ac:dyDescent="0.25">
      <c r="A255" s="23">
        <f>IFERROR(INDEX(tblTasks[ID],ROW()-6),"")</f>
      </c>
      <c r="B255" s="24">
        <f>=IF($A255="","",INDEX(tblTasks[Sujet],ROW()-6))</f>
      </c>
      <c r="C255" s="23">
        <f>=IF($A255="","",INDEX(tblTasks[Lot_Domaine],ROW()-6))</f>
      </c>
      <c r="D255" s="23">
        <f>=IF($A255="","",INDEX(tblTasks[Agent_source],ROW()-6))</f>
      </c>
      <c r="E255" s="23">
        <f>=IF($A255="","",INDEX(tblTasks[Responsable],ROW()-6))</f>
      </c>
      <c r="F255" s="23">
        <f>=IF($A255="","",INDEX(tblTasks[Statut],ROW()-6))</f>
      </c>
      <c r="G255" s="25">
        <f>=IF($A255="","",INDEX(tblTasks[Date_debut_prevue],ROW()-6))</f>
      </c>
      <c r="H255" s="25">
        <f>=IF($A255="","",INDEX(tblTasks[Date_fin_prevue],ROW()-6))</f>
      </c>
      <c r="I255" s="36">
        <f>=IF($A255="","",INDEX(tblTasks[Duree_jours],ROW()-6))</f>
      </c>
      <c r="J255" s="25">
        <f>=IF($A255="","",INDEX(tblTasks[Date_debut_reelle],ROW()-6))</f>
      </c>
      <c r="K255" s="25">
        <f>=IF($A255="","",INDEX(tblTasks[Date_fin_reelle],ROW()-6))</f>
      </c>
      <c r="L255" s="23">
        <f>=IF($A255="","",INDEX(tblTasks[Blocage],ROW()-6))</f>
      </c>
      <c r="M255" s="23">
        <f>=IF($A255="","",INDEX(tblTasks[Depend_de],ROW()-6))</f>
      </c>
      <c r="N255" s="23">
        <f>=IF($A255="","",INDEX(tblTasks[Non_negociable],ROW()-6))</f>
      </c>
      <c r="O255" s="23">
        <f>=IF($A255="","",INDEX(tblTasks[Seuil_de_reprise],ROW()-6))</f>
      </c>
      <c r="P255" s="23">
        <f>=IF($A255="","",INDEX(tblTasks[Donnee_manquante],ROW()-6))</f>
      </c>
      <c r="Q255" s="23">
        <f>=IF($A255="","",INDEX(tblTasks[Niveau_criticite],ROW()-6))</f>
      </c>
      <c r="R255" s="23">
        <f>=IF($A255="","",INDEX(tblTasks[Irreversibilite],ROW()-6))</f>
      </c>
      <c r="S255" s="23">
        <f>=IF($A255="","",INDEX(tblTasks[Decision_Emmanuel],ROW()-6))</f>
      </c>
      <c r="T255" s="24">
        <f>=IF($A255="","",INDEX(tblTasks[Commentaire_EKT],ROW()-6))</f>
      </c>
      <c r="U255" s="23">
        <f>=IF($A255="","",INDEX(tblTasks[Goulot],ROW()-6))</f>
      </c>
      <c r="V255" s="23">
        <f>=IF($A255="","",INDEX(tblTasks[Point_de_bascule],ROW()-6))</f>
      </c>
      <c r="W255" s="37">
        <f>IF($A255="","",IF(AND(OR(param_filtre_statut="tous",LOWER($F255)=LOWER(param_filtre_statut)),OR(param_filtre_agent="tous",LOWER($D255)=LOWER(param_filtre_agent),LOWER($E255)=LOWER(param_filtre_agent)),OR(param_filtre_criticite="toutes",LOWER($Q255)=LOWER(param_filtre_criticite))),"oui","non"))</f>
      </c>
      <c r="X255" s="37">
        <f>IF($A255="","",IF(OR(LOWER($F255)="bloqué",LOWER($L255)="oui"),"oui","non"))</f>
      </c>
      <c r="Y255" s="37">
        <f>IF($A255="","",IF(OR(LOWER($Q255)="critique",LOWER($U255)="oui",LOWER($V255)="oui"),"oui","non"))</f>
      </c>
      <c r="Z255" s="37">
        <f>IF($A255="","",IF(AND($S255&lt;&gt;"",LOWER($S255)&lt;&gt;"tranchée",LOWER($S255)&lt;&gt;"sans objet",LOWER($S255)&lt;&gt;"clos"),"oui","non"))</f>
      </c>
      <c r="AA255" s="37">
        <f>IF($A255="","",IF($P255&lt;&gt;"","oui","non"))</f>
      </c>
      <c r="AB255" s="37">
        <f>IF($A255="","",IF(OR(LOWER($F255)="non réouvrable",LOWER($R255)="forte"),"oui","non"))</f>
      </c>
    </row>
    <row r="256" spans="1:28" x14ac:dyDescent="0.25">
      <c r="A256" s="23">
        <f>IFERROR(INDEX(tblTasks[ID],ROW()-6),"")</f>
      </c>
      <c r="B256" s="24">
        <f>=IF($A256="","",INDEX(tblTasks[Sujet],ROW()-6))</f>
      </c>
      <c r="C256" s="23">
        <f>=IF($A256="","",INDEX(tblTasks[Lot_Domaine],ROW()-6))</f>
      </c>
      <c r="D256" s="23">
        <f>=IF($A256="","",INDEX(tblTasks[Agent_source],ROW()-6))</f>
      </c>
      <c r="E256" s="23">
        <f>=IF($A256="","",INDEX(tblTasks[Responsable],ROW()-6))</f>
      </c>
      <c r="F256" s="23">
        <f>=IF($A256="","",INDEX(tblTasks[Statut],ROW()-6))</f>
      </c>
      <c r="G256" s="25">
        <f>=IF($A256="","",INDEX(tblTasks[Date_debut_prevue],ROW()-6))</f>
      </c>
      <c r="H256" s="25">
        <f>=IF($A256="","",INDEX(tblTasks[Date_fin_prevue],ROW()-6))</f>
      </c>
      <c r="I256" s="36">
        <f>=IF($A256="","",INDEX(tblTasks[Duree_jours],ROW()-6))</f>
      </c>
      <c r="J256" s="25">
        <f>=IF($A256="","",INDEX(tblTasks[Date_debut_reelle],ROW()-6))</f>
      </c>
      <c r="K256" s="25">
        <f>=IF($A256="","",INDEX(tblTasks[Date_fin_reelle],ROW()-6))</f>
      </c>
      <c r="L256" s="23">
        <f>=IF($A256="","",INDEX(tblTasks[Blocage],ROW()-6))</f>
      </c>
      <c r="M256" s="23">
        <f>=IF($A256="","",INDEX(tblTasks[Depend_de],ROW()-6))</f>
      </c>
      <c r="N256" s="23">
        <f>=IF($A256="","",INDEX(tblTasks[Non_negociable],ROW()-6))</f>
      </c>
      <c r="O256" s="23">
        <f>=IF($A256="","",INDEX(tblTasks[Seuil_de_reprise],ROW()-6))</f>
      </c>
      <c r="P256" s="23">
        <f>=IF($A256="","",INDEX(tblTasks[Donnee_manquante],ROW()-6))</f>
      </c>
      <c r="Q256" s="23">
        <f>=IF($A256="","",INDEX(tblTasks[Niveau_criticite],ROW()-6))</f>
      </c>
      <c r="R256" s="23">
        <f>=IF($A256="","",INDEX(tblTasks[Irreversibilite],ROW()-6))</f>
      </c>
      <c r="S256" s="23">
        <f>=IF($A256="","",INDEX(tblTasks[Decision_Emmanuel],ROW()-6))</f>
      </c>
      <c r="T256" s="24">
        <f>=IF($A256="","",INDEX(tblTasks[Commentaire_EKT],ROW()-6))</f>
      </c>
      <c r="U256" s="23">
        <f>=IF($A256="","",INDEX(tblTasks[Goulot],ROW()-6))</f>
      </c>
      <c r="V256" s="23">
        <f>=IF($A256="","",INDEX(tblTasks[Point_de_bascule],ROW()-6))</f>
      </c>
      <c r="W256" s="37">
        <f>IF($A256="","",IF(AND(OR(param_filtre_statut="tous",LOWER($F256)=LOWER(param_filtre_statut)),OR(param_filtre_agent="tous",LOWER($D256)=LOWER(param_filtre_agent),LOWER($E256)=LOWER(param_filtre_agent)),OR(param_filtre_criticite="toutes",LOWER($Q256)=LOWER(param_filtre_criticite))),"oui","non"))</f>
      </c>
      <c r="X256" s="37">
        <f>IF($A256="","",IF(OR(LOWER($F256)="bloqué",LOWER($L256)="oui"),"oui","non"))</f>
      </c>
      <c r="Y256" s="37">
        <f>IF($A256="","",IF(OR(LOWER($Q256)="critique",LOWER($U256)="oui",LOWER($V256)="oui"),"oui","non"))</f>
      </c>
      <c r="Z256" s="37">
        <f>IF($A256="","",IF(AND($S256&lt;&gt;"",LOWER($S256)&lt;&gt;"tranchée",LOWER($S256)&lt;&gt;"sans objet",LOWER($S256)&lt;&gt;"clos"),"oui","non"))</f>
      </c>
      <c r="AA256" s="37">
        <f>IF($A256="","",IF($P256&lt;&gt;"","oui","non"))</f>
      </c>
      <c r="AB256" s="37">
        <f>IF($A256="","",IF(OR(LOWER($F256)="non réouvrable",LOWER($R256)="forte"),"oui","non"))</f>
      </c>
    </row>
    <row r="257" spans="1:28" x14ac:dyDescent="0.25">
      <c r="A257" s="23">
        <f>IFERROR(INDEX(tblTasks[ID],ROW()-6),"")</f>
      </c>
      <c r="B257" s="24">
        <f>=IF($A257="","",INDEX(tblTasks[Sujet],ROW()-6))</f>
      </c>
      <c r="C257" s="23">
        <f>=IF($A257="","",INDEX(tblTasks[Lot_Domaine],ROW()-6))</f>
      </c>
      <c r="D257" s="23">
        <f>=IF($A257="","",INDEX(tblTasks[Agent_source],ROW()-6))</f>
      </c>
      <c r="E257" s="23">
        <f>=IF($A257="","",INDEX(tblTasks[Responsable],ROW()-6))</f>
      </c>
      <c r="F257" s="23">
        <f>=IF($A257="","",INDEX(tblTasks[Statut],ROW()-6))</f>
      </c>
      <c r="G257" s="25">
        <f>=IF($A257="","",INDEX(tblTasks[Date_debut_prevue],ROW()-6))</f>
      </c>
      <c r="H257" s="25">
        <f>=IF($A257="","",INDEX(tblTasks[Date_fin_prevue],ROW()-6))</f>
      </c>
      <c r="I257" s="36">
        <f>=IF($A257="","",INDEX(tblTasks[Duree_jours],ROW()-6))</f>
      </c>
      <c r="J257" s="25">
        <f>=IF($A257="","",INDEX(tblTasks[Date_debut_reelle],ROW()-6))</f>
      </c>
      <c r="K257" s="25">
        <f>=IF($A257="","",INDEX(tblTasks[Date_fin_reelle],ROW()-6))</f>
      </c>
      <c r="L257" s="23">
        <f>=IF($A257="","",INDEX(tblTasks[Blocage],ROW()-6))</f>
      </c>
      <c r="M257" s="23">
        <f>=IF($A257="","",INDEX(tblTasks[Depend_de],ROW()-6))</f>
      </c>
      <c r="N257" s="23">
        <f>=IF($A257="","",INDEX(tblTasks[Non_negociable],ROW()-6))</f>
      </c>
      <c r="O257" s="23">
        <f>=IF($A257="","",INDEX(tblTasks[Seuil_de_reprise],ROW()-6))</f>
      </c>
      <c r="P257" s="23">
        <f>=IF($A257="","",INDEX(tblTasks[Donnee_manquante],ROW()-6))</f>
      </c>
      <c r="Q257" s="23">
        <f>=IF($A257="","",INDEX(tblTasks[Niveau_criticite],ROW()-6))</f>
      </c>
      <c r="R257" s="23">
        <f>=IF($A257="","",INDEX(tblTasks[Irreversibilite],ROW()-6))</f>
      </c>
      <c r="S257" s="23">
        <f>=IF($A257="","",INDEX(tblTasks[Decision_Emmanuel],ROW()-6))</f>
      </c>
      <c r="T257" s="24">
        <f>=IF($A257="","",INDEX(tblTasks[Commentaire_EKT],ROW()-6))</f>
      </c>
      <c r="U257" s="23">
        <f>=IF($A257="","",INDEX(tblTasks[Goulot],ROW()-6))</f>
      </c>
      <c r="V257" s="23">
        <f>=IF($A257="","",INDEX(tblTasks[Point_de_bascule],ROW()-6))</f>
      </c>
      <c r="W257" s="37">
        <f>IF($A257="","",IF(AND(OR(param_filtre_statut="tous",LOWER($F257)=LOWER(param_filtre_statut)),OR(param_filtre_agent="tous",LOWER($D257)=LOWER(param_filtre_agent),LOWER($E257)=LOWER(param_filtre_agent)),OR(param_filtre_criticite="toutes",LOWER($Q257)=LOWER(param_filtre_criticite))),"oui","non"))</f>
      </c>
      <c r="X257" s="37">
        <f>IF($A257="","",IF(OR(LOWER($F257)="bloqué",LOWER($L257)="oui"),"oui","non"))</f>
      </c>
      <c r="Y257" s="37">
        <f>IF($A257="","",IF(OR(LOWER($Q257)="critique",LOWER($U257)="oui",LOWER($V257)="oui"),"oui","non"))</f>
      </c>
      <c r="Z257" s="37">
        <f>IF($A257="","",IF(AND($S257&lt;&gt;"",LOWER($S257)&lt;&gt;"tranchée",LOWER($S257)&lt;&gt;"sans objet",LOWER($S257)&lt;&gt;"clos"),"oui","non"))</f>
      </c>
      <c r="AA257" s="37">
        <f>IF($A257="","",IF($P257&lt;&gt;"","oui","non"))</f>
      </c>
      <c r="AB257" s="37">
        <f>IF($A257="","",IF(OR(LOWER($F257)="non réouvrable",LOWER($R257)="forte"),"oui","non"))</f>
      </c>
    </row>
    <row r="258" spans="1:28" x14ac:dyDescent="0.25">
      <c r="A258" s="23">
        <f>IFERROR(INDEX(tblTasks[ID],ROW()-6),"")</f>
      </c>
      <c r="B258" s="24">
        <f>=IF($A258="","",INDEX(tblTasks[Sujet],ROW()-6))</f>
      </c>
      <c r="C258" s="23">
        <f>=IF($A258="","",INDEX(tblTasks[Lot_Domaine],ROW()-6))</f>
      </c>
      <c r="D258" s="23">
        <f>=IF($A258="","",INDEX(tblTasks[Agent_source],ROW()-6))</f>
      </c>
      <c r="E258" s="23">
        <f>=IF($A258="","",INDEX(tblTasks[Responsable],ROW()-6))</f>
      </c>
      <c r="F258" s="23">
        <f>=IF($A258="","",INDEX(tblTasks[Statut],ROW()-6))</f>
      </c>
      <c r="G258" s="25">
        <f>=IF($A258="","",INDEX(tblTasks[Date_debut_prevue],ROW()-6))</f>
      </c>
      <c r="H258" s="25">
        <f>=IF($A258="","",INDEX(tblTasks[Date_fin_prevue],ROW()-6))</f>
      </c>
      <c r="I258" s="36">
        <f>=IF($A258="","",INDEX(tblTasks[Duree_jours],ROW()-6))</f>
      </c>
      <c r="J258" s="25">
        <f>=IF($A258="","",INDEX(tblTasks[Date_debut_reelle],ROW()-6))</f>
      </c>
      <c r="K258" s="25">
        <f>=IF($A258="","",INDEX(tblTasks[Date_fin_reelle],ROW()-6))</f>
      </c>
      <c r="L258" s="23">
        <f>=IF($A258="","",INDEX(tblTasks[Blocage],ROW()-6))</f>
      </c>
      <c r="M258" s="23">
        <f>=IF($A258="","",INDEX(tblTasks[Depend_de],ROW()-6))</f>
      </c>
      <c r="N258" s="23">
        <f>=IF($A258="","",INDEX(tblTasks[Non_negociable],ROW()-6))</f>
      </c>
      <c r="O258" s="23">
        <f>=IF($A258="","",INDEX(tblTasks[Seuil_de_reprise],ROW()-6))</f>
      </c>
      <c r="P258" s="23">
        <f>=IF($A258="","",INDEX(tblTasks[Donnee_manquante],ROW()-6))</f>
      </c>
      <c r="Q258" s="23">
        <f>=IF($A258="","",INDEX(tblTasks[Niveau_criticite],ROW()-6))</f>
      </c>
      <c r="R258" s="23">
        <f>=IF($A258="","",INDEX(tblTasks[Irreversibilite],ROW()-6))</f>
      </c>
      <c r="S258" s="23">
        <f>=IF($A258="","",INDEX(tblTasks[Decision_Emmanuel],ROW()-6))</f>
      </c>
      <c r="T258" s="24">
        <f>=IF($A258="","",INDEX(tblTasks[Commentaire_EKT],ROW()-6))</f>
      </c>
      <c r="U258" s="23">
        <f>=IF($A258="","",INDEX(tblTasks[Goulot],ROW()-6))</f>
      </c>
      <c r="V258" s="23">
        <f>=IF($A258="","",INDEX(tblTasks[Point_de_bascule],ROW()-6))</f>
      </c>
      <c r="W258" s="37">
        <f>IF($A258="","",IF(AND(OR(param_filtre_statut="tous",LOWER($F258)=LOWER(param_filtre_statut)),OR(param_filtre_agent="tous",LOWER($D258)=LOWER(param_filtre_agent),LOWER($E258)=LOWER(param_filtre_agent)),OR(param_filtre_criticite="toutes",LOWER($Q258)=LOWER(param_filtre_criticite))),"oui","non"))</f>
      </c>
      <c r="X258" s="37">
        <f>IF($A258="","",IF(OR(LOWER($F258)="bloqué",LOWER($L258)="oui"),"oui","non"))</f>
      </c>
      <c r="Y258" s="37">
        <f>IF($A258="","",IF(OR(LOWER($Q258)="critique",LOWER($U258)="oui",LOWER($V258)="oui"),"oui","non"))</f>
      </c>
      <c r="Z258" s="37">
        <f>IF($A258="","",IF(AND($S258&lt;&gt;"",LOWER($S258)&lt;&gt;"tranchée",LOWER($S258)&lt;&gt;"sans objet",LOWER($S258)&lt;&gt;"clos"),"oui","non"))</f>
      </c>
      <c r="AA258" s="37">
        <f>IF($A258="","",IF($P258&lt;&gt;"","oui","non"))</f>
      </c>
      <c r="AB258" s="37">
        <f>IF($A258="","",IF(OR(LOWER($F258)="non réouvrable",LOWER($R258)="forte"),"oui","non"))</f>
      </c>
    </row>
    <row r="259" spans="1:28" x14ac:dyDescent="0.25">
      <c r="A259" s="23">
        <f>IFERROR(INDEX(tblTasks[ID],ROW()-6),"")</f>
      </c>
      <c r="B259" s="24">
        <f>=IF($A259="","",INDEX(tblTasks[Sujet],ROW()-6))</f>
      </c>
      <c r="C259" s="23">
        <f>=IF($A259="","",INDEX(tblTasks[Lot_Domaine],ROW()-6))</f>
      </c>
      <c r="D259" s="23">
        <f>=IF($A259="","",INDEX(tblTasks[Agent_source],ROW()-6))</f>
      </c>
      <c r="E259" s="23">
        <f>=IF($A259="","",INDEX(tblTasks[Responsable],ROW()-6))</f>
      </c>
      <c r="F259" s="23">
        <f>=IF($A259="","",INDEX(tblTasks[Statut],ROW()-6))</f>
      </c>
      <c r="G259" s="25">
        <f>=IF($A259="","",INDEX(tblTasks[Date_debut_prevue],ROW()-6))</f>
      </c>
      <c r="H259" s="25">
        <f>=IF($A259="","",INDEX(tblTasks[Date_fin_prevue],ROW()-6))</f>
      </c>
      <c r="I259" s="36">
        <f>=IF($A259="","",INDEX(tblTasks[Duree_jours],ROW()-6))</f>
      </c>
      <c r="J259" s="25">
        <f>=IF($A259="","",INDEX(tblTasks[Date_debut_reelle],ROW()-6))</f>
      </c>
      <c r="K259" s="25">
        <f>=IF($A259="","",INDEX(tblTasks[Date_fin_reelle],ROW()-6))</f>
      </c>
      <c r="L259" s="23">
        <f>=IF($A259="","",INDEX(tblTasks[Blocage],ROW()-6))</f>
      </c>
      <c r="M259" s="23">
        <f>=IF($A259="","",INDEX(tblTasks[Depend_de],ROW()-6))</f>
      </c>
      <c r="N259" s="23">
        <f>=IF($A259="","",INDEX(tblTasks[Non_negociable],ROW()-6))</f>
      </c>
      <c r="O259" s="23">
        <f>=IF($A259="","",INDEX(tblTasks[Seuil_de_reprise],ROW()-6))</f>
      </c>
      <c r="P259" s="23">
        <f>=IF($A259="","",INDEX(tblTasks[Donnee_manquante],ROW()-6))</f>
      </c>
      <c r="Q259" s="23">
        <f>=IF($A259="","",INDEX(tblTasks[Niveau_criticite],ROW()-6))</f>
      </c>
      <c r="R259" s="23">
        <f>=IF($A259="","",INDEX(tblTasks[Irreversibilite],ROW()-6))</f>
      </c>
      <c r="S259" s="23">
        <f>=IF($A259="","",INDEX(tblTasks[Decision_Emmanuel],ROW()-6))</f>
      </c>
      <c r="T259" s="24">
        <f>=IF($A259="","",INDEX(tblTasks[Commentaire_EKT],ROW()-6))</f>
      </c>
      <c r="U259" s="23">
        <f>=IF($A259="","",INDEX(tblTasks[Goulot],ROW()-6))</f>
      </c>
      <c r="V259" s="23">
        <f>=IF($A259="","",INDEX(tblTasks[Point_de_bascule],ROW()-6))</f>
      </c>
      <c r="W259" s="37">
        <f>IF($A259="","",IF(AND(OR(param_filtre_statut="tous",LOWER($F259)=LOWER(param_filtre_statut)),OR(param_filtre_agent="tous",LOWER($D259)=LOWER(param_filtre_agent),LOWER($E259)=LOWER(param_filtre_agent)),OR(param_filtre_criticite="toutes",LOWER($Q259)=LOWER(param_filtre_criticite))),"oui","non"))</f>
      </c>
      <c r="X259" s="37">
        <f>IF($A259="","",IF(OR(LOWER($F259)="bloqué",LOWER($L259)="oui"),"oui","non"))</f>
      </c>
      <c r="Y259" s="37">
        <f>IF($A259="","",IF(OR(LOWER($Q259)="critique",LOWER($U259)="oui",LOWER($V259)="oui"),"oui","non"))</f>
      </c>
      <c r="Z259" s="37">
        <f>IF($A259="","",IF(AND($S259&lt;&gt;"",LOWER($S259)&lt;&gt;"tranchée",LOWER($S259)&lt;&gt;"sans objet",LOWER($S259)&lt;&gt;"clos"),"oui","non"))</f>
      </c>
      <c r="AA259" s="37">
        <f>IF($A259="","",IF($P259&lt;&gt;"","oui","non"))</f>
      </c>
      <c r="AB259" s="37">
        <f>IF($A259="","",IF(OR(LOWER($F259)="non réouvrable",LOWER($R259)="forte"),"oui","non"))</f>
      </c>
    </row>
    <row r="260" spans="1:28" x14ac:dyDescent="0.25">
      <c r="A260" s="23">
        <f>IFERROR(INDEX(tblTasks[ID],ROW()-6),"")</f>
      </c>
      <c r="B260" s="24">
        <f>=IF($A260="","",INDEX(tblTasks[Sujet],ROW()-6))</f>
      </c>
      <c r="C260" s="23">
        <f>=IF($A260="","",INDEX(tblTasks[Lot_Domaine],ROW()-6))</f>
      </c>
      <c r="D260" s="23">
        <f>=IF($A260="","",INDEX(tblTasks[Agent_source],ROW()-6))</f>
      </c>
      <c r="E260" s="23">
        <f>=IF($A260="","",INDEX(tblTasks[Responsable],ROW()-6))</f>
      </c>
      <c r="F260" s="23">
        <f>=IF($A260="","",INDEX(tblTasks[Statut],ROW()-6))</f>
      </c>
      <c r="G260" s="25">
        <f>=IF($A260="","",INDEX(tblTasks[Date_debut_prevue],ROW()-6))</f>
      </c>
      <c r="H260" s="25">
        <f>=IF($A260="","",INDEX(tblTasks[Date_fin_prevue],ROW()-6))</f>
      </c>
      <c r="I260" s="36">
        <f>=IF($A260="","",INDEX(tblTasks[Duree_jours],ROW()-6))</f>
      </c>
      <c r="J260" s="25">
        <f>=IF($A260="","",INDEX(tblTasks[Date_debut_reelle],ROW()-6))</f>
      </c>
      <c r="K260" s="25">
        <f>=IF($A260="","",INDEX(tblTasks[Date_fin_reelle],ROW()-6))</f>
      </c>
      <c r="L260" s="23">
        <f>=IF($A260="","",INDEX(tblTasks[Blocage],ROW()-6))</f>
      </c>
      <c r="M260" s="23">
        <f>=IF($A260="","",INDEX(tblTasks[Depend_de],ROW()-6))</f>
      </c>
      <c r="N260" s="23">
        <f>=IF($A260="","",INDEX(tblTasks[Non_negociable],ROW()-6))</f>
      </c>
      <c r="O260" s="23">
        <f>=IF($A260="","",INDEX(tblTasks[Seuil_de_reprise],ROW()-6))</f>
      </c>
      <c r="P260" s="23">
        <f>=IF($A260="","",INDEX(tblTasks[Donnee_manquante],ROW()-6))</f>
      </c>
      <c r="Q260" s="23">
        <f>=IF($A260="","",INDEX(tblTasks[Niveau_criticite],ROW()-6))</f>
      </c>
      <c r="R260" s="23">
        <f>=IF($A260="","",INDEX(tblTasks[Irreversibilite],ROW()-6))</f>
      </c>
      <c r="S260" s="23">
        <f>=IF($A260="","",INDEX(tblTasks[Decision_Emmanuel],ROW()-6))</f>
      </c>
      <c r="T260" s="24">
        <f>=IF($A260="","",INDEX(tblTasks[Commentaire_EKT],ROW()-6))</f>
      </c>
      <c r="U260" s="23">
        <f>=IF($A260="","",INDEX(tblTasks[Goulot],ROW()-6))</f>
      </c>
      <c r="V260" s="23">
        <f>=IF($A260="","",INDEX(tblTasks[Point_de_bascule],ROW()-6))</f>
      </c>
      <c r="W260" s="37">
        <f>IF($A260="","",IF(AND(OR(param_filtre_statut="tous",LOWER($F260)=LOWER(param_filtre_statut)),OR(param_filtre_agent="tous",LOWER($D260)=LOWER(param_filtre_agent),LOWER($E260)=LOWER(param_filtre_agent)),OR(param_filtre_criticite="toutes",LOWER($Q260)=LOWER(param_filtre_criticite))),"oui","non"))</f>
      </c>
      <c r="X260" s="37">
        <f>IF($A260="","",IF(OR(LOWER($F260)="bloqué",LOWER($L260)="oui"),"oui","non"))</f>
      </c>
      <c r="Y260" s="37">
        <f>IF($A260="","",IF(OR(LOWER($Q260)="critique",LOWER($U260)="oui",LOWER($V260)="oui"),"oui","non"))</f>
      </c>
      <c r="Z260" s="37">
        <f>IF($A260="","",IF(AND($S260&lt;&gt;"",LOWER($S260)&lt;&gt;"tranchée",LOWER($S260)&lt;&gt;"sans objet",LOWER($S260)&lt;&gt;"clos"),"oui","non"))</f>
      </c>
      <c r="AA260" s="37">
        <f>IF($A260="","",IF($P260&lt;&gt;"","oui","non"))</f>
      </c>
      <c r="AB260" s="37">
        <f>IF($A260="","",IF(OR(LOWER($F260)="non réouvrable",LOWER($R260)="forte"),"oui","non"))</f>
      </c>
    </row>
    <row r="261" spans="1:28" x14ac:dyDescent="0.25">
      <c r="A261" s="23">
        <f>IFERROR(INDEX(tblTasks[ID],ROW()-6),"")</f>
      </c>
      <c r="B261" s="24">
        <f>=IF($A261="","",INDEX(tblTasks[Sujet],ROW()-6))</f>
      </c>
      <c r="C261" s="23">
        <f>=IF($A261="","",INDEX(tblTasks[Lot_Domaine],ROW()-6))</f>
      </c>
      <c r="D261" s="23">
        <f>=IF($A261="","",INDEX(tblTasks[Agent_source],ROW()-6))</f>
      </c>
      <c r="E261" s="23">
        <f>=IF($A261="","",INDEX(tblTasks[Responsable],ROW()-6))</f>
      </c>
      <c r="F261" s="23">
        <f>=IF($A261="","",INDEX(tblTasks[Statut],ROW()-6))</f>
      </c>
      <c r="G261" s="25">
        <f>=IF($A261="","",INDEX(tblTasks[Date_debut_prevue],ROW()-6))</f>
      </c>
      <c r="H261" s="25">
        <f>=IF($A261="","",INDEX(tblTasks[Date_fin_prevue],ROW()-6))</f>
      </c>
      <c r="I261" s="36">
        <f>=IF($A261="","",INDEX(tblTasks[Duree_jours],ROW()-6))</f>
      </c>
      <c r="J261" s="25">
        <f>=IF($A261="","",INDEX(tblTasks[Date_debut_reelle],ROW()-6))</f>
      </c>
      <c r="K261" s="25">
        <f>=IF($A261="","",INDEX(tblTasks[Date_fin_reelle],ROW()-6))</f>
      </c>
      <c r="L261" s="23">
        <f>=IF($A261="","",INDEX(tblTasks[Blocage],ROW()-6))</f>
      </c>
      <c r="M261" s="23">
        <f>=IF($A261="","",INDEX(tblTasks[Depend_de],ROW()-6))</f>
      </c>
      <c r="N261" s="23">
        <f>=IF($A261="","",INDEX(tblTasks[Non_negociable],ROW()-6))</f>
      </c>
      <c r="O261" s="23">
        <f>=IF($A261="","",INDEX(tblTasks[Seuil_de_reprise],ROW()-6))</f>
      </c>
      <c r="P261" s="23">
        <f>=IF($A261="","",INDEX(tblTasks[Donnee_manquante],ROW()-6))</f>
      </c>
      <c r="Q261" s="23">
        <f>=IF($A261="","",INDEX(tblTasks[Niveau_criticite],ROW()-6))</f>
      </c>
      <c r="R261" s="23">
        <f>=IF($A261="","",INDEX(tblTasks[Irreversibilite],ROW()-6))</f>
      </c>
      <c r="S261" s="23">
        <f>=IF($A261="","",INDEX(tblTasks[Decision_Emmanuel],ROW()-6))</f>
      </c>
      <c r="T261" s="24">
        <f>=IF($A261="","",INDEX(tblTasks[Commentaire_EKT],ROW()-6))</f>
      </c>
      <c r="U261" s="23">
        <f>=IF($A261="","",INDEX(tblTasks[Goulot],ROW()-6))</f>
      </c>
      <c r="V261" s="23">
        <f>=IF($A261="","",INDEX(tblTasks[Point_de_bascule],ROW()-6))</f>
      </c>
      <c r="W261" s="37">
        <f>IF($A261="","",IF(AND(OR(param_filtre_statut="tous",LOWER($F261)=LOWER(param_filtre_statut)),OR(param_filtre_agent="tous",LOWER($D261)=LOWER(param_filtre_agent),LOWER($E261)=LOWER(param_filtre_agent)),OR(param_filtre_criticite="toutes",LOWER($Q261)=LOWER(param_filtre_criticite))),"oui","non"))</f>
      </c>
      <c r="X261" s="37">
        <f>IF($A261="","",IF(OR(LOWER($F261)="bloqué",LOWER($L261)="oui"),"oui","non"))</f>
      </c>
      <c r="Y261" s="37">
        <f>IF($A261="","",IF(OR(LOWER($Q261)="critique",LOWER($U261)="oui",LOWER($V261)="oui"),"oui","non"))</f>
      </c>
      <c r="Z261" s="37">
        <f>IF($A261="","",IF(AND($S261&lt;&gt;"",LOWER($S261)&lt;&gt;"tranchée",LOWER($S261)&lt;&gt;"sans objet",LOWER($S261)&lt;&gt;"clos"),"oui","non"))</f>
      </c>
      <c r="AA261" s="37">
        <f>IF($A261="","",IF($P261&lt;&gt;"","oui","non"))</f>
      </c>
      <c r="AB261" s="37">
        <f>IF($A261="","",IF(OR(LOWER($F261)="non réouvrable",LOWER($R261)="forte"),"oui","non"))</f>
      </c>
    </row>
    <row r="262" spans="1:28" x14ac:dyDescent="0.25">
      <c r="A262" s="23">
        <f>IFERROR(INDEX(tblTasks[ID],ROW()-6),"")</f>
      </c>
      <c r="B262" s="24">
        <f>=IF($A262="","",INDEX(tblTasks[Sujet],ROW()-6))</f>
      </c>
      <c r="C262" s="23">
        <f>=IF($A262="","",INDEX(tblTasks[Lot_Domaine],ROW()-6))</f>
      </c>
      <c r="D262" s="23">
        <f>=IF($A262="","",INDEX(tblTasks[Agent_source],ROW()-6))</f>
      </c>
      <c r="E262" s="23">
        <f>=IF($A262="","",INDEX(tblTasks[Responsable],ROW()-6))</f>
      </c>
      <c r="F262" s="23">
        <f>=IF($A262="","",INDEX(tblTasks[Statut],ROW()-6))</f>
      </c>
      <c r="G262" s="25">
        <f>=IF($A262="","",INDEX(tblTasks[Date_debut_prevue],ROW()-6))</f>
      </c>
      <c r="H262" s="25">
        <f>=IF($A262="","",INDEX(tblTasks[Date_fin_prevue],ROW()-6))</f>
      </c>
      <c r="I262" s="36">
        <f>=IF($A262="","",INDEX(tblTasks[Duree_jours],ROW()-6))</f>
      </c>
      <c r="J262" s="25">
        <f>=IF($A262="","",INDEX(tblTasks[Date_debut_reelle],ROW()-6))</f>
      </c>
      <c r="K262" s="25">
        <f>=IF($A262="","",INDEX(tblTasks[Date_fin_reelle],ROW()-6))</f>
      </c>
      <c r="L262" s="23">
        <f>=IF($A262="","",INDEX(tblTasks[Blocage],ROW()-6))</f>
      </c>
      <c r="M262" s="23">
        <f>=IF($A262="","",INDEX(tblTasks[Depend_de],ROW()-6))</f>
      </c>
      <c r="N262" s="23">
        <f>=IF($A262="","",INDEX(tblTasks[Non_negociable],ROW()-6))</f>
      </c>
      <c r="O262" s="23">
        <f>=IF($A262="","",INDEX(tblTasks[Seuil_de_reprise],ROW()-6))</f>
      </c>
      <c r="P262" s="23">
        <f>=IF($A262="","",INDEX(tblTasks[Donnee_manquante],ROW()-6))</f>
      </c>
      <c r="Q262" s="23">
        <f>=IF($A262="","",INDEX(tblTasks[Niveau_criticite],ROW()-6))</f>
      </c>
      <c r="R262" s="23">
        <f>=IF($A262="","",INDEX(tblTasks[Irreversibilite],ROW()-6))</f>
      </c>
      <c r="S262" s="23">
        <f>=IF($A262="","",INDEX(tblTasks[Decision_Emmanuel],ROW()-6))</f>
      </c>
      <c r="T262" s="24">
        <f>=IF($A262="","",INDEX(tblTasks[Commentaire_EKT],ROW()-6))</f>
      </c>
      <c r="U262" s="23">
        <f>=IF($A262="","",INDEX(tblTasks[Goulot],ROW()-6))</f>
      </c>
      <c r="V262" s="23">
        <f>=IF($A262="","",INDEX(tblTasks[Point_de_bascule],ROW()-6))</f>
      </c>
      <c r="W262" s="37">
        <f>IF($A262="","",IF(AND(OR(param_filtre_statut="tous",LOWER($F262)=LOWER(param_filtre_statut)),OR(param_filtre_agent="tous",LOWER($D262)=LOWER(param_filtre_agent),LOWER($E262)=LOWER(param_filtre_agent)),OR(param_filtre_criticite="toutes",LOWER($Q262)=LOWER(param_filtre_criticite))),"oui","non"))</f>
      </c>
      <c r="X262" s="37">
        <f>IF($A262="","",IF(OR(LOWER($F262)="bloqué",LOWER($L262)="oui"),"oui","non"))</f>
      </c>
      <c r="Y262" s="37">
        <f>IF($A262="","",IF(OR(LOWER($Q262)="critique",LOWER($U262)="oui",LOWER($V262)="oui"),"oui","non"))</f>
      </c>
      <c r="Z262" s="37">
        <f>IF($A262="","",IF(AND($S262&lt;&gt;"",LOWER($S262)&lt;&gt;"tranchée",LOWER($S262)&lt;&gt;"sans objet",LOWER($S262)&lt;&gt;"clos"),"oui","non"))</f>
      </c>
      <c r="AA262" s="37">
        <f>IF($A262="","",IF($P262&lt;&gt;"","oui","non"))</f>
      </c>
      <c r="AB262" s="37">
        <f>IF($A262="","",IF(OR(LOWER($F262)="non réouvrable",LOWER($R262)="forte"),"oui","non"))</f>
      </c>
    </row>
    <row r="263" spans="1:28" x14ac:dyDescent="0.25">
      <c r="A263" s="23">
        <f>IFERROR(INDEX(tblTasks[ID],ROW()-6),"")</f>
      </c>
      <c r="B263" s="24">
        <f>=IF($A263="","",INDEX(tblTasks[Sujet],ROW()-6))</f>
      </c>
      <c r="C263" s="23">
        <f>=IF($A263="","",INDEX(tblTasks[Lot_Domaine],ROW()-6))</f>
      </c>
      <c r="D263" s="23">
        <f>=IF($A263="","",INDEX(tblTasks[Agent_source],ROW()-6))</f>
      </c>
      <c r="E263" s="23">
        <f>=IF($A263="","",INDEX(tblTasks[Responsable],ROW()-6))</f>
      </c>
      <c r="F263" s="23">
        <f>=IF($A263="","",INDEX(tblTasks[Statut],ROW()-6))</f>
      </c>
      <c r="G263" s="25">
        <f>=IF($A263="","",INDEX(tblTasks[Date_debut_prevue],ROW()-6))</f>
      </c>
      <c r="H263" s="25">
        <f>=IF($A263="","",INDEX(tblTasks[Date_fin_prevue],ROW()-6))</f>
      </c>
      <c r="I263" s="36">
        <f>=IF($A263="","",INDEX(tblTasks[Duree_jours],ROW()-6))</f>
      </c>
      <c r="J263" s="25">
        <f>=IF($A263="","",INDEX(tblTasks[Date_debut_reelle],ROW()-6))</f>
      </c>
      <c r="K263" s="25">
        <f>=IF($A263="","",INDEX(tblTasks[Date_fin_reelle],ROW()-6))</f>
      </c>
      <c r="L263" s="23">
        <f>=IF($A263="","",INDEX(tblTasks[Blocage],ROW()-6))</f>
      </c>
      <c r="M263" s="23">
        <f>=IF($A263="","",INDEX(tblTasks[Depend_de],ROW()-6))</f>
      </c>
      <c r="N263" s="23">
        <f>=IF($A263="","",INDEX(tblTasks[Non_negociable],ROW()-6))</f>
      </c>
      <c r="O263" s="23">
        <f>=IF($A263="","",INDEX(tblTasks[Seuil_de_reprise],ROW()-6))</f>
      </c>
      <c r="P263" s="23">
        <f>=IF($A263="","",INDEX(tblTasks[Donnee_manquante],ROW()-6))</f>
      </c>
      <c r="Q263" s="23">
        <f>=IF($A263="","",INDEX(tblTasks[Niveau_criticite],ROW()-6))</f>
      </c>
      <c r="R263" s="23">
        <f>=IF($A263="","",INDEX(tblTasks[Irreversibilite],ROW()-6))</f>
      </c>
      <c r="S263" s="23">
        <f>=IF($A263="","",INDEX(tblTasks[Decision_Emmanuel],ROW()-6))</f>
      </c>
      <c r="T263" s="24">
        <f>=IF($A263="","",INDEX(tblTasks[Commentaire_EKT],ROW()-6))</f>
      </c>
      <c r="U263" s="23">
        <f>=IF($A263="","",INDEX(tblTasks[Goulot],ROW()-6))</f>
      </c>
      <c r="V263" s="23">
        <f>=IF($A263="","",INDEX(tblTasks[Point_de_bascule],ROW()-6))</f>
      </c>
      <c r="W263" s="37">
        <f>IF($A263="","",IF(AND(OR(param_filtre_statut="tous",LOWER($F263)=LOWER(param_filtre_statut)),OR(param_filtre_agent="tous",LOWER($D263)=LOWER(param_filtre_agent),LOWER($E263)=LOWER(param_filtre_agent)),OR(param_filtre_criticite="toutes",LOWER($Q263)=LOWER(param_filtre_criticite))),"oui","non"))</f>
      </c>
      <c r="X263" s="37">
        <f>IF($A263="","",IF(OR(LOWER($F263)="bloqué",LOWER($L263)="oui"),"oui","non"))</f>
      </c>
      <c r="Y263" s="37">
        <f>IF($A263="","",IF(OR(LOWER($Q263)="critique",LOWER($U263)="oui",LOWER($V263)="oui"),"oui","non"))</f>
      </c>
      <c r="Z263" s="37">
        <f>IF($A263="","",IF(AND($S263&lt;&gt;"",LOWER($S263)&lt;&gt;"tranchée",LOWER($S263)&lt;&gt;"sans objet",LOWER($S263)&lt;&gt;"clos"),"oui","non"))</f>
      </c>
      <c r="AA263" s="37">
        <f>IF($A263="","",IF($P263&lt;&gt;"","oui","non"))</f>
      </c>
      <c r="AB263" s="37">
        <f>IF($A263="","",IF(OR(LOWER($F263)="non réouvrable",LOWER($R263)="forte"),"oui","non"))</f>
      </c>
    </row>
    <row r="264" spans="1:28" x14ac:dyDescent="0.25">
      <c r="A264" s="23">
        <f>IFERROR(INDEX(tblTasks[ID],ROW()-6),"")</f>
      </c>
      <c r="B264" s="24">
        <f>=IF($A264="","",INDEX(tblTasks[Sujet],ROW()-6))</f>
      </c>
      <c r="C264" s="23">
        <f>=IF($A264="","",INDEX(tblTasks[Lot_Domaine],ROW()-6))</f>
      </c>
      <c r="D264" s="23">
        <f>=IF($A264="","",INDEX(tblTasks[Agent_source],ROW()-6))</f>
      </c>
      <c r="E264" s="23">
        <f>=IF($A264="","",INDEX(tblTasks[Responsable],ROW()-6))</f>
      </c>
      <c r="F264" s="23">
        <f>=IF($A264="","",INDEX(tblTasks[Statut],ROW()-6))</f>
      </c>
      <c r="G264" s="25">
        <f>=IF($A264="","",INDEX(tblTasks[Date_debut_prevue],ROW()-6))</f>
      </c>
      <c r="H264" s="25">
        <f>=IF($A264="","",INDEX(tblTasks[Date_fin_prevue],ROW()-6))</f>
      </c>
      <c r="I264" s="36">
        <f>=IF($A264="","",INDEX(tblTasks[Duree_jours],ROW()-6))</f>
      </c>
      <c r="J264" s="25">
        <f>=IF($A264="","",INDEX(tblTasks[Date_debut_reelle],ROW()-6))</f>
      </c>
      <c r="K264" s="25">
        <f>=IF($A264="","",INDEX(tblTasks[Date_fin_reelle],ROW()-6))</f>
      </c>
      <c r="L264" s="23">
        <f>=IF($A264="","",INDEX(tblTasks[Blocage],ROW()-6))</f>
      </c>
      <c r="M264" s="23">
        <f>=IF($A264="","",INDEX(tblTasks[Depend_de],ROW()-6))</f>
      </c>
      <c r="N264" s="23">
        <f>=IF($A264="","",INDEX(tblTasks[Non_negociable],ROW()-6))</f>
      </c>
      <c r="O264" s="23">
        <f>=IF($A264="","",INDEX(tblTasks[Seuil_de_reprise],ROW()-6))</f>
      </c>
      <c r="P264" s="23">
        <f>=IF($A264="","",INDEX(tblTasks[Donnee_manquante],ROW()-6))</f>
      </c>
      <c r="Q264" s="23">
        <f>=IF($A264="","",INDEX(tblTasks[Niveau_criticite],ROW()-6))</f>
      </c>
      <c r="R264" s="23">
        <f>=IF($A264="","",INDEX(tblTasks[Irreversibilite],ROW()-6))</f>
      </c>
      <c r="S264" s="23">
        <f>=IF($A264="","",INDEX(tblTasks[Decision_Emmanuel],ROW()-6))</f>
      </c>
      <c r="T264" s="24">
        <f>=IF($A264="","",INDEX(tblTasks[Commentaire_EKT],ROW()-6))</f>
      </c>
      <c r="U264" s="23">
        <f>=IF($A264="","",INDEX(tblTasks[Goulot],ROW()-6))</f>
      </c>
      <c r="V264" s="23">
        <f>=IF($A264="","",INDEX(tblTasks[Point_de_bascule],ROW()-6))</f>
      </c>
      <c r="W264" s="37">
        <f>IF($A264="","",IF(AND(OR(param_filtre_statut="tous",LOWER($F264)=LOWER(param_filtre_statut)),OR(param_filtre_agent="tous",LOWER($D264)=LOWER(param_filtre_agent),LOWER($E264)=LOWER(param_filtre_agent)),OR(param_filtre_criticite="toutes",LOWER($Q264)=LOWER(param_filtre_criticite))),"oui","non"))</f>
      </c>
      <c r="X264" s="37">
        <f>IF($A264="","",IF(OR(LOWER($F264)="bloqué",LOWER($L264)="oui"),"oui","non"))</f>
      </c>
      <c r="Y264" s="37">
        <f>IF($A264="","",IF(OR(LOWER($Q264)="critique",LOWER($U264)="oui",LOWER($V264)="oui"),"oui","non"))</f>
      </c>
      <c r="Z264" s="37">
        <f>IF($A264="","",IF(AND($S264&lt;&gt;"",LOWER($S264)&lt;&gt;"tranchée",LOWER($S264)&lt;&gt;"sans objet",LOWER($S264)&lt;&gt;"clos"),"oui","non"))</f>
      </c>
      <c r="AA264" s="37">
        <f>IF($A264="","",IF($P264&lt;&gt;"","oui","non"))</f>
      </c>
      <c r="AB264" s="37">
        <f>IF($A264="","",IF(OR(LOWER($F264)="non réouvrable",LOWER($R264)="forte"),"oui","non"))</f>
      </c>
    </row>
    <row r="265" spans="1:28" x14ac:dyDescent="0.25">
      <c r="A265" s="23">
        <f>IFERROR(INDEX(tblTasks[ID],ROW()-6),"")</f>
      </c>
      <c r="B265" s="24">
        <f>=IF($A265="","",INDEX(tblTasks[Sujet],ROW()-6))</f>
      </c>
      <c r="C265" s="23">
        <f>=IF($A265="","",INDEX(tblTasks[Lot_Domaine],ROW()-6))</f>
      </c>
      <c r="D265" s="23">
        <f>=IF($A265="","",INDEX(tblTasks[Agent_source],ROW()-6))</f>
      </c>
      <c r="E265" s="23">
        <f>=IF($A265="","",INDEX(tblTasks[Responsable],ROW()-6))</f>
      </c>
      <c r="F265" s="23">
        <f>=IF($A265="","",INDEX(tblTasks[Statut],ROW()-6))</f>
      </c>
      <c r="G265" s="25">
        <f>=IF($A265="","",INDEX(tblTasks[Date_debut_prevue],ROW()-6))</f>
      </c>
      <c r="H265" s="25">
        <f>=IF($A265="","",INDEX(tblTasks[Date_fin_prevue],ROW()-6))</f>
      </c>
      <c r="I265" s="36">
        <f>=IF($A265="","",INDEX(tblTasks[Duree_jours],ROW()-6))</f>
      </c>
      <c r="J265" s="25">
        <f>=IF($A265="","",INDEX(tblTasks[Date_debut_reelle],ROW()-6))</f>
      </c>
      <c r="K265" s="25">
        <f>=IF($A265="","",INDEX(tblTasks[Date_fin_reelle],ROW()-6))</f>
      </c>
      <c r="L265" s="23">
        <f>=IF($A265="","",INDEX(tblTasks[Blocage],ROW()-6))</f>
      </c>
      <c r="M265" s="23">
        <f>=IF($A265="","",INDEX(tblTasks[Depend_de],ROW()-6))</f>
      </c>
      <c r="N265" s="23">
        <f>=IF($A265="","",INDEX(tblTasks[Non_negociable],ROW()-6))</f>
      </c>
      <c r="O265" s="23">
        <f>=IF($A265="","",INDEX(tblTasks[Seuil_de_reprise],ROW()-6))</f>
      </c>
      <c r="P265" s="23">
        <f>=IF($A265="","",INDEX(tblTasks[Donnee_manquante],ROW()-6))</f>
      </c>
      <c r="Q265" s="23">
        <f>=IF($A265="","",INDEX(tblTasks[Niveau_criticite],ROW()-6))</f>
      </c>
      <c r="R265" s="23">
        <f>=IF($A265="","",INDEX(tblTasks[Irreversibilite],ROW()-6))</f>
      </c>
      <c r="S265" s="23">
        <f>=IF($A265="","",INDEX(tblTasks[Decision_Emmanuel],ROW()-6))</f>
      </c>
      <c r="T265" s="24">
        <f>=IF($A265="","",INDEX(tblTasks[Commentaire_EKT],ROW()-6))</f>
      </c>
      <c r="U265" s="23">
        <f>=IF($A265="","",INDEX(tblTasks[Goulot],ROW()-6))</f>
      </c>
      <c r="V265" s="23">
        <f>=IF($A265="","",INDEX(tblTasks[Point_de_bascule],ROW()-6))</f>
      </c>
      <c r="W265" s="37">
        <f>IF($A265="","",IF(AND(OR(param_filtre_statut="tous",LOWER($F265)=LOWER(param_filtre_statut)),OR(param_filtre_agent="tous",LOWER($D265)=LOWER(param_filtre_agent),LOWER($E265)=LOWER(param_filtre_agent)),OR(param_filtre_criticite="toutes",LOWER($Q265)=LOWER(param_filtre_criticite))),"oui","non"))</f>
      </c>
      <c r="X265" s="37">
        <f>IF($A265="","",IF(OR(LOWER($F265)="bloqué",LOWER($L265)="oui"),"oui","non"))</f>
      </c>
      <c r="Y265" s="37">
        <f>IF($A265="","",IF(OR(LOWER($Q265)="critique",LOWER($U265)="oui",LOWER($V265)="oui"),"oui","non"))</f>
      </c>
      <c r="Z265" s="37">
        <f>IF($A265="","",IF(AND($S265&lt;&gt;"",LOWER($S265)&lt;&gt;"tranchée",LOWER($S265)&lt;&gt;"sans objet",LOWER($S265)&lt;&gt;"clos"),"oui","non"))</f>
      </c>
      <c r="AA265" s="37">
        <f>IF($A265="","",IF($P265&lt;&gt;"","oui","non"))</f>
      </c>
      <c r="AB265" s="37">
        <f>IF($A265="","",IF(OR(LOWER($F265)="non réouvrable",LOWER($R265)="forte"),"oui","non"))</f>
      </c>
    </row>
    <row r="266" spans="1:28" x14ac:dyDescent="0.25">
      <c r="A266" s="23">
        <f>IFERROR(INDEX(tblTasks[ID],ROW()-6),"")</f>
      </c>
      <c r="B266" s="24">
        <f>=IF($A266="","",INDEX(tblTasks[Sujet],ROW()-6))</f>
      </c>
      <c r="C266" s="23">
        <f>=IF($A266="","",INDEX(tblTasks[Lot_Domaine],ROW()-6))</f>
      </c>
      <c r="D266" s="23">
        <f>=IF($A266="","",INDEX(tblTasks[Agent_source],ROW()-6))</f>
      </c>
      <c r="E266" s="23">
        <f>=IF($A266="","",INDEX(tblTasks[Responsable],ROW()-6))</f>
      </c>
      <c r="F266" s="23">
        <f>=IF($A266="","",INDEX(tblTasks[Statut],ROW()-6))</f>
      </c>
      <c r="G266" s="25">
        <f>=IF($A266="","",INDEX(tblTasks[Date_debut_prevue],ROW()-6))</f>
      </c>
      <c r="H266" s="25">
        <f>=IF($A266="","",INDEX(tblTasks[Date_fin_prevue],ROW()-6))</f>
      </c>
      <c r="I266" s="36">
        <f>=IF($A266="","",INDEX(tblTasks[Duree_jours],ROW()-6))</f>
      </c>
      <c r="J266" s="25">
        <f>=IF($A266="","",INDEX(tblTasks[Date_debut_reelle],ROW()-6))</f>
      </c>
      <c r="K266" s="25">
        <f>=IF($A266="","",INDEX(tblTasks[Date_fin_reelle],ROW()-6))</f>
      </c>
      <c r="L266" s="23">
        <f>=IF($A266="","",INDEX(tblTasks[Blocage],ROW()-6))</f>
      </c>
      <c r="M266" s="23">
        <f>=IF($A266="","",INDEX(tblTasks[Depend_de],ROW()-6))</f>
      </c>
      <c r="N266" s="23">
        <f>=IF($A266="","",INDEX(tblTasks[Non_negociable],ROW()-6))</f>
      </c>
      <c r="O266" s="23">
        <f>=IF($A266="","",INDEX(tblTasks[Seuil_de_reprise],ROW()-6))</f>
      </c>
      <c r="P266" s="23">
        <f>=IF($A266="","",INDEX(tblTasks[Donnee_manquante],ROW()-6))</f>
      </c>
      <c r="Q266" s="23">
        <f>=IF($A266="","",INDEX(tblTasks[Niveau_criticite],ROW()-6))</f>
      </c>
      <c r="R266" s="23">
        <f>=IF($A266="","",INDEX(tblTasks[Irreversibilite],ROW()-6))</f>
      </c>
      <c r="S266" s="23">
        <f>=IF($A266="","",INDEX(tblTasks[Decision_Emmanuel],ROW()-6))</f>
      </c>
      <c r="T266" s="24">
        <f>=IF($A266="","",INDEX(tblTasks[Commentaire_EKT],ROW()-6))</f>
      </c>
      <c r="U266" s="23">
        <f>=IF($A266="","",INDEX(tblTasks[Goulot],ROW()-6))</f>
      </c>
      <c r="V266" s="23">
        <f>=IF($A266="","",INDEX(tblTasks[Point_de_bascule],ROW()-6))</f>
      </c>
      <c r="W266" s="37">
        <f>IF($A266="","",IF(AND(OR(param_filtre_statut="tous",LOWER($F266)=LOWER(param_filtre_statut)),OR(param_filtre_agent="tous",LOWER($D266)=LOWER(param_filtre_agent),LOWER($E266)=LOWER(param_filtre_agent)),OR(param_filtre_criticite="toutes",LOWER($Q266)=LOWER(param_filtre_criticite))),"oui","non"))</f>
      </c>
      <c r="X266" s="37">
        <f>IF($A266="","",IF(OR(LOWER($F266)="bloqué",LOWER($L266)="oui"),"oui","non"))</f>
      </c>
      <c r="Y266" s="37">
        <f>IF($A266="","",IF(OR(LOWER($Q266)="critique",LOWER($U266)="oui",LOWER($V266)="oui"),"oui","non"))</f>
      </c>
      <c r="Z266" s="37">
        <f>IF($A266="","",IF(AND($S266&lt;&gt;"",LOWER($S266)&lt;&gt;"tranchée",LOWER($S266)&lt;&gt;"sans objet",LOWER($S266)&lt;&gt;"clos"),"oui","non"))</f>
      </c>
      <c r="AA266" s="37">
        <f>IF($A266="","",IF($P266&lt;&gt;"","oui","non"))</f>
      </c>
      <c r="AB266" s="37">
        <f>IF($A266="","",IF(OR(LOWER($F266)="non réouvrable",LOWER($R266)="forte"),"oui","non"))</f>
      </c>
    </row>
    <row r="267" spans="1:28" x14ac:dyDescent="0.25">
      <c r="A267" s="23">
        <f>IFERROR(INDEX(tblTasks[ID],ROW()-6),"")</f>
      </c>
      <c r="B267" s="24">
        <f>=IF($A267="","",INDEX(tblTasks[Sujet],ROW()-6))</f>
      </c>
      <c r="C267" s="23">
        <f>=IF($A267="","",INDEX(tblTasks[Lot_Domaine],ROW()-6))</f>
      </c>
      <c r="D267" s="23">
        <f>=IF($A267="","",INDEX(tblTasks[Agent_source],ROW()-6))</f>
      </c>
      <c r="E267" s="23">
        <f>=IF($A267="","",INDEX(tblTasks[Responsable],ROW()-6))</f>
      </c>
      <c r="F267" s="23">
        <f>=IF($A267="","",INDEX(tblTasks[Statut],ROW()-6))</f>
      </c>
      <c r="G267" s="25">
        <f>=IF($A267="","",INDEX(tblTasks[Date_debut_prevue],ROW()-6))</f>
      </c>
      <c r="H267" s="25">
        <f>=IF($A267="","",INDEX(tblTasks[Date_fin_prevue],ROW()-6))</f>
      </c>
      <c r="I267" s="36">
        <f>=IF($A267="","",INDEX(tblTasks[Duree_jours],ROW()-6))</f>
      </c>
      <c r="J267" s="25">
        <f>=IF($A267="","",INDEX(tblTasks[Date_debut_reelle],ROW()-6))</f>
      </c>
      <c r="K267" s="25">
        <f>=IF($A267="","",INDEX(tblTasks[Date_fin_reelle],ROW()-6))</f>
      </c>
      <c r="L267" s="23">
        <f>=IF($A267="","",INDEX(tblTasks[Blocage],ROW()-6))</f>
      </c>
      <c r="M267" s="23">
        <f>=IF($A267="","",INDEX(tblTasks[Depend_de],ROW()-6))</f>
      </c>
      <c r="N267" s="23">
        <f>=IF($A267="","",INDEX(tblTasks[Non_negociable],ROW()-6))</f>
      </c>
      <c r="O267" s="23">
        <f>=IF($A267="","",INDEX(tblTasks[Seuil_de_reprise],ROW()-6))</f>
      </c>
      <c r="P267" s="23">
        <f>=IF($A267="","",INDEX(tblTasks[Donnee_manquante],ROW()-6))</f>
      </c>
      <c r="Q267" s="23">
        <f>=IF($A267="","",INDEX(tblTasks[Niveau_criticite],ROW()-6))</f>
      </c>
      <c r="R267" s="23">
        <f>=IF($A267="","",INDEX(tblTasks[Irreversibilite],ROW()-6))</f>
      </c>
      <c r="S267" s="23">
        <f>=IF($A267="","",INDEX(tblTasks[Decision_Emmanuel],ROW()-6))</f>
      </c>
      <c r="T267" s="24">
        <f>=IF($A267="","",INDEX(tblTasks[Commentaire_EKT],ROW()-6))</f>
      </c>
      <c r="U267" s="23">
        <f>=IF($A267="","",INDEX(tblTasks[Goulot],ROW()-6))</f>
      </c>
      <c r="V267" s="23">
        <f>=IF($A267="","",INDEX(tblTasks[Point_de_bascule],ROW()-6))</f>
      </c>
      <c r="W267" s="37">
        <f>IF($A267="","",IF(AND(OR(param_filtre_statut="tous",LOWER($F267)=LOWER(param_filtre_statut)),OR(param_filtre_agent="tous",LOWER($D267)=LOWER(param_filtre_agent),LOWER($E267)=LOWER(param_filtre_agent)),OR(param_filtre_criticite="toutes",LOWER($Q267)=LOWER(param_filtre_criticite))),"oui","non"))</f>
      </c>
      <c r="X267" s="37">
        <f>IF($A267="","",IF(OR(LOWER($F267)="bloqué",LOWER($L267)="oui"),"oui","non"))</f>
      </c>
      <c r="Y267" s="37">
        <f>IF($A267="","",IF(OR(LOWER($Q267)="critique",LOWER($U267)="oui",LOWER($V267)="oui"),"oui","non"))</f>
      </c>
      <c r="Z267" s="37">
        <f>IF($A267="","",IF(AND($S267&lt;&gt;"",LOWER($S267)&lt;&gt;"tranchée",LOWER($S267)&lt;&gt;"sans objet",LOWER($S267)&lt;&gt;"clos"),"oui","non"))</f>
      </c>
      <c r="AA267" s="37">
        <f>IF($A267="","",IF($P267&lt;&gt;"","oui","non"))</f>
      </c>
      <c r="AB267" s="37">
        <f>IF($A267="","",IF(OR(LOWER($F267)="non réouvrable",LOWER($R267)="forte"),"oui","non"))</f>
      </c>
    </row>
    <row r="268" spans="1:28" x14ac:dyDescent="0.25">
      <c r="A268" s="23">
        <f>IFERROR(INDEX(tblTasks[ID],ROW()-6),"")</f>
      </c>
      <c r="B268" s="24">
        <f>=IF($A268="","",INDEX(tblTasks[Sujet],ROW()-6))</f>
      </c>
      <c r="C268" s="23">
        <f>=IF($A268="","",INDEX(tblTasks[Lot_Domaine],ROW()-6))</f>
      </c>
      <c r="D268" s="23">
        <f>=IF($A268="","",INDEX(tblTasks[Agent_source],ROW()-6))</f>
      </c>
      <c r="E268" s="23">
        <f>=IF($A268="","",INDEX(tblTasks[Responsable],ROW()-6))</f>
      </c>
      <c r="F268" s="23">
        <f>=IF($A268="","",INDEX(tblTasks[Statut],ROW()-6))</f>
      </c>
      <c r="G268" s="25">
        <f>=IF($A268="","",INDEX(tblTasks[Date_debut_prevue],ROW()-6))</f>
      </c>
      <c r="H268" s="25">
        <f>=IF($A268="","",INDEX(tblTasks[Date_fin_prevue],ROW()-6))</f>
      </c>
      <c r="I268" s="36">
        <f>=IF($A268="","",INDEX(tblTasks[Duree_jours],ROW()-6))</f>
      </c>
      <c r="J268" s="25">
        <f>=IF($A268="","",INDEX(tblTasks[Date_debut_reelle],ROW()-6))</f>
      </c>
      <c r="K268" s="25">
        <f>=IF($A268="","",INDEX(tblTasks[Date_fin_reelle],ROW()-6))</f>
      </c>
      <c r="L268" s="23">
        <f>=IF($A268="","",INDEX(tblTasks[Blocage],ROW()-6))</f>
      </c>
      <c r="M268" s="23">
        <f>=IF($A268="","",INDEX(tblTasks[Depend_de],ROW()-6))</f>
      </c>
      <c r="N268" s="23">
        <f>=IF($A268="","",INDEX(tblTasks[Non_negociable],ROW()-6))</f>
      </c>
      <c r="O268" s="23">
        <f>=IF($A268="","",INDEX(tblTasks[Seuil_de_reprise],ROW()-6))</f>
      </c>
      <c r="P268" s="23">
        <f>=IF($A268="","",INDEX(tblTasks[Donnee_manquante],ROW()-6))</f>
      </c>
      <c r="Q268" s="23">
        <f>=IF($A268="","",INDEX(tblTasks[Niveau_criticite],ROW()-6))</f>
      </c>
      <c r="R268" s="23">
        <f>=IF($A268="","",INDEX(tblTasks[Irreversibilite],ROW()-6))</f>
      </c>
      <c r="S268" s="23">
        <f>=IF($A268="","",INDEX(tblTasks[Decision_Emmanuel],ROW()-6))</f>
      </c>
      <c r="T268" s="24">
        <f>=IF($A268="","",INDEX(tblTasks[Commentaire_EKT],ROW()-6))</f>
      </c>
      <c r="U268" s="23">
        <f>=IF($A268="","",INDEX(tblTasks[Goulot],ROW()-6))</f>
      </c>
      <c r="V268" s="23">
        <f>=IF($A268="","",INDEX(tblTasks[Point_de_bascule],ROW()-6))</f>
      </c>
      <c r="W268" s="37">
        <f>IF($A268="","",IF(AND(OR(param_filtre_statut="tous",LOWER($F268)=LOWER(param_filtre_statut)),OR(param_filtre_agent="tous",LOWER($D268)=LOWER(param_filtre_agent),LOWER($E268)=LOWER(param_filtre_agent)),OR(param_filtre_criticite="toutes",LOWER($Q268)=LOWER(param_filtre_criticite))),"oui","non"))</f>
      </c>
      <c r="X268" s="37">
        <f>IF($A268="","",IF(OR(LOWER($F268)="bloqué",LOWER($L268)="oui"),"oui","non"))</f>
      </c>
      <c r="Y268" s="37">
        <f>IF($A268="","",IF(OR(LOWER($Q268)="critique",LOWER($U268)="oui",LOWER($V268)="oui"),"oui","non"))</f>
      </c>
      <c r="Z268" s="37">
        <f>IF($A268="","",IF(AND($S268&lt;&gt;"",LOWER($S268)&lt;&gt;"tranchée",LOWER($S268)&lt;&gt;"sans objet",LOWER($S268)&lt;&gt;"clos"),"oui","non"))</f>
      </c>
      <c r="AA268" s="37">
        <f>IF($A268="","",IF($P268&lt;&gt;"","oui","non"))</f>
      </c>
      <c r="AB268" s="37">
        <f>IF($A268="","",IF(OR(LOWER($F268)="non réouvrable",LOWER($R268)="forte"),"oui","non"))</f>
      </c>
    </row>
    <row r="269" spans="1:28" x14ac:dyDescent="0.25">
      <c r="A269" s="23">
        <f>IFERROR(INDEX(tblTasks[ID],ROW()-6),"")</f>
      </c>
      <c r="B269" s="24">
        <f>=IF($A269="","",INDEX(tblTasks[Sujet],ROW()-6))</f>
      </c>
      <c r="C269" s="23">
        <f>=IF($A269="","",INDEX(tblTasks[Lot_Domaine],ROW()-6))</f>
      </c>
      <c r="D269" s="23">
        <f>=IF($A269="","",INDEX(tblTasks[Agent_source],ROW()-6))</f>
      </c>
      <c r="E269" s="23">
        <f>=IF($A269="","",INDEX(tblTasks[Responsable],ROW()-6))</f>
      </c>
      <c r="F269" s="23">
        <f>=IF($A269="","",INDEX(tblTasks[Statut],ROW()-6))</f>
      </c>
      <c r="G269" s="25">
        <f>=IF($A269="","",INDEX(tblTasks[Date_debut_prevue],ROW()-6))</f>
      </c>
      <c r="H269" s="25">
        <f>=IF($A269="","",INDEX(tblTasks[Date_fin_prevue],ROW()-6))</f>
      </c>
      <c r="I269" s="36">
        <f>=IF($A269="","",INDEX(tblTasks[Duree_jours],ROW()-6))</f>
      </c>
      <c r="J269" s="25">
        <f>=IF($A269="","",INDEX(tblTasks[Date_debut_reelle],ROW()-6))</f>
      </c>
      <c r="K269" s="25">
        <f>=IF($A269="","",INDEX(tblTasks[Date_fin_reelle],ROW()-6))</f>
      </c>
      <c r="L269" s="23">
        <f>=IF($A269="","",INDEX(tblTasks[Blocage],ROW()-6))</f>
      </c>
      <c r="M269" s="23">
        <f>=IF($A269="","",INDEX(tblTasks[Depend_de],ROW()-6))</f>
      </c>
      <c r="N269" s="23">
        <f>=IF($A269="","",INDEX(tblTasks[Non_negociable],ROW()-6))</f>
      </c>
      <c r="O269" s="23">
        <f>=IF($A269="","",INDEX(tblTasks[Seuil_de_reprise],ROW()-6))</f>
      </c>
      <c r="P269" s="23">
        <f>=IF($A269="","",INDEX(tblTasks[Donnee_manquante],ROW()-6))</f>
      </c>
      <c r="Q269" s="23">
        <f>=IF($A269="","",INDEX(tblTasks[Niveau_criticite],ROW()-6))</f>
      </c>
      <c r="R269" s="23">
        <f>=IF($A269="","",INDEX(tblTasks[Irreversibilite],ROW()-6))</f>
      </c>
      <c r="S269" s="23">
        <f>=IF($A269="","",INDEX(tblTasks[Decision_Emmanuel],ROW()-6))</f>
      </c>
      <c r="T269" s="24">
        <f>=IF($A269="","",INDEX(tblTasks[Commentaire_EKT],ROW()-6))</f>
      </c>
      <c r="U269" s="23">
        <f>=IF($A269="","",INDEX(tblTasks[Goulot],ROW()-6))</f>
      </c>
      <c r="V269" s="23">
        <f>=IF($A269="","",INDEX(tblTasks[Point_de_bascule],ROW()-6))</f>
      </c>
      <c r="W269" s="37">
        <f>IF($A269="","",IF(AND(OR(param_filtre_statut="tous",LOWER($F269)=LOWER(param_filtre_statut)),OR(param_filtre_agent="tous",LOWER($D269)=LOWER(param_filtre_agent),LOWER($E269)=LOWER(param_filtre_agent)),OR(param_filtre_criticite="toutes",LOWER($Q269)=LOWER(param_filtre_criticite))),"oui","non"))</f>
      </c>
      <c r="X269" s="37">
        <f>IF($A269="","",IF(OR(LOWER($F269)="bloqué",LOWER($L269)="oui"),"oui","non"))</f>
      </c>
      <c r="Y269" s="37">
        <f>IF($A269="","",IF(OR(LOWER($Q269)="critique",LOWER($U269)="oui",LOWER($V269)="oui"),"oui","non"))</f>
      </c>
      <c r="Z269" s="37">
        <f>IF($A269="","",IF(AND($S269&lt;&gt;"",LOWER($S269)&lt;&gt;"tranchée",LOWER($S269)&lt;&gt;"sans objet",LOWER($S269)&lt;&gt;"clos"),"oui","non"))</f>
      </c>
      <c r="AA269" s="37">
        <f>IF($A269="","",IF($P269&lt;&gt;"","oui","non"))</f>
      </c>
      <c r="AB269" s="37">
        <f>IF($A269="","",IF(OR(LOWER($F269)="non réouvrable",LOWER($R269)="forte"),"oui","non"))</f>
      </c>
    </row>
    <row r="270" spans="1:28" x14ac:dyDescent="0.25">
      <c r="A270" s="23">
        <f>IFERROR(INDEX(tblTasks[ID],ROW()-6),"")</f>
      </c>
      <c r="B270" s="24">
        <f>=IF($A270="","",INDEX(tblTasks[Sujet],ROW()-6))</f>
      </c>
      <c r="C270" s="23">
        <f>=IF($A270="","",INDEX(tblTasks[Lot_Domaine],ROW()-6))</f>
      </c>
      <c r="D270" s="23">
        <f>=IF($A270="","",INDEX(tblTasks[Agent_source],ROW()-6))</f>
      </c>
      <c r="E270" s="23">
        <f>=IF($A270="","",INDEX(tblTasks[Responsable],ROW()-6))</f>
      </c>
      <c r="F270" s="23">
        <f>=IF($A270="","",INDEX(tblTasks[Statut],ROW()-6))</f>
      </c>
      <c r="G270" s="25">
        <f>=IF($A270="","",INDEX(tblTasks[Date_debut_prevue],ROW()-6))</f>
      </c>
      <c r="H270" s="25">
        <f>=IF($A270="","",INDEX(tblTasks[Date_fin_prevue],ROW()-6))</f>
      </c>
      <c r="I270" s="36">
        <f>=IF($A270="","",INDEX(tblTasks[Duree_jours],ROW()-6))</f>
      </c>
      <c r="J270" s="25">
        <f>=IF($A270="","",INDEX(tblTasks[Date_debut_reelle],ROW()-6))</f>
      </c>
      <c r="K270" s="25">
        <f>=IF($A270="","",INDEX(tblTasks[Date_fin_reelle],ROW()-6))</f>
      </c>
      <c r="L270" s="23">
        <f>=IF($A270="","",INDEX(tblTasks[Blocage],ROW()-6))</f>
      </c>
      <c r="M270" s="23">
        <f>=IF($A270="","",INDEX(tblTasks[Depend_de],ROW()-6))</f>
      </c>
      <c r="N270" s="23">
        <f>=IF($A270="","",INDEX(tblTasks[Non_negociable],ROW()-6))</f>
      </c>
      <c r="O270" s="23">
        <f>=IF($A270="","",INDEX(tblTasks[Seuil_de_reprise],ROW()-6))</f>
      </c>
      <c r="P270" s="23">
        <f>=IF($A270="","",INDEX(tblTasks[Donnee_manquante],ROW()-6))</f>
      </c>
      <c r="Q270" s="23">
        <f>=IF($A270="","",INDEX(tblTasks[Niveau_criticite],ROW()-6))</f>
      </c>
      <c r="R270" s="23">
        <f>=IF($A270="","",INDEX(tblTasks[Irreversibilite],ROW()-6))</f>
      </c>
      <c r="S270" s="23">
        <f>=IF($A270="","",INDEX(tblTasks[Decision_Emmanuel],ROW()-6))</f>
      </c>
      <c r="T270" s="24">
        <f>=IF($A270="","",INDEX(tblTasks[Commentaire_EKT],ROW()-6))</f>
      </c>
      <c r="U270" s="23">
        <f>=IF($A270="","",INDEX(tblTasks[Goulot],ROW()-6))</f>
      </c>
      <c r="V270" s="23">
        <f>=IF($A270="","",INDEX(tblTasks[Point_de_bascule],ROW()-6))</f>
      </c>
      <c r="W270" s="37">
        <f>IF($A270="","",IF(AND(OR(param_filtre_statut="tous",LOWER($F270)=LOWER(param_filtre_statut)),OR(param_filtre_agent="tous",LOWER($D270)=LOWER(param_filtre_agent),LOWER($E270)=LOWER(param_filtre_agent)),OR(param_filtre_criticite="toutes",LOWER($Q270)=LOWER(param_filtre_criticite))),"oui","non"))</f>
      </c>
      <c r="X270" s="37">
        <f>IF($A270="","",IF(OR(LOWER($F270)="bloqué",LOWER($L270)="oui"),"oui","non"))</f>
      </c>
      <c r="Y270" s="37">
        <f>IF($A270="","",IF(OR(LOWER($Q270)="critique",LOWER($U270)="oui",LOWER($V270)="oui"),"oui","non"))</f>
      </c>
      <c r="Z270" s="37">
        <f>IF($A270="","",IF(AND($S270&lt;&gt;"",LOWER($S270)&lt;&gt;"tranchée",LOWER($S270)&lt;&gt;"sans objet",LOWER($S270)&lt;&gt;"clos"),"oui","non"))</f>
      </c>
      <c r="AA270" s="37">
        <f>IF($A270="","",IF($P270&lt;&gt;"","oui","non"))</f>
      </c>
      <c r="AB270" s="37">
        <f>IF($A270="","",IF(OR(LOWER($F270)="non réouvrable",LOWER($R270)="forte"),"oui","non"))</f>
      </c>
    </row>
    <row r="271" spans="1:28" x14ac:dyDescent="0.25">
      <c r="A271" s="23">
        <f>IFERROR(INDEX(tblTasks[ID],ROW()-6),"")</f>
      </c>
      <c r="B271" s="24">
        <f>=IF($A271="","",INDEX(tblTasks[Sujet],ROW()-6))</f>
      </c>
      <c r="C271" s="23">
        <f>=IF($A271="","",INDEX(tblTasks[Lot_Domaine],ROW()-6))</f>
      </c>
      <c r="D271" s="23">
        <f>=IF($A271="","",INDEX(tblTasks[Agent_source],ROW()-6))</f>
      </c>
      <c r="E271" s="23">
        <f>=IF($A271="","",INDEX(tblTasks[Responsable],ROW()-6))</f>
      </c>
      <c r="F271" s="23">
        <f>=IF($A271="","",INDEX(tblTasks[Statut],ROW()-6))</f>
      </c>
      <c r="G271" s="25">
        <f>=IF($A271="","",INDEX(tblTasks[Date_debut_prevue],ROW()-6))</f>
      </c>
      <c r="H271" s="25">
        <f>=IF($A271="","",INDEX(tblTasks[Date_fin_prevue],ROW()-6))</f>
      </c>
      <c r="I271" s="36">
        <f>=IF($A271="","",INDEX(tblTasks[Duree_jours],ROW()-6))</f>
      </c>
      <c r="J271" s="25">
        <f>=IF($A271="","",INDEX(tblTasks[Date_debut_reelle],ROW()-6))</f>
      </c>
      <c r="K271" s="25">
        <f>=IF($A271="","",INDEX(tblTasks[Date_fin_reelle],ROW()-6))</f>
      </c>
      <c r="L271" s="23">
        <f>=IF($A271="","",INDEX(tblTasks[Blocage],ROW()-6))</f>
      </c>
      <c r="M271" s="23">
        <f>=IF($A271="","",INDEX(tblTasks[Depend_de],ROW()-6))</f>
      </c>
      <c r="N271" s="23">
        <f>=IF($A271="","",INDEX(tblTasks[Non_negociable],ROW()-6))</f>
      </c>
      <c r="O271" s="23">
        <f>=IF($A271="","",INDEX(tblTasks[Seuil_de_reprise],ROW()-6))</f>
      </c>
      <c r="P271" s="23">
        <f>=IF($A271="","",INDEX(tblTasks[Donnee_manquante],ROW()-6))</f>
      </c>
      <c r="Q271" s="23">
        <f>=IF($A271="","",INDEX(tblTasks[Niveau_criticite],ROW()-6))</f>
      </c>
      <c r="R271" s="23">
        <f>=IF($A271="","",INDEX(tblTasks[Irreversibilite],ROW()-6))</f>
      </c>
      <c r="S271" s="23">
        <f>=IF($A271="","",INDEX(tblTasks[Decision_Emmanuel],ROW()-6))</f>
      </c>
      <c r="T271" s="24">
        <f>=IF($A271="","",INDEX(tblTasks[Commentaire_EKT],ROW()-6))</f>
      </c>
      <c r="U271" s="23">
        <f>=IF($A271="","",INDEX(tblTasks[Goulot],ROW()-6))</f>
      </c>
      <c r="V271" s="23">
        <f>=IF($A271="","",INDEX(tblTasks[Point_de_bascule],ROW()-6))</f>
      </c>
      <c r="W271" s="37">
        <f>IF($A271="","",IF(AND(OR(param_filtre_statut="tous",LOWER($F271)=LOWER(param_filtre_statut)),OR(param_filtre_agent="tous",LOWER($D271)=LOWER(param_filtre_agent),LOWER($E271)=LOWER(param_filtre_agent)),OR(param_filtre_criticite="toutes",LOWER($Q271)=LOWER(param_filtre_criticite))),"oui","non"))</f>
      </c>
      <c r="X271" s="37">
        <f>IF($A271="","",IF(OR(LOWER($F271)="bloqué",LOWER($L271)="oui"),"oui","non"))</f>
      </c>
      <c r="Y271" s="37">
        <f>IF($A271="","",IF(OR(LOWER($Q271)="critique",LOWER($U271)="oui",LOWER($V271)="oui"),"oui","non"))</f>
      </c>
      <c r="Z271" s="37">
        <f>IF($A271="","",IF(AND($S271&lt;&gt;"",LOWER($S271)&lt;&gt;"tranchée",LOWER($S271)&lt;&gt;"sans objet",LOWER($S271)&lt;&gt;"clos"),"oui","non"))</f>
      </c>
      <c r="AA271" s="37">
        <f>IF($A271="","",IF($P271&lt;&gt;"","oui","non"))</f>
      </c>
      <c r="AB271" s="37">
        <f>IF($A271="","",IF(OR(LOWER($F271)="non réouvrable",LOWER($R271)="forte"),"oui","non"))</f>
      </c>
    </row>
    <row r="272" spans="1:28" x14ac:dyDescent="0.25">
      <c r="A272" s="23">
        <f>IFERROR(INDEX(tblTasks[ID],ROW()-6),"")</f>
      </c>
      <c r="B272" s="24">
        <f>=IF($A272="","",INDEX(tblTasks[Sujet],ROW()-6))</f>
      </c>
      <c r="C272" s="23">
        <f>=IF($A272="","",INDEX(tblTasks[Lot_Domaine],ROW()-6))</f>
      </c>
      <c r="D272" s="23">
        <f>=IF($A272="","",INDEX(tblTasks[Agent_source],ROW()-6))</f>
      </c>
      <c r="E272" s="23">
        <f>=IF($A272="","",INDEX(tblTasks[Responsable],ROW()-6))</f>
      </c>
      <c r="F272" s="23">
        <f>=IF($A272="","",INDEX(tblTasks[Statut],ROW()-6))</f>
      </c>
      <c r="G272" s="25">
        <f>=IF($A272="","",INDEX(tblTasks[Date_debut_prevue],ROW()-6))</f>
      </c>
      <c r="H272" s="25">
        <f>=IF($A272="","",INDEX(tblTasks[Date_fin_prevue],ROW()-6))</f>
      </c>
      <c r="I272" s="36">
        <f>=IF($A272="","",INDEX(tblTasks[Duree_jours],ROW()-6))</f>
      </c>
      <c r="J272" s="25">
        <f>=IF($A272="","",INDEX(tblTasks[Date_debut_reelle],ROW()-6))</f>
      </c>
      <c r="K272" s="25">
        <f>=IF($A272="","",INDEX(tblTasks[Date_fin_reelle],ROW()-6))</f>
      </c>
      <c r="L272" s="23">
        <f>=IF($A272="","",INDEX(tblTasks[Blocage],ROW()-6))</f>
      </c>
      <c r="M272" s="23">
        <f>=IF($A272="","",INDEX(tblTasks[Depend_de],ROW()-6))</f>
      </c>
      <c r="N272" s="23">
        <f>=IF($A272="","",INDEX(tblTasks[Non_negociable],ROW()-6))</f>
      </c>
      <c r="O272" s="23">
        <f>=IF($A272="","",INDEX(tblTasks[Seuil_de_reprise],ROW()-6))</f>
      </c>
      <c r="P272" s="23">
        <f>=IF($A272="","",INDEX(tblTasks[Donnee_manquante],ROW()-6))</f>
      </c>
      <c r="Q272" s="23">
        <f>=IF($A272="","",INDEX(tblTasks[Niveau_criticite],ROW()-6))</f>
      </c>
      <c r="R272" s="23">
        <f>=IF($A272="","",INDEX(tblTasks[Irreversibilite],ROW()-6))</f>
      </c>
      <c r="S272" s="23">
        <f>=IF($A272="","",INDEX(tblTasks[Decision_Emmanuel],ROW()-6))</f>
      </c>
      <c r="T272" s="24">
        <f>=IF($A272="","",INDEX(tblTasks[Commentaire_EKT],ROW()-6))</f>
      </c>
      <c r="U272" s="23">
        <f>=IF($A272="","",INDEX(tblTasks[Goulot],ROW()-6))</f>
      </c>
      <c r="V272" s="23">
        <f>=IF($A272="","",INDEX(tblTasks[Point_de_bascule],ROW()-6))</f>
      </c>
      <c r="W272" s="37">
        <f>IF($A272="","",IF(AND(OR(param_filtre_statut="tous",LOWER($F272)=LOWER(param_filtre_statut)),OR(param_filtre_agent="tous",LOWER($D272)=LOWER(param_filtre_agent),LOWER($E272)=LOWER(param_filtre_agent)),OR(param_filtre_criticite="toutes",LOWER($Q272)=LOWER(param_filtre_criticite))),"oui","non"))</f>
      </c>
      <c r="X272" s="37">
        <f>IF($A272="","",IF(OR(LOWER($F272)="bloqué",LOWER($L272)="oui"),"oui","non"))</f>
      </c>
      <c r="Y272" s="37">
        <f>IF($A272="","",IF(OR(LOWER($Q272)="critique",LOWER($U272)="oui",LOWER($V272)="oui"),"oui","non"))</f>
      </c>
      <c r="Z272" s="37">
        <f>IF($A272="","",IF(AND($S272&lt;&gt;"",LOWER($S272)&lt;&gt;"tranchée",LOWER($S272)&lt;&gt;"sans objet",LOWER($S272)&lt;&gt;"clos"),"oui","non"))</f>
      </c>
      <c r="AA272" s="37">
        <f>IF($A272="","",IF($P272&lt;&gt;"","oui","non"))</f>
      </c>
      <c r="AB272" s="37">
        <f>IF($A272="","",IF(OR(LOWER($F272)="non réouvrable",LOWER($R272)="forte"),"oui","non"))</f>
      </c>
    </row>
    <row r="273" spans="1:28" x14ac:dyDescent="0.25">
      <c r="A273" s="23">
        <f>IFERROR(INDEX(tblTasks[ID],ROW()-6),"")</f>
      </c>
      <c r="B273" s="24">
        <f>=IF($A273="","",INDEX(tblTasks[Sujet],ROW()-6))</f>
      </c>
      <c r="C273" s="23">
        <f>=IF($A273="","",INDEX(tblTasks[Lot_Domaine],ROW()-6))</f>
      </c>
      <c r="D273" s="23">
        <f>=IF($A273="","",INDEX(tblTasks[Agent_source],ROW()-6))</f>
      </c>
      <c r="E273" s="23">
        <f>=IF($A273="","",INDEX(tblTasks[Responsable],ROW()-6))</f>
      </c>
      <c r="F273" s="23">
        <f>=IF($A273="","",INDEX(tblTasks[Statut],ROW()-6))</f>
      </c>
      <c r="G273" s="25">
        <f>=IF($A273="","",INDEX(tblTasks[Date_debut_prevue],ROW()-6))</f>
      </c>
      <c r="H273" s="25">
        <f>=IF($A273="","",INDEX(tblTasks[Date_fin_prevue],ROW()-6))</f>
      </c>
      <c r="I273" s="36">
        <f>=IF($A273="","",INDEX(tblTasks[Duree_jours],ROW()-6))</f>
      </c>
      <c r="J273" s="25">
        <f>=IF($A273="","",INDEX(tblTasks[Date_debut_reelle],ROW()-6))</f>
      </c>
      <c r="K273" s="25">
        <f>=IF($A273="","",INDEX(tblTasks[Date_fin_reelle],ROW()-6))</f>
      </c>
      <c r="L273" s="23">
        <f>=IF($A273="","",INDEX(tblTasks[Blocage],ROW()-6))</f>
      </c>
      <c r="M273" s="23">
        <f>=IF($A273="","",INDEX(tblTasks[Depend_de],ROW()-6))</f>
      </c>
      <c r="N273" s="23">
        <f>=IF($A273="","",INDEX(tblTasks[Non_negociable],ROW()-6))</f>
      </c>
      <c r="O273" s="23">
        <f>=IF($A273="","",INDEX(tblTasks[Seuil_de_reprise],ROW()-6))</f>
      </c>
      <c r="P273" s="23">
        <f>=IF($A273="","",INDEX(tblTasks[Donnee_manquante],ROW()-6))</f>
      </c>
      <c r="Q273" s="23">
        <f>=IF($A273="","",INDEX(tblTasks[Niveau_criticite],ROW()-6))</f>
      </c>
      <c r="R273" s="23">
        <f>=IF($A273="","",INDEX(tblTasks[Irreversibilite],ROW()-6))</f>
      </c>
      <c r="S273" s="23">
        <f>=IF($A273="","",INDEX(tblTasks[Decision_Emmanuel],ROW()-6))</f>
      </c>
      <c r="T273" s="24">
        <f>=IF($A273="","",INDEX(tblTasks[Commentaire_EKT],ROW()-6))</f>
      </c>
      <c r="U273" s="23">
        <f>=IF($A273="","",INDEX(tblTasks[Goulot],ROW()-6))</f>
      </c>
      <c r="V273" s="23">
        <f>=IF($A273="","",INDEX(tblTasks[Point_de_bascule],ROW()-6))</f>
      </c>
      <c r="W273" s="37">
        <f>IF($A273="","",IF(AND(OR(param_filtre_statut="tous",LOWER($F273)=LOWER(param_filtre_statut)),OR(param_filtre_agent="tous",LOWER($D273)=LOWER(param_filtre_agent),LOWER($E273)=LOWER(param_filtre_agent)),OR(param_filtre_criticite="toutes",LOWER($Q273)=LOWER(param_filtre_criticite))),"oui","non"))</f>
      </c>
      <c r="X273" s="37">
        <f>IF($A273="","",IF(OR(LOWER($F273)="bloqué",LOWER($L273)="oui"),"oui","non"))</f>
      </c>
      <c r="Y273" s="37">
        <f>IF($A273="","",IF(OR(LOWER($Q273)="critique",LOWER($U273)="oui",LOWER($V273)="oui"),"oui","non"))</f>
      </c>
      <c r="Z273" s="37">
        <f>IF($A273="","",IF(AND($S273&lt;&gt;"",LOWER($S273)&lt;&gt;"tranchée",LOWER($S273)&lt;&gt;"sans objet",LOWER($S273)&lt;&gt;"clos"),"oui","non"))</f>
      </c>
      <c r="AA273" s="37">
        <f>IF($A273="","",IF($P273&lt;&gt;"","oui","non"))</f>
      </c>
      <c r="AB273" s="37">
        <f>IF($A273="","",IF(OR(LOWER($F273)="non réouvrable",LOWER($R273)="forte"),"oui","non"))</f>
      </c>
    </row>
    <row r="274" spans="1:28" x14ac:dyDescent="0.25">
      <c r="A274" s="23">
        <f>IFERROR(INDEX(tblTasks[ID],ROW()-6),"")</f>
      </c>
      <c r="B274" s="24">
        <f>=IF($A274="","",INDEX(tblTasks[Sujet],ROW()-6))</f>
      </c>
      <c r="C274" s="23">
        <f>=IF($A274="","",INDEX(tblTasks[Lot_Domaine],ROW()-6))</f>
      </c>
      <c r="D274" s="23">
        <f>=IF($A274="","",INDEX(tblTasks[Agent_source],ROW()-6))</f>
      </c>
      <c r="E274" s="23">
        <f>=IF($A274="","",INDEX(tblTasks[Responsable],ROW()-6))</f>
      </c>
      <c r="F274" s="23">
        <f>=IF($A274="","",INDEX(tblTasks[Statut],ROW()-6))</f>
      </c>
      <c r="G274" s="25">
        <f>=IF($A274="","",INDEX(tblTasks[Date_debut_prevue],ROW()-6))</f>
      </c>
      <c r="H274" s="25">
        <f>=IF($A274="","",INDEX(tblTasks[Date_fin_prevue],ROW()-6))</f>
      </c>
      <c r="I274" s="36">
        <f>=IF($A274="","",INDEX(tblTasks[Duree_jours],ROW()-6))</f>
      </c>
      <c r="J274" s="25">
        <f>=IF($A274="","",INDEX(tblTasks[Date_debut_reelle],ROW()-6))</f>
      </c>
      <c r="K274" s="25">
        <f>=IF($A274="","",INDEX(tblTasks[Date_fin_reelle],ROW()-6))</f>
      </c>
      <c r="L274" s="23">
        <f>=IF($A274="","",INDEX(tblTasks[Blocage],ROW()-6))</f>
      </c>
      <c r="M274" s="23">
        <f>=IF($A274="","",INDEX(tblTasks[Depend_de],ROW()-6))</f>
      </c>
      <c r="N274" s="23">
        <f>=IF($A274="","",INDEX(tblTasks[Non_negociable],ROW()-6))</f>
      </c>
      <c r="O274" s="23">
        <f>=IF($A274="","",INDEX(tblTasks[Seuil_de_reprise],ROW()-6))</f>
      </c>
      <c r="P274" s="23">
        <f>=IF($A274="","",INDEX(tblTasks[Donnee_manquante],ROW()-6))</f>
      </c>
      <c r="Q274" s="23">
        <f>=IF($A274="","",INDEX(tblTasks[Niveau_criticite],ROW()-6))</f>
      </c>
      <c r="R274" s="23">
        <f>=IF($A274="","",INDEX(tblTasks[Irreversibilite],ROW()-6))</f>
      </c>
      <c r="S274" s="23">
        <f>=IF($A274="","",INDEX(tblTasks[Decision_Emmanuel],ROW()-6))</f>
      </c>
      <c r="T274" s="24">
        <f>=IF($A274="","",INDEX(tblTasks[Commentaire_EKT],ROW()-6))</f>
      </c>
      <c r="U274" s="23">
        <f>=IF($A274="","",INDEX(tblTasks[Goulot],ROW()-6))</f>
      </c>
      <c r="V274" s="23">
        <f>=IF($A274="","",INDEX(tblTasks[Point_de_bascule],ROW()-6))</f>
      </c>
      <c r="W274" s="37">
        <f>IF($A274="","",IF(AND(OR(param_filtre_statut="tous",LOWER($F274)=LOWER(param_filtre_statut)),OR(param_filtre_agent="tous",LOWER($D274)=LOWER(param_filtre_agent),LOWER($E274)=LOWER(param_filtre_agent)),OR(param_filtre_criticite="toutes",LOWER($Q274)=LOWER(param_filtre_criticite))),"oui","non"))</f>
      </c>
      <c r="X274" s="37">
        <f>IF($A274="","",IF(OR(LOWER($F274)="bloqué",LOWER($L274)="oui"),"oui","non"))</f>
      </c>
      <c r="Y274" s="37">
        <f>IF($A274="","",IF(OR(LOWER($Q274)="critique",LOWER($U274)="oui",LOWER($V274)="oui"),"oui","non"))</f>
      </c>
      <c r="Z274" s="37">
        <f>IF($A274="","",IF(AND($S274&lt;&gt;"",LOWER($S274)&lt;&gt;"tranchée",LOWER($S274)&lt;&gt;"sans objet",LOWER($S274)&lt;&gt;"clos"),"oui","non"))</f>
      </c>
      <c r="AA274" s="37">
        <f>IF($A274="","",IF($P274&lt;&gt;"","oui","non"))</f>
      </c>
      <c r="AB274" s="37">
        <f>IF($A274="","",IF(OR(LOWER($F274)="non réouvrable",LOWER($R274)="forte"),"oui","non"))</f>
      </c>
    </row>
    <row r="275" spans="1:28" x14ac:dyDescent="0.25">
      <c r="A275" s="23">
        <f>IFERROR(INDEX(tblTasks[ID],ROW()-6),"")</f>
      </c>
      <c r="B275" s="24">
        <f>=IF($A275="","",INDEX(tblTasks[Sujet],ROW()-6))</f>
      </c>
      <c r="C275" s="23">
        <f>=IF($A275="","",INDEX(tblTasks[Lot_Domaine],ROW()-6))</f>
      </c>
      <c r="D275" s="23">
        <f>=IF($A275="","",INDEX(tblTasks[Agent_source],ROW()-6))</f>
      </c>
      <c r="E275" s="23">
        <f>=IF($A275="","",INDEX(tblTasks[Responsable],ROW()-6))</f>
      </c>
      <c r="F275" s="23">
        <f>=IF($A275="","",INDEX(tblTasks[Statut],ROW()-6))</f>
      </c>
      <c r="G275" s="25">
        <f>=IF($A275="","",INDEX(tblTasks[Date_debut_prevue],ROW()-6))</f>
      </c>
      <c r="H275" s="25">
        <f>=IF($A275="","",INDEX(tblTasks[Date_fin_prevue],ROW()-6))</f>
      </c>
      <c r="I275" s="36">
        <f>=IF($A275="","",INDEX(tblTasks[Duree_jours],ROW()-6))</f>
      </c>
      <c r="J275" s="25">
        <f>=IF($A275="","",INDEX(tblTasks[Date_debut_reelle],ROW()-6))</f>
      </c>
      <c r="K275" s="25">
        <f>=IF($A275="","",INDEX(tblTasks[Date_fin_reelle],ROW()-6))</f>
      </c>
      <c r="L275" s="23">
        <f>=IF($A275="","",INDEX(tblTasks[Blocage],ROW()-6))</f>
      </c>
      <c r="M275" s="23">
        <f>=IF($A275="","",INDEX(tblTasks[Depend_de],ROW()-6))</f>
      </c>
      <c r="N275" s="23">
        <f>=IF($A275="","",INDEX(tblTasks[Non_negociable],ROW()-6))</f>
      </c>
      <c r="O275" s="23">
        <f>=IF($A275="","",INDEX(tblTasks[Seuil_de_reprise],ROW()-6))</f>
      </c>
      <c r="P275" s="23">
        <f>=IF($A275="","",INDEX(tblTasks[Donnee_manquante],ROW()-6))</f>
      </c>
      <c r="Q275" s="23">
        <f>=IF($A275="","",INDEX(tblTasks[Niveau_criticite],ROW()-6))</f>
      </c>
      <c r="R275" s="23">
        <f>=IF($A275="","",INDEX(tblTasks[Irreversibilite],ROW()-6))</f>
      </c>
      <c r="S275" s="23">
        <f>=IF($A275="","",INDEX(tblTasks[Decision_Emmanuel],ROW()-6))</f>
      </c>
      <c r="T275" s="24">
        <f>=IF($A275="","",INDEX(tblTasks[Commentaire_EKT],ROW()-6))</f>
      </c>
      <c r="U275" s="23">
        <f>=IF($A275="","",INDEX(tblTasks[Goulot],ROW()-6))</f>
      </c>
      <c r="V275" s="23">
        <f>=IF($A275="","",INDEX(tblTasks[Point_de_bascule],ROW()-6))</f>
      </c>
      <c r="W275" s="37">
        <f>IF($A275="","",IF(AND(OR(param_filtre_statut="tous",LOWER($F275)=LOWER(param_filtre_statut)),OR(param_filtre_agent="tous",LOWER($D275)=LOWER(param_filtre_agent),LOWER($E275)=LOWER(param_filtre_agent)),OR(param_filtre_criticite="toutes",LOWER($Q275)=LOWER(param_filtre_criticite))),"oui","non"))</f>
      </c>
      <c r="X275" s="37">
        <f>IF($A275="","",IF(OR(LOWER($F275)="bloqué",LOWER($L275)="oui"),"oui","non"))</f>
      </c>
      <c r="Y275" s="37">
        <f>IF($A275="","",IF(OR(LOWER($Q275)="critique",LOWER($U275)="oui",LOWER($V275)="oui"),"oui","non"))</f>
      </c>
      <c r="Z275" s="37">
        <f>IF($A275="","",IF(AND($S275&lt;&gt;"",LOWER($S275)&lt;&gt;"tranchée",LOWER($S275)&lt;&gt;"sans objet",LOWER($S275)&lt;&gt;"clos"),"oui","non"))</f>
      </c>
      <c r="AA275" s="37">
        <f>IF($A275="","",IF($P275&lt;&gt;"","oui","non"))</f>
      </c>
      <c r="AB275" s="37">
        <f>IF($A275="","",IF(OR(LOWER($F275)="non réouvrable",LOWER($R275)="forte"),"oui","non"))</f>
      </c>
    </row>
    <row r="276" spans="1:28" x14ac:dyDescent="0.25">
      <c r="A276" s="23">
        <f>IFERROR(INDEX(tblTasks[ID],ROW()-6),"")</f>
      </c>
      <c r="B276" s="24">
        <f>=IF($A276="","",INDEX(tblTasks[Sujet],ROW()-6))</f>
      </c>
      <c r="C276" s="23">
        <f>=IF($A276="","",INDEX(tblTasks[Lot_Domaine],ROW()-6))</f>
      </c>
      <c r="D276" s="23">
        <f>=IF($A276="","",INDEX(tblTasks[Agent_source],ROW()-6))</f>
      </c>
      <c r="E276" s="23">
        <f>=IF($A276="","",INDEX(tblTasks[Responsable],ROW()-6))</f>
      </c>
      <c r="F276" s="23">
        <f>=IF($A276="","",INDEX(tblTasks[Statut],ROW()-6))</f>
      </c>
      <c r="G276" s="25">
        <f>=IF($A276="","",INDEX(tblTasks[Date_debut_prevue],ROW()-6))</f>
      </c>
      <c r="H276" s="25">
        <f>=IF($A276="","",INDEX(tblTasks[Date_fin_prevue],ROW()-6))</f>
      </c>
      <c r="I276" s="36">
        <f>=IF($A276="","",INDEX(tblTasks[Duree_jours],ROW()-6))</f>
      </c>
      <c r="J276" s="25">
        <f>=IF($A276="","",INDEX(tblTasks[Date_debut_reelle],ROW()-6))</f>
      </c>
      <c r="K276" s="25">
        <f>=IF($A276="","",INDEX(tblTasks[Date_fin_reelle],ROW()-6))</f>
      </c>
      <c r="L276" s="23">
        <f>=IF($A276="","",INDEX(tblTasks[Blocage],ROW()-6))</f>
      </c>
      <c r="M276" s="23">
        <f>=IF($A276="","",INDEX(tblTasks[Depend_de],ROW()-6))</f>
      </c>
      <c r="N276" s="23">
        <f>=IF($A276="","",INDEX(tblTasks[Non_negociable],ROW()-6))</f>
      </c>
      <c r="O276" s="23">
        <f>=IF($A276="","",INDEX(tblTasks[Seuil_de_reprise],ROW()-6))</f>
      </c>
      <c r="P276" s="23">
        <f>=IF($A276="","",INDEX(tblTasks[Donnee_manquante],ROW()-6))</f>
      </c>
      <c r="Q276" s="23">
        <f>=IF($A276="","",INDEX(tblTasks[Niveau_criticite],ROW()-6))</f>
      </c>
      <c r="R276" s="23">
        <f>=IF($A276="","",INDEX(tblTasks[Irreversibilite],ROW()-6))</f>
      </c>
      <c r="S276" s="23">
        <f>=IF($A276="","",INDEX(tblTasks[Decision_Emmanuel],ROW()-6))</f>
      </c>
      <c r="T276" s="24">
        <f>=IF($A276="","",INDEX(tblTasks[Commentaire_EKT],ROW()-6))</f>
      </c>
      <c r="U276" s="23">
        <f>=IF($A276="","",INDEX(tblTasks[Goulot],ROW()-6))</f>
      </c>
      <c r="V276" s="23">
        <f>=IF($A276="","",INDEX(tblTasks[Point_de_bascule],ROW()-6))</f>
      </c>
      <c r="W276" s="37">
        <f>IF($A276="","",IF(AND(OR(param_filtre_statut="tous",LOWER($F276)=LOWER(param_filtre_statut)),OR(param_filtre_agent="tous",LOWER($D276)=LOWER(param_filtre_agent),LOWER($E276)=LOWER(param_filtre_agent)),OR(param_filtre_criticite="toutes",LOWER($Q276)=LOWER(param_filtre_criticite))),"oui","non"))</f>
      </c>
      <c r="X276" s="37">
        <f>IF($A276="","",IF(OR(LOWER($F276)="bloqué",LOWER($L276)="oui"),"oui","non"))</f>
      </c>
      <c r="Y276" s="37">
        <f>IF($A276="","",IF(OR(LOWER($Q276)="critique",LOWER($U276)="oui",LOWER($V276)="oui"),"oui","non"))</f>
      </c>
      <c r="Z276" s="37">
        <f>IF($A276="","",IF(AND($S276&lt;&gt;"",LOWER($S276)&lt;&gt;"tranchée",LOWER($S276)&lt;&gt;"sans objet",LOWER($S276)&lt;&gt;"clos"),"oui","non"))</f>
      </c>
      <c r="AA276" s="37">
        <f>IF($A276="","",IF($P276&lt;&gt;"","oui","non"))</f>
      </c>
      <c r="AB276" s="37">
        <f>IF($A276="","",IF(OR(LOWER($F276)="non réouvrable",LOWER($R276)="forte"),"oui","non"))</f>
      </c>
    </row>
    <row r="277" spans="1:28" x14ac:dyDescent="0.25">
      <c r="A277" s="23">
        <f>IFERROR(INDEX(tblTasks[ID],ROW()-6),"")</f>
      </c>
      <c r="B277" s="24">
        <f>=IF($A277="","",INDEX(tblTasks[Sujet],ROW()-6))</f>
      </c>
      <c r="C277" s="23">
        <f>=IF($A277="","",INDEX(tblTasks[Lot_Domaine],ROW()-6))</f>
      </c>
      <c r="D277" s="23">
        <f>=IF($A277="","",INDEX(tblTasks[Agent_source],ROW()-6))</f>
      </c>
      <c r="E277" s="23">
        <f>=IF($A277="","",INDEX(tblTasks[Responsable],ROW()-6))</f>
      </c>
      <c r="F277" s="23">
        <f>=IF($A277="","",INDEX(tblTasks[Statut],ROW()-6))</f>
      </c>
      <c r="G277" s="25">
        <f>=IF($A277="","",INDEX(tblTasks[Date_debut_prevue],ROW()-6))</f>
      </c>
      <c r="H277" s="25">
        <f>=IF($A277="","",INDEX(tblTasks[Date_fin_prevue],ROW()-6))</f>
      </c>
      <c r="I277" s="36">
        <f>=IF($A277="","",INDEX(tblTasks[Duree_jours],ROW()-6))</f>
      </c>
      <c r="J277" s="25">
        <f>=IF($A277="","",INDEX(tblTasks[Date_debut_reelle],ROW()-6))</f>
      </c>
      <c r="K277" s="25">
        <f>=IF($A277="","",INDEX(tblTasks[Date_fin_reelle],ROW()-6))</f>
      </c>
      <c r="L277" s="23">
        <f>=IF($A277="","",INDEX(tblTasks[Blocage],ROW()-6))</f>
      </c>
      <c r="M277" s="23">
        <f>=IF($A277="","",INDEX(tblTasks[Depend_de],ROW()-6))</f>
      </c>
      <c r="N277" s="23">
        <f>=IF($A277="","",INDEX(tblTasks[Non_negociable],ROW()-6))</f>
      </c>
      <c r="O277" s="23">
        <f>=IF($A277="","",INDEX(tblTasks[Seuil_de_reprise],ROW()-6))</f>
      </c>
      <c r="P277" s="23">
        <f>=IF($A277="","",INDEX(tblTasks[Donnee_manquante],ROW()-6))</f>
      </c>
      <c r="Q277" s="23">
        <f>=IF($A277="","",INDEX(tblTasks[Niveau_criticite],ROW()-6))</f>
      </c>
      <c r="R277" s="23">
        <f>=IF($A277="","",INDEX(tblTasks[Irreversibilite],ROW()-6))</f>
      </c>
      <c r="S277" s="23">
        <f>=IF($A277="","",INDEX(tblTasks[Decision_Emmanuel],ROW()-6))</f>
      </c>
      <c r="T277" s="24">
        <f>=IF($A277="","",INDEX(tblTasks[Commentaire_EKT],ROW()-6))</f>
      </c>
      <c r="U277" s="23">
        <f>=IF($A277="","",INDEX(tblTasks[Goulot],ROW()-6))</f>
      </c>
      <c r="V277" s="23">
        <f>=IF($A277="","",INDEX(tblTasks[Point_de_bascule],ROW()-6))</f>
      </c>
      <c r="W277" s="37">
        <f>IF($A277="","",IF(AND(OR(param_filtre_statut="tous",LOWER($F277)=LOWER(param_filtre_statut)),OR(param_filtre_agent="tous",LOWER($D277)=LOWER(param_filtre_agent),LOWER($E277)=LOWER(param_filtre_agent)),OR(param_filtre_criticite="toutes",LOWER($Q277)=LOWER(param_filtre_criticite))),"oui","non"))</f>
      </c>
      <c r="X277" s="37">
        <f>IF($A277="","",IF(OR(LOWER($F277)="bloqué",LOWER($L277)="oui"),"oui","non"))</f>
      </c>
      <c r="Y277" s="37">
        <f>IF($A277="","",IF(OR(LOWER($Q277)="critique",LOWER($U277)="oui",LOWER($V277)="oui"),"oui","non"))</f>
      </c>
      <c r="Z277" s="37">
        <f>IF($A277="","",IF(AND($S277&lt;&gt;"",LOWER($S277)&lt;&gt;"tranchée",LOWER($S277)&lt;&gt;"sans objet",LOWER($S277)&lt;&gt;"clos"),"oui","non"))</f>
      </c>
      <c r="AA277" s="37">
        <f>IF($A277="","",IF($P277&lt;&gt;"","oui","non"))</f>
      </c>
      <c r="AB277" s="37">
        <f>IF($A277="","",IF(OR(LOWER($F277)="non réouvrable",LOWER($R277)="forte"),"oui","non"))</f>
      </c>
    </row>
    <row r="278" spans="1:28" x14ac:dyDescent="0.25">
      <c r="A278" s="23">
        <f>IFERROR(INDEX(tblTasks[ID],ROW()-6),"")</f>
      </c>
      <c r="B278" s="24">
        <f>=IF($A278="","",INDEX(tblTasks[Sujet],ROW()-6))</f>
      </c>
      <c r="C278" s="23">
        <f>=IF($A278="","",INDEX(tblTasks[Lot_Domaine],ROW()-6))</f>
      </c>
      <c r="D278" s="23">
        <f>=IF($A278="","",INDEX(tblTasks[Agent_source],ROW()-6))</f>
      </c>
      <c r="E278" s="23">
        <f>=IF($A278="","",INDEX(tblTasks[Responsable],ROW()-6))</f>
      </c>
      <c r="F278" s="23">
        <f>=IF($A278="","",INDEX(tblTasks[Statut],ROW()-6))</f>
      </c>
      <c r="G278" s="25">
        <f>=IF($A278="","",INDEX(tblTasks[Date_debut_prevue],ROW()-6))</f>
      </c>
      <c r="H278" s="25">
        <f>=IF($A278="","",INDEX(tblTasks[Date_fin_prevue],ROW()-6))</f>
      </c>
      <c r="I278" s="36">
        <f>=IF($A278="","",INDEX(tblTasks[Duree_jours],ROW()-6))</f>
      </c>
      <c r="J278" s="25">
        <f>=IF($A278="","",INDEX(tblTasks[Date_debut_reelle],ROW()-6))</f>
      </c>
      <c r="K278" s="25">
        <f>=IF($A278="","",INDEX(tblTasks[Date_fin_reelle],ROW()-6))</f>
      </c>
      <c r="L278" s="23">
        <f>=IF($A278="","",INDEX(tblTasks[Blocage],ROW()-6))</f>
      </c>
      <c r="M278" s="23">
        <f>=IF($A278="","",INDEX(tblTasks[Depend_de],ROW()-6))</f>
      </c>
      <c r="N278" s="23">
        <f>=IF($A278="","",INDEX(tblTasks[Non_negociable],ROW()-6))</f>
      </c>
      <c r="O278" s="23">
        <f>=IF($A278="","",INDEX(tblTasks[Seuil_de_reprise],ROW()-6))</f>
      </c>
      <c r="P278" s="23">
        <f>=IF($A278="","",INDEX(tblTasks[Donnee_manquante],ROW()-6))</f>
      </c>
      <c r="Q278" s="23">
        <f>=IF($A278="","",INDEX(tblTasks[Niveau_criticite],ROW()-6))</f>
      </c>
      <c r="R278" s="23">
        <f>=IF($A278="","",INDEX(tblTasks[Irreversibilite],ROW()-6))</f>
      </c>
      <c r="S278" s="23">
        <f>=IF($A278="","",INDEX(tblTasks[Decision_Emmanuel],ROW()-6))</f>
      </c>
      <c r="T278" s="24">
        <f>=IF($A278="","",INDEX(tblTasks[Commentaire_EKT],ROW()-6))</f>
      </c>
      <c r="U278" s="23">
        <f>=IF($A278="","",INDEX(tblTasks[Goulot],ROW()-6))</f>
      </c>
      <c r="V278" s="23">
        <f>=IF($A278="","",INDEX(tblTasks[Point_de_bascule],ROW()-6))</f>
      </c>
      <c r="W278" s="37">
        <f>IF($A278="","",IF(AND(OR(param_filtre_statut="tous",LOWER($F278)=LOWER(param_filtre_statut)),OR(param_filtre_agent="tous",LOWER($D278)=LOWER(param_filtre_agent),LOWER($E278)=LOWER(param_filtre_agent)),OR(param_filtre_criticite="toutes",LOWER($Q278)=LOWER(param_filtre_criticite))),"oui","non"))</f>
      </c>
      <c r="X278" s="37">
        <f>IF($A278="","",IF(OR(LOWER($F278)="bloqué",LOWER($L278)="oui"),"oui","non"))</f>
      </c>
      <c r="Y278" s="37">
        <f>IF($A278="","",IF(OR(LOWER($Q278)="critique",LOWER($U278)="oui",LOWER($V278)="oui"),"oui","non"))</f>
      </c>
      <c r="Z278" s="37">
        <f>IF($A278="","",IF(AND($S278&lt;&gt;"",LOWER($S278)&lt;&gt;"tranchée",LOWER($S278)&lt;&gt;"sans objet",LOWER($S278)&lt;&gt;"clos"),"oui","non"))</f>
      </c>
      <c r="AA278" s="37">
        <f>IF($A278="","",IF($P278&lt;&gt;"","oui","non"))</f>
      </c>
      <c r="AB278" s="37">
        <f>IF($A278="","",IF(OR(LOWER($F278)="non réouvrable",LOWER($R278)="forte"),"oui","non"))</f>
      </c>
    </row>
    <row r="279" spans="1:28" x14ac:dyDescent="0.25">
      <c r="A279" s="23">
        <f>IFERROR(INDEX(tblTasks[ID],ROW()-6),"")</f>
      </c>
      <c r="B279" s="24">
        <f>=IF($A279="","",INDEX(tblTasks[Sujet],ROW()-6))</f>
      </c>
      <c r="C279" s="23">
        <f>=IF($A279="","",INDEX(tblTasks[Lot_Domaine],ROW()-6))</f>
      </c>
      <c r="D279" s="23">
        <f>=IF($A279="","",INDEX(tblTasks[Agent_source],ROW()-6))</f>
      </c>
      <c r="E279" s="23">
        <f>=IF($A279="","",INDEX(tblTasks[Responsable],ROW()-6))</f>
      </c>
      <c r="F279" s="23">
        <f>=IF($A279="","",INDEX(tblTasks[Statut],ROW()-6))</f>
      </c>
      <c r="G279" s="25">
        <f>=IF($A279="","",INDEX(tblTasks[Date_debut_prevue],ROW()-6))</f>
      </c>
      <c r="H279" s="25">
        <f>=IF($A279="","",INDEX(tblTasks[Date_fin_prevue],ROW()-6))</f>
      </c>
      <c r="I279" s="36">
        <f>=IF($A279="","",INDEX(tblTasks[Duree_jours],ROW()-6))</f>
      </c>
      <c r="J279" s="25">
        <f>=IF($A279="","",INDEX(tblTasks[Date_debut_reelle],ROW()-6))</f>
      </c>
      <c r="K279" s="25">
        <f>=IF($A279="","",INDEX(tblTasks[Date_fin_reelle],ROW()-6))</f>
      </c>
      <c r="L279" s="23">
        <f>=IF($A279="","",INDEX(tblTasks[Blocage],ROW()-6))</f>
      </c>
      <c r="M279" s="23">
        <f>=IF($A279="","",INDEX(tblTasks[Depend_de],ROW()-6))</f>
      </c>
      <c r="N279" s="23">
        <f>=IF($A279="","",INDEX(tblTasks[Non_negociable],ROW()-6))</f>
      </c>
      <c r="O279" s="23">
        <f>=IF($A279="","",INDEX(tblTasks[Seuil_de_reprise],ROW()-6))</f>
      </c>
      <c r="P279" s="23">
        <f>=IF($A279="","",INDEX(tblTasks[Donnee_manquante],ROW()-6))</f>
      </c>
      <c r="Q279" s="23">
        <f>=IF($A279="","",INDEX(tblTasks[Niveau_criticite],ROW()-6))</f>
      </c>
      <c r="R279" s="23">
        <f>=IF($A279="","",INDEX(tblTasks[Irreversibilite],ROW()-6))</f>
      </c>
      <c r="S279" s="23">
        <f>=IF($A279="","",INDEX(tblTasks[Decision_Emmanuel],ROW()-6))</f>
      </c>
      <c r="T279" s="24">
        <f>=IF($A279="","",INDEX(tblTasks[Commentaire_EKT],ROW()-6))</f>
      </c>
      <c r="U279" s="23">
        <f>=IF($A279="","",INDEX(tblTasks[Goulot],ROW()-6))</f>
      </c>
      <c r="V279" s="23">
        <f>=IF($A279="","",INDEX(tblTasks[Point_de_bascule],ROW()-6))</f>
      </c>
      <c r="W279" s="37">
        <f>IF($A279="","",IF(AND(OR(param_filtre_statut="tous",LOWER($F279)=LOWER(param_filtre_statut)),OR(param_filtre_agent="tous",LOWER($D279)=LOWER(param_filtre_agent),LOWER($E279)=LOWER(param_filtre_agent)),OR(param_filtre_criticite="toutes",LOWER($Q279)=LOWER(param_filtre_criticite))),"oui","non"))</f>
      </c>
      <c r="X279" s="37">
        <f>IF($A279="","",IF(OR(LOWER($F279)="bloqué",LOWER($L279)="oui"),"oui","non"))</f>
      </c>
      <c r="Y279" s="37">
        <f>IF($A279="","",IF(OR(LOWER($Q279)="critique",LOWER($U279)="oui",LOWER($V279)="oui"),"oui","non"))</f>
      </c>
      <c r="Z279" s="37">
        <f>IF($A279="","",IF(AND($S279&lt;&gt;"",LOWER($S279)&lt;&gt;"tranchée",LOWER($S279)&lt;&gt;"sans objet",LOWER($S279)&lt;&gt;"clos"),"oui","non"))</f>
      </c>
      <c r="AA279" s="37">
        <f>IF($A279="","",IF($P279&lt;&gt;"","oui","non"))</f>
      </c>
      <c r="AB279" s="37">
        <f>IF($A279="","",IF(OR(LOWER($F279)="non réouvrable",LOWER($R279)="forte"),"oui","non"))</f>
      </c>
    </row>
    <row r="280" spans="1:28" x14ac:dyDescent="0.25">
      <c r="A280" s="23">
        <f>IFERROR(INDEX(tblTasks[ID],ROW()-6),"")</f>
      </c>
      <c r="B280" s="24">
        <f>=IF($A280="","",INDEX(tblTasks[Sujet],ROW()-6))</f>
      </c>
      <c r="C280" s="23">
        <f>=IF($A280="","",INDEX(tblTasks[Lot_Domaine],ROW()-6))</f>
      </c>
      <c r="D280" s="23">
        <f>=IF($A280="","",INDEX(tblTasks[Agent_source],ROW()-6))</f>
      </c>
      <c r="E280" s="23">
        <f>=IF($A280="","",INDEX(tblTasks[Responsable],ROW()-6))</f>
      </c>
      <c r="F280" s="23">
        <f>=IF($A280="","",INDEX(tblTasks[Statut],ROW()-6))</f>
      </c>
      <c r="G280" s="25">
        <f>=IF($A280="","",INDEX(tblTasks[Date_debut_prevue],ROW()-6))</f>
      </c>
      <c r="H280" s="25">
        <f>=IF($A280="","",INDEX(tblTasks[Date_fin_prevue],ROW()-6))</f>
      </c>
      <c r="I280" s="36">
        <f>=IF($A280="","",INDEX(tblTasks[Duree_jours],ROW()-6))</f>
      </c>
      <c r="J280" s="25">
        <f>=IF($A280="","",INDEX(tblTasks[Date_debut_reelle],ROW()-6))</f>
      </c>
      <c r="K280" s="25">
        <f>=IF($A280="","",INDEX(tblTasks[Date_fin_reelle],ROW()-6))</f>
      </c>
      <c r="L280" s="23">
        <f>=IF($A280="","",INDEX(tblTasks[Blocage],ROW()-6))</f>
      </c>
      <c r="M280" s="23">
        <f>=IF($A280="","",INDEX(tblTasks[Depend_de],ROW()-6))</f>
      </c>
      <c r="N280" s="23">
        <f>=IF($A280="","",INDEX(tblTasks[Non_negociable],ROW()-6))</f>
      </c>
      <c r="O280" s="23">
        <f>=IF($A280="","",INDEX(tblTasks[Seuil_de_reprise],ROW()-6))</f>
      </c>
      <c r="P280" s="23">
        <f>=IF($A280="","",INDEX(tblTasks[Donnee_manquante],ROW()-6))</f>
      </c>
      <c r="Q280" s="23">
        <f>=IF($A280="","",INDEX(tblTasks[Niveau_criticite],ROW()-6))</f>
      </c>
      <c r="R280" s="23">
        <f>=IF($A280="","",INDEX(tblTasks[Irreversibilite],ROW()-6))</f>
      </c>
      <c r="S280" s="23">
        <f>=IF($A280="","",INDEX(tblTasks[Decision_Emmanuel],ROW()-6))</f>
      </c>
      <c r="T280" s="24">
        <f>=IF($A280="","",INDEX(tblTasks[Commentaire_EKT],ROW()-6))</f>
      </c>
      <c r="U280" s="23">
        <f>=IF($A280="","",INDEX(tblTasks[Goulot],ROW()-6))</f>
      </c>
      <c r="V280" s="23">
        <f>=IF($A280="","",INDEX(tblTasks[Point_de_bascule],ROW()-6))</f>
      </c>
      <c r="W280" s="37">
        <f>IF($A280="","",IF(AND(OR(param_filtre_statut="tous",LOWER($F280)=LOWER(param_filtre_statut)),OR(param_filtre_agent="tous",LOWER($D280)=LOWER(param_filtre_agent),LOWER($E280)=LOWER(param_filtre_agent)),OR(param_filtre_criticite="toutes",LOWER($Q280)=LOWER(param_filtre_criticite))),"oui","non"))</f>
      </c>
      <c r="X280" s="37">
        <f>IF($A280="","",IF(OR(LOWER($F280)="bloqué",LOWER($L280)="oui"),"oui","non"))</f>
      </c>
      <c r="Y280" s="37">
        <f>IF($A280="","",IF(OR(LOWER($Q280)="critique",LOWER($U280)="oui",LOWER($V280)="oui"),"oui","non"))</f>
      </c>
      <c r="Z280" s="37">
        <f>IF($A280="","",IF(AND($S280&lt;&gt;"",LOWER($S280)&lt;&gt;"tranchée",LOWER($S280)&lt;&gt;"sans objet",LOWER($S280)&lt;&gt;"clos"),"oui","non"))</f>
      </c>
      <c r="AA280" s="37">
        <f>IF($A280="","",IF($P280&lt;&gt;"","oui","non"))</f>
      </c>
      <c r="AB280" s="37">
        <f>IF($A280="","",IF(OR(LOWER($F280)="non réouvrable",LOWER($R280)="forte"),"oui","non"))</f>
      </c>
    </row>
    <row r="281" spans="1:28" x14ac:dyDescent="0.25">
      <c r="A281" s="23">
        <f>IFERROR(INDEX(tblTasks[ID],ROW()-6),"")</f>
      </c>
      <c r="B281" s="24">
        <f>=IF($A281="","",INDEX(tblTasks[Sujet],ROW()-6))</f>
      </c>
      <c r="C281" s="23">
        <f>=IF($A281="","",INDEX(tblTasks[Lot_Domaine],ROW()-6))</f>
      </c>
      <c r="D281" s="23">
        <f>=IF($A281="","",INDEX(tblTasks[Agent_source],ROW()-6))</f>
      </c>
      <c r="E281" s="23">
        <f>=IF($A281="","",INDEX(tblTasks[Responsable],ROW()-6))</f>
      </c>
      <c r="F281" s="23">
        <f>=IF($A281="","",INDEX(tblTasks[Statut],ROW()-6))</f>
      </c>
      <c r="G281" s="25">
        <f>=IF($A281="","",INDEX(tblTasks[Date_debut_prevue],ROW()-6))</f>
      </c>
      <c r="H281" s="25">
        <f>=IF($A281="","",INDEX(tblTasks[Date_fin_prevue],ROW()-6))</f>
      </c>
      <c r="I281" s="36">
        <f>=IF($A281="","",INDEX(tblTasks[Duree_jours],ROW()-6))</f>
      </c>
      <c r="J281" s="25">
        <f>=IF($A281="","",INDEX(tblTasks[Date_debut_reelle],ROW()-6))</f>
      </c>
      <c r="K281" s="25">
        <f>=IF($A281="","",INDEX(tblTasks[Date_fin_reelle],ROW()-6))</f>
      </c>
      <c r="L281" s="23">
        <f>=IF($A281="","",INDEX(tblTasks[Blocage],ROW()-6))</f>
      </c>
      <c r="M281" s="23">
        <f>=IF($A281="","",INDEX(tblTasks[Depend_de],ROW()-6))</f>
      </c>
      <c r="N281" s="23">
        <f>=IF($A281="","",INDEX(tblTasks[Non_negociable],ROW()-6))</f>
      </c>
      <c r="O281" s="23">
        <f>=IF($A281="","",INDEX(tblTasks[Seuil_de_reprise],ROW()-6))</f>
      </c>
      <c r="P281" s="23">
        <f>=IF($A281="","",INDEX(tblTasks[Donnee_manquante],ROW()-6))</f>
      </c>
      <c r="Q281" s="23">
        <f>=IF($A281="","",INDEX(tblTasks[Niveau_criticite],ROW()-6))</f>
      </c>
      <c r="R281" s="23">
        <f>=IF($A281="","",INDEX(tblTasks[Irreversibilite],ROW()-6))</f>
      </c>
      <c r="S281" s="23">
        <f>=IF($A281="","",INDEX(tblTasks[Decision_Emmanuel],ROW()-6))</f>
      </c>
      <c r="T281" s="24">
        <f>=IF($A281="","",INDEX(tblTasks[Commentaire_EKT],ROW()-6))</f>
      </c>
      <c r="U281" s="23">
        <f>=IF($A281="","",INDEX(tblTasks[Goulot],ROW()-6))</f>
      </c>
      <c r="V281" s="23">
        <f>=IF($A281="","",INDEX(tblTasks[Point_de_bascule],ROW()-6))</f>
      </c>
      <c r="W281" s="37">
        <f>IF($A281="","",IF(AND(OR(param_filtre_statut="tous",LOWER($F281)=LOWER(param_filtre_statut)),OR(param_filtre_agent="tous",LOWER($D281)=LOWER(param_filtre_agent),LOWER($E281)=LOWER(param_filtre_agent)),OR(param_filtre_criticite="toutes",LOWER($Q281)=LOWER(param_filtre_criticite))),"oui","non"))</f>
      </c>
      <c r="X281" s="37">
        <f>IF($A281="","",IF(OR(LOWER($F281)="bloqué",LOWER($L281)="oui"),"oui","non"))</f>
      </c>
      <c r="Y281" s="37">
        <f>IF($A281="","",IF(OR(LOWER($Q281)="critique",LOWER($U281)="oui",LOWER($V281)="oui"),"oui","non"))</f>
      </c>
      <c r="Z281" s="37">
        <f>IF($A281="","",IF(AND($S281&lt;&gt;"",LOWER($S281)&lt;&gt;"tranchée",LOWER($S281)&lt;&gt;"sans objet",LOWER($S281)&lt;&gt;"clos"),"oui","non"))</f>
      </c>
      <c r="AA281" s="37">
        <f>IF($A281="","",IF($P281&lt;&gt;"","oui","non"))</f>
      </c>
      <c r="AB281" s="37">
        <f>IF($A281="","",IF(OR(LOWER($F281)="non réouvrable",LOWER($R281)="forte"),"oui","non"))</f>
      </c>
    </row>
    <row r="282" spans="1:28" x14ac:dyDescent="0.25">
      <c r="A282" s="23">
        <f>IFERROR(INDEX(tblTasks[ID],ROW()-6),"")</f>
      </c>
      <c r="B282" s="24">
        <f>=IF($A282="","",INDEX(tblTasks[Sujet],ROW()-6))</f>
      </c>
      <c r="C282" s="23">
        <f>=IF($A282="","",INDEX(tblTasks[Lot_Domaine],ROW()-6))</f>
      </c>
      <c r="D282" s="23">
        <f>=IF($A282="","",INDEX(tblTasks[Agent_source],ROW()-6))</f>
      </c>
      <c r="E282" s="23">
        <f>=IF($A282="","",INDEX(tblTasks[Responsable],ROW()-6))</f>
      </c>
      <c r="F282" s="23">
        <f>=IF($A282="","",INDEX(tblTasks[Statut],ROW()-6))</f>
      </c>
      <c r="G282" s="25">
        <f>=IF($A282="","",INDEX(tblTasks[Date_debut_prevue],ROW()-6))</f>
      </c>
      <c r="H282" s="25">
        <f>=IF($A282="","",INDEX(tblTasks[Date_fin_prevue],ROW()-6))</f>
      </c>
      <c r="I282" s="36">
        <f>=IF($A282="","",INDEX(tblTasks[Duree_jours],ROW()-6))</f>
      </c>
      <c r="J282" s="25">
        <f>=IF($A282="","",INDEX(tblTasks[Date_debut_reelle],ROW()-6))</f>
      </c>
      <c r="K282" s="25">
        <f>=IF($A282="","",INDEX(tblTasks[Date_fin_reelle],ROW()-6))</f>
      </c>
      <c r="L282" s="23">
        <f>=IF($A282="","",INDEX(tblTasks[Blocage],ROW()-6))</f>
      </c>
      <c r="M282" s="23">
        <f>=IF($A282="","",INDEX(tblTasks[Depend_de],ROW()-6))</f>
      </c>
      <c r="N282" s="23">
        <f>=IF($A282="","",INDEX(tblTasks[Non_negociable],ROW()-6))</f>
      </c>
      <c r="O282" s="23">
        <f>=IF($A282="","",INDEX(tblTasks[Seuil_de_reprise],ROW()-6))</f>
      </c>
      <c r="P282" s="23">
        <f>=IF($A282="","",INDEX(tblTasks[Donnee_manquante],ROW()-6))</f>
      </c>
      <c r="Q282" s="23">
        <f>=IF($A282="","",INDEX(tblTasks[Niveau_criticite],ROW()-6))</f>
      </c>
      <c r="R282" s="23">
        <f>=IF($A282="","",INDEX(tblTasks[Irreversibilite],ROW()-6))</f>
      </c>
      <c r="S282" s="23">
        <f>=IF($A282="","",INDEX(tblTasks[Decision_Emmanuel],ROW()-6))</f>
      </c>
      <c r="T282" s="24">
        <f>=IF($A282="","",INDEX(tblTasks[Commentaire_EKT],ROW()-6))</f>
      </c>
      <c r="U282" s="23">
        <f>=IF($A282="","",INDEX(tblTasks[Goulot],ROW()-6))</f>
      </c>
      <c r="V282" s="23">
        <f>=IF($A282="","",INDEX(tblTasks[Point_de_bascule],ROW()-6))</f>
      </c>
      <c r="W282" s="37">
        <f>IF($A282="","",IF(AND(OR(param_filtre_statut="tous",LOWER($F282)=LOWER(param_filtre_statut)),OR(param_filtre_agent="tous",LOWER($D282)=LOWER(param_filtre_agent),LOWER($E282)=LOWER(param_filtre_agent)),OR(param_filtre_criticite="toutes",LOWER($Q282)=LOWER(param_filtre_criticite))),"oui","non"))</f>
      </c>
      <c r="X282" s="37">
        <f>IF($A282="","",IF(OR(LOWER($F282)="bloqué",LOWER($L282)="oui"),"oui","non"))</f>
      </c>
      <c r="Y282" s="37">
        <f>IF($A282="","",IF(OR(LOWER($Q282)="critique",LOWER($U282)="oui",LOWER($V282)="oui"),"oui","non"))</f>
      </c>
      <c r="Z282" s="37">
        <f>IF($A282="","",IF(AND($S282&lt;&gt;"",LOWER($S282)&lt;&gt;"tranchée",LOWER($S282)&lt;&gt;"sans objet",LOWER($S282)&lt;&gt;"clos"),"oui","non"))</f>
      </c>
      <c r="AA282" s="37">
        <f>IF($A282="","",IF($P282&lt;&gt;"","oui","non"))</f>
      </c>
      <c r="AB282" s="37">
        <f>IF($A282="","",IF(OR(LOWER($F282)="non réouvrable",LOWER($R282)="forte"),"oui","non"))</f>
      </c>
    </row>
    <row r="283" spans="1:28" x14ac:dyDescent="0.25">
      <c r="A283" s="23">
        <f>IFERROR(INDEX(tblTasks[ID],ROW()-6),"")</f>
      </c>
      <c r="B283" s="24">
        <f>=IF($A283="","",INDEX(tblTasks[Sujet],ROW()-6))</f>
      </c>
      <c r="C283" s="23">
        <f>=IF($A283="","",INDEX(tblTasks[Lot_Domaine],ROW()-6))</f>
      </c>
      <c r="D283" s="23">
        <f>=IF($A283="","",INDEX(tblTasks[Agent_source],ROW()-6))</f>
      </c>
      <c r="E283" s="23">
        <f>=IF($A283="","",INDEX(tblTasks[Responsable],ROW()-6))</f>
      </c>
      <c r="F283" s="23">
        <f>=IF($A283="","",INDEX(tblTasks[Statut],ROW()-6))</f>
      </c>
      <c r="G283" s="25">
        <f>=IF($A283="","",INDEX(tblTasks[Date_debut_prevue],ROW()-6))</f>
      </c>
      <c r="H283" s="25">
        <f>=IF($A283="","",INDEX(tblTasks[Date_fin_prevue],ROW()-6))</f>
      </c>
      <c r="I283" s="36">
        <f>=IF($A283="","",INDEX(tblTasks[Duree_jours],ROW()-6))</f>
      </c>
      <c r="J283" s="25">
        <f>=IF($A283="","",INDEX(tblTasks[Date_debut_reelle],ROW()-6))</f>
      </c>
      <c r="K283" s="25">
        <f>=IF($A283="","",INDEX(tblTasks[Date_fin_reelle],ROW()-6))</f>
      </c>
      <c r="L283" s="23">
        <f>=IF($A283="","",INDEX(tblTasks[Blocage],ROW()-6))</f>
      </c>
      <c r="M283" s="23">
        <f>=IF($A283="","",INDEX(tblTasks[Depend_de],ROW()-6))</f>
      </c>
      <c r="N283" s="23">
        <f>=IF($A283="","",INDEX(tblTasks[Non_negociable],ROW()-6))</f>
      </c>
      <c r="O283" s="23">
        <f>=IF($A283="","",INDEX(tblTasks[Seuil_de_reprise],ROW()-6))</f>
      </c>
      <c r="P283" s="23">
        <f>=IF($A283="","",INDEX(tblTasks[Donnee_manquante],ROW()-6))</f>
      </c>
      <c r="Q283" s="23">
        <f>=IF($A283="","",INDEX(tblTasks[Niveau_criticite],ROW()-6))</f>
      </c>
      <c r="R283" s="23">
        <f>=IF($A283="","",INDEX(tblTasks[Irreversibilite],ROW()-6))</f>
      </c>
      <c r="S283" s="23">
        <f>=IF($A283="","",INDEX(tblTasks[Decision_Emmanuel],ROW()-6))</f>
      </c>
      <c r="T283" s="24">
        <f>=IF($A283="","",INDEX(tblTasks[Commentaire_EKT],ROW()-6))</f>
      </c>
      <c r="U283" s="23">
        <f>=IF($A283="","",INDEX(tblTasks[Goulot],ROW()-6))</f>
      </c>
      <c r="V283" s="23">
        <f>=IF($A283="","",INDEX(tblTasks[Point_de_bascule],ROW()-6))</f>
      </c>
      <c r="W283" s="37">
        <f>IF($A283="","",IF(AND(OR(param_filtre_statut="tous",LOWER($F283)=LOWER(param_filtre_statut)),OR(param_filtre_agent="tous",LOWER($D283)=LOWER(param_filtre_agent),LOWER($E283)=LOWER(param_filtre_agent)),OR(param_filtre_criticite="toutes",LOWER($Q283)=LOWER(param_filtre_criticite))),"oui","non"))</f>
      </c>
      <c r="X283" s="37">
        <f>IF($A283="","",IF(OR(LOWER($F283)="bloqué",LOWER($L283)="oui"),"oui","non"))</f>
      </c>
      <c r="Y283" s="37">
        <f>IF($A283="","",IF(OR(LOWER($Q283)="critique",LOWER($U283)="oui",LOWER($V283)="oui"),"oui","non"))</f>
      </c>
      <c r="Z283" s="37">
        <f>IF($A283="","",IF(AND($S283&lt;&gt;"",LOWER($S283)&lt;&gt;"tranchée",LOWER($S283)&lt;&gt;"sans objet",LOWER($S283)&lt;&gt;"clos"),"oui","non"))</f>
      </c>
      <c r="AA283" s="37">
        <f>IF($A283="","",IF($P283&lt;&gt;"","oui","non"))</f>
      </c>
      <c r="AB283" s="37">
        <f>IF($A283="","",IF(OR(LOWER($F283)="non réouvrable",LOWER($R283)="forte"),"oui","non"))</f>
      </c>
    </row>
    <row r="284" spans="1:28" x14ac:dyDescent="0.25">
      <c r="A284" s="23">
        <f>IFERROR(INDEX(tblTasks[ID],ROW()-6),"")</f>
      </c>
      <c r="B284" s="24">
        <f>=IF($A284="","",INDEX(tblTasks[Sujet],ROW()-6))</f>
      </c>
      <c r="C284" s="23">
        <f>=IF($A284="","",INDEX(tblTasks[Lot_Domaine],ROW()-6))</f>
      </c>
      <c r="D284" s="23">
        <f>=IF($A284="","",INDEX(tblTasks[Agent_source],ROW()-6))</f>
      </c>
      <c r="E284" s="23">
        <f>=IF($A284="","",INDEX(tblTasks[Responsable],ROW()-6))</f>
      </c>
      <c r="F284" s="23">
        <f>=IF($A284="","",INDEX(tblTasks[Statut],ROW()-6))</f>
      </c>
      <c r="G284" s="25">
        <f>=IF($A284="","",INDEX(tblTasks[Date_debut_prevue],ROW()-6))</f>
      </c>
      <c r="H284" s="25">
        <f>=IF($A284="","",INDEX(tblTasks[Date_fin_prevue],ROW()-6))</f>
      </c>
      <c r="I284" s="36">
        <f>=IF($A284="","",INDEX(tblTasks[Duree_jours],ROW()-6))</f>
      </c>
      <c r="J284" s="25">
        <f>=IF($A284="","",INDEX(tblTasks[Date_debut_reelle],ROW()-6))</f>
      </c>
      <c r="K284" s="25">
        <f>=IF($A284="","",INDEX(tblTasks[Date_fin_reelle],ROW()-6))</f>
      </c>
      <c r="L284" s="23">
        <f>=IF($A284="","",INDEX(tblTasks[Blocage],ROW()-6))</f>
      </c>
      <c r="M284" s="23">
        <f>=IF($A284="","",INDEX(tblTasks[Depend_de],ROW()-6))</f>
      </c>
      <c r="N284" s="23">
        <f>=IF($A284="","",INDEX(tblTasks[Non_negociable],ROW()-6))</f>
      </c>
      <c r="O284" s="23">
        <f>=IF($A284="","",INDEX(tblTasks[Seuil_de_reprise],ROW()-6))</f>
      </c>
      <c r="P284" s="23">
        <f>=IF($A284="","",INDEX(tblTasks[Donnee_manquante],ROW()-6))</f>
      </c>
      <c r="Q284" s="23">
        <f>=IF($A284="","",INDEX(tblTasks[Niveau_criticite],ROW()-6))</f>
      </c>
      <c r="R284" s="23">
        <f>=IF($A284="","",INDEX(tblTasks[Irreversibilite],ROW()-6))</f>
      </c>
      <c r="S284" s="23">
        <f>=IF($A284="","",INDEX(tblTasks[Decision_Emmanuel],ROW()-6))</f>
      </c>
      <c r="T284" s="24">
        <f>=IF($A284="","",INDEX(tblTasks[Commentaire_EKT],ROW()-6))</f>
      </c>
      <c r="U284" s="23">
        <f>=IF($A284="","",INDEX(tblTasks[Goulot],ROW()-6))</f>
      </c>
      <c r="V284" s="23">
        <f>=IF($A284="","",INDEX(tblTasks[Point_de_bascule],ROW()-6))</f>
      </c>
      <c r="W284" s="37">
        <f>IF($A284="","",IF(AND(OR(param_filtre_statut="tous",LOWER($F284)=LOWER(param_filtre_statut)),OR(param_filtre_agent="tous",LOWER($D284)=LOWER(param_filtre_agent),LOWER($E284)=LOWER(param_filtre_agent)),OR(param_filtre_criticite="toutes",LOWER($Q284)=LOWER(param_filtre_criticite))),"oui","non"))</f>
      </c>
      <c r="X284" s="37">
        <f>IF($A284="","",IF(OR(LOWER($F284)="bloqué",LOWER($L284)="oui"),"oui","non"))</f>
      </c>
      <c r="Y284" s="37">
        <f>IF($A284="","",IF(OR(LOWER($Q284)="critique",LOWER($U284)="oui",LOWER($V284)="oui"),"oui","non"))</f>
      </c>
      <c r="Z284" s="37">
        <f>IF($A284="","",IF(AND($S284&lt;&gt;"",LOWER($S284)&lt;&gt;"tranchée",LOWER($S284)&lt;&gt;"sans objet",LOWER($S284)&lt;&gt;"clos"),"oui","non"))</f>
      </c>
      <c r="AA284" s="37">
        <f>IF($A284="","",IF($P284&lt;&gt;"","oui","non"))</f>
      </c>
      <c r="AB284" s="37">
        <f>IF($A284="","",IF(OR(LOWER($F284)="non réouvrable",LOWER($R284)="forte"),"oui","non"))</f>
      </c>
    </row>
    <row r="285" spans="1:28" x14ac:dyDescent="0.25">
      <c r="A285" s="23">
        <f>IFERROR(INDEX(tblTasks[ID],ROW()-6),"")</f>
      </c>
      <c r="B285" s="24">
        <f>=IF($A285="","",INDEX(tblTasks[Sujet],ROW()-6))</f>
      </c>
      <c r="C285" s="23">
        <f>=IF($A285="","",INDEX(tblTasks[Lot_Domaine],ROW()-6))</f>
      </c>
      <c r="D285" s="23">
        <f>=IF($A285="","",INDEX(tblTasks[Agent_source],ROW()-6))</f>
      </c>
      <c r="E285" s="23">
        <f>=IF($A285="","",INDEX(tblTasks[Responsable],ROW()-6))</f>
      </c>
      <c r="F285" s="23">
        <f>=IF($A285="","",INDEX(tblTasks[Statut],ROW()-6))</f>
      </c>
      <c r="G285" s="25">
        <f>=IF($A285="","",INDEX(tblTasks[Date_debut_prevue],ROW()-6))</f>
      </c>
      <c r="H285" s="25">
        <f>=IF($A285="","",INDEX(tblTasks[Date_fin_prevue],ROW()-6))</f>
      </c>
      <c r="I285" s="36">
        <f>=IF($A285="","",INDEX(tblTasks[Duree_jours],ROW()-6))</f>
      </c>
      <c r="J285" s="25">
        <f>=IF($A285="","",INDEX(tblTasks[Date_debut_reelle],ROW()-6))</f>
      </c>
      <c r="K285" s="25">
        <f>=IF($A285="","",INDEX(tblTasks[Date_fin_reelle],ROW()-6))</f>
      </c>
      <c r="L285" s="23">
        <f>=IF($A285="","",INDEX(tblTasks[Blocage],ROW()-6))</f>
      </c>
      <c r="M285" s="23">
        <f>=IF($A285="","",INDEX(tblTasks[Depend_de],ROW()-6))</f>
      </c>
      <c r="N285" s="23">
        <f>=IF($A285="","",INDEX(tblTasks[Non_negociable],ROW()-6))</f>
      </c>
      <c r="O285" s="23">
        <f>=IF($A285="","",INDEX(tblTasks[Seuil_de_reprise],ROW()-6))</f>
      </c>
      <c r="P285" s="23">
        <f>=IF($A285="","",INDEX(tblTasks[Donnee_manquante],ROW()-6))</f>
      </c>
      <c r="Q285" s="23">
        <f>=IF($A285="","",INDEX(tblTasks[Niveau_criticite],ROW()-6))</f>
      </c>
      <c r="R285" s="23">
        <f>=IF($A285="","",INDEX(tblTasks[Irreversibilite],ROW()-6))</f>
      </c>
      <c r="S285" s="23">
        <f>=IF($A285="","",INDEX(tblTasks[Decision_Emmanuel],ROW()-6))</f>
      </c>
      <c r="T285" s="24">
        <f>=IF($A285="","",INDEX(tblTasks[Commentaire_EKT],ROW()-6))</f>
      </c>
      <c r="U285" s="23">
        <f>=IF($A285="","",INDEX(tblTasks[Goulot],ROW()-6))</f>
      </c>
      <c r="V285" s="23">
        <f>=IF($A285="","",INDEX(tblTasks[Point_de_bascule],ROW()-6))</f>
      </c>
      <c r="W285" s="37">
        <f>IF($A285="","",IF(AND(OR(param_filtre_statut="tous",LOWER($F285)=LOWER(param_filtre_statut)),OR(param_filtre_agent="tous",LOWER($D285)=LOWER(param_filtre_agent),LOWER($E285)=LOWER(param_filtre_agent)),OR(param_filtre_criticite="toutes",LOWER($Q285)=LOWER(param_filtre_criticite))),"oui","non"))</f>
      </c>
      <c r="X285" s="37">
        <f>IF($A285="","",IF(OR(LOWER($F285)="bloqué",LOWER($L285)="oui"),"oui","non"))</f>
      </c>
      <c r="Y285" s="37">
        <f>IF($A285="","",IF(OR(LOWER($Q285)="critique",LOWER($U285)="oui",LOWER($V285)="oui"),"oui","non"))</f>
      </c>
      <c r="Z285" s="37">
        <f>IF($A285="","",IF(AND($S285&lt;&gt;"",LOWER($S285)&lt;&gt;"tranchée",LOWER($S285)&lt;&gt;"sans objet",LOWER($S285)&lt;&gt;"clos"),"oui","non"))</f>
      </c>
      <c r="AA285" s="37">
        <f>IF($A285="","",IF($P285&lt;&gt;"","oui","non"))</f>
      </c>
      <c r="AB285" s="37">
        <f>IF($A285="","",IF(OR(LOWER($F285)="non réouvrable",LOWER($R285)="forte"),"oui","non"))</f>
      </c>
    </row>
    <row r="286" spans="1:28" x14ac:dyDescent="0.25">
      <c r="A286" s="23">
        <f>IFERROR(INDEX(tblTasks[ID],ROW()-6),"")</f>
      </c>
      <c r="B286" s="24">
        <f>=IF($A286="","",INDEX(tblTasks[Sujet],ROW()-6))</f>
      </c>
      <c r="C286" s="23">
        <f>=IF($A286="","",INDEX(tblTasks[Lot_Domaine],ROW()-6))</f>
      </c>
      <c r="D286" s="23">
        <f>=IF($A286="","",INDEX(tblTasks[Agent_source],ROW()-6))</f>
      </c>
      <c r="E286" s="23">
        <f>=IF($A286="","",INDEX(tblTasks[Responsable],ROW()-6))</f>
      </c>
      <c r="F286" s="23">
        <f>=IF($A286="","",INDEX(tblTasks[Statut],ROW()-6))</f>
      </c>
      <c r="G286" s="25">
        <f>=IF($A286="","",INDEX(tblTasks[Date_debut_prevue],ROW()-6))</f>
      </c>
      <c r="H286" s="25">
        <f>=IF($A286="","",INDEX(tblTasks[Date_fin_prevue],ROW()-6))</f>
      </c>
      <c r="I286" s="36">
        <f>=IF($A286="","",INDEX(tblTasks[Duree_jours],ROW()-6))</f>
      </c>
      <c r="J286" s="25">
        <f>=IF($A286="","",INDEX(tblTasks[Date_debut_reelle],ROW()-6))</f>
      </c>
      <c r="K286" s="25">
        <f>=IF($A286="","",INDEX(tblTasks[Date_fin_reelle],ROW()-6))</f>
      </c>
      <c r="L286" s="23">
        <f>=IF($A286="","",INDEX(tblTasks[Blocage],ROW()-6))</f>
      </c>
      <c r="M286" s="23">
        <f>=IF($A286="","",INDEX(tblTasks[Depend_de],ROW()-6))</f>
      </c>
      <c r="N286" s="23">
        <f>=IF($A286="","",INDEX(tblTasks[Non_negociable],ROW()-6))</f>
      </c>
      <c r="O286" s="23">
        <f>=IF($A286="","",INDEX(tblTasks[Seuil_de_reprise],ROW()-6))</f>
      </c>
      <c r="P286" s="23">
        <f>=IF($A286="","",INDEX(tblTasks[Donnee_manquante],ROW()-6))</f>
      </c>
      <c r="Q286" s="23">
        <f>=IF($A286="","",INDEX(tblTasks[Niveau_criticite],ROW()-6))</f>
      </c>
      <c r="R286" s="23">
        <f>=IF($A286="","",INDEX(tblTasks[Irreversibilite],ROW()-6))</f>
      </c>
      <c r="S286" s="23">
        <f>=IF($A286="","",INDEX(tblTasks[Decision_Emmanuel],ROW()-6))</f>
      </c>
      <c r="T286" s="24">
        <f>=IF($A286="","",INDEX(tblTasks[Commentaire_EKT],ROW()-6))</f>
      </c>
      <c r="U286" s="23">
        <f>=IF($A286="","",INDEX(tblTasks[Goulot],ROW()-6))</f>
      </c>
      <c r="V286" s="23">
        <f>=IF($A286="","",INDEX(tblTasks[Point_de_bascule],ROW()-6))</f>
      </c>
      <c r="W286" s="37">
        <f>IF($A286="","",IF(AND(OR(param_filtre_statut="tous",LOWER($F286)=LOWER(param_filtre_statut)),OR(param_filtre_agent="tous",LOWER($D286)=LOWER(param_filtre_agent),LOWER($E286)=LOWER(param_filtre_agent)),OR(param_filtre_criticite="toutes",LOWER($Q286)=LOWER(param_filtre_criticite))),"oui","non"))</f>
      </c>
      <c r="X286" s="37">
        <f>IF($A286="","",IF(OR(LOWER($F286)="bloqué",LOWER($L286)="oui"),"oui","non"))</f>
      </c>
      <c r="Y286" s="37">
        <f>IF($A286="","",IF(OR(LOWER($Q286)="critique",LOWER($U286)="oui",LOWER($V286)="oui"),"oui","non"))</f>
      </c>
      <c r="Z286" s="37">
        <f>IF($A286="","",IF(AND($S286&lt;&gt;"",LOWER($S286)&lt;&gt;"tranchée",LOWER($S286)&lt;&gt;"sans objet",LOWER($S286)&lt;&gt;"clos"),"oui","non"))</f>
      </c>
      <c r="AA286" s="37">
        <f>IF($A286="","",IF($P286&lt;&gt;"","oui","non"))</f>
      </c>
      <c r="AB286" s="37">
        <f>IF($A286="","",IF(OR(LOWER($F286)="non réouvrable",LOWER($R286)="forte"),"oui","non"))</f>
      </c>
    </row>
    <row r="287" spans="1:28" x14ac:dyDescent="0.25">
      <c r="A287" s="23">
        <f>IFERROR(INDEX(tblTasks[ID],ROW()-6),"")</f>
      </c>
      <c r="B287" s="24">
        <f>=IF($A287="","",INDEX(tblTasks[Sujet],ROW()-6))</f>
      </c>
      <c r="C287" s="23">
        <f>=IF($A287="","",INDEX(tblTasks[Lot_Domaine],ROW()-6))</f>
      </c>
      <c r="D287" s="23">
        <f>=IF($A287="","",INDEX(tblTasks[Agent_source],ROW()-6))</f>
      </c>
      <c r="E287" s="23">
        <f>=IF($A287="","",INDEX(tblTasks[Responsable],ROW()-6))</f>
      </c>
      <c r="F287" s="23">
        <f>=IF($A287="","",INDEX(tblTasks[Statut],ROW()-6))</f>
      </c>
      <c r="G287" s="25">
        <f>=IF($A287="","",INDEX(tblTasks[Date_debut_prevue],ROW()-6))</f>
      </c>
      <c r="H287" s="25">
        <f>=IF($A287="","",INDEX(tblTasks[Date_fin_prevue],ROW()-6))</f>
      </c>
      <c r="I287" s="36">
        <f>=IF($A287="","",INDEX(tblTasks[Duree_jours],ROW()-6))</f>
      </c>
      <c r="J287" s="25">
        <f>=IF($A287="","",INDEX(tblTasks[Date_debut_reelle],ROW()-6))</f>
      </c>
      <c r="K287" s="25">
        <f>=IF($A287="","",INDEX(tblTasks[Date_fin_reelle],ROW()-6))</f>
      </c>
      <c r="L287" s="23">
        <f>=IF($A287="","",INDEX(tblTasks[Blocage],ROW()-6))</f>
      </c>
      <c r="M287" s="23">
        <f>=IF($A287="","",INDEX(tblTasks[Depend_de],ROW()-6))</f>
      </c>
      <c r="N287" s="23">
        <f>=IF($A287="","",INDEX(tblTasks[Non_negociable],ROW()-6))</f>
      </c>
      <c r="O287" s="23">
        <f>=IF($A287="","",INDEX(tblTasks[Seuil_de_reprise],ROW()-6))</f>
      </c>
      <c r="P287" s="23">
        <f>=IF($A287="","",INDEX(tblTasks[Donnee_manquante],ROW()-6))</f>
      </c>
      <c r="Q287" s="23">
        <f>=IF($A287="","",INDEX(tblTasks[Niveau_criticite],ROW()-6))</f>
      </c>
      <c r="R287" s="23">
        <f>=IF($A287="","",INDEX(tblTasks[Irreversibilite],ROW()-6))</f>
      </c>
      <c r="S287" s="23">
        <f>=IF($A287="","",INDEX(tblTasks[Decision_Emmanuel],ROW()-6))</f>
      </c>
      <c r="T287" s="24">
        <f>=IF($A287="","",INDEX(tblTasks[Commentaire_EKT],ROW()-6))</f>
      </c>
      <c r="U287" s="23">
        <f>=IF($A287="","",INDEX(tblTasks[Goulot],ROW()-6))</f>
      </c>
      <c r="V287" s="23">
        <f>=IF($A287="","",INDEX(tblTasks[Point_de_bascule],ROW()-6))</f>
      </c>
      <c r="W287" s="37">
        <f>IF($A287="","",IF(AND(OR(param_filtre_statut="tous",LOWER($F287)=LOWER(param_filtre_statut)),OR(param_filtre_agent="tous",LOWER($D287)=LOWER(param_filtre_agent),LOWER($E287)=LOWER(param_filtre_agent)),OR(param_filtre_criticite="toutes",LOWER($Q287)=LOWER(param_filtre_criticite))),"oui","non"))</f>
      </c>
      <c r="X287" s="37">
        <f>IF($A287="","",IF(OR(LOWER($F287)="bloqué",LOWER($L287)="oui"),"oui","non"))</f>
      </c>
      <c r="Y287" s="37">
        <f>IF($A287="","",IF(OR(LOWER($Q287)="critique",LOWER($U287)="oui",LOWER($V287)="oui"),"oui","non"))</f>
      </c>
      <c r="Z287" s="37">
        <f>IF($A287="","",IF(AND($S287&lt;&gt;"",LOWER($S287)&lt;&gt;"tranchée",LOWER($S287)&lt;&gt;"sans objet",LOWER($S287)&lt;&gt;"clos"),"oui","non"))</f>
      </c>
      <c r="AA287" s="37">
        <f>IF($A287="","",IF($P287&lt;&gt;"","oui","non"))</f>
      </c>
      <c r="AB287" s="37">
        <f>IF($A287="","",IF(OR(LOWER($F287)="non réouvrable",LOWER($R287)="forte"),"oui","non"))</f>
      </c>
    </row>
    <row r="288" spans="1:28" x14ac:dyDescent="0.25">
      <c r="A288" s="23">
        <f>IFERROR(INDEX(tblTasks[ID],ROW()-6),"")</f>
      </c>
      <c r="B288" s="24">
        <f>=IF($A288="","",INDEX(tblTasks[Sujet],ROW()-6))</f>
      </c>
      <c r="C288" s="23">
        <f>=IF($A288="","",INDEX(tblTasks[Lot_Domaine],ROW()-6))</f>
      </c>
      <c r="D288" s="23">
        <f>=IF($A288="","",INDEX(tblTasks[Agent_source],ROW()-6))</f>
      </c>
      <c r="E288" s="23">
        <f>=IF($A288="","",INDEX(tblTasks[Responsable],ROW()-6))</f>
      </c>
      <c r="F288" s="23">
        <f>=IF($A288="","",INDEX(tblTasks[Statut],ROW()-6))</f>
      </c>
      <c r="G288" s="25">
        <f>=IF($A288="","",INDEX(tblTasks[Date_debut_prevue],ROW()-6))</f>
      </c>
      <c r="H288" s="25">
        <f>=IF($A288="","",INDEX(tblTasks[Date_fin_prevue],ROW()-6))</f>
      </c>
      <c r="I288" s="36">
        <f>=IF($A288="","",INDEX(tblTasks[Duree_jours],ROW()-6))</f>
      </c>
      <c r="J288" s="25">
        <f>=IF($A288="","",INDEX(tblTasks[Date_debut_reelle],ROW()-6))</f>
      </c>
      <c r="K288" s="25">
        <f>=IF($A288="","",INDEX(tblTasks[Date_fin_reelle],ROW()-6))</f>
      </c>
      <c r="L288" s="23">
        <f>=IF($A288="","",INDEX(tblTasks[Blocage],ROW()-6))</f>
      </c>
      <c r="M288" s="23">
        <f>=IF($A288="","",INDEX(tblTasks[Depend_de],ROW()-6))</f>
      </c>
      <c r="N288" s="23">
        <f>=IF($A288="","",INDEX(tblTasks[Non_negociable],ROW()-6))</f>
      </c>
      <c r="O288" s="23">
        <f>=IF($A288="","",INDEX(tblTasks[Seuil_de_reprise],ROW()-6))</f>
      </c>
      <c r="P288" s="23">
        <f>=IF($A288="","",INDEX(tblTasks[Donnee_manquante],ROW()-6))</f>
      </c>
      <c r="Q288" s="23">
        <f>=IF($A288="","",INDEX(tblTasks[Niveau_criticite],ROW()-6))</f>
      </c>
      <c r="R288" s="23">
        <f>=IF($A288="","",INDEX(tblTasks[Irreversibilite],ROW()-6))</f>
      </c>
      <c r="S288" s="23">
        <f>=IF($A288="","",INDEX(tblTasks[Decision_Emmanuel],ROW()-6))</f>
      </c>
      <c r="T288" s="24">
        <f>=IF($A288="","",INDEX(tblTasks[Commentaire_EKT],ROW()-6))</f>
      </c>
      <c r="U288" s="23">
        <f>=IF($A288="","",INDEX(tblTasks[Goulot],ROW()-6))</f>
      </c>
      <c r="V288" s="23">
        <f>=IF($A288="","",INDEX(tblTasks[Point_de_bascule],ROW()-6))</f>
      </c>
      <c r="W288" s="37">
        <f>IF($A288="","",IF(AND(OR(param_filtre_statut="tous",LOWER($F288)=LOWER(param_filtre_statut)),OR(param_filtre_agent="tous",LOWER($D288)=LOWER(param_filtre_agent),LOWER($E288)=LOWER(param_filtre_agent)),OR(param_filtre_criticite="toutes",LOWER($Q288)=LOWER(param_filtre_criticite))),"oui","non"))</f>
      </c>
      <c r="X288" s="37">
        <f>IF($A288="","",IF(OR(LOWER($F288)="bloqué",LOWER($L288)="oui"),"oui","non"))</f>
      </c>
      <c r="Y288" s="37">
        <f>IF($A288="","",IF(OR(LOWER($Q288)="critique",LOWER($U288)="oui",LOWER($V288)="oui"),"oui","non"))</f>
      </c>
      <c r="Z288" s="37">
        <f>IF($A288="","",IF(AND($S288&lt;&gt;"",LOWER($S288)&lt;&gt;"tranchée",LOWER($S288)&lt;&gt;"sans objet",LOWER($S288)&lt;&gt;"clos"),"oui","non"))</f>
      </c>
      <c r="AA288" s="37">
        <f>IF($A288="","",IF($P288&lt;&gt;"","oui","non"))</f>
      </c>
      <c r="AB288" s="37">
        <f>IF($A288="","",IF(OR(LOWER($F288)="non réouvrable",LOWER($R288)="forte"),"oui","non"))</f>
      </c>
    </row>
    <row r="289" spans="1:28" x14ac:dyDescent="0.25">
      <c r="A289" s="23">
        <f>IFERROR(INDEX(tblTasks[ID],ROW()-6),"")</f>
      </c>
      <c r="B289" s="24">
        <f>=IF($A289="","",INDEX(tblTasks[Sujet],ROW()-6))</f>
      </c>
      <c r="C289" s="23">
        <f>=IF($A289="","",INDEX(tblTasks[Lot_Domaine],ROW()-6))</f>
      </c>
      <c r="D289" s="23">
        <f>=IF($A289="","",INDEX(tblTasks[Agent_source],ROW()-6))</f>
      </c>
      <c r="E289" s="23">
        <f>=IF($A289="","",INDEX(tblTasks[Responsable],ROW()-6))</f>
      </c>
      <c r="F289" s="23">
        <f>=IF($A289="","",INDEX(tblTasks[Statut],ROW()-6))</f>
      </c>
      <c r="G289" s="25">
        <f>=IF($A289="","",INDEX(tblTasks[Date_debut_prevue],ROW()-6))</f>
      </c>
      <c r="H289" s="25">
        <f>=IF($A289="","",INDEX(tblTasks[Date_fin_prevue],ROW()-6))</f>
      </c>
      <c r="I289" s="36">
        <f>=IF($A289="","",INDEX(tblTasks[Duree_jours],ROW()-6))</f>
      </c>
      <c r="J289" s="25">
        <f>=IF($A289="","",INDEX(tblTasks[Date_debut_reelle],ROW()-6))</f>
      </c>
      <c r="K289" s="25">
        <f>=IF($A289="","",INDEX(tblTasks[Date_fin_reelle],ROW()-6))</f>
      </c>
      <c r="L289" s="23">
        <f>=IF($A289="","",INDEX(tblTasks[Blocage],ROW()-6))</f>
      </c>
      <c r="M289" s="23">
        <f>=IF($A289="","",INDEX(tblTasks[Depend_de],ROW()-6))</f>
      </c>
      <c r="N289" s="23">
        <f>=IF($A289="","",INDEX(tblTasks[Non_negociable],ROW()-6))</f>
      </c>
      <c r="O289" s="23">
        <f>=IF($A289="","",INDEX(tblTasks[Seuil_de_reprise],ROW()-6))</f>
      </c>
      <c r="P289" s="23">
        <f>=IF($A289="","",INDEX(tblTasks[Donnee_manquante],ROW()-6))</f>
      </c>
      <c r="Q289" s="23">
        <f>=IF($A289="","",INDEX(tblTasks[Niveau_criticite],ROW()-6))</f>
      </c>
      <c r="R289" s="23">
        <f>=IF($A289="","",INDEX(tblTasks[Irreversibilite],ROW()-6))</f>
      </c>
      <c r="S289" s="23">
        <f>=IF($A289="","",INDEX(tblTasks[Decision_Emmanuel],ROW()-6))</f>
      </c>
      <c r="T289" s="24">
        <f>=IF($A289="","",INDEX(tblTasks[Commentaire_EKT],ROW()-6))</f>
      </c>
      <c r="U289" s="23">
        <f>=IF($A289="","",INDEX(tblTasks[Goulot],ROW()-6))</f>
      </c>
      <c r="V289" s="23">
        <f>=IF($A289="","",INDEX(tblTasks[Point_de_bascule],ROW()-6))</f>
      </c>
      <c r="W289" s="37">
        <f>IF($A289="","",IF(AND(OR(param_filtre_statut="tous",LOWER($F289)=LOWER(param_filtre_statut)),OR(param_filtre_agent="tous",LOWER($D289)=LOWER(param_filtre_agent),LOWER($E289)=LOWER(param_filtre_agent)),OR(param_filtre_criticite="toutes",LOWER($Q289)=LOWER(param_filtre_criticite))),"oui","non"))</f>
      </c>
      <c r="X289" s="37">
        <f>IF($A289="","",IF(OR(LOWER($F289)="bloqué",LOWER($L289)="oui"),"oui","non"))</f>
      </c>
      <c r="Y289" s="37">
        <f>IF($A289="","",IF(OR(LOWER($Q289)="critique",LOWER($U289)="oui",LOWER($V289)="oui"),"oui","non"))</f>
      </c>
      <c r="Z289" s="37">
        <f>IF($A289="","",IF(AND($S289&lt;&gt;"",LOWER($S289)&lt;&gt;"tranchée",LOWER($S289)&lt;&gt;"sans objet",LOWER($S289)&lt;&gt;"clos"),"oui","non"))</f>
      </c>
      <c r="AA289" s="37">
        <f>IF($A289="","",IF($P289&lt;&gt;"","oui","non"))</f>
      </c>
      <c r="AB289" s="37">
        <f>IF($A289="","",IF(OR(LOWER($F289)="non réouvrable",LOWER($R289)="forte"),"oui","non"))</f>
      </c>
    </row>
    <row r="290" spans="1:28" x14ac:dyDescent="0.25">
      <c r="A290" s="23">
        <f>IFERROR(INDEX(tblTasks[ID],ROW()-6),"")</f>
      </c>
      <c r="B290" s="24">
        <f>=IF($A290="","",INDEX(tblTasks[Sujet],ROW()-6))</f>
      </c>
      <c r="C290" s="23">
        <f>=IF($A290="","",INDEX(tblTasks[Lot_Domaine],ROW()-6))</f>
      </c>
      <c r="D290" s="23">
        <f>=IF($A290="","",INDEX(tblTasks[Agent_source],ROW()-6))</f>
      </c>
      <c r="E290" s="23">
        <f>=IF($A290="","",INDEX(tblTasks[Responsable],ROW()-6))</f>
      </c>
      <c r="F290" s="23">
        <f>=IF($A290="","",INDEX(tblTasks[Statut],ROW()-6))</f>
      </c>
      <c r="G290" s="25">
        <f>=IF($A290="","",INDEX(tblTasks[Date_debut_prevue],ROW()-6))</f>
      </c>
      <c r="H290" s="25">
        <f>=IF($A290="","",INDEX(tblTasks[Date_fin_prevue],ROW()-6))</f>
      </c>
      <c r="I290" s="36">
        <f>=IF($A290="","",INDEX(tblTasks[Duree_jours],ROW()-6))</f>
      </c>
      <c r="J290" s="25">
        <f>=IF($A290="","",INDEX(tblTasks[Date_debut_reelle],ROW()-6))</f>
      </c>
      <c r="K290" s="25">
        <f>=IF($A290="","",INDEX(tblTasks[Date_fin_reelle],ROW()-6))</f>
      </c>
      <c r="L290" s="23">
        <f>=IF($A290="","",INDEX(tblTasks[Blocage],ROW()-6))</f>
      </c>
      <c r="M290" s="23">
        <f>=IF($A290="","",INDEX(tblTasks[Depend_de],ROW()-6))</f>
      </c>
      <c r="N290" s="23">
        <f>=IF($A290="","",INDEX(tblTasks[Non_negociable],ROW()-6))</f>
      </c>
      <c r="O290" s="23">
        <f>=IF($A290="","",INDEX(tblTasks[Seuil_de_reprise],ROW()-6))</f>
      </c>
      <c r="P290" s="23">
        <f>=IF($A290="","",INDEX(tblTasks[Donnee_manquante],ROW()-6))</f>
      </c>
      <c r="Q290" s="23">
        <f>=IF($A290="","",INDEX(tblTasks[Niveau_criticite],ROW()-6))</f>
      </c>
      <c r="R290" s="23">
        <f>=IF($A290="","",INDEX(tblTasks[Irreversibilite],ROW()-6))</f>
      </c>
      <c r="S290" s="23">
        <f>=IF($A290="","",INDEX(tblTasks[Decision_Emmanuel],ROW()-6))</f>
      </c>
      <c r="T290" s="24">
        <f>=IF($A290="","",INDEX(tblTasks[Commentaire_EKT],ROW()-6))</f>
      </c>
      <c r="U290" s="23">
        <f>=IF($A290="","",INDEX(tblTasks[Goulot],ROW()-6))</f>
      </c>
      <c r="V290" s="23">
        <f>=IF($A290="","",INDEX(tblTasks[Point_de_bascule],ROW()-6))</f>
      </c>
      <c r="W290" s="37">
        <f>IF($A290="","",IF(AND(OR(param_filtre_statut="tous",LOWER($F290)=LOWER(param_filtre_statut)),OR(param_filtre_agent="tous",LOWER($D290)=LOWER(param_filtre_agent),LOWER($E290)=LOWER(param_filtre_agent)),OR(param_filtre_criticite="toutes",LOWER($Q290)=LOWER(param_filtre_criticite))),"oui","non"))</f>
      </c>
      <c r="X290" s="37">
        <f>IF($A290="","",IF(OR(LOWER($F290)="bloqué",LOWER($L290)="oui"),"oui","non"))</f>
      </c>
      <c r="Y290" s="37">
        <f>IF($A290="","",IF(OR(LOWER($Q290)="critique",LOWER($U290)="oui",LOWER($V290)="oui"),"oui","non"))</f>
      </c>
      <c r="Z290" s="37">
        <f>IF($A290="","",IF(AND($S290&lt;&gt;"",LOWER($S290)&lt;&gt;"tranchée",LOWER($S290)&lt;&gt;"sans objet",LOWER($S290)&lt;&gt;"clos"),"oui","non"))</f>
      </c>
      <c r="AA290" s="37">
        <f>IF($A290="","",IF($P290&lt;&gt;"","oui","non"))</f>
      </c>
      <c r="AB290" s="37">
        <f>IF($A290="","",IF(OR(LOWER($F290)="non réouvrable",LOWER($R290)="forte"),"oui","non"))</f>
      </c>
    </row>
    <row r="291" spans="1:28" x14ac:dyDescent="0.25">
      <c r="A291" s="23">
        <f>IFERROR(INDEX(tblTasks[ID],ROW()-6),"")</f>
      </c>
      <c r="B291" s="24">
        <f>=IF($A291="","",INDEX(tblTasks[Sujet],ROW()-6))</f>
      </c>
      <c r="C291" s="23">
        <f>=IF($A291="","",INDEX(tblTasks[Lot_Domaine],ROW()-6))</f>
      </c>
      <c r="D291" s="23">
        <f>=IF($A291="","",INDEX(tblTasks[Agent_source],ROW()-6))</f>
      </c>
      <c r="E291" s="23">
        <f>=IF($A291="","",INDEX(tblTasks[Responsable],ROW()-6))</f>
      </c>
      <c r="F291" s="23">
        <f>=IF($A291="","",INDEX(tblTasks[Statut],ROW()-6))</f>
      </c>
      <c r="G291" s="25">
        <f>=IF($A291="","",INDEX(tblTasks[Date_debut_prevue],ROW()-6))</f>
      </c>
      <c r="H291" s="25">
        <f>=IF($A291="","",INDEX(tblTasks[Date_fin_prevue],ROW()-6))</f>
      </c>
      <c r="I291" s="36">
        <f>=IF($A291="","",INDEX(tblTasks[Duree_jours],ROW()-6))</f>
      </c>
      <c r="J291" s="25">
        <f>=IF($A291="","",INDEX(tblTasks[Date_debut_reelle],ROW()-6))</f>
      </c>
      <c r="K291" s="25">
        <f>=IF($A291="","",INDEX(tblTasks[Date_fin_reelle],ROW()-6))</f>
      </c>
      <c r="L291" s="23">
        <f>=IF($A291="","",INDEX(tblTasks[Blocage],ROW()-6))</f>
      </c>
      <c r="M291" s="23">
        <f>=IF($A291="","",INDEX(tblTasks[Depend_de],ROW()-6))</f>
      </c>
      <c r="N291" s="23">
        <f>=IF($A291="","",INDEX(tblTasks[Non_negociable],ROW()-6))</f>
      </c>
      <c r="O291" s="23">
        <f>=IF($A291="","",INDEX(tblTasks[Seuil_de_reprise],ROW()-6))</f>
      </c>
      <c r="P291" s="23">
        <f>=IF($A291="","",INDEX(tblTasks[Donnee_manquante],ROW()-6))</f>
      </c>
      <c r="Q291" s="23">
        <f>=IF($A291="","",INDEX(tblTasks[Niveau_criticite],ROW()-6))</f>
      </c>
      <c r="R291" s="23">
        <f>=IF($A291="","",INDEX(tblTasks[Irreversibilite],ROW()-6))</f>
      </c>
      <c r="S291" s="23">
        <f>=IF($A291="","",INDEX(tblTasks[Decision_Emmanuel],ROW()-6))</f>
      </c>
      <c r="T291" s="24">
        <f>=IF($A291="","",INDEX(tblTasks[Commentaire_EKT],ROW()-6))</f>
      </c>
      <c r="U291" s="23">
        <f>=IF($A291="","",INDEX(tblTasks[Goulot],ROW()-6))</f>
      </c>
      <c r="V291" s="23">
        <f>=IF($A291="","",INDEX(tblTasks[Point_de_bascule],ROW()-6))</f>
      </c>
      <c r="W291" s="37">
        <f>IF($A291="","",IF(AND(OR(param_filtre_statut="tous",LOWER($F291)=LOWER(param_filtre_statut)),OR(param_filtre_agent="tous",LOWER($D291)=LOWER(param_filtre_agent),LOWER($E291)=LOWER(param_filtre_agent)),OR(param_filtre_criticite="toutes",LOWER($Q291)=LOWER(param_filtre_criticite))),"oui","non"))</f>
      </c>
      <c r="X291" s="37">
        <f>IF($A291="","",IF(OR(LOWER($F291)="bloqué",LOWER($L291)="oui"),"oui","non"))</f>
      </c>
      <c r="Y291" s="37">
        <f>IF($A291="","",IF(OR(LOWER($Q291)="critique",LOWER($U291)="oui",LOWER($V291)="oui"),"oui","non"))</f>
      </c>
      <c r="Z291" s="37">
        <f>IF($A291="","",IF(AND($S291&lt;&gt;"",LOWER($S291)&lt;&gt;"tranchée",LOWER($S291)&lt;&gt;"sans objet",LOWER($S291)&lt;&gt;"clos"),"oui","non"))</f>
      </c>
      <c r="AA291" s="37">
        <f>IF($A291="","",IF($P291&lt;&gt;"","oui","non"))</f>
      </c>
      <c r="AB291" s="37">
        <f>IF($A291="","",IF(OR(LOWER($F291)="non réouvrable",LOWER($R291)="forte"),"oui","non"))</f>
      </c>
    </row>
    <row r="292" spans="1:28" x14ac:dyDescent="0.25">
      <c r="A292" s="23">
        <f>IFERROR(INDEX(tblTasks[ID],ROW()-6),"")</f>
      </c>
      <c r="B292" s="24">
        <f>=IF($A292="","",INDEX(tblTasks[Sujet],ROW()-6))</f>
      </c>
      <c r="C292" s="23">
        <f>=IF($A292="","",INDEX(tblTasks[Lot_Domaine],ROW()-6))</f>
      </c>
      <c r="D292" s="23">
        <f>=IF($A292="","",INDEX(tblTasks[Agent_source],ROW()-6))</f>
      </c>
      <c r="E292" s="23">
        <f>=IF($A292="","",INDEX(tblTasks[Responsable],ROW()-6))</f>
      </c>
      <c r="F292" s="23">
        <f>=IF($A292="","",INDEX(tblTasks[Statut],ROW()-6))</f>
      </c>
      <c r="G292" s="25">
        <f>=IF($A292="","",INDEX(tblTasks[Date_debut_prevue],ROW()-6))</f>
      </c>
      <c r="H292" s="25">
        <f>=IF($A292="","",INDEX(tblTasks[Date_fin_prevue],ROW()-6))</f>
      </c>
      <c r="I292" s="36">
        <f>=IF($A292="","",INDEX(tblTasks[Duree_jours],ROW()-6))</f>
      </c>
      <c r="J292" s="25">
        <f>=IF($A292="","",INDEX(tblTasks[Date_debut_reelle],ROW()-6))</f>
      </c>
      <c r="K292" s="25">
        <f>=IF($A292="","",INDEX(tblTasks[Date_fin_reelle],ROW()-6))</f>
      </c>
      <c r="L292" s="23">
        <f>=IF($A292="","",INDEX(tblTasks[Blocage],ROW()-6))</f>
      </c>
      <c r="M292" s="23">
        <f>=IF($A292="","",INDEX(tblTasks[Depend_de],ROW()-6))</f>
      </c>
      <c r="N292" s="23">
        <f>=IF($A292="","",INDEX(tblTasks[Non_negociable],ROW()-6))</f>
      </c>
      <c r="O292" s="23">
        <f>=IF($A292="","",INDEX(tblTasks[Seuil_de_reprise],ROW()-6))</f>
      </c>
      <c r="P292" s="23">
        <f>=IF($A292="","",INDEX(tblTasks[Donnee_manquante],ROW()-6))</f>
      </c>
      <c r="Q292" s="23">
        <f>=IF($A292="","",INDEX(tblTasks[Niveau_criticite],ROW()-6))</f>
      </c>
      <c r="R292" s="23">
        <f>=IF($A292="","",INDEX(tblTasks[Irreversibilite],ROW()-6))</f>
      </c>
      <c r="S292" s="23">
        <f>=IF($A292="","",INDEX(tblTasks[Decision_Emmanuel],ROW()-6))</f>
      </c>
      <c r="T292" s="24">
        <f>=IF($A292="","",INDEX(tblTasks[Commentaire_EKT],ROW()-6))</f>
      </c>
      <c r="U292" s="23">
        <f>=IF($A292="","",INDEX(tblTasks[Goulot],ROW()-6))</f>
      </c>
      <c r="V292" s="23">
        <f>=IF($A292="","",INDEX(tblTasks[Point_de_bascule],ROW()-6))</f>
      </c>
      <c r="W292" s="37">
        <f>IF($A292="","",IF(AND(OR(param_filtre_statut="tous",LOWER($F292)=LOWER(param_filtre_statut)),OR(param_filtre_agent="tous",LOWER($D292)=LOWER(param_filtre_agent),LOWER($E292)=LOWER(param_filtre_agent)),OR(param_filtre_criticite="toutes",LOWER($Q292)=LOWER(param_filtre_criticite))),"oui","non"))</f>
      </c>
      <c r="X292" s="37">
        <f>IF($A292="","",IF(OR(LOWER($F292)="bloqué",LOWER($L292)="oui"),"oui","non"))</f>
      </c>
      <c r="Y292" s="37">
        <f>IF($A292="","",IF(OR(LOWER($Q292)="critique",LOWER($U292)="oui",LOWER($V292)="oui"),"oui","non"))</f>
      </c>
      <c r="Z292" s="37">
        <f>IF($A292="","",IF(AND($S292&lt;&gt;"",LOWER($S292)&lt;&gt;"tranchée",LOWER($S292)&lt;&gt;"sans objet",LOWER($S292)&lt;&gt;"clos"),"oui","non"))</f>
      </c>
      <c r="AA292" s="37">
        <f>IF($A292="","",IF($P292&lt;&gt;"","oui","non"))</f>
      </c>
      <c r="AB292" s="37">
        <f>IF($A292="","",IF(OR(LOWER($F292)="non réouvrable",LOWER($R292)="forte"),"oui","non"))</f>
      </c>
    </row>
    <row r="293" spans="1:28" x14ac:dyDescent="0.25">
      <c r="A293" s="23">
        <f>IFERROR(INDEX(tblTasks[ID],ROW()-6),"")</f>
      </c>
      <c r="B293" s="24">
        <f>=IF($A293="","",INDEX(tblTasks[Sujet],ROW()-6))</f>
      </c>
      <c r="C293" s="23">
        <f>=IF($A293="","",INDEX(tblTasks[Lot_Domaine],ROW()-6))</f>
      </c>
      <c r="D293" s="23">
        <f>=IF($A293="","",INDEX(tblTasks[Agent_source],ROW()-6))</f>
      </c>
      <c r="E293" s="23">
        <f>=IF($A293="","",INDEX(tblTasks[Responsable],ROW()-6))</f>
      </c>
      <c r="F293" s="23">
        <f>=IF($A293="","",INDEX(tblTasks[Statut],ROW()-6))</f>
      </c>
      <c r="G293" s="25">
        <f>=IF($A293="","",INDEX(tblTasks[Date_debut_prevue],ROW()-6))</f>
      </c>
      <c r="H293" s="25">
        <f>=IF($A293="","",INDEX(tblTasks[Date_fin_prevue],ROW()-6))</f>
      </c>
      <c r="I293" s="36">
        <f>=IF($A293="","",INDEX(tblTasks[Duree_jours],ROW()-6))</f>
      </c>
      <c r="J293" s="25">
        <f>=IF($A293="","",INDEX(tblTasks[Date_debut_reelle],ROW()-6))</f>
      </c>
      <c r="K293" s="25">
        <f>=IF($A293="","",INDEX(tblTasks[Date_fin_reelle],ROW()-6))</f>
      </c>
      <c r="L293" s="23">
        <f>=IF($A293="","",INDEX(tblTasks[Blocage],ROW()-6))</f>
      </c>
      <c r="M293" s="23">
        <f>=IF($A293="","",INDEX(tblTasks[Depend_de],ROW()-6))</f>
      </c>
      <c r="N293" s="23">
        <f>=IF($A293="","",INDEX(tblTasks[Non_negociable],ROW()-6))</f>
      </c>
      <c r="O293" s="23">
        <f>=IF($A293="","",INDEX(tblTasks[Seuil_de_reprise],ROW()-6))</f>
      </c>
      <c r="P293" s="23">
        <f>=IF($A293="","",INDEX(tblTasks[Donnee_manquante],ROW()-6))</f>
      </c>
      <c r="Q293" s="23">
        <f>=IF($A293="","",INDEX(tblTasks[Niveau_criticite],ROW()-6))</f>
      </c>
      <c r="R293" s="23">
        <f>=IF($A293="","",INDEX(tblTasks[Irreversibilite],ROW()-6))</f>
      </c>
      <c r="S293" s="23">
        <f>=IF($A293="","",INDEX(tblTasks[Decision_Emmanuel],ROW()-6))</f>
      </c>
      <c r="T293" s="24">
        <f>=IF($A293="","",INDEX(tblTasks[Commentaire_EKT],ROW()-6))</f>
      </c>
      <c r="U293" s="23">
        <f>=IF($A293="","",INDEX(tblTasks[Goulot],ROW()-6))</f>
      </c>
      <c r="V293" s="23">
        <f>=IF($A293="","",INDEX(tblTasks[Point_de_bascule],ROW()-6))</f>
      </c>
      <c r="W293" s="37">
        <f>IF($A293="","",IF(AND(OR(param_filtre_statut="tous",LOWER($F293)=LOWER(param_filtre_statut)),OR(param_filtre_agent="tous",LOWER($D293)=LOWER(param_filtre_agent),LOWER($E293)=LOWER(param_filtre_agent)),OR(param_filtre_criticite="toutes",LOWER($Q293)=LOWER(param_filtre_criticite))),"oui","non"))</f>
      </c>
      <c r="X293" s="37">
        <f>IF($A293="","",IF(OR(LOWER($F293)="bloqué",LOWER($L293)="oui"),"oui","non"))</f>
      </c>
      <c r="Y293" s="37">
        <f>IF($A293="","",IF(OR(LOWER($Q293)="critique",LOWER($U293)="oui",LOWER($V293)="oui"),"oui","non"))</f>
      </c>
      <c r="Z293" s="37">
        <f>IF($A293="","",IF(AND($S293&lt;&gt;"",LOWER($S293)&lt;&gt;"tranchée",LOWER($S293)&lt;&gt;"sans objet",LOWER($S293)&lt;&gt;"clos"),"oui","non"))</f>
      </c>
      <c r="AA293" s="37">
        <f>IF($A293="","",IF($P293&lt;&gt;"","oui","non"))</f>
      </c>
      <c r="AB293" s="37">
        <f>IF($A293="","",IF(OR(LOWER($F293)="non réouvrable",LOWER($R293)="forte"),"oui","non"))</f>
      </c>
    </row>
    <row r="294" spans="1:28" x14ac:dyDescent="0.25">
      <c r="A294" s="23">
        <f>IFERROR(INDEX(tblTasks[ID],ROW()-6),"")</f>
      </c>
      <c r="B294" s="24">
        <f>=IF($A294="","",INDEX(tblTasks[Sujet],ROW()-6))</f>
      </c>
      <c r="C294" s="23">
        <f>=IF($A294="","",INDEX(tblTasks[Lot_Domaine],ROW()-6))</f>
      </c>
      <c r="D294" s="23">
        <f>=IF($A294="","",INDEX(tblTasks[Agent_source],ROW()-6))</f>
      </c>
      <c r="E294" s="23">
        <f>=IF($A294="","",INDEX(tblTasks[Responsable],ROW()-6))</f>
      </c>
      <c r="F294" s="23">
        <f>=IF($A294="","",INDEX(tblTasks[Statut],ROW()-6))</f>
      </c>
      <c r="G294" s="25">
        <f>=IF($A294="","",INDEX(tblTasks[Date_debut_prevue],ROW()-6))</f>
      </c>
      <c r="H294" s="25">
        <f>=IF($A294="","",INDEX(tblTasks[Date_fin_prevue],ROW()-6))</f>
      </c>
      <c r="I294" s="36">
        <f>=IF($A294="","",INDEX(tblTasks[Duree_jours],ROW()-6))</f>
      </c>
      <c r="J294" s="25">
        <f>=IF($A294="","",INDEX(tblTasks[Date_debut_reelle],ROW()-6))</f>
      </c>
      <c r="K294" s="25">
        <f>=IF($A294="","",INDEX(tblTasks[Date_fin_reelle],ROW()-6))</f>
      </c>
      <c r="L294" s="23">
        <f>=IF($A294="","",INDEX(tblTasks[Blocage],ROW()-6))</f>
      </c>
      <c r="M294" s="23">
        <f>=IF($A294="","",INDEX(tblTasks[Depend_de],ROW()-6))</f>
      </c>
      <c r="N294" s="23">
        <f>=IF($A294="","",INDEX(tblTasks[Non_negociable],ROW()-6))</f>
      </c>
      <c r="O294" s="23">
        <f>=IF($A294="","",INDEX(tblTasks[Seuil_de_reprise],ROW()-6))</f>
      </c>
      <c r="P294" s="23">
        <f>=IF($A294="","",INDEX(tblTasks[Donnee_manquante],ROW()-6))</f>
      </c>
      <c r="Q294" s="23">
        <f>=IF($A294="","",INDEX(tblTasks[Niveau_criticite],ROW()-6))</f>
      </c>
      <c r="R294" s="23">
        <f>=IF($A294="","",INDEX(tblTasks[Irreversibilite],ROW()-6))</f>
      </c>
      <c r="S294" s="23">
        <f>=IF($A294="","",INDEX(tblTasks[Decision_Emmanuel],ROW()-6))</f>
      </c>
      <c r="T294" s="24">
        <f>=IF($A294="","",INDEX(tblTasks[Commentaire_EKT],ROW()-6))</f>
      </c>
      <c r="U294" s="23">
        <f>=IF($A294="","",INDEX(tblTasks[Goulot],ROW()-6))</f>
      </c>
      <c r="V294" s="23">
        <f>=IF($A294="","",INDEX(tblTasks[Point_de_bascule],ROW()-6))</f>
      </c>
      <c r="W294" s="37">
        <f>IF($A294="","",IF(AND(OR(param_filtre_statut="tous",LOWER($F294)=LOWER(param_filtre_statut)),OR(param_filtre_agent="tous",LOWER($D294)=LOWER(param_filtre_agent),LOWER($E294)=LOWER(param_filtre_agent)),OR(param_filtre_criticite="toutes",LOWER($Q294)=LOWER(param_filtre_criticite))),"oui","non"))</f>
      </c>
      <c r="X294" s="37">
        <f>IF($A294="","",IF(OR(LOWER($F294)="bloqué",LOWER($L294)="oui"),"oui","non"))</f>
      </c>
      <c r="Y294" s="37">
        <f>IF($A294="","",IF(OR(LOWER($Q294)="critique",LOWER($U294)="oui",LOWER($V294)="oui"),"oui","non"))</f>
      </c>
      <c r="Z294" s="37">
        <f>IF($A294="","",IF(AND($S294&lt;&gt;"",LOWER($S294)&lt;&gt;"tranchée",LOWER($S294)&lt;&gt;"sans objet",LOWER($S294)&lt;&gt;"clos"),"oui","non"))</f>
      </c>
      <c r="AA294" s="37">
        <f>IF($A294="","",IF($P294&lt;&gt;"","oui","non"))</f>
      </c>
      <c r="AB294" s="37">
        <f>IF($A294="","",IF(OR(LOWER($F294)="non réouvrable",LOWER($R294)="forte"),"oui","non"))</f>
      </c>
    </row>
    <row r="295" spans="1:28" x14ac:dyDescent="0.25">
      <c r="A295" s="23">
        <f>IFERROR(INDEX(tblTasks[ID],ROW()-6),"")</f>
      </c>
      <c r="B295" s="24">
        <f>=IF($A295="","",INDEX(tblTasks[Sujet],ROW()-6))</f>
      </c>
      <c r="C295" s="23">
        <f>=IF($A295="","",INDEX(tblTasks[Lot_Domaine],ROW()-6))</f>
      </c>
      <c r="D295" s="23">
        <f>=IF($A295="","",INDEX(tblTasks[Agent_source],ROW()-6))</f>
      </c>
      <c r="E295" s="23">
        <f>=IF($A295="","",INDEX(tblTasks[Responsable],ROW()-6))</f>
      </c>
      <c r="F295" s="23">
        <f>=IF($A295="","",INDEX(tblTasks[Statut],ROW()-6))</f>
      </c>
      <c r="G295" s="25">
        <f>=IF($A295="","",INDEX(tblTasks[Date_debut_prevue],ROW()-6))</f>
      </c>
      <c r="H295" s="25">
        <f>=IF($A295="","",INDEX(tblTasks[Date_fin_prevue],ROW()-6))</f>
      </c>
      <c r="I295" s="36">
        <f>=IF($A295="","",INDEX(tblTasks[Duree_jours],ROW()-6))</f>
      </c>
      <c r="J295" s="25">
        <f>=IF($A295="","",INDEX(tblTasks[Date_debut_reelle],ROW()-6))</f>
      </c>
      <c r="K295" s="25">
        <f>=IF($A295="","",INDEX(tblTasks[Date_fin_reelle],ROW()-6))</f>
      </c>
      <c r="L295" s="23">
        <f>=IF($A295="","",INDEX(tblTasks[Blocage],ROW()-6))</f>
      </c>
      <c r="M295" s="23">
        <f>=IF($A295="","",INDEX(tblTasks[Depend_de],ROW()-6))</f>
      </c>
      <c r="N295" s="23">
        <f>=IF($A295="","",INDEX(tblTasks[Non_negociable],ROW()-6))</f>
      </c>
      <c r="O295" s="23">
        <f>=IF($A295="","",INDEX(tblTasks[Seuil_de_reprise],ROW()-6))</f>
      </c>
      <c r="P295" s="23">
        <f>=IF($A295="","",INDEX(tblTasks[Donnee_manquante],ROW()-6))</f>
      </c>
      <c r="Q295" s="23">
        <f>=IF($A295="","",INDEX(tblTasks[Niveau_criticite],ROW()-6))</f>
      </c>
      <c r="R295" s="23">
        <f>=IF($A295="","",INDEX(tblTasks[Irreversibilite],ROW()-6))</f>
      </c>
      <c r="S295" s="23">
        <f>=IF($A295="","",INDEX(tblTasks[Decision_Emmanuel],ROW()-6))</f>
      </c>
      <c r="T295" s="24">
        <f>=IF($A295="","",INDEX(tblTasks[Commentaire_EKT],ROW()-6))</f>
      </c>
      <c r="U295" s="23">
        <f>=IF($A295="","",INDEX(tblTasks[Goulot],ROW()-6))</f>
      </c>
      <c r="V295" s="23">
        <f>=IF($A295="","",INDEX(tblTasks[Point_de_bascule],ROW()-6))</f>
      </c>
      <c r="W295" s="37">
        <f>IF($A295="","",IF(AND(OR(param_filtre_statut="tous",LOWER($F295)=LOWER(param_filtre_statut)),OR(param_filtre_agent="tous",LOWER($D295)=LOWER(param_filtre_agent),LOWER($E295)=LOWER(param_filtre_agent)),OR(param_filtre_criticite="toutes",LOWER($Q295)=LOWER(param_filtre_criticite))),"oui","non"))</f>
      </c>
      <c r="X295" s="37">
        <f>IF($A295="","",IF(OR(LOWER($F295)="bloqué",LOWER($L295)="oui"),"oui","non"))</f>
      </c>
      <c r="Y295" s="37">
        <f>IF($A295="","",IF(OR(LOWER($Q295)="critique",LOWER($U295)="oui",LOWER($V295)="oui"),"oui","non"))</f>
      </c>
      <c r="Z295" s="37">
        <f>IF($A295="","",IF(AND($S295&lt;&gt;"",LOWER($S295)&lt;&gt;"tranchée",LOWER($S295)&lt;&gt;"sans objet",LOWER($S295)&lt;&gt;"clos"),"oui","non"))</f>
      </c>
      <c r="AA295" s="37">
        <f>IF($A295="","",IF($P295&lt;&gt;"","oui","non"))</f>
      </c>
      <c r="AB295" s="37">
        <f>IF($A295="","",IF(OR(LOWER($F295)="non réouvrable",LOWER($R295)="forte"),"oui","non"))</f>
      </c>
    </row>
    <row r="296" spans="1:28" x14ac:dyDescent="0.25">
      <c r="A296" s="23">
        <f>IFERROR(INDEX(tblTasks[ID],ROW()-6),"")</f>
      </c>
      <c r="B296" s="24">
        <f>=IF($A296="","",INDEX(tblTasks[Sujet],ROW()-6))</f>
      </c>
      <c r="C296" s="23">
        <f>=IF($A296="","",INDEX(tblTasks[Lot_Domaine],ROW()-6))</f>
      </c>
      <c r="D296" s="23">
        <f>=IF($A296="","",INDEX(tblTasks[Agent_source],ROW()-6))</f>
      </c>
      <c r="E296" s="23">
        <f>=IF($A296="","",INDEX(tblTasks[Responsable],ROW()-6))</f>
      </c>
      <c r="F296" s="23">
        <f>=IF($A296="","",INDEX(tblTasks[Statut],ROW()-6))</f>
      </c>
      <c r="G296" s="25">
        <f>=IF($A296="","",INDEX(tblTasks[Date_debut_prevue],ROW()-6))</f>
      </c>
      <c r="H296" s="25">
        <f>=IF($A296="","",INDEX(tblTasks[Date_fin_prevue],ROW()-6))</f>
      </c>
      <c r="I296" s="36">
        <f>=IF($A296="","",INDEX(tblTasks[Duree_jours],ROW()-6))</f>
      </c>
      <c r="J296" s="25">
        <f>=IF($A296="","",INDEX(tblTasks[Date_debut_reelle],ROW()-6))</f>
      </c>
      <c r="K296" s="25">
        <f>=IF($A296="","",INDEX(tblTasks[Date_fin_reelle],ROW()-6))</f>
      </c>
      <c r="L296" s="23">
        <f>=IF($A296="","",INDEX(tblTasks[Blocage],ROW()-6))</f>
      </c>
      <c r="M296" s="23">
        <f>=IF($A296="","",INDEX(tblTasks[Depend_de],ROW()-6))</f>
      </c>
      <c r="N296" s="23">
        <f>=IF($A296="","",INDEX(tblTasks[Non_negociable],ROW()-6))</f>
      </c>
      <c r="O296" s="23">
        <f>=IF($A296="","",INDEX(tblTasks[Seuil_de_reprise],ROW()-6))</f>
      </c>
      <c r="P296" s="23">
        <f>=IF($A296="","",INDEX(tblTasks[Donnee_manquante],ROW()-6))</f>
      </c>
      <c r="Q296" s="23">
        <f>=IF($A296="","",INDEX(tblTasks[Niveau_criticite],ROW()-6))</f>
      </c>
      <c r="R296" s="23">
        <f>=IF($A296="","",INDEX(tblTasks[Irreversibilite],ROW()-6))</f>
      </c>
      <c r="S296" s="23">
        <f>=IF($A296="","",INDEX(tblTasks[Decision_Emmanuel],ROW()-6))</f>
      </c>
      <c r="T296" s="24">
        <f>=IF($A296="","",INDEX(tblTasks[Commentaire_EKT],ROW()-6))</f>
      </c>
      <c r="U296" s="23">
        <f>=IF($A296="","",INDEX(tblTasks[Goulot],ROW()-6))</f>
      </c>
      <c r="V296" s="23">
        <f>=IF($A296="","",INDEX(tblTasks[Point_de_bascule],ROW()-6))</f>
      </c>
      <c r="W296" s="37">
        <f>IF($A296="","",IF(AND(OR(param_filtre_statut="tous",LOWER($F296)=LOWER(param_filtre_statut)),OR(param_filtre_agent="tous",LOWER($D296)=LOWER(param_filtre_agent),LOWER($E296)=LOWER(param_filtre_agent)),OR(param_filtre_criticite="toutes",LOWER($Q296)=LOWER(param_filtre_criticite))),"oui","non"))</f>
      </c>
      <c r="X296" s="37">
        <f>IF($A296="","",IF(OR(LOWER($F296)="bloqué",LOWER($L296)="oui"),"oui","non"))</f>
      </c>
      <c r="Y296" s="37">
        <f>IF($A296="","",IF(OR(LOWER($Q296)="critique",LOWER($U296)="oui",LOWER($V296)="oui"),"oui","non"))</f>
      </c>
      <c r="Z296" s="37">
        <f>IF($A296="","",IF(AND($S296&lt;&gt;"",LOWER($S296)&lt;&gt;"tranchée",LOWER($S296)&lt;&gt;"sans objet",LOWER($S296)&lt;&gt;"clos"),"oui","non"))</f>
      </c>
      <c r="AA296" s="37">
        <f>IF($A296="","",IF($P296&lt;&gt;"","oui","non"))</f>
      </c>
      <c r="AB296" s="37">
        <f>IF($A296="","",IF(OR(LOWER($F296)="non réouvrable",LOWER($R296)="forte"),"oui","non"))</f>
      </c>
    </row>
    <row r="297" spans="1:28" x14ac:dyDescent="0.25">
      <c r="A297" s="23">
        <f>IFERROR(INDEX(tblTasks[ID],ROW()-6),"")</f>
      </c>
      <c r="B297" s="24">
        <f>=IF($A297="","",INDEX(tblTasks[Sujet],ROW()-6))</f>
      </c>
      <c r="C297" s="23">
        <f>=IF($A297="","",INDEX(tblTasks[Lot_Domaine],ROW()-6))</f>
      </c>
      <c r="D297" s="23">
        <f>=IF($A297="","",INDEX(tblTasks[Agent_source],ROW()-6))</f>
      </c>
      <c r="E297" s="23">
        <f>=IF($A297="","",INDEX(tblTasks[Responsable],ROW()-6))</f>
      </c>
      <c r="F297" s="23">
        <f>=IF($A297="","",INDEX(tblTasks[Statut],ROW()-6))</f>
      </c>
      <c r="G297" s="25">
        <f>=IF($A297="","",INDEX(tblTasks[Date_debut_prevue],ROW()-6))</f>
      </c>
      <c r="H297" s="25">
        <f>=IF($A297="","",INDEX(tblTasks[Date_fin_prevue],ROW()-6))</f>
      </c>
      <c r="I297" s="36">
        <f>=IF($A297="","",INDEX(tblTasks[Duree_jours],ROW()-6))</f>
      </c>
      <c r="J297" s="25">
        <f>=IF($A297="","",INDEX(tblTasks[Date_debut_reelle],ROW()-6))</f>
      </c>
      <c r="K297" s="25">
        <f>=IF($A297="","",INDEX(tblTasks[Date_fin_reelle],ROW()-6))</f>
      </c>
      <c r="L297" s="23">
        <f>=IF($A297="","",INDEX(tblTasks[Blocage],ROW()-6))</f>
      </c>
      <c r="M297" s="23">
        <f>=IF($A297="","",INDEX(tblTasks[Depend_de],ROW()-6))</f>
      </c>
      <c r="N297" s="23">
        <f>=IF($A297="","",INDEX(tblTasks[Non_negociable],ROW()-6))</f>
      </c>
      <c r="O297" s="23">
        <f>=IF($A297="","",INDEX(tblTasks[Seuil_de_reprise],ROW()-6))</f>
      </c>
      <c r="P297" s="23">
        <f>=IF($A297="","",INDEX(tblTasks[Donnee_manquante],ROW()-6))</f>
      </c>
      <c r="Q297" s="23">
        <f>=IF($A297="","",INDEX(tblTasks[Niveau_criticite],ROW()-6))</f>
      </c>
      <c r="R297" s="23">
        <f>=IF($A297="","",INDEX(tblTasks[Irreversibilite],ROW()-6))</f>
      </c>
      <c r="S297" s="23">
        <f>=IF($A297="","",INDEX(tblTasks[Decision_Emmanuel],ROW()-6))</f>
      </c>
      <c r="T297" s="24">
        <f>=IF($A297="","",INDEX(tblTasks[Commentaire_EKT],ROW()-6))</f>
      </c>
      <c r="U297" s="23">
        <f>=IF($A297="","",INDEX(tblTasks[Goulot],ROW()-6))</f>
      </c>
      <c r="V297" s="23">
        <f>=IF($A297="","",INDEX(tblTasks[Point_de_bascule],ROW()-6))</f>
      </c>
      <c r="W297" s="37">
        <f>IF($A297="","",IF(AND(OR(param_filtre_statut="tous",LOWER($F297)=LOWER(param_filtre_statut)),OR(param_filtre_agent="tous",LOWER($D297)=LOWER(param_filtre_agent),LOWER($E297)=LOWER(param_filtre_agent)),OR(param_filtre_criticite="toutes",LOWER($Q297)=LOWER(param_filtre_criticite))),"oui","non"))</f>
      </c>
      <c r="X297" s="37">
        <f>IF($A297="","",IF(OR(LOWER($F297)="bloqué",LOWER($L297)="oui"),"oui","non"))</f>
      </c>
      <c r="Y297" s="37">
        <f>IF($A297="","",IF(OR(LOWER($Q297)="critique",LOWER($U297)="oui",LOWER($V297)="oui"),"oui","non"))</f>
      </c>
      <c r="Z297" s="37">
        <f>IF($A297="","",IF(AND($S297&lt;&gt;"",LOWER($S297)&lt;&gt;"tranchée",LOWER($S297)&lt;&gt;"sans objet",LOWER($S297)&lt;&gt;"clos"),"oui","non"))</f>
      </c>
      <c r="AA297" s="37">
        <f>IF($A297="","",IF($P297&lt;&gt;"","oui","non"))</f>
      </c>
      <c r="AB297" s="37">
        <f>IF($A297="","",IF(OR(LOWER($F297)="non réouvrable",LOWER($R297)="forte"),"oui","non"))</f>
      </c>
    </row>
    <row r="298" spans="1:28" x14ac:dyDescent="0.25">
      <c r="A298" s="23">
        <f>IFERROR(INDEX(tblTasks[ID],ROW()-6),"")</f>
      </c>
      <c r="B298" s="24">
        <f>=IF($A298="","",INDEX(tblTasks[Sujet],ROW()-6))</f>
      </c>
      <c r="C298" s="23">
        <f>=IF($A298="","",INDEX(tblTasks[Lot_Domaine],ROW()-6))</f>
      </c>
      <c r="D298" s="23">
        <f>=IF($A298="","",INDEX(tblTasks[Agent_source],ROW()-6))</f>
      </c>
      <c r="E298" s="23">
        <f>=IF($A298="","",INDEX(tblTasks[Responsable],ROW()-6))</f>
      </c>
      <c r="F298" s="23">
        <f>=IF($A298="","",INDEX(tblTasks[Statut],ROW()-6))</f>
      </c>
      <c r="G298" s="25">
        <f>=IF($A298="","",INDEX(tblTasks[Date_debut_prevue],ROW()-6))</f>
      </c>
      <c r="H298" s="25">
        <f>=IF($A298="","",INDEX(tblTasks[Date_fin_prevue],ROW()-6))</f>
      </c>
      <c r="I298" s="36">
        <f>=IF($A298="","",INDEX(tblTasks[Duree_jours],ROW()-6))</f>
      </c>
      <c r="J298" s="25">
        <f>=IF($A298="","",INDEX(tblTasks[Date_debut_reelle],ROW()-6))</f>
      </c>
      <c r="K298" s="25">
        <f>=IF($A298="","",INDEX(tblTasks[Date_fin_reelle],ROW()-6))</f>
      </c>
      <c r="L298" s="23">
        <f>=IF($A298="","",INDEX(tblTasks[Blocage],ROW()-6))</f>
      </c>
      <c r="M298" s="23">
        <f>=IF($A298="","",INDEX(tblTasks[Depend_de],ROW()-6))</f>
      </c>
      <c r="N298" s="23">
        <f>=IF($A298="","",INDEX(tblTasks[Non_negociable],ROW()-6))</f>
      </c>
      <c r="O298" s="23">
        <f>=IF($A298="","",INDEX(tblTasks[Seuil_de_reprise],ROW()-6))</f>
      </c>
      <c r="P298" s="23">
        <f>=IF($A298="","",INDEX(tblTasks[Donnee_manquante],ROW()-6))</f>
      </c>
      <c r="Q298" s="23">
        <f>=IF($A298="","",INDEX(tblTasks[Niveau_criticite],ROW()-6))</f>
      </c>
      <c r="R298" s="23">
        <f>=IF($A298="","",INDEX(tblTasks[Irreversibilite],ROW()-6))</f>
      </c>
      <c r="S298" s="23">
        <f>=IF($A298="","",INDEX(tblTasks[Decision_Emmanuel],ROW()-6))</f>
      </c>
      <c r="T298" s="24">
        <f>=IF($A298="","",INDEX(tblTasks[Commentaire_EKT],ROW()-6))</f>
      </c>
      <c r="U298" s="23">
        <f>=IF($A298="","",INDEX(tblTasks[Goulot],ROW()-6))</f>
      </c>
      <c r="V298" s="23">
        <f>=IF($A298="","",INDEX(tblTasks[Point_de_bascule],ROW()-6))</f>
      </c>
      <c r="W298" s="37">
        <f>IF($A298="","",IF(AND(OR(param_filtre_statut="tous",LOWER($F298)=LOWER(param_filtre_statut)),OR(param_filtre_agent="tous",LOWER($D298)=LOWER(param_filtre_agent),LOWER($E298)=LOWER(param_filtre_agent)),OR(param_filtre_criticite="toutes",LOWER($Q298)=LOWER(param_filtre_criticite))),"oui","non"))</f>
      </c>
      <c r="X298" s="37">
        <f>IF($A298="","",IF(OR(LOWER($F298)="bloqué",LOWER($L298)="oui"),"oui","non"))</f>
      </c>
      <c r="Y298" s="37">
        <f>IF($A298="","",IF(OR(LOWER($Q298)="critique",LOWER($U298)="oui",LOWER($V298)="oui"),"oui","non"))</f>
      </c>
      <c r="Z298" s="37">
        <f>IF($A298="","",IF(AND($S298&lt;&gt;"",LOWER($S298)&lt;&gt;"tranchée",LOWER($S298)&lt;&gt;"sans objet",LOWER($S298)&lt;&gt;"clos"),"oui","non"))</f>
      </c>
      <c r="AA298" s="37">
        <f>IF($A298="","",IF($P298&lt;&gt;"","oui","non"))</f>
      </c>
      <c r="AB298" s="37">
        <f>IF($A298="","",IF(OR(LOWER($F298)="non réouvrable",LOWER($R298)="forte"),"oui","non"))</f>
      </c>
    </row>
    <row r="299" spans="1:28" x14ac:dyDescent="0.25">
      <c r="A299" s="23">
        <f>IFERROR(INDEX(tblTasks[ID],ROW()-6),"")</f>
      </c>
      <c r="B299" s="24">
        <f>=IF($A299="","",INDEX(tblTasks[Sujet],ROW()-6))</f>
      </c>
      <c r="C299" s="23">
        <f>=IF($A299="","",INDEX(tblTasks[Lot_Domaine],ROW()-6))</f>
      </c>
      <c r="D299" s="23">
        <f>=IF($A299="","",INDEX(tblTasks[Agent_source],ROW()-6))</f>
      </c>
      <c r="E299" s="23">
        <f>=IF($A299="","",INDEX(tblTasks[Responsable],ROW()-6))</f>
      </c>
      <c r="F299" s="23">
        <f>=IF($A299="","",INDEX(tblTasks[Statut],ROW()-6))</f>
      </c>
      <c r="G299" s="25">
        <f>=IF($A299="","",INDEX(tblTasks[Date_debut_prevue],ROW()-6))</f>
      </c>
      <c r="H299" s="25">
        <f>=IF($A299="","",INDEX(tblTasks[Date_fin_prevue],ROW()-6))</f>
      </c>
      <c r="I299" s="36">
        <f>=IF($A299="","",INDEX(tblTasks[Duree_jours],ROW()-6))</f>
      </c>
      <c r="J299" s="25">
        <f>=IF($A299="","",INDEX(tblTasks[Date_debut_reelle],ROW()-6))</f>
      </c>
      <c r="K299" s="25">
        <f>=IF($A299="","",INDEX(tblTasks[Date_fin_reelle],ROW()-6))</f>
      </c>
      <c r="L299" s="23">
        <f>=IF($A299="","",INDEX(tblTasks[Blocage],ROW()-6))</f>
      </c>
      <c r="M299" s="23">
        <f>=IF($A299="","",INDEX(tblTasks[Depend_de],ROW()-6))</f>
      </c>
      <c r="N299" s="23">
        <f>=IF($A299="","",INDEX(tblTasks[Non_negociable],ROW()-6))</f>
      </c>
      <c r="O299" s="23">
        <f>=IF($A299="","",INDEX(tblTasks[Seuil_de_reprise],ROW()-6))</f>
      </c>
      <c r="P299" s="23">
        <f>=IF($A299="","",INDEX(tblTasks[Donnee_manquante],ROW()-6))</f>
      </c>
      <c r="Q299" s="23">
        <f>=IF($A299="","",INDEX(tblTasks[Niveau_criticite],ROW()-6))</f>
      </c>
      <c r="R299" s="23">
        <f>=IF($A299="","",INDEX(tblTasks[Irreversibilite],ROW()-6))</f>
      </c>
      <c r="S299" s="23">
        <f>=IF($A299="","",INDEX(tblTasks[Decision_Emmanuel],ROW()-6))</f>
      </c>
      <c r="T299" s="24">
        <f>=IF($A299="","",INDEX(tblTasks[Commentaire_EKT],ROW()-6))</f>
      </c>
      <c r="U299" s="23">
        <f>=IF($A299="","",INDEX(tblTasks[Goulot],ROW()-6))</f>
      </c>
      <c r="V299" s="23">
        <f>=IF($A299="","",INDEX(tblTasks[Point_de_bascule],ROW()-6))</f>
      </c>
      <c r="W299" s="37">
        <f>IF($A299="","",IF(AND(OR(param_filtre_statut="tous",LOWER($F299)=LOWER(param_filtre_statut)),OR(param_filtre_agent="tous",LOWER($D299)=LOWER(param_filtre_agent),LOWER($E299)=LOWER(param_filtre_agent)),OR(param_filtre_criticite="toutes",LOWER($Q299)=LOWER(param_filtre_criticite))),"oui","non"))</f>
      </c>
      <c r="X299" s="37">
        <f>IF($A299="","",IF(OR(LOWER($F299)="bloqué",LOWER($L299)="oui"),"oui","non"))</f>
      </c>
      <c r="Y299" s="37">
        <f>IF($A299="","",IF(OR(LOWER($Q299)="critique",LOWER($U299)="oui",LOWER($V299)="oui"),"oui","non"))</f>
      </c>
      <c r="Z299" s="37">
        <f>IF($A299="","",IF(AND($S299&lt;&gt;"",LOWER($S299)&lt;&gt;"tranchée",LOWER($S299)&lt;&gt;"sans objet",LOWER($S299)&lt;&gt;"clos"),"oui","non"))</f>
      </c>
      <c r="AA299" s="37">
        <f>IF($A299="","",IF($P299&lt;&gt;"","oui","non"))</f>
      </c>
      <c r="AB299" s="37">
        <f>IF($A299="","",IF(OR(LOWER($F299)="non réouvrable",LOWER($R299)="forte"),"oui","non"))</f>
      </c>
    </row>
    <row r="300" spans="1:28" x14ac:dyDescent="0.25">
      <c r="A300" s="23">
        <f>IFERROR(INDEX(tblTasks[ID],ROW()-6),"")</f>
      </c>
      <c r="B300" s="24">
        <f>=IF($A300="","",INDEX(tblTasks[Sujet],ROW()-6))</f>
      </c>
      <c r="C300" s="23">
        <f>=IF($A300="","",INDEX(tblTasks[Lot_Domaine],ROW()-6))</f>
      </c>
      <c r="D300" s="23">
        <f>=IF($A300="","",INDEX(tblTasks[Agent_source],ROW()-6))</f>
      </c>
      <c r="E300" s="23">
        <f>=IF($A300="","",INDEX(tblTasks[Responsable],ROW()-6))</f>
      </c>
      <c r="F300" s="23">
        <f>=IF($A300="","",INDEX(tblTasks[Statut],ROW()-6))</f>
      </c>
      <c r="G300" s="25">
        <f>=IF($A300="","",INDEX(tblTasks[Date_debut_prevue],ROW()-6))</f>
      </c>
      <c r="H300" s="25">
        <f>=IF($A300="","",INDEX(tblTasks[Date_fin_prevue],ROW()-6))</f>
      </c>
      <c r="I300" s="36">
        <f>=IF($A300="","",INDEX(tblTasks[Duree_jours],ROW()-6))</f>
      </c>
      <c r="J300" s="25">
        <f>=IF($A300="","",INDEX(tblTasks[Date_debut_reelle],ROW()-6))</f>
      </c>
      <c r="K300" s="25">
        <f>=IF($A300="","",INDEX(tblTasks[Date_fin_reelle],ROW()-6))</f>
      </c>
      <c r="L300" s="23">
        <f>=IF($A300="","",INDEX(tblTasks[Blocage],ROW()-6))</f>
      </c>
      <c r="M300" s="23">
        <f>=IF($A300="","",INDEX(tblTasks[Depend_de],ROW()-6))</f>
      </c>
      <c r="N300" s="23">
        <f>=IF($A300="","",INDEX(tblTasks[Non_negociable],ROW()-6))</f>
      </c>
      <c r="O300" s="23">
        <f>=IF($A300="","",INDEX(tblTasks[Seuil_de_reprise],ROW()-6))</f>
      </c>
      <c r="P300" s="23">
        <f>=IF($A300="","",INDEX(tblTasks[Donnee_manquante],ROW()-6))</f>
      </c>
      <c r="Q300" s="23">
        <f>=IF($A300="","",INDEX(tblTasks[Niveau_criticite],ROW()-6))</f>
      </c>
      <c r="R300" s="23">
        <f>=IF($A300="","",INDEX(tblTasks[Irreversibilite],ROW()-6))</f>
      </c>
      <c r="S300" s="23">
        <f>=IF($A300="","",INDEX(tblTasks[Decision_Emmanuel],ROW()-6))</f>
      </c>
      <c r="T300" s="24">
        <f>=IF($A300="","",INDEX(tblTasks[Commentaire_EKT],ROW()-6))</f>
      </c>
      <c r="U300" s="23">
        <f>=IF($A300="","",INDEX(tblTasks[Goulot],ROW()-6))</f>
      </c>
      <c r="V300" s="23">
        <f>=IF($A300="","",INDEX(tblTasks[Point_de_bascule],ROW()-6))</f>
      </c>
      <c r="W300" s="37">
        <f>IF($A300="","",IF(AND(OR(param_filtre_statut="tous",LOWER($F300)=LOWER(param_filtre_statut)),OR(param_filtre_agent="tous",LOWER($D300)=LOWER(param_filtre_agent),LOWER($E300)=LOWER(param_filtre_agent)),OR(param_filtre_criticite="toutes",LOWER($Q300)=LOWER(param_filtre_criticite))),"oui","non"))</f>
      </c>
      <c r="X300" s="37">
        <f>IF($A300="","",IF(OR(LOWER($F300)="bloqué",LOWER($L300)="oui"),"oui","non"))</f>
      </c>
      <c r="Y300" s="37">
        <f>IF($A300="","",IF(OR(LOWER($Q300)="critique",LOWER($U300)="oui",LOWER($V300)="oui"),"oui","non"))</f>
      </c>
      <c r="Z300" s="37">
        <f>IF($A300="","",IF(AND($S300&lt;&gt;"",LOWER($S300)&lt;&gt;"tranchée",LOWER($S300)&lt;&gt;"sans objet",LOWER($S300)&lt;&gt;"clos"),"oui","non"))</f>
      </c>
      <c r="AA300" s="37">
        <f>IF($A300="","",IF($P300&lt;&gt;"","oui","non"))</f>
      </c>
      <c r="AB300" s="37">
        <f>IF($A300="","",IF(OR(LOWER($F300)="non réouvrable",LOWER($R300)="forte"),"oui","non"))</f>
      </c>
    </row>
    <row r="301" spans="1:28" x14ac:dyDescent="0.25">
      <c r="A301" s="23">
        <f>IFERROR(INDEX(tblTasks[ID],ROW()-6),"")</f>
      </c>
      <c r="B301" s="24">
        <f>=IF($A301="","",INDEX(tblTasks[Sujet],ROW()-6))</f>
      </c>
      <c r="C301" s="23">
        <f>=IF($A301="","",INDEX(tblTasks[Lot_Domaine],ROW()-6))</f>
      </c>
      <c r="D301" s="23">
        <f>=IF($A301="","",INDEX(tblTasks[Agent_source],ROW()-6))</f>
      </c>
      <c r="E301" s="23">
        <f>=IF($A301="","",INDEX(tblTasks[Responsable],ROW()-6))</f>
      </c>
      <c r="F301" s="23">
        <f>=IF($A301="","",INDEX(tblTasks[Statut],ROW()-6))</f>
      </c>
      <c r="G301" s="25">
        <f>=IF($A301="","",INDEX(tblTasks[Date_debut_prevue],ROW()-6))</f>
      </c>
      <c r="H301" s="25">
        <f>=IF($A301="","",INDEX(tblTasks[Date_fin_prevue],ROW()-6))</f>
      </c>
      <c r="I301" s="36">
        <f>=IF($A301="","",INDEX(tblTasks[Duree_jours],ROW()-6))</f>
      </c>
      <c r="J301" s="25">
        <f>=IF($A301="","",INDEX(tblTasks[Date_debut_reelle],ROW()-6))</f>
      </c>
      <c r="K301" s="25">
        <f>=IF($A301="","",INDEX(tblTasks[Date_fin_reelle],ROW()-6))</f>
      </c>
      <c r="L301" s="23">
        <f>=IF($A301="","",INDEX(tblTasks[Blocage],ROW()-6))</f>
      </c>
      <c r="M301" s="23">
        <f>=IF($A301="","",INDEX(tblTasks[Depend_de],ROW()-6))</f>
      </c>
      <c r="N301" s="23">
        <f>=IF($A301="","",INDEX(tblTasks[Non_negociable],ROW()-6))</f>
      </c>
      <c r="O301" s="23">
        <f>=IF($A301="","",INDEX(tblTasks[Seuil_de_reprise],ROW()-6))</f>
      </c>
      <c r="P301" s="23">
        <f>=IF($A301="","",INDEX(tblTasks[Donnee_manquante],ROW()-6))</f>
      </c>
      <c r="Q301" s="23">
        <f>=IF($A301="","",INDEX(tblTasks[Niveau_criticite],ROW()-6))</f>
      </c>
      <c r="R301" s="23">
        <f>=IF($A301="","",INDEX(tblTasks[Irreversibilite],ROW()-6))</f>
      </c>
      <c r="S301" s="23">
        <f>=IF($A301="","",INDEX(tblTasks[Decision_Emmanuel],ROW()-6))</f>
      </c>
      <c r="T301" s="24">
        <f>=IF($A301="","",INDEX(tblTasks[Commentaire_EKT],ROW()-6))</f>
      </c>
      <c r="U301" s="23">
        <f>=IF($A301="","",INDEX(tblTasks[Goulot],ROW()-6))</f>
      </c>
      <c r="V301" s="23">
        <f>=IF($A301="","",INDEX(tblTasks[Point_de_bascule],ROW()-6))</f>
      </c>
      <c r="W301" s="37">
        <f>IF($A301="","",IF(AND(OR(param_filtre_statut="tous",LOWER($F301)=LOWER(param_filtre_statut)),OR(param_filtre_agent="tous",LOWER($D301)=LOWER(param_filtre_agent),LOWER($E301)=LOWER(param_filtre_agent)),OR(param_filtre_criticite="toutes",LOWER($Q301)=LOWER(param_filtre_criticite))),"oui","non"))</f>
      </c>
      <c r="X301" s="37">
        <f>IF($A301="","",IF(OR(LOWER($F301)="bloqué",LOWER($L301)="oui"),"oui","non"))</f>
      </c>
      <c r="Y301" s="37">
        <f>IF($A301="","",IF(OR(LOWER($Q301)="critique",LOWER($U301)="oui",LOWER($V301)="oui"),"oui","non"))</f>
      </c>
      <c r="Z301" s="37">
        <f>IF($A301="","",IF(AND($S301&lt;&gt;"",LOWER($S301)&lt;&gt;"tranchée",LOWER($S301)&lt;&gt;"sans objet",LOWER($S301)&lt;&gt;"clos"),"oui","non"))</f>
      </c>
      <c r="AA301" s="37">
        <f>IF($A301="","",IF($P301&lt;&gt;"","oui","non"))</f>
      </c>
      <c r="AB301" s="37">
        <f>IF($A301="","",IF(OR(LOWER($F301)="non réouvrable",LOWER($R301)="forte"),"oui","non"))</f>
      </c>
    </row>
    <row r="302" spans="1:28" x14ac:dyDescent="0.25">
      <c r="A302" s="23">
        <f>IFERROR(INDEX(tblTasks[ID],ROW()-6),"")</f>
      </c>
      <c r="B302" s="24">
        <f>=IF($A302="","",INDEX(tblTasks[Sujet],ROW()-6))</f>
      </c>
      <c r="C302" s="23">
        <f>=IF($A302="","",INDEX(tblTasks[Lot_Domaine],ROW()-6))</f>
      </c>
      <c r="D302" s="23">
        <f>=IF($A302="","",INDEX(tblTasks[Agent_source],ROW()-6))</f>
      </c>
      <c r="E302" s="23">
        <f>=IF($A302="","",INDEX(tblTasks[Responsable],ROW()-6))</f>
      </c>
      <c r="F302" s="23">
        <f>=IF($A302="","",INDEX(tblTasks[Statut],ROW()-6))</f>
      </c>
      <c r="G302" s="25">
        <f>=IF($A302="","",INDEX(tblTasks[Date_debut_prevue],ROW()-6))</f>
      </c>
      <c r="H302" s="25">
        <f>=IF($A302="","",INDEX(tblTasks[Date_fin_prevue],ROW()-6))</f>
      </c>
      <c r="I302" s="36">
        <f>=IF($A302="","",INDEX(tblTasks[Duree_jours],ROW()-6))</f>
      </c>
      <c r="J302" s="25">
        <f>=IF($A302="","",INDEX(tblTasks[Date_debut_reelle],ROW()-6))</f>
      </c>
      <c r="K302" s="25">
        <f>=IF($A302="","",INDEX(tblTasks[Date_fin_reelle],ROW()-6))</f>
      </c>
      <c r="L302" s="23">
        <f>=IF($A302="","",INDEX(tblTasks[Blocage],ROW()-6))</f>
      </c>
      <c r="M302" s="23">
        <f>=IF($A302="","",INDEX(tblTasks[Depend_de],ROW()-6))</f>
      </c>
      <c r="N302" s="23">
        <f>=IF($A302="","",INDEX(tblTasks[Non_negociable],ROW()-6))</f>
      </c>
      <c r="O302" s="23">
        <f>=IF($A302="","",INDEX(tblTasks[Seuil_de_reprise],ROW()-6))</f>
      </c>
      <c r="P302" s="23">
        <f>=IF($A302="","",INDEX(tblTasks[Donnee_manquante],ROW()-6))</f>
      </c>
      <c r="Q302" s="23">
        <f>=IF($A302="","",INDEX(tblTasks[Niveau_criticite],ROW()-6))</f>
      </c>
      <c r="R302" s="23">
        <f>=IF($A302="","",INDEX(tblTasks[Irreversibilite],ROW()-6))</f>
      </c>
      <c r="S302" s="23">
        <f>=IF($A302="","",INDEX(tblTasks[Decision_Emmanuel],ROW()-6))</f>
      </c>
      <c r="T302" s="24">
        <f>=IF($A302="","",INDEX(tblTasks[Commentaire_EKT],ROW()-6))</f>
      </c>
      <c r="U302" s="23">
        <f>=IF($A302="","",INDEX(tblTasks[Goulot],ROW()-6))</f>
      </c>
      <c r="V302" s="23">
        <f>=IF($A302="","",INDEX(tblTasks[Point_de_bascule],ROW()-6))</f>
      </c>
      <c r="W302" s="37">
        <f>IF($A302="","",IF(AND(OR(param_filtre_statut="tous",LOWER($F302)=LOWER(param_filtre_statut)),OR(param_filtre_agent="tous",LOWER($D302)=LOWER(param_filtre_agent),LOWER($E302)=LOWER(param_filtre_agent)),OR(param_filtre_criticite="toutes",LOWER($Q302)=LOWER(param_filtre_criticite))),"oui","non"))</f>
      </c>
      <c r="X302" s="37">
        <f>IF($A302="","",IF(OR(LOWER($F302)="bloqué",LOWER($L302)="oui"),"oui","non"))</f>
      </c>
      <c r="Y302" s="37">
        <f>IF($A302="","",IF(OR(LOWER($Q302)="critique",LOWER($U302)="oui",LOWER($V302)="oui"),"oui","non"))</f>
      </c>
      <c r="Z302" s="37">
        <f>IF($A302="","",IF(AND($S302&lt;&gt;"",LOWER($S302)&lt;&gt;"tranchée",LOWER($S302)&lt;&gt;"sans objet",LOWER($S302)&lt;&gt;"clos"),"oui","non"))</f>
      </c>
      <c r="AA302" s="37">
        <f>IF($A302="","",IF($P302&lt;&gt;"","oui","non"))</f>
      </c>
      <c r="AB302" s="37">
        <f>IF($A302="","",IF(OR(LOWER($F302)="non réouvrable",LOWER($R302)="forte"),"oui","non"))</f>
      </c>
    </row>
    <row r="303" spans="1:28" x14ac:dyDescent="0.25">
      <c r="A303" s="23">
        <f>IFERROR(INDEX(tblTasks[ID],ROW()-6),"")</f>
      </c>
      <c r="B303" s="24">
        <f>=IF($A303="","",INDEX(tblTasks[Sujet],ROW()-6))</f>
      </c>
      <c r="C303" s="23">
        <f>=IF($A303="","",INDEX(tblTasks[Lot_Domaine],ROW()-6))</f>
      </c>
      <c r="D303" s="23">
        <f>=IF($A303="","",INDEX(tblTasks[Agent_source],ROW()-6))</f>
      </c>
      <c r="E303" s="23">
        <f>=IF($A303="","",INDEX(tblTasks[Responsable],ROW()-6))</f>
      </c>
      <c r="F303" s="23">
        <f>=IF($A303="","",INDEX(tblTasks[Statut],ROW()-6))</f>
      </c>
      <c r="G303" s="25">
        <f>=IF($A303="","",INDEX(tblTasks[Date_debut_prevue],ROW()-6))</f>
      </c>
      <c r="H303" s="25">
        <f>=IF($A303="","",INDEX(tblTasks[Date_fin_prevue],ROW()-6))</f>
      </c>
      <c r="I303" s="36">
        <f>=IF($A303="","",INDEX(tblTasks[Duree_jours],ROW()-6))</f>
      </c>
      <c r="J303" s="25">
        <f>=IF($A303="","",INDEX(tblTasks[Date_debut_reelle],ROW()-6))</f>
      </c>
      <c r="K303" s="25">
        <f>=IF($A303="","",INDEX(tblTasks[Date_fin_reelle],ROW()-6))</f>
      </c>
      <c r="L303" s="23">
        <f>=IF($A303="","",INDEX(tblTasks[Blocage],ROW()-6))</f>
      </c>
      <c r="M303" s="23">
        <f>=IF($A303="","",INDEX(tblTasks[Depend_de],ROW()-6))</f>
      </c>
      <c r="N303" s="23">
        <f>=IF($A303="","",INDEX(tblTasks[Non_negociable],ROW()-6))</f>
      </c>
      <c r="O303" s="23">
        <f>=IF($A303="","",INDEX(tblTasks[Seuil_de_reprise],ROW()-6))</f>
      </c>
      <c r="P303" s="23">
        <f>=IF($A303="","",INDEX(tblTasks[Donnee_manquante],ROW()-6))</f>
      </c>
      <c r="Q303" s="23">
        <f>=IF($A303="","",INDEX(tblTasks[Niveau_criticite],ROW()-6))</f>
      </c>
      <c r="R303" s="23">
        <f>=IF($A303="","",INDEX(tblTasks[Irreversibilite],ROW()-6))</f>
      </c>
      <c r="S303" s="23">
        <f>=IF($A303="","",INDEX(tblTasks[Decision_Emmanuel],ROW()-6))</f>
      </c>
      <c r="T303" s="24">
        <f>=IF($A303="","",INDEX(tblTasks[Commentaire_EKT],ROW()-6))</f>
      </c>
      <c r="U303" s="23">
        <f>=IF($A303="","",INDEX(tblTasks[Goulot],ROW()-6))</f>
      </c>
      <c r="V303" s="23">
        <f>=IF($A303="","",INDEX(tblTasks[Point_de_bascule],ROW()-6))</f>
      </c>
      <c r="W303" s="37">
        <f>IF($A303="","",IF(AND(OR(param_filtre_statut="tous",LOWER($F303)=LOWER(param_filtre_statut)),OR(param_filtre_agent="tous",LOWER($D303)=LOWER(param_filtre_agent),LOWER($E303)=LOWER(param_filtre_agent)),OR(param_filtre_criticite="toutes",LOWER($Q303)=LOWER(param_filtre_criticite))),"oui","non"))</f>
      </c>
      <c r="X303" s="37">
        <f>IF($A303="","",IF(OR(LOWER($F303)="bloqué",LOWER($L303)="oui"),"oui","non"))</f>
      </c>
      <c r="Y303" s="37">
        <f>IF($A303="","",IF(OR(LOWER($Q303)="critique",LOWER($U303)="oui",LOWER($V303)="oui"),"oui","non"))</f>
      </c>
      <c r="Z303" s="37">
        <f>IF($A303="","",IF(AND($S303&lt;&gt;"",LOWER($S303)&lt;&gt;"tranchée",LOWER($S303)&lt;&gt;"sans objet",LOWER($S303)&lt;&gt;"clos"),"oui","non"))</f>
      </c>
      <c r="AA303" s="37">
        <f>IF($A303="","",IF($P303&lt;&gt;"","oui","non"))</f>
      </c>
      <c r="AB303" s="37">
        <f>IF($A303="","",IF(OR(LOWER($F303)="non réouvrable",LOWER($R303)="forte"),"oui","non"))</f>
      </c>
    </row>
    <row r="304" spans="1:28" x14ac:dyDescent="0.25">
      <c r="A304" s="23">
        <f>IFERROR(INDEX(tblTasks[ID],ROW()-6),"")</f>
      </c>
      <c r="B304" s="24">
        <f>=IF($A304="","",INDEX(tblTasks[Sujet],ROW()-6))</f>
      </c>
      <c r="C304" s="23">
        <f>=IF($A304="","",INDEX(tblTasks[Lot_Domaine],ROW()-6))</f>
      </c>
      <c r="D304" s="23">
        <f>=IF($A304="","",INDEX(tblTasks[Agent_source],ROW()-6))</f>
      </c>
      <c r="E304" s="23">
        <f>=IF($A304="","",INDEX(tblTasks[Responsable],ROW()-6))</f>
      </c>
      <c r="F304" s="23">
        <f>=IF($A304="","",INDEX(tblTasks[Statut],ROW()-6))</f>
      </c>
      <c r="G304" s="25">
        <f>=IF($A304="","",INDEX(tblTasks[Date_debut_prevue],ROW()-6))</f>
      </c>
      <c r="H304" s="25">
        <f>=IF($A304="","",INDEX(tblTasks[Date_fin_prevue],ROW()-6))</f>
      </c>
      <c r="I304" s="36">
        <f>=IF($A304="","",INDEX(tblTasks[Duree_jours],ROW()-6))</f>
      </c>
      <c r="J304" s="25">
        <f>=IF($A304="","",INDEX(tblTasks[Date_debut_reelle],ROW()-6))</f>
      </c>
      <c r="K304" s="25">
        <f>=IF($A304="","",INDEX(tblTasks[Date_fin_reelle],ROW()-6))</f>
      </c>
      <c r="L304" s="23">
        <f>=IF($A304="","",INDEX(tblTasks[Blocage],ROW()-6))</f>
      </c>
      <c r="M304" s="23">
        <f>=IF($A304="","",INDEX(tblTasks[Depend_de],ROW()-6))</f>
      </c>
      <c r="N304" s="23">
        <f>=IF($A304="","",INDEX(tblTasks[Non_negociable],ROW()-6))</f>
      </c>
      <c r="O304" s="23">
        <f>=IF($A304="","",INDEX(tblTasks[Seuil_de_reprise],ROW()-6))</f>
      </c>
      <c r="P304" s="23">
        <f>=IF($A304="","",INDEX(tblTasks[Donnee_manquante],ROW()-6))</f>
      </c>
      <c r="Q304" s="23">
        <f>=IF($A304="","",INDEX(tblTasks[Niveau_criticite],ROW()-6))</f>
      </c>
      <c r="R304" s="23">
        <f>=IF($A304="","",INDEX(tblTasks[Irreversibilite],ROW()-6))</f>
      </c>
      <c r="S304" s="23">
        <f>=IF($A304="","",INDEX(tblTasks[Decision_Emmanuel],ROW()-6))</f>
      </c>
      <c r="T304" s="24">
        <f>=IF($A304="","",INDEX(tblTasks[Commentaire_EKT],ROW()-6))</f>
      </c>
      <c r="U304" s="23">
        <f>=IF($A304="","",INDEX(tblTasks[Goulot],ROW()-6))</f>
      </c>
      <c r="V304" s="23">
        <f>=IF($A304="","",INDEX(tblTasks[Point_de_bascule],ROW()-6))</f>
      </c>
      <c r="W304" s="37">
        <f>IF($A304="","",IF(AND(OR(param_filtre_statut="tous",LOWER($F304)=LOWER(param_filtre_statut)),OR(param_filtre_agent="tous",LOWER($D304)=LOWER(param_filtre_agent),LOWER($E304)=LOWER(param_filtre_agent)),OR(param_filtre_criticite="toutes",LOWER($Q304)=LOWER(param_filtre_criticite))),"oui","non"))</f>
      </c>
      <c r="X304" s="37">
        <f>IF($A304="","",IF(OR(LOWER($F304)="bloqué",LOWER($L304)="oui"),"oui","non"))</f>
      </c>
      <c r="Y304" s="37">
        <f>IF($A304="","",IF(OR(LOWER($Q304)="critique",LOWER($U304)="oui",LOWER($V304)="oui"),"oui","non"))</f>
      </c>
      <c r="Z304" s="37">
        <f>IF($A304="","",IF(AND($S304&lt;&gt;"",LOWER($S304)&lt;&gt;"tranchée",LOWER($S304)&lt;&gt;"sans objet",LOWER($S304)&lt;&gt;"clos"),"oui","non"))</f>
      </c>
      <c r="AA304" s="37">
        <f>IF($A304="","",IF($P304&lt;&gt;"","oui","non"))</f>
      </c>
      <c r="AB304" s="37">
        <f>IF($A304="","",IF(OR(LOWER($F304)="non réouvrable",LOWER($R304)="forte"),"oui","non"))</f>
      </c>
    </row>
    <row r="305" spans="1:28" x14ac:dyDescent="0.25">
      <c r="A305" s="23">
        <f>IFERROR(INDEX(tblTasks[ID],ROW()-6),"")</f>
      </c>
      <c r="B305" s="24">
        <f>=IF($A305="","",INDEX(tblTasks[Sujet],ROW()-6))</f>
      </c>
      <c r="C305" s="23">
        <f>=IF($A305="","",INDEX(tblTasks[Lot_Domaine],ROW()-6))</f>
      </c>
      <c r="D305" s="23">
        <f>=IF($A305="","",INDEX(tblTasks[Agent_source],ROW()-6))</f>
      </c>
      <c r="E305" s="23">
        <f>=IF($A305="","",INDEX(tblTasks[Responsable],ROW()-6))</f>
      </c>
      <c r="F305" s="23">
        <f>=IF($A305="","",INDEX(tblTasks[Statut],ROW()-6))</f>
      </c>
      <c r="G305" s="25">
        <f>=IF($A305="","",INDEX(tblTasks[Date_debut_prevue],ROW()-6))</f>
      </c>
      <c r="H305" s="25">
        <f>=IF($A305="","",INDEX(tblTasks[Date_fin_prevue],ROW()-6))</f>
      </c>
      <c r="I305" s="36">
        <f>=IF($A305="","",INDEX(tblTasks[Duree_jours],ROW()-6))</f>
      </c>
      <c r="J305" s="25">
        <f>=IF($A305="","",INDEX(tblTasks[Date_debut_reelle],ROW()-6))</f>
      </c>
      <c r="K305" s="25">
        <f>=IF($A305="","",INDEX(tblTasks[Date_fin_reelle],ROW()-6))</f>
      </c>
      <c r="L305" s="23">
        <f>=IF($A305="","",INDEX(tblTasks[Blocage],ROW()-6))</f>
      </c>
      <c r="M305" s="23">
        <f>=IF($A305="","",INDEX(tblTasks[Depend_de],ROW()-6))</f>
      </c>
      <c r="N305" s="23">
        <f>=IF($A305="","",INDEX(tblTasks[Non_negociable],ROW()-6))</f>
      </c>
      <c r="O305" s="23">
        <f>=IF($A305="","",INDEX(tblTasks[Seuil_de_reprise],ROW()-6))</f>
      </c>
      <c r="P305" s="23">
        <f>=IF($A305="","",INDEX(tblTasks[Donnee_manquante],ROW()-6))</f>
      </c>
      <c r="Q305" s="23">
        <f>=IF($A305="","",INDEX(tblTasks[Niveau_criticite],ROW()-6))</f>
      </c>
      <c r="R305" s="23">
        <f>=IF($A305="","",INDEX(tblTasks[Irreversibilite],ROW()-6))</f>
      </c>
      <c r="S305" s="23">
        <f>=IF($A305="","",INDEX(tblTasks[Decision_Emmanuel],ROW()-6))</f>
      </c>
      <c r="T305" s="24">
        <f>=IF($A305="","",INDEX(tblTasks[Commentaire_EKT],ROW()-6))</f>
      </c>
      <c r="U305" s="23">
        <f>=IF($A305="","",INDEX(tblTasks[Goulot],ROW()-6))</f>
      </c>
      <c r="V305" s="23">
        <f>=IF($A305="","",INDEX(tblTasks[Point_de_bascule],ROW()-6))</f>
      </c>
      <c r="W305" s="37">
        <f>IF($A305="","",IF(AND(OR(param_filtre_statut="tous",LOWER($F305)=LOWER(param_filtre_statut)),OR(param_filtre_agent="tous",LOWER($D305)=LOWER(param_filtre_agent),LOWER($E305)=LOWER(param_filtre_agent)),OR(param_filtre_criticite="toutes",LOWER($Q305)=LOWER(param_filtre_criticite))),"oui","non"))</f>
      </c>
      <c r="X305" s="37">
        <f>IF($A305="","",IF(OR(LOWER($F305)="bloqué",LOWER($L305)="oui"),"oui","non"))</f>
      </c>
      <c r="Y305" s="37">
        <f>IF($A305="","",IF(OR(LOWER($Q305)="critique",LOWER($U305)="oui",LOWER($V305)="oui"),"oui","non"))</f>
      </c>
      <c r="Z305" s="37">
        <f>IF($A305="","",IF(AND($S305&lt;&gt;"",LOWER($S305)&lt;&gt;"tranchée",LOWER($S305)&lt;&gt;"sans objet",LOWER($S305)&lt;&gt;"clos"),"oui","non"))</f>
      </c>
      <c r="AA305" s="37">
        <f>IF($A305="","",IF($P305&lt;&gt;"","oui","non"))</f>
      </c>
      <c r="AB305" s="37">
        <f>IF($A305="","",IF(OR(LOWER($F305)="non réouvrable",LOWER($R305)="forte"),"oui","non"))</f>
      </c>
    </row>
    <row r="306" spans="1:28" x14ac:dyDescent="0.25">
      <c r="A306" s="23">
        <f>IFERROR(INDEX(tblTasks[ID],ROW()-6),"")</f>
      </c>
      <c r="B306" s="24">
        <f>=IF($A306="","",INDEX(tblTasks[Sujet],ROW()-6))</f>
      </c>
      <c r="C306" s="23">
        <f>=IF($A306="","",INDEX(tblTasks[Lot_Domaine],ROW()-6))</f>
      </c>
      <c r="D306" s="23">
        <f>=IF($A306="","",INDEX(tblTasks[Agent_source],ROW()-6))</f>
      </c>
      <c r="E306" s="23">
        <f>=IF($A306="","",INDEX(tblTasks[Responsable],ROW()-6))</f>
      </c>
      <c r="F306" s="23">
        <f>=IF($A306="","",INDEX(tblTasks[Statut],ROW()-6))</f>
      </c>
      <c r="G306" s="25">
        <f>=IF($A306="","",INDEX(tblTasks[Date_debut_prevue],ROW()-6))</f>
      </c>
      <c r="H306" s="25">
        <f>=IF($A306="","",INDEX(tblTasks[Date_fin_prevue],ROW()-6))</f>
      </c>
      <c r="I306" s="36">
        <f>=IF($A306="","",INDEX(tblTasks[Duree_jours],ROW()-6))</f>
      </c>
      <c r="J306" s="25">
        <f>=IF($A306="","",INDEX(tblTasks[Date_debut_reelle],ROW()-6))</f>
      </c>
      <c r="K306" s="25">
        <f>=IF($A306="","",INDEX(tblTasks[Date_fin_reelle],ROW()-6))</f>
      </c>
      <c r="L306" s="23">
        <f>=IF($A306="","",INDEX(tblTasks[Blocage],ROW()-6))</f>
      </c>
      <c r="M306" s="23">
        <f>=IF($A306="","",INDEX(tblTasks[Depend_de],ROW()-6))</f>
      </c>
      <c r="N306" s="23">
        <f>=IF($A306="","",INDEX(tblTasks[Non_negociable],ROW()-6))</f>
      </c>
      <c r="O306" s="23">
        <f>=IF($A306="","",INDEX(tblTasks[Seuil_de_reprise],ROW()-6))</f>
      </c>
      <c r="P306" s="23">
        <f>=IF($A306="","",INDEX(tblTasks[Donnee_manquante],ROW()-6))</f>
      </c>
      <c r="Q306" s="23">
        <f>=IF($A306="","",INDEX(tblTasks[Niveau_criticite],ROW()-6))</f>
      </c>
      <c r="R306" s="23">
        <f>=IF($A306="","",INDEX(tblTasks[Irreversibilite],ROW()-6))</f>
      </c>
      <c r="S306" s="23">
        <f>=IF($A306="","",INDEX(tblTasks[Decision_Emmanuel],ROW()-6))</f>
      </c>
      <c r="T306" s="24">
        <f>=IF($A306="","",INDEX(tblTasks[Commentaire_EKT],ROW()-6))</f>
      </c>
      <c r="U306" s="23">
        <f>=IF($A306="","",INDEX(tblTasks[Goulot],ROW()-6))</f>
      </c>
      <c r="V306" s="23">
        <f>=IF($A306="","",INDEX(tblTasks[Point_de_bascule],ROW()-6))</f>
      </c>
      <c r="W306" s="37">
        <f>IF($A306="","",IF(AND(OR(param_filtre_statut="tous",LOWER($F306)=LOWER(param_filtre_statut)),OR(param_filtre_agent="tous",LOWER($D306)=LOWER(param_filtre_agent),LOWER($E306)=LOWER(param_filtre_agent)),OR(param_filtre_criticite="toutes",LOWER($Q306)=LOWER(param_filtre_criticite))),"oui","non"))</f>
      </c>
      <c r="X306" s="37">
        <f>IF($A306="","",IF(OR(LOWER($F306)="bloqué",LOWER($L306)="oui"),"oui","non"))</f>
      </c>
      <c r="Y306" s="37">
        <f>IF($A306="","",IF(OR(LOWER($Q306)="critique",LOWER($U306)="oui",LOWER($V306)="oui"),"oui","non"))</f>
      </c>
      <c r="Z306" s="37">
        <f>IF($A306="","",IF(AND($S306&lt;&gt;"",LOWER($S306)&lt;&gt;"tranchée",LOWER($S306)&lt;&gt;"sans objet",LOWER($S306)&lt;&gt;"clos"),"oui","non"))</f>
      </c>
      <c r="AA306" s="37">
        <f>IF($A306="","",IF($P306&lt;&gt;"","oui","non"))</f>
      </c>
      <c r="AB306" s="37">
        <f>IF($A306="","",IF(OR(LOWER($F306)="non réouvrable",LOWER($R306)="forte"),"oui","non"))</f>
      </c>
    </row>
  </sheetData>
  <autoFilter ref="A6:AB306"/>
  <mergeCells count="3">
    <mergeCell ref="A1:AB1"/>
    <mergeCell ref="A2:A3"/>
    <mergeCell ref="A4:AB4"/>
  </mergeCells>
  <conditionalFormatting sqref="W7:AB306">
    <cfRule type="expression" dxfId="12" priority="1">
      <formula>LOWER(W7)="oui"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PARAMS</vt:lpstr>
      <vt:lpstr>TASKS</vt:lpstr>
      <vt:lpstr>DECISIONS</vt:lpstr>
      <vt:lpstr>GANTT_VIEW</vt:lpstr>
      <vt:lpstr>FILTER_VIEW</vt:lpstr>
    </vt:vector>
  </TitlesOfParts>
  <Company>EKT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2026-04-19T22:00:00Z</dcterms:created>
  <dcterms:modified xsi:type="dcterms:W3CDTF">2026-04-19T22:00:00Z</dcterms:modified>
</cp:coreProperties>
</file>